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haurya/Desktop/"/>
    </mc:Choice>
  </mc:AlternateContent>
  <xr:revisionPtr revIDLastSave="0" documentId="8_{A65CA9A0-F515-CF4C-A39D-F910A127533D}" xr6:coauthVersionLast="47" xr6:coauthVersionMax="47" xr10:uidLastSave="{00000000-0000-0000-0000-000000000000}"/>
  <bookViews>
    <workbookView xWindow="0" yWindow="660" windowWidth="29400" windowHeight="18460" firstSheet="1" activeTab="2" xr2:uid="{EAA2A282-3752-B847-A80B-C30A4484D7DC}"/>
  </bookViews>
  <sheets>
    <sheet name="FastFoodNutrition notes" sheetId="1" r:id="rId1"/>
    <sheet name="just numbers" sheetId="2" r:id="rId2"/>
    <sheet name="just numbers (HaoBS)" sheetId="4" r:id="rId3"/>
    <sheet name="HaosBSCalculations" sheetId="3" r:id="rId4"/>
    <sheet name="Sheet1" sheetId="5" r:id="rId5"/>
    <sheet name="Sheet2" sheetId="6" r:id="rId6"/>
  </sheets>
  <definedNames>
    <definedName name="_xlnm._FilterDatabase" localSheetId="0" hidden="1">'FastFoodNutrition notes'!$A$1:$Q$1134</definedName>
    <definedName name="_xlnm._FilterDatabase" localSheetId="3" hidden="1">HaosBSCalculations!$S$3:$Y$3</definedName>
    <definedName name="_xlnm._FilterDatabase" localSheetId="1" hidden="1">'just numbers'!$A$1:$Q$1</definedName>
    <definedName name="_xlnm._FilterDatabase" localSheetId="2" hidden="1">'just numbers (HaoBS)'!$A$1:$Y$1</definedName>
  </definedNames>
  <calcPr calcId="191028" iterateDelta="1E-4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77" i="4" l="1"/>
  <c r="P977" i="4"/>
  <c r="O977" i="4"/>
  <c r="Q976" i="4"/>
  <c r="P976" i="4"/>
  <c r="O976" i="4"/>
  <c r="Q975" i="4"/>
  <c r="P975" i="4"/>
  <c r="O975" i="4"/>
  <c r="Q974" i="4"/>
  <c r="P974" i="4"/>
  <c r="O974" i="4"/>
  <c r="Q973" i="4"/>
  <c r="P973" i="4"/>
  <c r="O973" i="4"/>
  <c r="Q972" i="4"/>
  <c r="P972" i="4"/>
  <c r="O972" i="4"/>
  <c r="Q971" i="4"/>
  <c r="P971" i="4"/>
  <c r="O971" i="4"/>
  <c r="Q970" i="4"/>
  <c r="P970" i="4"/>
  <c r="O970" i="4"/>
  <c r="Q969" i="4"/>
  <c r="P969" i="4"/>
  <c r="O969" i="4"/>
  <c r="Q968" i="4"/>
  <c r="P968" i="4"/>
  <c r="O968" i="4"/>
  <c r="Q967" i="4"/>
  <c r="P967" i="4"/>
  <c r="O967" i="4"/>
  <c r="Q966" i="4"/>
  <c r="P966" i="4"/>
  <c r="O966" i="4"/>
  <c r="Q965" i="4"/>
  <c r="P965" i="4"/>
  <c r="O965" i="4"/>
  <c r="Q964" i="4"/>
  <c r="P964" i="4"/>
  <c r="O964" i="4"/>
  <c r="Q963" i="4"/>
  <c r="P963" i="4"/>
  <c r="O963" i="4"/>
  <c r="Q962" i="4"/>
  <c r="P962" i="4"/>
  <c r="O962" i="4"/>
  <c r="Q961" i="4"/>
  <c r="P961" i="4"/>
  <c r="O961" i="4"/>
  <c r="Q960" i="4"/>
  <c r="P960" i="4"/>
  <c r="O960" i="4"/>
  <c r="Q959" i="4"/>
  <c r="P959" i="4"/>
  <c r="O959" i="4"/>
  <c r="Q958" i="4"/>
  <c r="P958" i="4"/>
  <c r="O958" i="4"/>
  <c r="Q957" i="4"/>
  <c r="P957" i="4"/>
  <c r="O957" i="4"/>
  <c r="Q956" i="4"/>
  <c r="P956" i="4"/>
  <c r="O956" i="4"/>
  <c r="Q955" i="4"/>
  <c r="P955" i="4"/>
  <c r="O955" i="4"/>
  <c r="Q954" i="4"/>
  <c r="P954" i="4"/>
  <c r="O954" i="4"/>
  <c r="Q953" i="4"/>
  <c r="P953" i="4"/>
  <c r="Q952" i="4"/>
  <c r="P952" i="4"/>
  <c r="O952" i="4"/>
  <c r="Q951" i="4"/>
  <c r="P951" i="4"/>
  <c r="O951" i="4"/>
  <c r="Q950" i="4"/>
  <c r="P950" i="4"/>
  <c r="O950" i="4"/>
  <c r="Q949" i="4"/>
  <c r="P949" i="4"/>
  <c r="O949" i="4"/>
  <c r="Q948" i="4"/>
  <c r="P948" i="4"/>
  <c r="O948" i="4"/>
  <c r="Q947" i="4"/>
  <c r="P947" i="4"/>
  <c r="O947" i="4"/>
  <c r="Q946" i="4"/>
  <c r="P946" i="4"/>
  <c r="O946" i="4"/>
  <c r="Q945" i="4"/>
  <c r="P945" i="4"/>
  <c r="O945" i="4"/>
  <c r="Q944" i="4"/>
  <c r="P944" i="4"/>
  <c r="O944" i="4"/>
  <c r="Q943" i="4"/>
  <c r="P943" i="4"/>
  <c r="O943" i="4"/>
  <c r="Q942" i="4"/>
  <c r="P942" i="4"/>
  <c r="O942" i="4"/>
  <c r="Q941" i="4"/>
  <c r="P941" i="4"/>
  <c r="O941" i="4"/>
  <c r="Q940" i="4"/>
  <c r="P940" i="4"/>
  <c r="Q939" i="4"/>
  <c r="P939" i="4"/>
  <c r="Q938" i="4"/>
  <c r="P938" i="4"/>
  <c r="Q937" i="4"/>
  <c r="P937" i="4"/>
  <c r="Q936" i="4"/>
  <c r="P936" i="4"/>
  <c r="Q935" i="4"/>
  <c r="P935" i="4"/>
  <c r="Q934" i="4"/>
  <c r="P934" i="4"/>
  <c r="O934" i="4"/>
  <c r="Q933" i="4"/>
  <c r="P933" i="4"/>
  <c r="O933" i="4"/>
  <c r="Q932" i="4"/>
  <c r="P932" i="4"/>
  <c r="O932" i="4"/>
  <c r="Q931" i="4"/>
  <c r="P931" i="4"/>
  <c r="Q930" i="4"/>
  <c r="P930" i="4"/>
  <c r="Q929" i="4"/>
  <c r="P929" i="4"/>
  <c r="O929" i="4"/>
  <c r="Q928" i="4"/>
  <c r="P928" i="4"/>
  <c r="O928" i="4"/>
  <c r="Q927" i="4"/>
  <c r="P927" i="4"/>
  <c r="O927" i="4"/>
  <c r="Q926" i="4"/>
  <c r="P926" i="4"/>
  <c r="O926" i="4"/>
  <c r="Q925" i="4"/>
  <c r="P925" i="4"/>
  <c r="O925" i="4"/>
  <c r="Q924" i="4"/>
  <c r="P924" i="4"/>
  <c r="O924" i="4"/>
  <c r="Q923" i="4"/>
  <c r="P923" i="4"/>
  <c r="O923" i="4"/>
  <c r="Q922" i="4"/>
  <c r="P922" i="4"/>
  <c r="O922" i="4"/>
  <c r="Q921" i="4"/>
  <c r="P921" i="4"/>
  <c r="O921" i="4"/>
  <c r="Q920" i="4"/>
  <c r="P920" i="4"/>
  <c r="O920" i="4"/>
  <c r="Q919" i="4"/>
  <c r="P919" i="4"/>
  <c r="O919" i="4"/>
  <c r="Q918" i="4"/>
  <c r="P918" i="4"/>
  <c r="O918" i="4"/>
  <c r="Q917" i="4"/>
  <c r="P917" i="4"/>
  <c r="O917" i="4"/>
  <c r="Q916" i="4"/>
  <c r="P916" i="4"/>
  <c r="O916" i="4"/>
  <c r="Q915" i="4"/>
  <c r="P915" i="4"/>
  <c r="O915" i="4"/>
  <c r="Q914" i="4"/>
  <c r="P914" i="4"/>
  <c r="O914" i="4"/>
  <c r="Q913" i="4"/>
  <c r="P913" i="4"/>
  <c r="O913" i="4"/>
  <c r="Q912" i="4"/>
  <c r="P912" i="4"/>
  <c r="O912" i="4"/>
  <c r="Q911" i="4"/>
  <c r="P911" i="4"/>
  <c r="O911" i="4"/>
  <c r="Q910" i="4"/>
  <c r="P910" i="4"/>
  <c r="O910" i="4"/>
  <c r="Q909" i="4"/>
  <c r="P909" i="4"/>
  <c r="O909" i="4"/>
  <c r="Q908" i="4"/>
  <c r="P908" i="4"/>
  <c r="O908" i="4"/>
  <c r="Q907" i="4"/>
  <c r="P907" i="4"/>
  <c r="O907" i="4"/>
  <c r="Q906" i="4"/>
  <c r="P906" i="4"/>
  <c r="O906" i="4"/>
  <c r="Q905" i="4"/>
  <c r="P905" i="4"/>
  <c r="O905" i="4"/>
  <c r="Q904" i="4"/>
  <c r="P904" i="4"/>
  <c r="O904" i="4"/>
  <c r="Q903" i="4"/>
  <c r="P903" i="4"/>
  <c r="O903" i="4"/>
  <c r="Q902" i="4"/>
  <c r="P902" i="4"/>
  <c r="O902" i="4"/>
  <c r="Q901" i="4"/>
  <c r="P901" i="4"/>
  <c r="O901" i="4"/>
  <c r="Q900" i="4"/>
  <c r="P900" i="4"/>
  <c r="O900" i="4"/>
  <c r="Q899" i="4"/>
  <c r="P899" i="4"/>
  <c r="O899" i="4"/>
  <c r="Q898" i="4"/>
  <c r="P898" i="4"/>
  <c r="O898" i="4"/>
  <c r="Q897" i="4"/>
  <c r="P897" i="4"/>
  <c r="O897" i="4"/>
  <c r="Q896" i="4"/>
  <c r="P896" i="4"/>
  <c r="O896" i="4"/>
  <c r="Q895" i="4"/>
  <c r="P895" i="4"/>
  <c r="O895" i="4"/>
  <c r="Q894" i="4"/>
  <c r="P894" i="4"/>
  <c r="O894" i="4"/>
  <c r="Q893" i="4"/>
  <c r="P893" i="4"/>
  <c r="O893" i="4"/>
  <c r="Q892" i="4"/>
  <c r="P892" i="4"/>
  <c r="O892" i="4"/>
  <c r="Q891" i="4"/>
  <c r="P891" i="4"/>
  <c r="O891" i="4"/>
  <c r="Q890" i="4"/>
  <c r="P890" i="4"/>
  <c r="O890" i="4"/>
  <c r="Q889" i="4"/>
  <c r="P889" i="4"/>
  <c r="O889" i="4"/>
  <c r="Q888" i="4"/>
  <c r="P888" i="4"/>
  <c r="O888" i="4"/>
  <c r="Q887" i="4"/>
  <c r="P887" i="4"/>
  <c r="O887" i="4"/>
  <c r="Q886" i="4"/>
  <c r="P886" i="4"/>
  <c r="O886" i="4"/>
  <c r="Q885" i="4"/>
  <c r="P885" i="4"/>
  <c r="O885" i="4"/>
  <c r="Q884" i="4"/>
  <c r="P884" i="4"/>
  <c r="O884" i="4"/>
  <c r="Q883" i="4"/>
  <c r="P883" i="4"/>
  <c r="O883" i="4"/>
  <c r="Q882" i="4"/>
  <c r="P882" i="4"/>
  <c r="O882" i="4"/>
  <c r="Q881" i="4"/>
  <c r="P881" i="4"/>
  <c r="O881" i="4"/>
  <c r="Q880" i="4"/>
  <c r="P880" i="4"/>
  <c r="O880" i="4"/>
  <c r="Q879" i="4"/>
  <c r="P879" i="4"/>
  <c r="O879" i="4"/>
  <c r="Q878" i="4"/>
  <c r="P878" i="4"/>
  <c r="O878" i="4"/>
  <c r="Q877" i="4"/>
  <c r="P877" i="4"/>
  <c r="O877" i="4"/>
  <c r="Q876" i="4"/>
  <c r="P876" i="4"/>
  <c r="O876" i="4"/>
  <c r="Q875" i="4"/>
  <c r="P875" i="4"/>
  <c r="O875" i="4"/>
  <c r="Q874" i="4"/>
  <c r="P874" i="4"/>
  <c r="O874" i="4"/>
  <c r="Q873" i="4"/>
  <c r="P873" i="4"/>
  <c r="O873" i="4"/>
  <c r="Q872" i="4"/>
  <c r="P872" i="4"/>
  <c r="O872" i="4"/>
  <c r="Q871" i="4"/>
  <c r="P871" i="4"/>
  <c r="O871" i="4"/>
  <c r="Q870" i="4"/>
  <c r="P870" i="4"/>
  <c r="O870" i="4"/>
  <c r="Q869" i="4"/>
  <c r="P869" i="4"/>
  <c r="O869" i="4"/>
  <c r="Q868" i="4"/>
  <c r="P868" i="4"/>
  <c r="O868" i="4"/>
  <c r="Q867" i="4"/>
  <c r="P867" i="4"/>
  <c r="O867" i="4"/>
  <c r="Q866" i="4"/>
  <c r="P866" i="4"/>
  <c r="O866" i="4"/>
  <c r="Q865" i="4"/>
  <c r="P865" i="4"/>
  <c r="O865" i="4"/>
  <c r="Q864" i="4"/>
  <c r="P864" i="4"/>
  <c r="O864" i="4"/>
  <c r="Q863" i="4"/>
  <c r="P863" i="4"/>
  <c r="O863" i="4"/>
  <c r="Q862" i="4"/>
  <c r="P862" i="4"/>
  <c r="O862" i="4"/>
  <c r="Q861" i="4"/>
  <c r="P861" i="4"/>
  <c r="O861" i="4"/>
  <c r="Q860" i="4"/>
  <c r="P860" i="4"/>
  <c r="O860" i="4"/>
  <c r="Q859" i="4"/>
  <c r="P859" i="4"/>
  <c r="O859" i="4"/>
  <c r="Q858" i="4"/>
  <c r="P858" i="4"/>
  <c r="O858" i="4"/>
  <c r="Q857" i="4"/>
  <c r="P857" i="4"/>
  <c r="O857" i="4"/>
  <c r="Q856" i="4"/>
  <c r="P856" i="4"/>
  <c r="O856" i="4"/>
  <c r="Q855" i="4"/>
  <c r="P855" i="4"/>
  <c r="O855" i="4"/>
  <c r="Q854" i="4"/>
  <c r="P854" i="4"/>
  <c r="O854" i="4"/>
  <c r="Q853" i="4"/>
  <c r="P853" i="4"/>
  <c r="O853" i="4"/>
  <c r="Q852" i="4"/>
  <c r="P852" i="4"/>
  <c r="O852" i="4"/>
  <c r="Q851" i="4"/>
  <c r="P851" i="4"/>
  <c r="O851" i="4"/>
  <c r="Q850" i="4"/>
  <c r="P850" i="4"/>
  <c r="O850" i="4"/>
  <c r="Q849" i="4"/>
  <c r="P849" i="4"/>
  <c r="O849" i="4"/>
  <c r="Q848" i="4"/>
  <c r="P848" i="4"/>
  <c r="O848" i="4"/>
  <c r="Q847" i="4"/>
  <c r="P847" i="4"/>
  <c r="O847" i="4"/>
  <c r="Q846" i="4"/>
  <c r="P846" i="4"/>
  <c r="O846" i="4"/>
  <c r="Q845" i="4"/>
  <c r="P845" i="4"/>
  <c r="O845" i="4"/>
  <c r="Q844" i="4"/>
  <c r="P844" i="4"/>
  <c r="O844" i="4"/>
  <c r="Q843" i="4"/>
  <c r="P843" i="4"/>
  <c r="O843" i="4"/>
  <c r="Q842" i="4"/>
  <c r="P842" i="4"/>
  <c r="O842" i="4"/>
  <c r="Q841" i="4"/>
  <c r="P841" i="4"/>
  <c r="O841" i="4"/>
  <c r="Q840" i="4"/>
  <c r="P840" i="4"/>
  <c r="O840" i="4"/>
  <c r="Q839" i="4"/>
  <c r="P839" i="4"/>
  <c r="O839" i="4"/>
  <c r="Q838" i="4"/>
  <c r="P838" i="4"/>
  <c r="O838" i="4"/>
  <c r="Q837" i="4"/>
  <c r="P837" i="4"/>
  <c r="O837" i="4"/>
  <c r="Q836" i="4"/>
  <c r="P836" i="4"/>
  <c r="O836" i="4"/>
  <c r="Q835" i="4"/>
  <c r="P835" i="4"/>
  <c r="O835" i="4"/>
  <c r="Q834" i="4"/>
  <c r="P834" i="4"/>
  <c r="O834" i="4"/>
  <c r="Q833" i="4"/>
  <c r="P833" i="4"/>
  <c r="O833" i="4"/>
  <c r="Q832" i="4"/>
  <c r="P832" i="4"/>
  <c r="O832" i="4"/>
  <c r="Q831" i="4"/>
  <c r="P831" i="4"/>
  <c r="O831" i="4"/>
  <c r="Q830" i="4"/>
  <c r="P830" i="4"/>
  <c r="O830" i="4"/>
  <c r="Q829" i="4"/>
  <c r="P829" i="4"/>
  <c r="O829" i="4"/>
  <c r="Q828" i="4"/>
  <c r="P828" i="4"/>
  <c r="O828" i="4"/>
  <c r="Q827" i="4"/>
  <c r="P827" i="4"/>
  <c r="O827" i="4"/>
  <c r="Q826" i="4"/>
  <c r="P826" i="4"/>
  <c r="O826" i="4"/>
  <c r="Q825" i="4"/>
  <c r="P825" i="4"/>
  <c r="O825" i="4"/>
  <c r="Q824" i="4"/>
  <c r="P824" i="4"/>
  <c r="O824" i="4"/>
  <c r="Q823" i="4"/>
  <c r="P823" i="4"/>
  <c r="O823" i="4"/>
  <c r="Q822" i="4"/>
  <c r="P822" i="4"/>
  <c r="O822" i="4"/>
  <c r="Q821" i="4"/>
  <c r="P821" i="4"/>
  <c r="O821" i="4"/>
  <c r="Q820" i="4"/>
  <c r="P820" i="4"/>
  <c r="O820" i="4"/>
  <c r="Q819" i="4"/>
  <c r="P819" i="4"/>
  <c r="O819" i="4"/>
  <c r="Q818" i="4"/>
  <c r="P818" i="4"/>
  <c r="O818" i="4"/>
  <c r="Q817" i="4"/>
  <c r="P817" i="4"/>
  <c r="O817" i="4"/>
  <c r="Q816" i="4"/>
  <c r="P816" i="4"/>
  <c r="O816" i="4"/>
  <c r="Q815" i="4"/>
  <c r="P815" i="4"/>
  <c r="O815" i="4"/>
  <c r="Q814" i="4"/>
  <c r="P814" i="4"/>
  <c r="O814" i="4"/>
  <c r="Q813" i="4"/>
  <c r="P813" i="4"/>
  <c r="O813" i="4"/>
  <c r="Q812" i="4"/>
  <c r="P812" i="4"/>
  <c r="O812" i="4"/>
  <c r="Q811" i="4"/>
  <c r="P811" i="4"/>
  <c r="O811" i="4"/>
  <c r="Q810" i="4"/>
  <c r="P810" i="4"/>
  <c r="O810" i="4"/>
  <c r="Q809" i="4"/>
  <c r="P809" i="4"/>
  <c r="O809" i="4"/>
  <c r="Q808" i="4"/>
  <c r="P808" i="4"/>
  <c r="O808" i="4"/>
  <c r="Q807" i="4"/>
  <c r="P807" i="4"/>
  <c r="O807" i="4"/>
  <c r="Q806" i="4"/>
  <c r="P806" i="4"/>
  <c r="O806" i="4"/>
  <c r="Q805" i="4"/>
  <c r="P805" i="4"/>
  <c r="O805" i="4"/>
  <c r="Q804" i="4"/>
  <c r="P804" i="4"/>
  <c r="O804" i="4"/>
  <c r="Q803" i="4"/>
  <c r="P803" i="4"/>
  <c r="O803" i="4"/>
  <c r="Q802" i="4"/>
  <c r="P802" i="4"/>
  <c r="O802" i="4"/>
  <c r="Q801" i="4"/>
  <c r="P801" i="4"/>
  <c r="O801" i="4"/>
  <c r="Q800" i="4"/>
  <c r="P800" i="4"/>
  <c r="O800" i="4"/>
  <c r="Q799" i="4"/>
  <c r="P799" i="4"/>
  <c r="O799" i="4"/>
  <c r="Q798" i="4"/>
  <c r="P798" i="4"/>
  <c r="O798" i="4"/>
  <c r="Q797" i="4"/>
  <c r="P797" i="4"/>
  <c r="O797" i="4"/>
  <c r="Q796" i="4"/>
  <c r="P796" i="4"/>
  <c r="O796" i="4"/>
  <c r="Q795" i="4"/>
  <c r="P795" i="4"/>
  <c r="O795" i="4"/>
  <c r="Q794" i="4"/>
  <c r="P794" i="4"/>
  <c r="O794" i="4"/>
  <c r="Q793" i="4"/>
  <c r="P793" i="4"/>
  <c r="O793" i="4"/>
  <c r="Q792" i="4"/>
  <c r="P792" i="4"/>
  <c r="O792" i="4"/>
  <c r="Q791" i="4"/>
  <c r="P791" i="4"/>
  <c r="O791" i="4"/>
  <c r="Q790" i="4"/>
  <c r="P790" i="4"/>
  <c r="O790" i="4"/>
  <c r="Q789" i="4"/>
  <c r="P789" i="4"/>
  <c r="O789" i="4"/>
  <c r="Q788" i="4"/>
  <c r="P788" i="4"/>
  <c r="O788" i="4"/>
  <c r="Q787" i="4"/>
  <c r="P787" i="4"/>
  <c r="O787" i="4"/>
  <c r="Q786" i="4"/>
  <c r="P786" i="4"/>
  <c r="O786" i="4"/>
  <c r="Q785" i="4"/>
  <c r="P785" i="4"/>
  <c r="O785" i="4"/>
  <c r="Q784" i="4"/>
  <c r="P784" i="4"/>
  <c r="O784" i="4"/>
  <c r="Q783" i="4"/>
  <c r="P783" i="4"/>
  <c r="O783" i="4"/>
  <c r="Q782" i="4"/>
  <c r="P782" i="4"/>
  <c r="O782" i="4"/>
  <c r="Q781" i="4"/>
  <c r="P781" i="4"/>
  <c r="O781" i="4"/>
  <c r="Q780" i="4"/>
  <c r="P780" i="4"/>
  <c r="O780" i="4"/>
  <c r="Q779" i="4"/>
  <c r="P779" i="4"/>
  <c r="O779" i="4"/>
  <c r="Q778" i="4"/>
  <c r="P778" i="4"/>
  <c r="O778" i="4"/>
  <c r="Q777" i="4"/>
  <c r="P777" i="4"/>
  <c r="O777" i="4"/>
  <c r="Q776" i="4"/>
  <c r="P776" i="4"/>
  <c r="O776" i="4"/>
  <c r="Q775" i="4"/>
  <c r="P775" i="4"/>
  <c r="O775" i="4"/>
  <c r="Q774" i="4"/>
  <c r="P774" i="4"/>
  <c r="O774" i="4"/>
  <c r="Q773" i="4"/>
  <c r="P773" i="4"/>
  <c r="O773" i="4"/>
  <c r="Q772" i="4"/>
  <c r="P772" i="4"/>
  <c r="O772" i="4"/>
  <c r="Q771" i="4"/>
  <c r="P771" i="4"/>
  <c r="O771" i="4"/>
  <c r="Q770" i="4"/>
  <c r="P770" i="4"/>
  <c r="O770" i="4"/>
  <c r="Q769" i="4"/>
  <c r="P769" i="4"/>
  <c r="O769" i="4"/>
  <c r="Q768" i="4"/>
  <c r="P768" i="4"/>
  <c r="O768" i="4"/>
  <c r="Q767" i="4"/>
  <c r="P767" i="4"/>
  <c r="O767" i="4"/>
  <c r="Q766" i="4"/>
  <c r="P766" i="4"/>
  <c r="O766" i="4"/>
  <c r="Q765" i="4"/>
  <c r="P765" i="4"/>
  <c r="O765" i="4"/>
  <c r="Q764" i="4"/>
  <c r="P764" i="4"/>
  <c r="O764" i="4"/>
  <c r="Q763" i="4"/>
  <c r="P763" i="4"/>
  <c r="O763" i="4"/>
  <c r="Q762" i="4"/>
  <c r="P762" i="4"/>
  <c r="O762" i="4"/>
  <c r="Q761" i="4"/>
  <c r="P761" i="4"/>
  <c r="O761" i="4"/>
  <c r="Q760" i="4"/>
  <c r="P760" i="4"/>
  <c r="O760" i="4"/>
  <c r="Q759" i="4"/>
  <c r="P759" i="4"/>
  <c r="O759" i="4"/>
  <c r="Q758" i="4"/>
  <c r="P758" i="4"/>
  <c r="O758" i="4"/>
  <c r="Q757" i="4"/>
  <c r="P757" i="4"/>
  <c r="O757" i="4"/>
  <c r="Q756" i="4"/>
  <c r="P756" i="4"/>
  <c r="O756" i="4"/>
  <c r="Q755" i="4"/>
  <c r="P755" i="4"/>
  <c r="O755" i="4"/>
  <c r="Q754" i="4"/>
  <c r="P754" i="4"/>
  <c r="O754" i="4"/>
  <c r="Q753" i="4"/>
  <c r="P753" i="4"/>
  <c r="O753" i="4"/>
  <c r="Q752" i="4"/>
  <c r="P752" i="4"/>
  <c r="O752" i="4"/>
  <c r="Q751" i="4"/>
  <c r="P751" i="4"/>
  <c r="O751" i="4"/>
  <c r="Q750" i="4"/>
  <c r="P750" i="4"/>
  <c r="O750" i="4"/>
  <c r="Q749" i="4"/>
  <c r="P749" i="4"/>
  <c r="O749" i="4"/>
  <c r="Q748" i="4"/>
  <c r="P748" i="4"/>
  <c r="O748" i="4"/>
  <c r="Q747" i="4"/>
  <c r="P747" i="4"/>
  <c r="O747" i="4"/>
  <c r="Q746" i="4"/>
  <c r="P746" i="4"/>
  <c r="O746" i="4"/>
  <c r="Q745" i="4"/>
  <c r="P745" i="4"/>
  <c r="O745" i="4"/>
  <c r="Q744" i="4"/>
  <c r="P744" i="4"/>
  <c r="O744" i="4"/>
  <c r="Q743" i="4"/>
  <c r="P743" i="4"/>
  <c r="O743" i="4"/>
  <c r="Q742" i="4"/>
  <c r="P742" i="4"/>
  <c r="O742" i="4"/>
  <c r="Q741" i="4"/>
  <c r="P741" i="4"/>
  <c r="O741" i="4"/>
  <c r="Q740" i="4"/>
  <c r="P740" i="4"/>
  <c r="O740" i="4"/>
  <c r="Q739" i="4"/>
  <c r="P739" i="4"/>
  <c r="O739" i="4"/>
  <c r="Q738" i="4"/>
  <c r="P738" i="4"/>
  <c r="O738" i="4"/>
  <c r="Q737" i="4"/>
  <c r="P737" i="4"/>
  <c r="O737" i="4"/>
  <c r="Q736" i="4"/>
  <c r="P736" i="4"/>
  <c r="O736" i="4"/>
  <c r="Q735" i="4"/>
  <c r="P735" i="4"/>
  <c r="O735" i="4"/>
  <c r="Q734" i="4"/>
  <c r="P734" i="4"/>
  <c r="O734" i="4"/>
  <c r="Q733" i="4"/>
  <c r="P733" i="4"/>
  <c r="O733" i="4"/>
  <c r="Q732" i="4"/>
  <c r="P732" i="4"/>
  <c r="O732" i="4"/>
  <c r="Q731" i="4"/>
  <c r="P731" i="4"/>
  <c r="O731" i="4"/>
  <c r="Q730" i="4"/>
  <c r="P730" i="4"/>
  <c r="O730" i="4"/>
  <c r="Q729" i="4"/>
  <c r="P729" i="4"/>
  <c r="O729" i="4"/>
  <c r="Q728" i="4"/>
  <c r="P728" i="4"/>
  <c r="O728" i="4"/>
  <c r="Q727" i="4"/>
  <c r="P727" i="4"/>
  <c r="O727" i="4"/>
  <c r="Q726" i="4"/>
  <c r="P726" i="4"/>
  <c r="O726" i="4"/>
  <c r="Q725" i="4"/>
  <c r="P725" i="4"/>
  <c r="O725" i="4"/>
  <c r="Q724" i="4"/>
  <c r="P724" i="4"/>
  <c r="O724" i="4"/>
  <c r="Q723" i="4"/>
  <c r="P723" i="4"/>
  <c r="O723" i="4"/>
  <c r="Q722" i="4"/>
  <c r="P722" i="4"/>
  <c r="O722" i="4"/>
  <c r="Q721" i="4"/>
  <c r="P721" i="4"/>
  <c r="O721" i="4"/>
  <c r="Q720" i="4"/>
  <c r="P720" i="4"/>
  <c r="O720" i="4"/>
  <c r="Q719" i="4"/>
  <c r="P719" i="4"/>
  <c r="O719" i="4"/>
  <c r="Q718" i="4"/>
  <c r="P718" i="4"/>
  <c r="O718" i="4"/>
  <c r="Q717" i="4"/>
  <c r="P717" i="4"/>
  <c r="O717" i="4"/>
  <c r="Q716" i="4"/>
  <c r="P716" i="4"/>
  <c r="O716" i="4"/>
  <c r="Q715" i="4"/>
  <c r="P715" i="4"/>
  <c r="O715" i="4"/>
  <c r="Q714" i="4"/>
  <c r="P714" i="4"/>
  <c r="O714" i="4"/>
  <c r="Q713" i="4"/>
  <c r="P713" i="4"/>
  <c r="O713" i="4"/>
  <c r="Q712" i="4"/>
  <c r="P712" i="4"/>
  <c r="O712" i="4"/>
  <c r="Q711" i="4"/>
  <c r="P711" i="4"/>
  <c r="O711" i="4"/>
  <c r="Q710" i="4"/>
  <c r="P710" i="4"/>
  <c r="O710" i="4"/>
  <c r="Q709" i="4"/>
  <c r="P709" i="4"/>
  <c r="O709" i="4"/>
  <c r="Q708" i="4"/>
  <c r="P708" i="4"/>
  <c r="O708" i="4"/>
  <c r="Q707" i="4"/>
  <c r="P707" i="4"/>
  <c r="O707" i="4"/>
  <c r="Q706" i="4"/>
  <c r="P706" i="4"/>
  <c r="O706" i="4"/>
  <c r="Q705" i="4"/>
  <c r="P705" i="4"/>
  <c r="O705" i="4"/>
  <c r="Q704" i="4"/>
  <c r="P704" i="4"/>
  <c r="O704" i="4"/>
  <c r="Q703" i="4"/>
  <c r="P703" i="4"/>
  <c r="O703" i="4"/>
  <c r="Q702" i="4"/>
  <c r="P702" i="4"/>
  <c r="O702" i="4"/>
  <c r="Q701" i="4"/>
  <c r="P701" i="4"/>
  <c r="O701" i="4"/>
  <c r="Q700" i="4"/>
  <c r="P700" i="4"/>
  <c r="O700" i="4"/>
  <c r="Q699" i="4"/>
  <c r="P699" i="4"/>
  <c r="O699" i="4"/>
  <c r="Q698" i="4"/>
  <c r="P698" i="4"/>
  <c r="O698" i="4"/>
  <c r="Q697" i="4"/>
  <c r="P697" i="4"/>
  <c r="O697" i="4"/>
  <c r="Q696" i="4"/>
  <c r="P696" i="4"/>
  <c r="O696" i="4"/>
  <c r="Q695" i="4"/>
  <c r="P695" i="4"/>
  <c r="O695" i="4"/>
  <c r="Q694" i="4"/>
  <c r="P694" i="4"/>
  <c r="O694" i="4"/>
  <c r="Q693" i="4"/>
  <c r="P693" i="4"/>
  <c r="O693" i="4"/>
  <c r="Q692" i="4"/>
  <c r="P692" i="4"/>
  <c r="O692" i="4"/>
  <c r="Q691" i="4"/>
  <c r="P691" i="4"/>
  <c r="O691" i="4"/>
  <c r="Q690" i="4"/>
  <c r="P690" i="4"/>
  <c r="O690" i="4"/>
  <c r="Q689" i="4"/>
  <c r="P689" i="4"/>
  <c r="O689" i="4"/>
  <c r="Q688" i="4"/>
  <c r="P688" i="4"/>
  <c r="O688" i="4"/>
  <c r="Q687" i="4"/>
  <c r="P687" i="4"/>
  <c r="O687" i="4"/>
  <c r="Q686" i="4"/>
  <c r="P686" i="4"/>
  <c r="O686" i="4"/>
  <c r="Q685" i="4"/>
  <c r="P685" i="4"/>
  <c r="O685" i="4"/>
  <c r="Q684" i="4"/>
  <c r="P684" i="4"/>
  <c r="O684" i="4"/>
  <c r="Q683" i="4"/>
  <c r="P683" i="4"/>
  <c r="O683" i="4"/>
  <c r="Q682" i="4"/>
  <c r="P682" i="4"/>
  <c r="O682" i="4"/>
  <c r="Q681" i="4"/>
  <c r="P681" i="4"/>
  <c r="O681" i="4"/>
  <c r="Q680" i="4"/>
  <c r="P680" i="4"/>
  <c r="O680" i="4"/>
  <c r="Q679" i="4"/>
  <c r="P679" i="4"/>
  <c r="O679" i="4"/>
  <c r="Q678" i="4"/>
  <c r="P678" i="4"/>
  <c r="O678" i="4"/>
  <c r="Q677" i="4"/>
  <c r="P677" i="4"/>
  <c r="O677" i="4"/>
  <c r="Q676" i="4"/>
  <c r="P676" i="4"/>
  <c r="O676" i="4"/>
  <c r="Q675" i="4"/>
  <c r="P675" i="4"/>
  <c r="O675" i="4"/>
  <c r="Q674" i="4"/>
  <c r="P674" i="4"/>
  <c r="O674" i="4"/>
  <c r="Q673" i="4"/>
  <c r="P673" i="4"/>
  <c r="O673" i="4"/>
  <c r="Q672" i="4"/>
  <c r="P672" i="4"/>
  <c r="O672" i="4"/>
  <c r="Q671" i="4"/>
  <c r="P671" i="4"/>
  <c r="O671" i="4"/>
  <c r="Q670" i="4"/>
  <c r="P670" i="4"/>
  <c r="O670" i="4"/>
  <c r="Q669" i="4"/>
  <c r="P669" i="4"/>
  <c r="O669" i="4"/>
  <c r="Q668" i="4"/>
  <c r="P668" i="4"/>
  <c r="O668" i="4"/>
  <c r="Q667" i="4"/>
  <c r="P667" i="4"/>
  <c r="O667" i="4"/>
  <c r="Q666" i="4"/>
  <c r="P666" i="4"/>
  <c r="O666" i="4"/>
  <c r="Q665" i="4"/>
  <c r="P665" i="4"/>
  <c r="O665" i="4"/>
  <c r="Q664" i="4"/>
  <c r="P664" i="4"/>
  <c r="O664" i="4"/>
  <c r="Q663" i="4"/>
  <c r="P663" i="4"/>
  <c r="O663" i="4"/>
  <c r="Q662" i="4"/>
  <c r="P662" i="4"/>
  <c r="Q661" i="4"/>
  <c r="P661" i="4"/>
  <c r="Q660" i="4"/>
  <c r="P660" i="4"/>
  <c r="O660" i="4"/>
  <c r="Q659" i="4"/>
  <c r="P659" i="4"/>
  <c r="O659" i="4"/>
  <c r="Q658" i="4"/>
  <c r="P658" i="4"/>
  <c r="Q657" i="4"/>
  <c r="P657" i="4"/>
  <c r="O657" i="4"/>
  <c r="Q656" i="4"/>
  <c r="P656" i="4"/>
  <c r="O656" i="4"/>
  <c r="Q655" i="4"/>
  <c r="P655" i="4"/>
  <c r="O655" i="4"/>
  <c r="Q654" i="4"/>
  <c r="P654" i="4"/>
  <c r="O654" i="4"/>
  <c r="Q653" i="4"/>
  <c r="P653" i="4"/>
  <c r="O653" i="4"/>
  <c r="Q652" i="4"/>
  <c r="P652" i="4"/>
  <c r="O652" i="4"/>
  <c r="Q651" i="4"/>
  <c r="P651" i="4"/>
  <c r="O651" i="4"/>
  <c r="Q650" i="4"/>
  <c r="P650" i="4"/>
  <c r="O650" i="4"/>
  <c r="Q649" i="4"/>
  <c r="P649" i="4"/>
  <c r="O649" i="4"/>
  <c r="Q648" i="4"/>
  <c r="P648" i="4"/>
  <c r="O648" i="4"/>
  <c r="Q647" i="4"/>
  <c r="P647" i="4"/>
  <c r="O647" i="4"/>
  <c r="Q646" i="4"/>
  <c r="P646" i="4"/>
  <c r="O646" i="4"/>
  <c r="Q645" i="4"/>
  <c r="P645" i="4"/>
  <c r="O645" i="4"/>
  <c r="Q644" i="4"/>
  <c r="P644" i="4"/>
  <c r="O644" i="4"/>
  <c r="Q643" i="4"/>
  <c r="P643" i="4"/>
  <c r="O643" i="4"/>
  <c r="Q642" i="4"/>
  <c r="P642" i="4"/>
  <c r="O642" i="4"/>
  <c r="Q641" i="4"/>
  <c r="P641" i="4"/>
  <c r="O641" i="4"/>
  <c r="Q640" i="4"/>
  <c r="P640" i="4"/>
  <c r="O640" i="4"/>
  <c r="Q639" i="4"/>
  <c r="P639" i="4"/>
  <c r="O639" i="4"/>
  <c r="Q638" i="4"/>
  <c r="P638" i="4"/>
  <c r="O638" i="4"/>
  <c r="Q637" i="4"/>
  <c r="P637" i="4"/>
  <c r="O637" i="4"/>
  <c r="Q636" i="4"/>
  <c r="P636" i="4"/>
  <c r="O636" i="4"/>
  <c r="Q635" i="4"/>
  <c r="P635" i="4"/>
  <c r="O635" i="4"/>
  <c r="Q634" i="4"/>
  <c r="P634" i="4"/>
  <c r="O634" i="4"/>
  <c r="Q633" i="4"/>
  <c r="P633" i="4"/>
  <c r="O633" i="4"/>
  <c r="Q632" i="4"/>
  <c r="P632" i="4"/>
  <c r="O632" i="4"/>
  <c r="Q631" i="4"/>
  <c r="P631" i="4"/>
  <c r="O631" i="4"/>
  <c r="Q630" i="4"/>
  <c r="P630" i="4"/>
  <c r="O630" i="4"/>
  <c r="Q629" i="4"/>
  <c r="P629" i="4"/>
  <c r="O629" i="4"/>
  <c r="Q628" i="4"/>
  <c r="P628" i="4"/>
  <c r="O628" i="4"/>
  <c r="Q627" i="4"/>
  <c r="P627" i="4"/>
  <c r="O627" i="4"/>
  <c r="Q626" i="4"/>
  <c r="P626" i="4"/>
  <c r="Q625" i="4"/>
  <c r="P625" i="4"/>
  <c r="O625" i="4"/>
  <c r="Q624" i="4"/>
  <c r="P624" i="4"/>
  <c r="O624" i="4"/>
  <c r="Q623" i="4"/>
  <c r="P623" i="4"/>
  <c r="O623" i="4"/>
  <c r="Q622" i="4"/>
  <c r="P622" i="4"/>
  <c r="O622" i="4"/>
  <c r="Q621" i="4"/>
  <c r="P621" i="4"/>
  <c r="O621" i="4"/>
  <c r="Q620" i="4"/>
  <c r="P620" i="4"/>
  <c r="O620" i="4"/>
  <c r="Q619" i="4"/>
  <c r="P619" i="4"/>
  <c r="O619" i="4"/>
  <c r="Q618" i="4"/>
  <c r="P618" i="4"/>
  <c r="O618" i="4"/>
  <c r="Q617" i="4"/>
  <c r="P617" i="4"/>
  <c r="O617" i="4"/>
  <c r="Q616" i="4"/>
  <c r="P616" i="4"/>
  <c r="O616" i="4"/>
  <c r="Q615" i="4"/>
  <c r="P615" i="4"/>
  <c r="O615" i="4"/>
  <c r="Q614" i="4"/>
  <c r="P614" i="4"/>
  <c r="O614" i="4"/>
  <c r="Q613" i="4"/>
  <c r="P613" i="4"/>
  <c r="O613" i="4"/>
  <c r="Q612" i="4"/>
  <c r="P612" i="4"/>
  <c r="O612" i="4"/>
  <c r="Q611" i="4"/>
  <c r="P611" i="4"/>
  <c r="O611" i="4"/>
  <c r="Q610" i="4"/>
  <c r="P610" i="4"/>
  <c r="O610" i="4"/>
  <c r="Q609" i="4"/>
  <c r="P609" i="4"/>
  <c r="O609" i="4"/>
  <c r="Q608" i="4"/>
  <c r="P608" i="4"/>
  <c r="O608" i="4"/>
  <c r="Q607" i="4"/>
  <c r="P607" i="4"/>
  <c r="O607" i="4"/>
  <c r="Q606" i="4"/>
  <c r="P606" i="4"/>
  <c r="O606" i="4"/>
  <c r="Q605" i="4"/>
  <c r="P605" i="4"/>
  <c r="O605" i="4"/>
  <c r="Q604" i="4"/>
  <c r="P604" i="4"/>
  <c r="O604" i="4"/>
  <c r="Q603" i="4"/>
  <c r="P603" i="4"/>
  <c r="O603" i="4"/>
  <c r="Q602" i="4"/>
  <c r="P602" i="4"/>
  <c r="O602" i="4"/>
  <c r="Q601" i="4"/>
  <c r="P601" i="4"/>
  <c r="O601" i="4"/>
  <c r="Q600" i="4"/>
  <c r="P600" i="4"/>
  <c r="O600" i="4"/>
  <c r="Q599" i="4"/>
  <c r="P599" i="4"/>
  <c r="O599" i="4"/>
  <c r="Q598" i="4"/>
  <c r="P598" i="4"/>
  <c r="O598" i="4"/>
  <c r="Q597" i="4"/>
  <c r="P597" i="4"/>
  <c r="O597" i="4"/>
  <c r="Q596" i="4"/>
  <c r="P596" i="4"/>
  <c r="O596" i="4"/>
  <c r="Q595" i="4"/>
  <c r="P595" i="4"/>
  <c r="O595" i="4"/>
  <c r="Q594" i="4"/>
  <c r="P594" i="4"/>
  <c r="O594" i="4"/>
  <c r="Q593" i="4"/>
  <c r="P593" i="4"/>
  <c r="O593" i="4"/>
  <c r="Q592" i="4"/>
  <c r="P592" i="4"/>
  <c r="O592" i="4"/>
  <c r="Q591" i="4"/>
  <c r="P591" i="4"/>
  <c r="O591" i="4"/>
  <c r="Q590" i="4"/>
  <c r="P590" i="4"/>
  <c r="O590" i="4"/>
  <c r="Q589" i="4"/>
  <c r="P589" i="4"/>
  <c r="O589" i="4"/>
  <c r="Q588" i="4"/>
  <c r="P588" i="4"/>
  <c r="O588" i="4"/>
  <c r="Q587" i="4"/>
  <c r="P587" i="4"/>
  <c r="O587" i="4"/>
  <c r="Q586" i="4"/>
  <c r="P586" i="4"/>
  <c r="O586" i="4"/>
  <c r="Q585" i="4"/>
  <c r="P585" i="4"/>
  <c r="O585" i="4"/>
  <c r="Q584" i="4"/>
  <c r="P584" i="4"/>
  <c r="O584" i="4"/>
  <c r="Q583" i="4"/>
  <c r="P583" i="4"/>
  <c r="O583" i="4"/>
  <c r="Q582" i="4"/>
  <c r="P582" i="4"/>
  <c r="O582" i="4"/>
  <c r="Q581" i="4"/>
  <c r="P581" i="4"/>
  <c r="O581" i="4"/>
  <c r="Q580" i="4"/>
  <c r="P580" i="4"/>
  <c r="O580" i="4"/>
  <c r="Q579" i="4"/>
  <c r="P579" i="4"/>
  <c r="O579" i="4"/>
  <c r="Q578" i="4"/>
  <c r="P578" i="4"/>
  <c r="O578" i="4"/>
  <c r="Q577" i="4"/>
  <c r="P577" i="4"/>
  <c r="O577" i="4"/>
  <c r="Q576" i="4"/>
  <c r="P576" i="4"/>
  <c r="O576" i="4"/>
  <c r="Q575" i="4"/>
  <c r="P575" i="4"/>
  <c r="O575" i="4"/>
  <c r="Q574" i="4"/>
  <c r="P574" i="4"/>
  <c r="O574" i="4"/>
  <c r="Q573" i="4"/>
  <c r="P573" i="4"/>
  <c r="O573" i="4"/>
  <c r="Q572" i="4"/>
  <c r="P572" i="4"/>
  <c r="O572" i="4"/>
  <c r="Q571" i="4"/>
  <c r="P571" i="4"/>
  <c r="O571" i="4"/>
  <c r="Q570" i="4"/>
  <c r="P570" i="4"/>
  <c r="O570" i="4"/>
  <c r="Q569" i="4"/>
  <c r="P569" i="4"/>
  <c r="O569" i="4"/>
  <c r="Q568" i="4"/>
  <c r="P568" i="4"/>
  <c r="O568" i="4"/>
  <c r="Q567" i="4"/>
  <c r="P567" i="4"/>
  <c r="O567" i="4"/>
  <c r="Q566" i="4"/>
  <c r="P566" i="4"/>
  <c r="O566" i="4"/>
  <c r="Q565" i="4"/>
  <c r="P565" i="4"/>
  <c r="O565" i="4"/>
  <c r="Q564" i="4"/>
  <c r="P564" i="4"/>
  <c r="O564" i="4"/>
  <c r="Q563" i="4"/>
  <c r="P563" i="4"/>
  <c r="O563" i="4"/>
  <c r="Q562" i="4"/>
  <c r="P562" i="4"/>
  <c r="O562" i="4"/>
  <c r="Q561" i="4"/>
  <c r="P561" i="4"/>
  <c r="O561" i="4"/>
  <c r="Q560" i="4"/>
  <c r="P560" i="4"/>
  <c r="O560" i="4"/>
  <c r="Q559" i="4"/>
  <c r="P559" i="4"/>
  <c r="O559" i="4"/>
  <c r="Q558" i="4"/>
  <c r="P558" i="4"/>
  <c r="O558" i="4"/>
  <c r="Q557" i="4"/>
  <c r="P557" i="4"/>
  <c r="O557" i="4"/>
  <c r="Q556" i="4"/>
  <c r="P556" i="4"/>
  <c r="O556" i="4"/>
  <c r="Q555" i="4"/>
  <c r="P555" i="4"/>
  <c r="O555" i="4"/>
  <c r="Q554" i="4"/>
  <c r="P554" i="4"/>
  <c r="O554" i="4"/>
  <c r="Q553" i="4"/>
  <c r="P553" i="4"/>
  <c r="O553" i="4"/>
  <c r="Q552" i="4"/>
  <c r="P552" i="4"/>
  <c r="O552" i="4"/>
  <c r="Q551" i="4"/>
  <c r="P551" i="4"/>
  <c r="O551" i="4"/>
  <c r="Q550" i="4"/>
  <c r="P550" i="4"/>
  <c r="O550" i="4"/>
  <c r="Q549" i="4"/>
  <c r="P549" i="4"/>
  <c r="O549" i="4"/>
  <c r="Q548" i="4"/>
  <c r="P548" i="4"/>
  <c r="O548" i="4"/>
  <c r="Q547" i="4"/>
  <c r="P547" i="4"/>
  <c r="O547" i="4"/>
  <c r="Q546" i="4"/>
  <c r="P546" i="4"/>
  <c r="O546" i="4"/>
  <c r="Q545" i="4"/>
  <c r="P545" i="4"/>
  <c r="O545" i="4"/>
  <c r="Q544" i="4"/>
  <c r="P544" i="4"/>
  <c r="O544" i="4"/>
  <c r="Q543" i="4"/>
  <c r="P543" i="4"/>
  <c r="O543" i="4"/>
  <c r="Q542" i="4"/>
  <c r="P542" i="4"/>
  <c r="O542" i="4"/>
  <c r="Q541" i="4"/>
  <c r="P541" i="4"/>
  <c r="O541" i="4"/>
  <c r="Q540" i="4"/>
  <c r="P540" i="4"/>
  <c r="O540" i="4"/>
  <c r="Q539" i="4"/>
  <c r="P539" i="4"/>
  <c r="O539" i="4"/>
  <c r="Q538" i="4"/>
  <c r="P538" i="4"/>
  <c r="O538" i="4"/>
  <c r="Q537" i="4"/>
  <c r="P537" i="4"/>
  <c r="O537" i="4"/>
  <c r="Q536" i="4"/>
  <c r="P536" i="4"/>
  <c r="O536" i="4"/>
  <c r="Q535" i="4"/>
  <c r="P535" i="4"/>
  <c r="O535" i="4"/>
  <c r="Q534" i="4"/>
  <c r="P534" i="4"/>
  <c r="O534" i="4"/>
  <c r="Q533" i="4"/>
  <c r="P533" i="4"/>
  <c r="O533" i="4"/>
  <c r="Q532" i="4"/>
  <c r="P532" i="4"/>
  <c r="O532" i="4"/>
  <c r="Q531" i="4"/>
  <c r="P531" i="4"/>
  <c r="O531" i="4"/>
  <c r="Q530" i="4"/>
  <c r="P530" i="4"/>
  <c r="O530" i="4"/>
  <c r="Q529" i="4"/>
  <c r="P529" i="4"/>
  <c r="O529" i="4"/>
  <c r="Q528" i="4"/>
  <c r="P528" i="4"/>
  <c r="O528" i="4"/>
  <c r="Q527" i="4"/>
  <c r="P527" i="4"/>
  <c r="O527" i="4"/>
  <c r="Q526" i="4"/>
  <c r="P526" i="4"/>
  <c r="O526" i="4"/>
  <c r="Q525" i="4"/>
  <c r="P525" i="4"/>
  <c r="O525" i="4"/>
  <c r="Q524" i="4"/>
  <c r="P524" i="4"/>
  <c r="O524" i="4"/>
  <c r="Q523" i="4"/>
  <c r="P523" i="4"/>
  <c r="O523" i="4"/>
  <c r="Q522" i="4"/>
  <c r="P522" i="4"/>
  <c r="O522" i="4"/>
  <c r="Q521" i="4"/>
  <c r="P521" i="4"/>
  <c r="O521" i="4"/>
  <c r="Q520" i="4"/>
  <c r="P520" i="4"/>
  <c r="O520" i="4"/>
  <c r="Q519" i="4"/>
  <c r="P519" i="4"/>
  <c r="O519" i="4"/>
  <c r="Q518" i="4"/>
  <c r="P518" i="4"/>
  <c r="O518" i="4"/>
  <c r="Q517" i="4"/>
  <c r="P517" i="4"/>
  <c r="O517" i="4"/>
  <c r="Q516" i="4"/>
  <c r="P516" i="4"/>
  <c r="O516" i="4"/>
  <c r="Q515" i="4"/>
  <c r="P515" i="4"/>
  <c r="O515" i="4"/>
  <c r="Q514" i="4"/>
  <c r="P514" i="4"/>
  <c r="O514" i="4"/>
  <c r="Q513" i="4"/>
  <c r="P513" i="4"/>
  <c r="O513" i="4"/>
  <c r="Q512" i="4"/>
  <c r="P512" i="4"/>
  <c r="O512" i="4"/>
  <c r="Q511" i="4"/>
  <c r="P511" i="4"/>
  <c r="O511" i="4"/>
  <c r="Q510" i="4"/>
  <c r="P510" i="4"/>
  <c r="O510" i="4"/>
  <c r="Q509" i="4"/>
  <c r="P509" i="4"/>
  <c r="O509" i="4"/>
  <c r="Q508" i="4"/>
  <c r="P508" i="4"/>
  <c r="O508" i="4"/>
  <c r="Q507" i="4"/>
  <c r="P507" i="4"/>
  <c r="O507" i="4"/>
  <c r="Q506" i="4"/>
  <c r="P506" i="4"/>
  <c r="O506" i="4"/>
  <c r="Q505" i="4"/>
  <c r="P505" i="4"/>
  <c r="O505" i="4"/>
  <c r="Q504" i="4"/>
  <c r="P504" i="4"/>
  <c r="O504" i="4"/>
  <c r="Q503" i="4"/>
  <c r="P503" i="4"/>
  <c r="O503" i="4"/>
  <c r="Q502" i="4"/>
  <c r="P502" i="4"/>
  <c r="O502" i="4"/>
  <c r="Q501" i="4"/>
  <c r="P501" i="4"/>
  <c r="O501" i="4"/>
  <c r="Q500" i="4"/>
  <c r="P500" i="4"/>
  <c r="O500" i="4"/>
  <c r="Q499" i="4"/>
  <c r="P499" i="4"/>
  <c r="O499" i="4"/>
  <c r="Q498" i="4"/>
  <c r="P498" i="4"/>
  <c r="O498" i="4"/>
  <c r="Q497" i="4"/>
  <c r="P497" i="4"/>
  <c r="O497" i="4"/>
  <c r="Q496" i="4"/>
  <c r="P496" i="4"/>
  <c r="O496" i="4"/>
  <c r="Q495" i="4"/>
  <c r="P495" i="4"/>
  <c r="O495" i="4"/>
  <c r="Q494" i="4"/>
  <c r="P494" i="4"/>
  <c r="O494" i="4"/>
  <c r="Q493" i="4"/>
  <c r="P493" i="4"/>
  <c r="O493" i="4"/>
  <c r="Q492" i="4"/>
  <c r="P492" i="4"/>
  <c r="O492" i="4"/>
  <c r="Q491" i="4"/>
  <c r="P491" i="4"/>
  <c r="O491" i="4"/>
  <c r="Q490" i="4"/>
  <c r="P490" i="4"/>
  <c r="O490" i="4"/>
  <c r="Q489" i="4"/>
  <c r="P489" i="4"/>
  <c r="O489" i="4"/>
  <c r="Q488" i="4"/>
  <c r="P488" i="4"/>
  <c r="O488" i="4"/>
  <c r="Q487" i="4"/>
  <c r="P487" i="4"/>
  <c r="O487" i="4"/>
  <c r="Q486" i="4"/>
  <c r="P486" i="4"/>
  <c r="O486" i="4"/>
  <c r="Q485" i="4"/>
  <c r="P485" i="4"/>
  <c r="O485" i="4"/>
  <c r="Q484" i="4"/>
  <c r="P484" i="4"/>
  <c r="O484" i="4"/>
  <c r="Q483" i="4"/>
  <c r="P483" i="4"/>
  <c r="O483" i="4"/>
  <c r="Q482" i="4"/>
  <c r="P482" i="4"/>
  <c r="O482" i="4"/>
  <c r="Q481" i="4"/>
  <c r="P481" i="4"/>
  <c r="O481" i="4"/>
  <c r="Q480" i="4"/>
  <c r="P480" i="4"/>
  <c r="O480" i="4"/>
  <c r="Q479" i="4"/>
  <c r="P479" i="4"/>
  <c r="O479" i="4"/>
  <c r="Q478" i="4"/>
  <c r="P478" i="4"/>
  <c r="O478" i="4"/>
  <c r="Q477" i="4"/>
  <c r="P477" i="4"/>
  <c r="O477" i="4"/>
  <c r="Q476" i="4"/>
  <c r="P476" i="4"/>
  <c r="O476" i="4"/>
  <c r="Q475" i="4"/>
  <c r="P475" i="4"/>
  <c r="O475" i="4"/>
  <c r="Q474" i="4"/>
  <c r="P474" i="4"/>
  <c r="O474" i="4"/>
  <c r="Q473" i="4"/>
  <c r="P473" i="4"/>
  <c r="O473" i="4"/>
  <c r="Q472" i="4"/>
  <c r="P472" i="4"/>
  <c r="O472" i="4"/>
  <c r="Q471" i="4"/>
  <c r="P471" i="4"/>
  <c r="O471" i="4"/>
  <c r="Q470" i="4"/>
  <c r="P470" i="4"/>
  <c r="O470" i="4"/>
  <c r="Q469" i="4"/>
  <c r="P469" i="4"/>
  <c r="O469" i="4"/>
  <c r="Q468" i="4"/>
  <c r="P468" i="4"/>
  <c r="O468" i="4"/>
  <c r="Q467" i="4"/>
  <c r="P467" i="4"/>
  <c r="O467" i="4"/>
  <c r="Q466" i="4"/>
  <c r="P466" i="4"/>
  <c r="O466" i="4"/>
  <c r="Q465" i="4"/>
  <c r="P465" i="4"/>
  <c r="O465" i="4"/>
  <c r="Q464" i="4"/>
  <c r="P464" i="4"/>
  <c r="O464" i="4"/>
  <c r="Q463" i="4"/>
  <c r="P463" i="4"/>
  <c r="O463" i="4"/>
  <c r="Q462" i="4"/>
  <c r="P462" i="4"/>
  <c r="O462" i="4"/>
  <c r="Q461" i="4"/>
  <c r="P461" i="4"/>
  <c r="O461" i="4"/>
  <c r="Q460" i="4"/>
  <c r="P460" i="4"/>
  <c r="O460" i="4"/>
  <c r="Q459" i="4"/>
  <c r="P459" i="4"/>
  <c r="O459" i="4"/>
  <c r="Q458" i="4"/>
  <c r="P458" i="4"/>
  <c r="O458" i="4"/>
  <c r="Q457" i="4"/>
  <c r="P457" i="4"/>
  <c r="O457" i="4"/>
  <c r="Q456" i="4"/>
  <c r="P456" i="4"/>
  <c r="O456" i="4"/>
  <c r="Q455" i="4"/>
  <c r="P455" i="4"/>
  <c r="O455" i="4"/>
  <c r="Q454" i="4"/>
  <c r="P454" i="4"/>
  <c r="O454" i="4"/>
  <c r="Q453" i="4"/>
  <c r="P453" i="4"/>
  <c r="O453" i="4"/>
  <c r="Q452" i="4"/>
  <c r="P452" i="4"/>
  <c r="O452" i="4"/>
  <c r="Q451" i="4"/>
  <c r="P451" i="4"/>
  <c r="O451" i="4"/>
  <c r="Q450" i="4"/>
  <c r="P450" i="4"/>
  <c r="O450" i="4"/>
  <c r="Q449" i="4"/>
  <c r="P449" i="4"/>
  <c r="O449" i="4"/>
  <c r="Q448" i="4"/>
  <c r="P448" i="4"/>
  <c r="O448" i="4"/>
  <c r="Q447" i="4"/>
  <c r="P447" i="4"/>
  <c r="O447" i="4"/>
  <c r="Q446" i="4"/>
  <c r="P446" i="4"/>
  <c r="O446" i="4"/>
  <c r="Q445" i="4"/>
  <c r="P445" i="4"/>
  <c r="O445" i="4"/>
  <c r="Q444" i="4"/>
  <c r="P444" i="4"/>
  <c r="O444" i="4"/>
  <c r="Q443" i="4"/>
  <c r="P443" i="4"/>
  <c r="O443" i="4"/>
  <c r="Q442" i="4"/>
  <c r="P442" i="4"/>
  <c r="O442" i="4"/>
  <c r="Q441" i="4"/>
  <c r="P441" i="4"/>
  <c r="O441" i="4"/>
  <c r="Q440" i="4"/>
  <c r="P440" i="4"/>
  <c r="O440" i="4"/>
  <c r="Q439" i="4"/>
  <c r="P439" i="4"/>
  <c r="O439" i="4"/>
  <c r="Q438" i="4"/>
  <c r="P438" i="4"/>
  <c r="O438" i="4"/>
  <c r="Q437" i="4"/>
  <c r="P437" i="4"/>
  <c r="O437" i="4"/>
  <c r="Q436" i="4"/>
  <c r="P436" i="4"/>
  <c r="O436" i="4"/>
  <c r="Q435" i="4"/>
  <c r="P435" i="4"/>
  <c r="O435" i="4"/>
  <c r="Q434" i="4"/>
  <c r="P434" i="4"/>
  <c r="O434" i="4"/>
  <c r="Q433" i="4"/>
  <c r="P433" i="4"/>
  <c r="O433" i="4"/>
  <c r="Q432" i="4"/>
  <c r="P432" i="4"/>
  <c r="O432" i="4"/>
  <c r="Q431" i="4"/>
  <c r="P431" i="4"/>
  <c r="O431" i="4"/>
  <c r="Q430" i="4"/>
  <c r="P430" i="4"/>
  <c r="O430" i="4"/>
  <c r="Q429" i="4"/>
  <c r="P429" i="4"/>
  <c r="O429" i="4"/>
  <c r="Q428" i="4"/>
  <c r="P428" i="4"/>
  <c r="O428" i="4"/>
  <c r="Q427" i="4"/>
  <c r="P427" i="4"/>
  <c r="O427" i="4"/>
  <c r="Q426" i="4"/>
  <c r="P426" i="4"/>
  <c r="O426" i="4"/>
  <c r="Q425" i="4"/>
  <c r="P425" i="4"/>
  <c r="O425" i="4"/>
  <c r="Q424" i="4"/>
  <c r="P424" i="4"/>
  <c r="O424" i="4"/>
  <c r="Q423" i="4"/>
  <c r="P423" i="4"/>
  <c r="O423" i="4"/>
  <c r="Q422" i="4"/>
  <c r="P422" i="4"/>
  <c r="O422" i="4"/>
  <c r="Q421" i="4"/>
  <c r="P421" i="4"/>
  <c r="O421" i="4"/>
  <c r="Q420" i="4"/>
  <c r="P420" i="4"/>
  <c r="O420" i="4"/>
  <c r="Q419" i="4"/>
  <c r="P419" i="4"/>
  <c r="O419" i="4"/>
  <c r="Q418" i="4"/>
  <c r="P418" i="4"/>
  <c r="O418" i="4"/>
  <c r="Q417" i="4"/>
  <c r="P417" i="4"/>
  <c r="O417" i="4"/>
  <c r="Q416" i="4"/>
  <c r="P416" i="4"/>
  <c r="O416" i="4"/>
  <c r="Q415" i="4"/>
  <c r="P415" i="4"/>
  <c r="O415" i="4"/>
  <c r="Q414" i="4"/>
  <c r="P414" i="4"/>
  <c r="O414" i="4"/>
  <c r="Q413" i="4"/>
  <c r="P413" i="4"/>
  <c r="O413" i="4"/>
  <c r="Q412" i="4"/>
  <c r="P412" i="4"/>
  <c r="O412" i="4"/>
  <c r="Q411" i="4"/>
  <c r="P411" i="4"/>
  <c r="O411" i="4"/>
  <c r="Q410" i="4"/>
  <c r="P410" i="4"/>
  <c r="O410" i="4"/>
  <c r="Q409" i="4"/>
  <c r="P409" i="4"/>
  <c r="O409" i="4"/>
  <c r="Q408" i="4"/>
  <c r="P408" i="4"/>
  <c r="O408" i="4"/>
  <c r="Q407" i="4"/>
  <c r="P407" i="4"/>
  <c r="O407" i="4"/>
  <c r="Q406" i="4"/>
  <c r="P406" i="4"/>
  <c r="O406" i="4"/>
  <c r="Q405" i="4"/>
  <c r="P405" i="4"/>
  <c r="O405" i="4"/>
  <c r="Q404" i="4"/>
  <c r="P404" i="4"/>
  <c r="O404" i="4"/>
  <c r="Q403" i="4"/>
  <c r="P403" i="4"/>
  <c r="O403" i="4"/>
  <c r="Q402" i="4"/>
  <c r="P402" i="4"/>
  <c r="O402" i="4"/>
  <c r="Q401" i="4"/>
  <c r="P401" i="4"/>
  <c r="O401" i="4"/>
  <c r="Q400" i="4"/>
  <c r="P400" i="4"/>
  <c r="O400" i="4"/>
  <c r="Q399" i="4"/>
  <c r="P399" i="4"/>
  <c r="O399" i="4"/>
  <c r="Q398" i="4"/>
  <c r="P398" i="4"/>
  <c r="O398" i="4"/>
  <c r="Q397" i="4"/>
  <c r="P397" i="4"/>
  <c r="O397" i="4"/>
  <c r="Q396" i="4"/>
  <c r="P396" i="4"/>
  <c r="O396" i="4"/>
  <c r="Q395" i="4"/>
  <c r="P395" i="4"/>
  <c r="O395" i="4"/>
  <c r="Q394" i="4"/>
  <c r="P394" i="4"/>
  <c r="O394" i="4"/>
  <c r="Q393" i="4"/>
  <c r="P393" i="4"/>
  <c r="O393" i="4"/>
  <c r="Q392" i="4"/>
  <c r="P392" i="4"/>
  <c r="O392" i="4"/>
  <c r="Q391" i="4"/>
  <c r="P391" i="4"/>
  <c r="O391" i="4"/>
  <c r="Q390" i="4"/>
  <c r="P390" i="4"/>
  <c r="O390" i="4"/>
  <c r="Q389" i="4"/>
  <c r="P389" i="4"/>
  <c r="O389" i="4"/>
  <c r="Q388" i="4"/>
  <c r="P388" i="4"/>
  <c r="O388" i="4"/>
  <c r="Q387" i="4"/>
  <c r="P387" i="4"/>
  <c r="O387" i="4"/>
  <c r="Q386" i="4"/>
  <c r="P386" i="4"/>
  <c r="O386" i="4"/>
  <c r="Q385" i="4"/>
  <c r="P385" i="4"/>
  <c r="O385" i="4"/>
  <c r="Q384" i="4"/>
  <c r="P384" i="4"/>
  <c r="O384" i="4"/>
  <c r="Q383" i="4"/>
  <c r="P383" i="4"/>
  <c r="O383" i="4"/>
  <c r="Q382" i="4"/>
  <c r="P382" i="4"/>
  <c r="O382" i="4"/>
  <c r="Q381" i="4"/>
  <c r="P381" i="4"/>
  <c r="O381" i="4"/>
  <c r="Q380" i="4"/>
  <c r="P380" i="4"/>
  <c r="O380" i="4"/>
  <c r="Q379" i="4"/>
  <c r="P379" i="4"/>
  <c r="O379" i="4"/>
  <c r="Q378" i="4"/>
  <c r="P378" i="4"/>
  <c r="O378" i="4"/>
  <c r="Q377" i="4"/>
  <c r="P377" i="4"/>
  <c r="O377" i="4"/>
  <c r="Q376" i="4"/>
  <c r="P376" i="4"/>
  <c r="O376" i="4"/>
  <c r="Q375" i="4"/>
  <c r="P375" i="4"/>
  <c r="O375" i="4"/>
  <c r="Q374" i="4"/>
  <c r="P374" i="4"/>
  <c r="O374" i="4"/>
  <c r="Q373" i="4"/>
  <c r="P373" i="4"/>
  <c r="O373" i="4"/>
  <c r="Q372" i="4"/>
  <c r="P372" i="4"/>
  <c r="O372" i="4"/>
  <c r="Q371" i="4"/>
  <c r="P371" i="4"/>
  <c r="O371" i="4"/>
  <c r="Q370" i="4"/>
  <c r="P370" i="4"/>
  <c r="O370" i="4"/>
  <c r="Q369" i="4"/>
  <c r="P369" i="4"/>
  <c r="O369" i="4"/>
  <c r="Q368" i="4"/>
  <c r="P368" i="4"/>
  <c r="O368" i="4"/>
  <c r="Q367" i="4"/>
  <c r="P367" i="4"/>
  <c r="O367" i="4"/>
  <c r="Q366" i="4"/>
  <c r="P366" i="4"/>
  <c r="O366" i="4"/>
  <c r="Q365" i="4"/>
  <c r="P365" i="4"/>
  <c r="O365" i="4"/>
  <c r="Q364" i="4"/>
  <c r="P364" i="4"/>
  <c r="O364" i="4"/>
  <c r="Q363" i="4"/>
  <c r="P363" i="4"/>
  <c r="O363" i="4"/>
  <c r="Q362" i="4"/>
  <c r="P362" i="4"/>
  <c r="O362" i="4"/>
  <c r="Q361" i="4"/>
  <c r="P361" i="4"/>
  <c r="O361" i="4"/>
  <c r="Q360" i="4"/>
  <c r="P360" i="4"/>
  <c r="O360" i="4"/>
  <c r="Q359" i="4"/>
  <c r="P359" i="4"/>
  <c r="O359" i="4"/>
  <c r="Q358" i="4"/>
  <c r="P358" i="4"/>
  <c r="O358" i="4"/>
  <c r="Q357" i="4"/>
  <c r="P357" i="4"/>
  <c r="O357" i="4"/>
  <c r="Q356" i="4"/>
  <c r="P356" i="4"/>
  <c r="O356" i="4"/>
  <c r="Q355" i="4"/>
  <c r="P355" i="4"/>
  <c r="O355" i="4"/>
  <c r="Q354" i="4"/>
  <c r="P354" i="4"/>
  <c r="O354" i="4"/>
  <c r="Q353" i="4"/>
  <c r="P353" i="4"/>
  <c r="O353" i="4"/>
  <c r="Q352" i="4"/>
  <c r="P352" i="4"/>
  <c r="O352" i="4"/>
  <c r="Q351" i="4"/>
  <c r="P351" i="4"/>
  <c r="O351" i="4"/>
  <c r="Q350" i="4"/>
  <c r="P350" i="4"/>
  <c r="O350" i="4"/>
  <c r="Q349" i="4"/>
  <c r="P349" i="4"/>
  <c r="O349" i="4"/>
  <c r="Q348" i="4"/>
  <c r="P348" i="4"/>
  <c r="O348" i="4"/>
  <c r="Q347" i="4"/>
  <c r="P347" i="4"/>
  <c r="O347" i="4"/>
  <c r="Q346" i="4"/>
  <c r="P346" i="4"/>
  <c r="O346" i="4"/>
  <c r="Q345" i="4"/>
  <c r="P345" i="4"/>
  <c r="O345" i="4"/>
  <c r="Q344" i="4"/>
  <c r="P344" i="4"/>
  <c r="O344" i="4"/>
  <c r="Q343" i="4"/>
  <c r="P343" i="4"/>
  <c r="O343" i="4"/>
  <c r="Q342" i="4"/>
  <c r="P342" i="4"/>
  <c r="O342" i="4"/>
  <c r="Q341" i="4"/>
  <c r="P341" i="4"/>
  <c r="O341" i="4"/>
  <c r="Q340" i="4"/>
  <c r="P340" i="4"/>
  <c r="O340" i="4"/>
  <c r="Q339" i="4"/>
  <c r="P339" i="4"/>
  <c r="O339" i="4"/>
  <c r="Q338" i="4"/>
  <c r="P338" i="4"/>
  <c r="O338" i="4"/>
  <c r="Q337" i="4"/>
  <c r="P337" i="4"/>
  <c r="O337" i="4"/>
  <c r="Q336" i="4"/>
  <c r="P336" i="4"/>
  <c r="O336" i="4"/>
  <c r="Q335" i="4"/>
  <c r="P335" i="4"/>
  <c r="O335" i="4"/>
  <c r="Q334" i="4"/>
  <c r="P334" i="4"/>
  <c r="O334" i="4"/>
  <c r="Q333" i="4"/>
  <c r="P333" i="4"/>
  <c r="O333" i="4"/>
  <c r="Q332" i="4"/>
  <c r="P332" i="4"/>
  <c r="O332" i="4"/>
  <c r="Q331" i="4"/>
  <c r="P331" i="4"/>
  <c r="O331" i="4"/>
  <c r="Q330" i="4"/>
  <c r="P330" i="4"/>
  <c r="O330" i="4"/>
  <c r="Q329" i="4"/>
  <c r="P329" i="4"/>
  <c r="O329" i="4"/>
  <c r="Q328" i="4"/>
  <c r="P328" i="4"/>
  <c r="O328" i="4"/>
  <c r="Q327" i="4"/>
  <c r="P327" i="4"/>
  <c r="O327" i="4"/>
  <c r="Q326" i="4"/>
  <c r="P326" i="4"/>
  <c r="O326" i="4"/>
  <c r="Q325" i="4"/>
  <c r="P325" i="4"/>
  <c r="O325" i="4"/>
  <c r="Q324" i="4"/>
  <c r="P324" i="4"/>
  <c r="O324" i="4"/>
  <c r="Q323" i="4"/>
  <c r="P323" i="4"/>
  <c r="O323" i="4"/>
  <c r="Q322" i="4"/>
  <c r="P322" i="4"/>
  <c r="O322" i="4"/>
  <c r="Q321" i="4"/>
  <c r="P321" i="4"/>
  <c r="Q320" i="4"/>
  <c r="P320" i="4"/>
  <c r="O320" i="4"/>
  <c r="Q319" i="4"/>
  <c r="P319" i="4"/>
  <c r="O319" i="4"/>
  <c r="Q318" i="4"/>
  <c r="P318" i="4"/>
  <c r="O318" i="4"/>
  <c r="Q317" i="4"/>
  <c r="P317" i="4"/>
  <c r="O317" i="4"/>
  <c r="Q316" i="4"/>
  <c r="P316" i="4"/>
  <c r="O316" i="4"/>
  <c r="Q315" i="4"/>
  <c r="P315" i="4"/>
  <c r="O315" i="4"/>
  <c r="Q314" i="4"/>
  <c r="P314" i="4"/>
  <c r="O314" i="4"/>
  <c r="Q313" i="4"/>
  <c r="P313" i="4"/>
  <c r="O313" i="4"/>
  <c r="Q312" i="4"/>
  <c r="P312" i="4"/>
  <c r="O312" i="4"/>
  <c r="Q311" i="4"/>
  <c r="P311" i="4"/>
  <c r="O311" i="4"/>
  <c r="Q310" i="4"/>
  <c r="P310" i="4"/>
  <c r="O310" i="4"/>
  <c r="Q309" i="4"/>
  <c r="P309" i="4"/>
  <c r="O309" i="4"/>
  <c r="Q308" i="4"/>
  <c r="P308" i="4"/>
  <c r="O308" i="4"/>
  <c r="Q307" i="4"/>
  <c r="P307" i="4"/>
  <c r="O307" i="4"/>
  <c r="Q306" i="4"/>
  <c r="P306" i="4"/>
  <c r="O306" i="4"/>
  <c r="Q305" i="4"/>
  <c r="P305" i="4"/>
  <c r="O305" i="4"/>
  <c r="Q304" i="4"/>
  <c r="P304" i="4"/>
  <c r="O304" i="4"/>
  <c r="Q303" i="4"/>
  <c r="P303" i="4"/>
  <c r="O303" i="4"/>
  <c r="Q302" i="4"/>
  <c r="P302" i="4"/>
  <c r="O302" i="4"/>
  <c r="Q301" i="4"/>
  <c r="P301" i="4"/>
  <c r="O301" i="4"/>
  <c r="Q300" i="4"/>
  <c r="P300" i="4"/>
  <c r="O300" i="4"/>
  <c r="Q299" i="4"/>
  <c r="P299" i="4"/>
  <c r="O299" i="4"/>
  <c r="Q298" i="4"/>
  <c r="P298" i="4"/>
  <c r="O298" i="4"/>
  <c r="Q297" i="4"/>
  <c r="P297" i="4"/>
  <c r="O297" i="4"/>
  <c r="Q296" i="4"/>
  <c r="P296" i="4"/>
  <c r="O296" i="4"/>
  <c r="Q295" i="4"/>
  <c r="P295" i="4"/>
  <c r="O295" i="4"/>
  <c r="Q294" i="4"/>
  <c r="P294" i="4"/>
  <c r="O294" i="4"/>
  <c r="Q293" i="4"/>
  <c r="P293" i="4"/>
  <c r="O293" i="4"/>
  <c r="Q292" i="4"/>
  <c r="P292" i="4"/>
  <c r="O292" i="4"/>
  <c r="Q291" i="4"/>
  <c r="P291" i="4"/>
  <c r="O291" i="4"/>
  <c r="Q290" i="4"/>
  <c r="P290" i="4"/>
  <c r="O290" i="4"/>
  <c r="Q289" i="4"/>
  <c r="P289" i="4"/>
  <c r="O289" i="4"/>
  <c r="Q288" i="4"/>
  <c r="P288" i="4"/>
  <c r="O288" i="4"/>
  <c r="Q287" i="4"/>
  <c r="P287" i="4"/>
  <c r="O287" i="4"/>
  <c r="Q286" i="4"/>
  <c r="P286" i="4"/>
  <c r="O286" i="4"/>
  <c r="Q285" i="4"/>
  <c r="P285" i="4"/>
  <c r="O285" i="4"/>
  <c r="Q284" i="4"/>
  <c r="P284" i="4"/>
  <c r="O284" i="4"/>
  <c r="Q283" i="4"/>
  <c r="P283" i="4"/>
  <c r="O283" i="4"/>
  <c r="Q282" i="4"/>
  <c r="P282" i="4"/>
  <c r="O282" i="4"/>
  <c r="Q281" i="4"/>
  <c r="P281" i="4"/>
  <c r="O281" i="4"/>
  <c r="Q280" i="4"/>
  <c r="P280" i="4"/>
  <c r="Q279" i="4"/>
  <c r="P279" i="4"/>
  <c r="O279" i="4"/>
  <c r="Q278" i="4"/>
  <c r="P278" i="4"/>
  <c r="O278" i="4"/>
  <c r="Q277" i="4"/>
  <c r="P277" i="4"/>
  <c r="O277" i="4"/>
  <c r="Q276" i="4"/>
  <c r="P276" i="4"/>
  <c r="O276" i="4"/>
  <c r="Q275" i="4"/>
  <c r="P275" i="4"/>
  <c r="O275" i="4"/>
  <c r="Q274" i="4"/>
  <c r="P274" i="4"/>
  <c r="O274" i="4"/>
  <c r="Q273" i="4"/>
  <c r="P273" i="4"/>
  <c r="O273" i="4"/>
  <c r="Q272" i="4"/>
  <c r="P272" i="4"/>
  <c r="O272" i="4"/>
  <c r="Q271" i="4"/>
  <c r="P271" i="4"/>
  <c r="O271" i="4"/>
  <c r="Q270" i="4"/>
  <c r="P270" i="4"/>
  <c r="O270" i="4"/>
  <c r="Q269" i="4"/>
  <c r="P269" i="4"/>
  <c r="O269" i="4"/>
  <c r="Q268" i="4"/>
  <c r="P268" i="4"/>
  <c r="O268" i="4"/>
  <c r="Q267" i="4"/>
  <c r="P267" i="4"/>
  <c r="O267" i="4"/>
  <c r="Q266" i="4"/>
  <c r="P266" i="4"/>
  <c r="O266" i="4"/>
  <c r="Q265" i="4"/>
  <c r="P265" i="4"/>
  <c r="O265" i="4"/>
  <c r="Q264" i="4"/>
  <c r="P264" i="4"/>
  <c r="O264" i="4"/>
  <c r="Q263" i="4"/>
  <c r="P263" i="4"/>
  <c r="O263" i="4"/>
  <c r="Q262" i="4"/>
  <c r="P262" i="4"/>
  <c r="O262" i="4"/>
  <c r="Q261" i="4"/>
  <c r="P261" i="4"/>
  <c r="O261" i="4"/>
  <c r="Q260" i="4"/>
  <c r="P260" i="4"/>
  <c r="O260" i="4"/>
  <c r="Q259" i="4"/>
  <c r="P259" i="4"/>
  <c r="O259" i="4"/>
  <c r="Q258" i="4"/>
  <c r="P258" i="4"/>
  <c r="O258" i="4"/>
  <c r="Q257" i="4"/>
  <c r="P257" i="4"/>
  <c r="O257" i="4"/>
  <c r="Q256" i="4"/>
  <c r="P256" i="4"/>
  <c r="O256" i="4"/>
  <c r="Q255" i="4"/>
  <c r="P255" i="4"/>
  <c r="O255" i="4"/>
  <c r="Q254" i="4"/>
  <c r="P254" i="4"/>
  <c r="O254" i="4"/>
  <c r="Q253" i="4"/>
  <c r="P253" i="4"/>
  <c r="O253" i="4"/>
  <c r="Q252" i="4"/>
  <c r="P252" i="4"/>
  <c r="O252" i="4"/>
  <c r="Q251" i="4"/>
  <c r="P251" i="4"/>
  <c r="O251" i="4"/>
  <c r="Q250" i="4"/>
  <c r="P250" i="4"/>
  <c r="O250" i="4"/>
  <c r="Q249" i="4"/>
  <c r="P249" i="4"/>
  <c r="O249" i="4"/>
  <c r="Q248" i="4"/>
  <c r="P248" i="4"/>
  <c r="O248" i="4"/>
  <c r="Q247" i="4"/>
  <c r="P247" i="4"/>
  <c r="O247" i="4"/>
  <c r="Q246" i="4"/>
  <c r="P246" i="4"/>
  <c r="O246" i="4"/>
  <c r="Q245" i="4"/>
  <c r="P245" i="4"/>
  <c r="O245" i="4"/>
  <c r="Q244" i="4"/>
  <c r="P244" i="4"/>
  <c r="O244" i="4"/>
  <c r="Q243" i="4"/>
  <c r="P243" i="4"/>
  <c r="O243" i="4"/>
  <c r="Q242" i="4"/>
  <c r="P242" i="4"/>
  <c r="O242" i="4"/>
  <c r="Q241" i="4"/>
  <c r="P241" i="4"/>
  <c r="O241" i="4"/>
  <c r="Q240" i="4"/>
  <c r="P240" i="4"/>
  <c r="O240" i="4"/>
  <c r="Q239" i="4"/>
  <c r="P239" i="4"/>
  <c r="O239" i="4"/>
  <c r="Q238" i="4"/>
  <c r="P238" i="4"/>
  <c r="O238" i="4"/>
  <c r="Q237" i="4"/>
  <c r="P237" i="4"/>
  <c r="O237" i="4"/>
  <c r="Q236" i="4"/>
  <c r="P236" i="4"/>
  <c r="O236" i="4"/>
  <c r="Q235" i="4"/>
  <c r="P235" i="4"/>
  <c r="O235" i="4"/>
  <c r="Q234" i="4"/>
  <c r="P234" i="4"/>
  <c r="O234" i="4"/>
  <c r="Q233" i="4"/>
  <c r="P233" i="4"/>
  <c r="O233" i="4"/>
  <c r="Q232" i="4"/>
  <c r="P232" i="4"/>
  <c r="O232" i="4"/>
  <c r="Q231" i="4"/>
  <c r="P231" i="4"/>
  <c r="O231" i="4"/>
  <c r="Q230" i="4"/>
  <c r="P230" i="4"/>
  <c r="O230" i="4"/>
  <c r="Q229" i="4"/>
  <c r="P229" i="4"/>
  <c r="O229" i="4"/>
  <c r="Q228" i="4"/>
  <c r="P228" i="4"/>
  <c r="O228" i="4"/>
  <c r="Q227" i="4"/>
  <c r="P227" i="4"/>
  <c r="O227" i="4"/>
  <c r="Q226" i="4"/>
  <c r="P226" i="4"/>
  <c r="O226" i="4"/>
  <c r="Q225" i="4"/>
  <c r="P225" i="4"/>
  <c r="O225" i="4"/>
  <c r="Q224" i="4"/>
  <c r="P224" i="4"/>
  <c r="O224" i="4"/>
  <c r="Q223" i="4"/>
  <c r="P223" i="4"/>
  <c r="O223" i="4"/>
  <c r="Q222" i="4"/>
  <c r="P222" i="4"/>
  <c r="O222" i="4"/>
  <c r="Q221" i="4"/>
  <c r="P221" i="4"/>
  <c r="O221" i="4"/>
  <c r="Q220" i="4"/>
  <c r="P220" i="4"/>
  <c r="O220" i="4"/>
  <c r="Q219" i="4"/>
  <c r="P219" i="4"/>
  <c r="O219" i="4"/>
  <c r="Q218" i="4"/>
  <c r="P218" i="4"/>
  <c r="O218" i="4"/>
  <c r="Q217" i="4"/>
  <c r="P217" i="4"/>
  <c r="O217" i="4"/>
  <c r="Q216" i="4"/>
  <c r="P216" i="4"/>
  <c r="O216" i="4"/>
  <c r="Q215" i="4"/>
  <c r="P215" i="4"/>
  <c r="O215" i="4"/>
  <c r="Q214" i="4"/>
  <c r="P214" i="4"/>
  <c r="O214" i="4"/>
  <c r="Q213" i="4"/>
  <c r="P213" i="4"/>
  <c r="O213" i="4"/>
  <c r="Q212" i="4"/>
  <c r="P212" i="4"/>
  <c r="O212" i="4"/>
  <c r="Q211" i="4"/>
  <c r="P211" i="4"/>
  <c r="O211" i="4"/>
  <c r="Q210" i="4"/>
  <c r="P210" i="4"/>
  <c r="O210" i="4"/>
  <c r="Q209" i="4"/>
  <c r="P209" i="4"/>
  <c r="O209" i="4"/>
  <c r="Q208" i="4"/>
  <c r="P208" i="4"/>
  <c r="O208" i="4"/>
  <c r="Q207" i="4"/>
  <c r="P207" i="4"/>
  <c r="O207" i="4"/>
  <c r="Q206" i="4"/>
  <c r="P206" i="4"/>
  <c r="O206" i="4"/>
  <c r="Q205" i="4"/>
  <c r="P205" i="4"/>
  <c r="O205" i="4"/>
  <c r="Q204" i="4"/>
  <c r="P204" i="4"/>
  <c r="O204" i="4"/>
  <c r="Q203" i="4"/>
  <c r="P203" i="4"/>
  <c r="O203" i="4"/>
  <c r="Q202" i="4"/>
  <c r="P202" i="4"/>
  <c r="O202" i="4"/>
  <c r="Q201" i="4"/>
  <c r="P201" i="4"/>
  <c r="O201" i="4"/>
  <c r="Q200" i="4"/>
  <c r="P200" i="4"/>
  <c r="O200" i="4"/>
  <c r="Q199" i="4"/>
  <c r="P199" i="4"/>
  <c r="O199" i="4"/>
  <c r="Q198" i="4"/>
  <c r="P198" i="4"/>
  <c r="O198" i="4"/>
  <c r="Q197" i="4"/>
  <c r="P197" i="4"/>
  <c r="O197" i="4"/>
  <c r="Q196" i="4"/>
  <c r="P196" i="4"/>
  <c r="O196" i="4"/>
  <c r="Q195" i="4"/>
  <c r="P195" i="4"/>
  <c r="O195" i="4"/>
  <c r="Q194" i="4"/>
  <c r="P194" i="4"/>
  <c r="O194" i="4"/>
  <c r="Q193" i="4"/>
  <c r="P193" i="4"/>
  <c r="O193" i="4"/>
  <c r="Q192" i="4"/>
  <c r="P192" i="4"/>
  <c r="O192" i="4"/>
  <c r="Q191" i="4"/>
  <c r="P191" i="4"/>
  <c r="O191" i="4"/>
  <c r="Q190" i="4"/>
  <c r="P190" i="4"/>
  <c r="O190" i="4"/>
  <c r="Q189" i="4"/>
  <c r="P189" i="4"/>
  <c r="O189" i="4"/>
  <c r="Q188" i="4"/>
  <c r="P188" i="4"/>
  <c r="O188" i="4"/>
  <c r="Q187" i="4"/>
  <c r="P187" i="4"/>
  <c r="O187" i="4"/>
  <c r="Q186" i="4"/>
  <c r="P186" i="4"/>
  <c r="O186" i="4"/>
  <c r="Q185" i="4"/>
  <c r="P185" i="4"/>
  <c r="O185" i="4"/>
  <c r="Q184" i="4"/>
  <c r="P184" i="4"/>
  <c r="O184" i="4"/>
  <c r="Q183" i="4"/>
  <c r="P183" i="4"/>
  <c r="O183" i="4"/>
  <c r="Q182" i="4"/>
  <c r="P182" i="4"/>
  <c r="O182" i="4"/>
  <c r="Q181" i="4"/>
  <c r="P181" i="4"/>
  <c r="O181" i="4"/>
  <c r="Q180" i="4"/>
  <c r="P180" i="4"/>
  <c r="O180" i="4"/>
  <c r="Q179" i="4"/>
  <c r="P179" i="4"/>
  <c r="O179" i="4"/>
  <c r="Q178" i="4"/>
  <c r="P178" i="4"/>
  <c r="O178" i="4"/>
  <c r="Q177" i="4"/>
  <c r="P177" i="4"/>
  <c r="O177" i="4"/>
  <c r="Q176" i="4"/>
  <c r="P176" i="4"/>
  <c r="O176" i="4"/>
  <c r="Q175" i="4"/>
  <c r="P175" i="4"/>
  <c r="O175" i="4"/>
  <c r="Q174" i="4"/>
  <c r="P174" i="4"/>
  <c r="O174" i="4"/>
  <c r="Q173" i="4"/>
  <c r="P173" i="4"/>
  <c r="O173" i="4"/>
  <c r="Q172" i="4"/>
  <c r="P172" i="4"/>
  <c r="O172" i="4"/>
  <c r="Q171" i="4"/>
  <c r="P171" i="4"/>
  <c r="O171" i="4"/>
  <c r="Q170" i="4"/>
  <c r="P170" i="4"/>
  <c r="O170" i="4"/>
  <c r="Q169" i="4"/>
  <c r="P169" i="4"/>
  <c r="O169" i="4"/>
  <c r="Q168" i="4"/>
  <c r="P168" i="4"/>
  <c r="O168" i="4"/>
  <c r="Q167" i="4"/>
  <c r="P167" i="4"/>
  <c r="O167" i="4"/>
  <c r="Q166" i="4"/>
  <c r="P166" i="4"/>
  <c r="O166" i="4"/>
  <c r="Q165" i="4"/>
  <c r="P165" i="4"/>
  <c r="O165" i="4"/>
  <c r="Q164" i="4"/>
  <c r="P164" i="4"/>
  <c r="O164" i="4"/>
  <c r="Q163" i="4"/>
  <c r="P163" i="4"/>
  <c r="O163" i="4"/>
  <c r="Q162" i="4"/>
  <c r="P162" i="4"/>
  <c r="O162" i="4"/>
  <c r="Q161" i="4"/>
  <c r="P161" i="4"/>
  <c r="O161" i="4"/>
  <c r="Q160" i="4"/>
  <c r="P160" i="4"/>
  <c r="O160" i="4"/>
  <c r="Q159" i="4"/>
  <c r="P159" i="4"/>
  <c r="O159" i="4"/>
  <c r="Q158" i="4"/>
  <c r="P158" i="4"/>
  <c r="O158" i="4"/>
  <c r="Q157" i="4"/>
  <c r="P157" i="4"/>
  <c r="O157" i="4"/>
  <c r="Q156" i="4"/>
  <c r="P156" i="4"/>
  <c r="O156" i="4"/>
  <c r="Q155" i="4"/>
  <c r="P155" i="4"/>
  <c r="O155" i="4"/>
  <c r="Q154" i="4"/>
  <c r="P154" i="4"/>
  <c r="O154" i="4"/>
  <c r="Q153" i="4"/>
  <c r="P153" i="4"/>
  <c r="O153" i="4"/>
  <c r="Q152" i="4"/>
  <c r="P152" i="4"/>
  <c r="O152" i="4"/>
  <c r="Q151" i="4"/>
  <c r="P151" i="4"/>
  <c r="O151" i="4"/>
  <c r="Q150" i="4"/>
  <c r="P150" i="4"/>
  <c r="O150" i="4"/>
  <c r="Q149" i="4"/>
  <c r="P149" i="4"/>
  <c r="O149" i="4"/>
  <c r="Q148" i="4"/>
  <c r="P148" i="4"/>
  <c r="O148" i="4"/>
  <c r="Q147" i="4"/>
  <c r="P147" i="4"/>
  <c r="O147" i="4"/>
  <c r="Q146" i="4"/>
  <c r="P146" i="4"/>
  <c r="O146" i="4"/>
  <c r="Q145" i="4"/>
  <c r="P145" i="4"/>
  <c r="O145" i="4"/>
  <c r="Q144" i="4"/>
  <c r="P144" i="4"/>
  <c r="O144" i="4"/>
  <c r="Q143" i="4"/>
  <c r="P143" i="4"/>
  <c r="O143" i="4"/>
  <c r="Q142" i="4"/>
  <c r="P142" i="4"/>
  <c r="O142" i="4"/>
  <c r="Q141" i="4"/>
  <c r="P141" i="4"/>
  <c r="O141" i="4"/>
  <c r="Q140" i="4"/>
  <c r="P140" i="4"/>
  <c r="O140" i="4"/>
  <c r="Q139" i="4"/>
  <c r="P139" i="4"/>
  <c r="O139" i="4"/>
  <c r="Q138" i="4"/>
  <c r="P138" i="4"/>
  <c r="O138" i="4"/>
  <c r="Q137" i="4"/>
  <c r="P137" i="4"/>
  <c r="O137" i="4"/>
  <c r="Q136" i="4"/>
  <c r="P136" i="4"/>
  <c r="O136" i="4"/>
  <c r="Q135" i="4"/>
  <c r="P135" i="4"/>
  <c r="O135" i="4"/>
  <c r="Q134" i="4"/>
  <c r="P134" i="4"/>
  <c r="O134" i="4"/>
  <c r="Q133" i="4"/>
  <c r="P133" i="4"/>
  <c r="O133" i="4"/>
  <c r="Q132" i="4"/>
  <c r="P132" i="4"/>
  <c r="O132" i="4"/>
  <c r="Q131" i="4"/>
  <c r="P131" i="4"/>
  <c r="O131" i="4"/>
  <c r="Q130" i="4"/>
  <c r="P130" i="4"/>
  <c r="O130" i="4"/>
  <c r="Q129" i="4"/>
  <c r="P129" i="4"/>
  <c r="O129" i="4"/>
  <c r="Q128" i="4"/>
  <c r="P128" i="4"/>
  <c r="O128" i="4"/>
  <c r="Q127" i="4"/>
  <c r="P127" i="4"/>
  <c r="O127" i="4"/>
  <c r="Q126" i="4"/>
  <c r="P126" i="4"/>
  <c r="O126" i="4"/>
  <c r="Q125" i="4"/>
  <c r="P125" i="4"/>
  <c r="O125" i="4"/>
  <c r="Q124" i="4"/>
  <c r="P124" i="4"/>
  <c r="O124" i="4"/>
  <c r="Q123" i="4"/>
  <c r="P123" i="4"/>
  <c r="O123" i="4"/>
  <c r="Q122" i="4"/>
  <c r="P122" i="4"/>
  <c r="O122" i="4"/>
  <c r="Q121" i="4"/>
  <c r="P121" i="4"/>
  <c r="O121" i="4"/>
  <c r="Q120" i="4"/>
  <c r="P120" i="4"/>
  <c r="O120" i="4"/>
  <c r="Q119" i="4"/>
  <c r="P119" i="4"/>
  <c r="O119" i="4"/>
  <c r="Q118" i="4"/>
  <c r="P118" i="4"/>
  <c r="O118" i="4"/>
  <c r="Q117" i="4"/>
  <c r="P117" i="4"/>
  <c r="O117" i="4"/>
  <c r="Q116" i="4"/>
  <c r="P116" i="4"/>
  <c r="O116" i="4"/>
  <c r="Q115" i="4"/>
  <c r="P115" i="4"/>
  <c r="O115" i="4"/>
  <c r="Q114" i="4"/>
  <c r="P114" i="4"/>
  <c r="O114" i="4"/>
  <c r="Q113" i="4"/>
  <c r="P113" i="4"/>
  <c r="O113" i="4"/>
  <c r="Q112" i="4"/>
  <c r="P112" i="4"/>
  <c r="O112" i="4"/>
  <c r="Q111" i="4"/>
  <c r="P111" i="4"/>
  <c r="O111" i="4"/>
  <c r="Q110" i="4"/>
  <c r="P110" i="4"/>
  <c r="O110" i="4"/>
  <c r="Q109" i="4"/>
  <c r="P109" i="4"/>
  <c r="O109" i="4"/>
  <c r="Q108" i="4"/>
  <c r="P108" i="4"/>
  <c r="O108" i="4"/>
  <c r="Q107" i="4"/>
  <c r="P107" i="4"/>
  <c r="O107" i="4"/>
  <c r="Q106" i="4"/>
  <c r="P106" i="4"/>
  <c r="O106" i="4"/>
  <c r="Q105" i="4"/>
  <c r="P105" i="4"/>
  <c r="O105" i="4"/>
  <c r="Q104" i="4"/>
  <c r="P104" i="4"/>
  <c r="O104" i="4"/>
  <c r="Q103" i="4"/>
  <c r="P103" i="4"/>
  <c r="O103" i="4"/>
  <c r="Q102" i="4"/>
  <c r="P102" i="4"/>
  <c r="O102" i="4"/>
  <c r="Q101" i="4"/>
  <c r="P101" i="4"/>
  <c r="O101" i="4"/>
  <c r="Q100" i="4"/>
  <c r="P100" i="4"/>
  <c r="O100" i="4"/>
  <c r="Q99" i="4"/>
  <c r="P99" i="4"/>
  <c r="O99" i="4"/>
  <c r="Q98" i="4"/>
  <c r="P98" i="4"/>
  <c r="O98" i="4"/>
  <c r="Q97" i="4"/>
  <c r="P97" i="4"/>
  <c r="O97" i="4"/>
  <c r="Q96" i="4"/>
  <c r="P96" i="4"/>
  <c r="O96" i="4"/>
  <c r="Q95" i="4"/>
  <c r="P95" i="4"/>
  <c r="O95" i="4"/>
  <c r="Q94" i="4"/>
  <c r="P94" i="4"/>
  <c r="O94" i="4"/>
  <c r="Q93" i="4"/>
  <c r="P93" i="4"/>
  <c r="O93" i="4"/>
  <c r="Q92" i="4"/>
  <c r="P92" i="4"/>
  <c r="O92" i="4"/>
  <c r="Q91" i="4"/>
  <c r="P91" i="4"/>
  <c r="O91" i="4"/>
  <c r="Q90" i="4"/>
  <c r="P90" i="4"/>
  <c r="O90" i="4"/>
  <c r="Q89" i="4"/>
  <c r="P89" i="4"/>
  <c r="O89" i="4"/>
  <c r="Q88" i="4"/>
  <c r="P88" i="4"/>
  <c r="O88" i="4"/>
  <c r="Q87" i="4"/>
  <c r="P87" i="4"/>
  <c r="O87" i="4"/>
  <c r="Q86" i="4"/>
  <c r="P86" i="4"/>
  <c r="O86" i="4"/>
  <c r="Q85" i="4"/>
  <c r="P85" i="4"/>
  <c r="O85" i="4"/>
  <c r="Q84" i="4"/>
  <c r="P84" i="4"/>
  <c r="O84" i="4"/>
  <c r="Q83" i="4"/>
  <c r="P83" i="4"/>
  <c r="O83" i="4"/>
  <c r="Q82" i="4"/>
  <c r="P82" i="4"/>
  <c r="O82" i="4"/>
  <c r="Q81" i="4"/>
  <c r="P81" i="4"/>
  <c r="O81" i="4"/>
  <c r="Q80" i="4"/>
  <c r="P80" i="4"/>
  <c r="O80" i="4"/>
  <c r="Q79" i="4"/>
  <c r="P79" i="4"/>
  <c r="O79" i="4"/>
  <c r="Q78" i="4"/>
  <c r="P78" i="4"/>
  <c r="O78" i="4"/>
  <c r="Q77" i="4"/>
  <c r="P77" i="4"/>
  <c r="O77" i="4"/>
  <c r="Q76" i="4"/>
  <c r="P76" i="4"/>
  <c r="O76" i="4"/>
  <c r="Q75" i="4"/>
  <c r="P75" i="4"/>
  <c r="O75" i="4"/>
  <c r="Q74" i="4"/>
  <c r="P74" i="4"/>
  <c r="O74" i="4"/>
  <c r="Q73" i="4"/>
  <c r="P73" i="4"/>
  <c r="O73" i="4"/>
  <c r="Q72" i="4"/>
  <c r="P72" i="4"/>
  <c r="O72" i="4"/>
  <c r="Q71" i="4"/>
  <c r="P71" i="4"/>
  <c r="O71" i="4"/>
  <c r="Q70" i="4"/>
  <c r="P70" i="4"/>
  <c r="O70" i="4"/>
  <c r="Q69" i="4"/>
  <c r="P69" i="4"/>
  <c r="O69" i="4"/>
  <c r="Q68" i="4"/>
  <c r="P68" i="4"/>
  <c r="O68" i="4"/>
  <c r="Q67" i="4"/>
  <c r="P67" i="4"/>
  <c r="O67" i="4"/>
  <c r="Q66" i="4"/>
  <c r="P66" i="4"/>
  <c r="O66" i="4"/>
  <c r="Q65" i="4"/>
  <c r="P65" i="4"/>
  <c r="O65" i="4"/>
  <c r="Q64" i="4"/>
  <c r="P64" i="4"/>
  <c r="O64" i="4"/>
  <c r="Q63" i="4"/>
  <c r="P63" i="4"/>
  <c r="O63" i="4"/>
  <c r="Q62" i="4"/>
  <c r="P62" i="4"/>
  <c r="O62" i="4"/>
  <c r="Q61" i="4"/>
  <c r="P61" i="4"/>
  <c r="O61" i="4"/>
  <c r="Q60" i="4"/>
  <c r="P60" i="4"/>
  <c r="O60" i="4"/>
  <c r="Q59" i="4"/>
  <c r="P59" i="4"/>
  <c r="O59" i="4"/>
  <c r="Q58" i="4"/>
  <c r="P58" i="4"/>
  <c r="O58" i="4"/>
  <c r="Q57" i="4"/>
  <c r="P57" i="4"/>
  <c r="O57" i="4"/>
  <c r="Q56" i="4"/>
  <c r="P56" i="4"/>
  <c r="O56" i="4"/>
  <c r="Q55" i="4"/>
  <c r="P55" i="4"/>
  <c r="O55" i="4"/>
  <c r="Q54" i="4"/>
  <c r="P54" i="4"/>
  <c r="O54" i="4"/>
  <c r="Q53" i="4"/>
  <c r="P53" i="4"/>
  <c r="O53" i="4"/>
  <c r="Q52" i="4"/>
  <c r="P52" i="4"/>
  <c r="O52" i="4"/>
  <c r="Q51" i="4"/>
  <c r="P51" i="4"/>
  <c r="O51" i="4"/>
  <c r="Q50" i="4"/>
  <c r="P50" i="4"/>
  <c r="O50" i="4"/>
  <c r="Q49" i="4"/>
  <c r="P49" i="4"/>
  <c r="O49" i="4"/>
  <c r="Q48" i="4"/>
  <c r="P48" i="4"/>
  <c r="O48" i="4"/>
  <c r="Q47" i="4"/>
  <c r="P47" i="4"/>
  <c r="O47" i="4"/>
  <c r="Q46" i="4"/>
  <c r="P46" i="4"/>
  <c r="O46" i="4"/>
  <c r="Q45" i="4"/>
  <c r="P45" i="4"/>
  <c r="O45" i="4"/>
  <c r="Q44" i="4"/>
  <c r="P44" i="4"/>
  <c r="O44" i="4"/>
  <c r="Q43" i="4"/>
  <c r="P43" i="4"/>
  <c r="O43" i="4"/>
  <c r="Q42" i="4"/>
  <c r="P42" i="4"/>
  <c r="O42" i="4"/>
  <c r="Q41" i="4"/>
  <c r="P41" i="4"/>
  <c r="O41" i="4"/>
  <c r="Q40" i="4"/>
  <c r="P40" i="4"/>
  <c r="O40" i="4"/>
  <c r="Q39" i="4"/>
  <c r="P39" i="4"/>
  <c r="O39" i="4"/>
  <c r="Q38" i="4"/>
  <c r="P38" i="4"/>
  <c r="O38" i="4"/>
  <c r="Q37" i="4"/>
  <c r="P37" i="4"/>
  <c r="O37" i="4"/>
  <c r="Q36" i="4"/>
  <c r="P36" i="4"/>
  <c r="O36" i="4"/>
  <c r="Q35" i="4"/>
  <c r="P35" i="4"/>
  <c r="O35" i="4"/>
  <c r="Q34" i="4"/>
  <c r="P34" i="4"/>
  <c r="O34" i="4"/>
  <c r="Q33" i="4"/>
  <c r="P33" i="4"/>
  <c r="O33" i="4"/>
  <c r="Q32" i="4"/>
  <c r="P32" i="4"/>
  <c r="O32" i="4"/>
  <c r="Q31" i="4"/>
  <c r="P31" i="4"/>
  <c r="O31" i="4"/>
  <c r="Q30" i="4"/>
  <c r="P30" i="4"/>
  <c r="O30" i="4"/>
  <c r="Q29" i="4"/>
  <c r="P29" i="4"/>
  <c r="O29" i="4"/>
  <c r="Q28" i="4"/>
  <c r="P28" i="4"/>
  <c r="O28" i="4"/>
  <c r="Q27" i="4"/>
  <c r="P27" i="4"/>
  <c r="O27" i="4"/>
  <c r="Q26" i="4"/>
  <c r="P26" i="4"/>
  <c r="O26" i="4"/>
  <c r="Q25" i="4"/>
  <c r="P25" i="4"/>
  <c r="O25" i="4"/>
  <c r="Q24" i="4"/>
  <c r="P24" i="4"/>
  <c r="O24" i="4"/>
  <c r="Q23" i="4"/>
  <c r="P23" i="4"/>
  <c r="O23" i="4"/>
  <c r="Q22" i="4"/>
  <c r="P22" i="4"/>
  <c r="O22" i="4"/>
  <c r="Q21" i="4"/>
  <c r="P21" i="4"/>
  <c r="O21" i="4"/>
  <c r="Q20" i="4"/>
  <c r="P20" i="4"/>
  <c r="O20" i="4"/>
  <c r="Q19" i="4"/>
  <c r="P19" i="4"/>
  <c r="O19" i="4"/>
  <c r="Q18" i="4"/>
  <c r="P18" i="4"/>
  <c r="O18" i="4"/>
  <c r="Q17" i="4"/>
  <c r="P17" i="4"/>
  <c r="O17" i="4"/>
  <c r="Q16" i="4"/>
  <c r="P16" i="4"/>
  <c r="O16" i="4"/>
  <c r="Q15" i="4"/>
  <c r="P15" i="4"/>
  <c r="O15" i="4"/>
  <c r="Q14" i="4"/>
  <c r="P14" i="4"/>
  <c r="O14" i="4"/>
  <c r="Q13" i="4"/>
  <c r="P13" i="4"/>
  <c r="O13" i="4"/>
  <c r="Q12" i="4"/>
  <c r="P12" i="4"/>
  <c r="O12" i="4"/>
  <c r="Q11" i="4"/>
  <c r="P11" i="4"/>
  <c r="O11" i="4"/>
  <c r="Q10" i="4"/>
  <c r="P10" i="4"/>
  <c r="O10" i="4"/>
  <c r="Q9" i="4"/>
  <c r="P9" i="4"/>
  <c r="O9" i="4"/>
  <c r="Q8" i="4"/>
  <c r="P8" i="4"/>
  <c r="O8" i="4"/>
  <c r="Q7" i="4"/>
  <c r="P7" i="4"/>
  <c r="O7" i="4"/>
  <c r="Q6" i="4"/>
  <c r="P6" i="4"/>
  <c r="O6" i="4"/>
  <c r="Q5" i="4"/>
  <c r="P5" i="4"/>
  <c r="O5" i="4"/>
  <c r="Q4" i="4"/>
  <c r="P4" i="4"/>
  <c r="O4" i="4"/>
  <c r="Q3" i="4"/>
  <c r="P3" i="4"/>
  <c r="O3" i="4"/>
  <c r="Q2" i="4"/>
  <c r="P2" i="4"/>
  <c r="O2" i="4"/>
  <c r="U979" i="3"/>
  <c r="T979" i="3"/>
  <c r="V979" i="3"/>
  <c r="W979" i="3"/>
  <c r="X979" i="3"/>
  <c r="Y979" i="3"/>
  <c r="T42" i="3"/>
  <c r="U42" i="3"/>
  <c r="V42" i="3"/>
  <c r="W42" i="3"/>
  <c r="X42" i="3"/>
  <c r="Y42" i="3"/>
  <c r="T475" i="3"/>
  <c r="U475" i="3"/>
  <c r="V475" i="3"/>
  <c r="W475" i="3"/>
  <c r="X475" i="3"/>
  <c r="Y475" i="3"/>
  <c r="T120" i="3"/>
  <c r="U120" i="3"/>
  <c r="V120" i="3"/>
  <c r="W120" i="3"/>
  <c r="X120" i="3"/>
  <c r="Y120" i="3"/>
  <c r="T861" i="3"/>
  <c r="U861" i="3"/>
  <c r="V861" i="3"/>
  <c r="W861" i="3"/>
  <c r="X861" i="3"/>
  <c r="Y861" i="3"/>
  <c r="T56" i="3"/>
  <c r="U56" i="3"/>
  <c r="V56" i="3"/>
  <c r="W56" i="3"/>
  <c r="X56" i="3"/>
  <c r="Y56" i="3"/>
  <c r="T615" i="3"/>
  <c r="U615" i="3"/>
  <c r="V615" i="3"/>
  <c r="W615" i="3"/>
  <c r="X615" i="3"/>
  <c r="Y615" i="3"/>
  <c r="T891" i="3"/>
  <c r="U891" i="3"/>
  <c r="V891" i="3"/>
  <c r="W891" i="3"/>
  <c r="X891" i="3"/>
  <c r="Y891" i="3"/>
  <c r="T655" i="3"/>
  <c r="U655" i="3"/>
  <c r="V655" i="3"/>
  <c r="W655" i="3"/>
  <c r="X655" i="3"/>
  <c r="Y655" i="3"/>
  <c r="T908" i="3"/>
  <c r="U908" i="3"/>
  <c r="V908" i="3"/>
  <c r="W908" i="3"/>
  <c r="X908" i="3"/>
  <c r="Y908" i="3"/>
  <c r="T872" i="3"/>
  <c r="U872" i="3"/>
  <c r="V872" i="3"/>
  <c r="W872" i="3"/>
  <c r="X872" i="3"/>
  <c r="Y872" i="3"/>
  <c r="T885" i="3"/>
  <c r="U885" i="3"/>
  <c r="V885" i="3"/>
  <c r="W885" i="3"/>
  <c r="X885" i="3"/>
  <c r="Y885" i="3"/>
  <c r="T526" i="3"/>
  <c r="U526" i="3"/>
  <c r="V526" i="3"/>
  <c r="W526" i="3"/>
  <c r="X526" i="3"/>
  <c r="Y526" i="3"/>
  <c r="T103" i="3"/>
  <c r="U103" i="3"/>
  <c r="V103" i="3"/>
  <c r="W103" i="3"/>
  <c r="X103" i="3"/>
  <c r="Y103" i="3"/>
  <c r="T48" i="3"/>
  <c r="U48" i="3"/>
  <c r="V48" i="3"/>
  <c r="W48" i="3"/>
  <c r="X48" i="3"/>
  <c r="Y48" i="3"/>
  <c r="T592" i="3"/>
  <c r="U592" i="3"/>
  <c r="V592" i="3"/>
  <c r="W592" i="3"/>
  <c r="X592" i="3"/>
  <c r="Y592" i="3"/>
  <c r="T398" i="3"/>
  <c r="U398" i="3"/>
  <c r="V398" i="3"/>
  <c r="W398" i="3"/>
  <c r="X398" i="3"/>
  <c r="Y398" i="3"/>
  <c r="T546" i="3"/>
  <c r="U546" i="3"/>
  <c r="V546" i="3"/>
  <c r="W546" i="3"/>
  <c r="X546" i="3"/>
  <c r="Y546" i="3"/>
  <c r="T364" i="3"/>
  <c r="U364" i="3"/>
  <c r="V364" i="3"/>
  <c r="W364" i="3"/>
  <c r="X364" i="3"/>
  <c r="Y364" i="3"/>
  <c r="T461" i="3"/>
  <c r="U461" i="3"/>
  <c r="V461" i="3"/>
  <c r="W461" i="3"/>
  <c r="X461" i="3"/>
  <c r="Y461" i="3"/>
  <c r="T656" i="3"/>
  <c r="U656" i="3"/>
  <c r="V656" i="3"/>
  <c r="W656" i="3"/>
  <c r="X656" i="3"/>
  <c r="Y656" i="3"/>
  <c r="T800" i="3"/>
  <c r="U800" i="3"/>
  <c r="V800" i="3"/>
  <c r="W800" i="3"/>
  <c r="X800" i="3"/>
  <c r="Y800" i="3"/>
  <c r="T587" i="3"/>
  <c r="U587" i="3"/>
  <c r="V587" i="3"/>
  <c r="W587" i="3"/>
  <c r="X587" i="3"/>
  <c r="Y587" i="3"/>
  <c r="T357" i="3"/>
  <c r="U357" i="3"/>
  <c r="V357" i="3"/>
  <c r="W357" i="3"/>
  <c r="X357" i="3"/>
  <c r="Y357" i="3"/>
  <c r="T912" i="3"/>
  <c r="U912" i="3"/>
  <c r="V912" i="3"/>
  <c r="W912" i="3"/>
  <c r="X912" i="3"/>
  <c r="Y912" i="3"/>
  <c r="T228" i="3"/>
  <c r="U228" i="3"/>
  <c r="V228" i="3"/>
  <c r="W228" i="3"/>
  <c r="X228" i="3"/>
  <c r="Y228" i="3"/>
  <c r="T856" i="3"/>
  <c r="U856" i="3"/>
  <c r="V856" i="3"/>
  <c r="W856" i="3"/>
  <c r="X856" i="3"/>
  <c r="Y856" i="3"/>
  <c r="T566" i="3"/>
  <c r="U566" i="3"/>
  <c r="V566" i="3"/>
  <c r="W566" i="3"/>
  <c r="X566" i="3"/>
  <c r="Y566" i="3"/>
  <c r="T626" i="3"/>
  <c r="U626" i="3"/>
  <c r="V626" i="3"/>
  <c r="W626" i="3"/>
  <c r="X626" i="3"/>
  <c r="Y626" i="3"/>
  <c r="T925" i="3"/>
  <c r="U925" i="3"/>
  <c r="V925" i="3"/>
  <c r="W925" i="3"/>
  <c r="X925" i="3"/>
  <c r="Y925" i="3"/>
  <c r="T149" i="3"/>
  <c r="U149" i="3"/>
  <c r="V149" i="3"/>
  <c r="W149" i="3"/>
  <c r="X149" i="3"/>
  <c r="Y149" i="3"/>
  <c r="T792" i="3"/>
  <c r="U792" i="3"/>
  <c r="V792" i="3"/>
  <c r="W792" i="3"/>
  <c r="X792" i="3"/>
  <c r="Y792" i="3"/>
  <c r="T646" i="3"/>
  <c r="U646" i="3"/>
  <c r="V646" i="3"/>
  <c r="W646" i="3"/>
  <c r="X646" i="3"/>
  <c r="Y646" i="3"/>
  <c r="T801" i="3"/>
  <c r="U801" i="3"/>
  <c r="V801" i="3"/>
  <c r="W801" i="3"/>
  <c r="X801" i="3"/>
  <c r="Y801" i="3"/>
  <c r="T336" i="3"/>
  <c r="U336" i="3"/>
  <c r="V336" i="3"/>
  <c r="W336" i="3"/>
  <c r="X336" i="3"/>
  <c r="Y336" i="3"/>
  <c r="T69" i="3"/>
  <c r="U69" i="3"/>
  <c r="V69" i="3"/>
  <c r="W69" i="3"/>
  <c r="X69" i="3"/>
  <c r="Y69" i="3"/>
  <c r="T547" i="3"/>
  <c r="U547" i="3"/>
  <c r="V547" i="3"/>
  <c r="W547" i="3"/>
  <c r="X547" i="3"/>
  <c r="Y547" i="3"/>
  <c r="T728" i="3"/>
  <c r="U728" i="3"/>
  <c r="V728" i="3"/>
  <c r="W728" i="3"/>
  <c r="X728" i="3"/>
  <c r="Y728" i="3"/>
  <c r="T806" i="3"/>
  <c r="U806" i="3"/>
  <c r="V806" i="3"/>
  <c r="W806" i="3"/>
  <c r="X806" i="3"/>
  <c r="Y806" i="3"/>
  <c r="T977" i="3"/>
  <c r="U977" i="3"/>
  <c r="V977" i="3"/>
  <c r="W977" i="3"/>
  <c r="X977" i="3"/>
  <c r="Y977" i="3"/>
  <c r="T978" i="3"/>
  <c r="U978" i="3"/>
  <c r="V978" i="3"/>
  <c r="W978" i="3"/>
  <c r="X978" i="3"/>
  <c r="Y978" i="3"/>
  <c r="T108" i="3"/>
  <c r="U108" i="3"/>
  <c r="V108" i="3"/>
  <c r="W108" i="3"/>
  <c r="X108" i="3"/>
  <c r="Y108" i="3"/>
  <c r="T551" i="3"/>
  <c r="U551" i="3"/>
  <c r="V551" i="3"/>
  <c r="W551" i="3"/>
  <c r="X551" i="3"/>
  <c r="Y551" i="3"/>
  <c r="T512" i="3"/>
  <c r="U512" i="3"/>
  <c r="V512" i="3"/>
  <c r="W512" i="3"/>
  <c r="X512" i="3"/>
  <c r="Y512" i="3"/>
  <c r="T338" i="3"/>
  <c r="U338" i="3"/>
  <c r="V338" i="3"/>
  <c r="W338" i="3"/>
  <c r="X338" i="3"/>
  <c r="Y338" i="3"/>
  <c r="T147" i="3"/>
  <c r="U147" i="3"/>
  <c r="V147" i="3"/>
  <c r="W147" i="3"/>
  <c r="X147" i="3"/>
  <c r="Y147" i="3"/>
  <c r="T448" i="3"/>
  <c r="U448" i="3"/>
  <c r="V448" i="3"/>
  <c r="W448" i="3"/>
  <c r="X448" i="3"/>
  <c r="Y448" i="3"/>
  <c r="T378" i="3"/>
  <c r="U378" i="3"/>
  <c r="V378" i="3"/>
  <c r="W378" i="3"/>
  <c r="X378" i="3"/>
  <c r="Y378" i="3"/>
  <c r="T591" i="3"/>
  <c r="U591" i="3"/>
  <c r="V591" i="3"/>
  <c r="W591" i="3"/>
  <c r="X591" i="3"/>
  <c r="Y591" i="3"/>
  <c r="T668" i="3"/>
  <c r="U668" i="3"/>
  <c r="V668" i="3"/>
  <c r="W668" i="3"/>
  <c r="X668" i="3"/>
  <c r="Y668" i="3"/>
  <c r="T460" i="3"/>
  <c r="U460" i="3"/>
  <c r="V460" i="3"/>
  <c r="W460" i="3"/>
  <c r="X460" i="3"/>
  <c r="Y460" i="3"/>
  <c r="T525" i="3"/>
  <c r="U525" i="3"/>
  <c r="V525" i="3"/>
  <c r="W525" i="3"/>
  <c r="X525" i="3"/>
  <c r="Y525" i="3"/>
  <c r="T557" i="3"/>
  <c r="U557" i="3"/>
  <c r="V557" i="3"/>
  <c r="W557" i="3"/>
  <c r="X557" i="3"/>
  <c r="Y557" i="3"/>
  <c r="T942" i="3"/>
  <c r="U942" i="3"/>
  <c r="V942" i="3"/>
  <c r="W942" i="3"/>
  <c r="X942" i="3"/>
  <c r="Y942" i="3"/>
  <c r="T46" i="3"/>
  <c r="U46" i="3"/>
  <c r="V46" i="3"/>
  <c r="W46" i="3"/>
  <c r="X46" i="3"/>
  <c r="Y46" i="3"/>
  <c r="T71" i="3"/>
  <c r="U71" i="3"/>
  <c r="V71" i="3"/>
  <c r="W71" i="3"/>
  <c r="X71" i="3"/>
  <c r="Y71" i="3"/>
  <c r="T692" i="3"/>
  <c r="U692" i="3"/>
  <c r="V692" i="3"/>
  <c r="W692" i="3"/>
  <c r="X692" i="3"/>
  <c r="Y692" i="3"/>
  <c r="T805" i="3"/>
  <c r="U805" i="3"/>
  <c r="V805" i="3"/>
  <c r="W805" i="3"/>
  <c r="X805" i="3"/>
  <c r="Y805" i="3"/>
  <c r="T405" i="3"/>
  <c r="U405" i="3"/>
  <c r="V405" i="3"/>
  <c r="W405" i="3"/>
  <c r="X405" i="3"/>
  <c r="Y405" i="3"/>
  <c r="T723" i="3"/>
  <c r="U723" i="3"/>
  <c r="V723" i="3"/>
  <c r="W723" i="3"/>
  <c r="X723" i="3"/>
  <c r="Y723" i="3"/>
  <c r="T911" i="3"/>
  <c r="U911" i="3"/>
  <c r="V911" i="3"/>
  <c r="W911" i="3"/>
  <c r="X911" i="3"/>
  <c r="Y911" i="3"/>
  <c r="T683" i="3"/>
  <c r="U683" i="3"/>
  <c r="V683" i="3"/>
  <c r="W683" i="3"/>
  <c r="X683" i="3"/>
  <c r="Y683" i="3"/>
  <c r="T503" i="3"/>
  <c r="U503" i="3"/>
  <c r="V503" i="3"/>
  <c r="W503" i="3"/>
  <c r="X503" i="3"/>
  <c r="Y503" i="3"/>
  <c r="T234" i="3"/>
  <c r="U234" i="3"/>
  <c r="V234" i="3"/>
  <c r="W234" i="3"/>
  <c r="X234" i="3"/>
  <c r="Y234" i="3"/>
  <c r="T635" i="3"/>
  <c r="U635" i="3"/>
  <c r="V635" i="3"/>
  <c r="W635" i="3"/>
  <c r="X635" i="3"/>
  <c r="Y635" i="3"/>
  <c r="T110" i="3"/>
  <c r="U110" i="3"/>
  <c r="V110" i="3"/>
  <c r="W110" i="3"/>
  <c r="X110" i="3"/>
  <c r="Y110" i="3"/>
  <c r="T341" i="3"/>
  <c r="U341" i="3"/>
  <c r="V341" i="3"/>
  <c r="W341" i="3"/>
  <c r="X341" i="3"/>
  <c r="Y341" i="3"/>
  <c r="T166" i="3"/>
  <c r="U166" i="3"/>
  <c r="V166" i="3"/>
  <c r="W166" i="3"/>
  <c r="X166" i="3"/>
  <c r="Y166" i="3"/>
  <c r="T841" i="3"/>
  <c r="U841" i="3"/>
  <c r="V841" i="3"/>
  <c r="W841" i="3"/>
  <c r="X841" i="3"/>
  <c r="Y841" i="3"/>
  <c r="T625" i="3"/>
  <c r="U625" i="3"/>
  <c r="V625" i="3"/>
  <c r="W625" i="3"/>
  <c r="X625" i="3"/>
  <c r="Y625" i="3"/>
  <c r="T310" i="3"/>
  <c r="U310" i="3"/>
  <c r="V310" i="3"/>
  <c r="W310" i="3"/>
  <c r="X310" i="3"/>
  <c r="Y310" i="3"/>
  <c r="T853" i="3"/>
  <c r="U853" i="3"/>
  <c r="V853" i="3"/>
  <c r="W853" i="3"/>
  <c r="X853" i="3"/>
  <c r="Y853" i="3"/>
  <c r="T274" i="3"/>
  <c r="U274" i="3"/>
  <c r="V274" i="3"/>
  <c r="W274" i="3"/>
  <c r="X274" i="3"/>
  <c r="Y274" i="3"/>
  <c r="T903" i="3"/>
  <c r="U903" i="3"/>
  <c r="V903" i="3"/>
  <c r="W903" i="3"/>
  <c r="X903" i="3"/>
  <c r="Y903" i="3"/>
  <c r="T133" i="3"/>
  <c r="U133" i="3"/>
  <c r="V133" i="3"/>
  <c r="W133" i="3"/>
  <c r="X133" i="3"/>
  <c r="Y133" i="3"/>
  <c r="T904" i="3"/>
  <c r="U904" i="3"/>
  <c r="V904" i="3"/>
  <c r="W904" i="3"/>
  <c r="X904" i="3"/>
  <c r="Y904" i="3"/>
  <c r="T168" i="3"/>
  <c r="U168" i="3"/>
  <c r="V168" i="3"/>
  <c r="W168" i="3"/>
  <c r="X168" i="3"/>
  <c r="Y168" i="3"/>
  <c r="T286" i="3"/>
  <c r="U286" i="3"/>
  <c r="V286" i="3"/>
  <c r="W286" i="3"/>
  <c r="X286" i="3"/>
  <c r="Y286" i="3"/>
  <c r="T774" i="3"/>
  <c r="U774" i="3"/>
  <c r="V774" i="3"/>
  <c r="W774" i="3"/>
  <c r="X774" i="3"/>
  <c r="Y774" i="3"/>
  <c r="T930" i="3"/>
  <c r="U930" i="3"/>
  <c r="V930" i="3"/>
  <c r="W930" i="3"/>
  <c r="X930" i="3"/>
  <c r="Y930" i="3"/>
  <c r="T296" i="3"/>
  <c r="U296" i="3"/>
  <c r="V296" i="3"/>
  <c r="W296" i="3"/>
  <c r="X296" i="3"/>
  <c r="Y296" i="3"/>
  <c r="T130" i="3"/>
  <c r="U130" i="3"/>
  <c r="V130" i="3"/>
  <c r="W130" i="3"/>
  <c r="X130" i="3"/>
  <c r="Y130" i="3"/>
  <c r="T848" i="3"/>
  <c r="U848" i="3"/>
  <c r="V848" i="3"/>
  <c r="W848" i="3"/>
  <c r="X848" i="3"/>
  <c r="Y848" i="3"/>
  <c r="T176" i="3"/>
  <c r="U176" i="3"/>
  <c r="V176" i="3"/>
  <c r="W176" i="3"/>
  <c r="X176" i="3"/>
  <c r="Y176" i="3"/>
  <c r="T719" i="3"/>
  <c r="U719" i="3"/>
  <c r="V719" i="3"/>
  <c r="W719" i="3"/>
  <c r="X719" i="3"/>
  <c r="Y719" i="3"/>
  <c r="T802" i="3"/>
  <c r="U802" i="3"/>
  <c r="V802" i="3"/>
  <c r="W802" i="3"/>
  <c r="X802" i="3"/>
  <c r="Y802" i="3"/>
  <c r="T361" i="3"/>
  <c r="U361" i="3"/>
  <c r="V361" i="3"/>
  <c r="W361" i="3"/>
  <c r="X361" i="3"/>
  <c r="Y361" i="3"/>
  <c r="T393" i="3"/>
  <c r="U393" i="3"/>
  <c r="V393" i="3"/>
  <c r="W393" i="3"/>
  <c r="X393" i="3"/>
  <c r="Y393" i="3"/>
  <c r="T768" i="3"/>
  <c r="U768" i="3"/>
  <c r="V768" i="3"/>
  <c r="W768" i="3"/>
  <c r="X768" i="3"/>
  <c r="Y768" i="3"/>
  <c r="T730" i="3"/>
  <c r="U730" i="3"/>
  <c r="V730" i="3"/>
  <c r="W730" i="3"/>
  <c r="X730" i="3"/>
  <c r="Y730" i="3"/>
  <c r="T970" i="3"/>
  <c r="U970" i="3"/>
  <c r="V970" i="3"/>
  <c r="W970" i="3"/>
  <c r="X970" i="3"/>
  <c r="Y970" i="3"/>
  <c r="T275" i="3"/>
  <c r="U275" i="3"/>
  <c r="V275" i="3"/>
  <c r="W275" i="3"/>
  <c r="X275" i="3"/>
  <c r="Y275" i="3"/>
  <c r="T739" i="3"/>
  <c r="U739" i="3"/>
  <c r="V739" i="3"/>
  <c r="W739" i="3"/>
  <c r="X739" i="3"/>
  <c r="Y739" i="3"/>
  <c r="T753" i="3"/>
  <c r="U753" i="3"/>
  <c r="V753" i="3"/>
  <c r="W753" i="3"/>
  <c r="X753" i="3"/>
  <c r="Y753" i="3"/>
  <c r="T956" i="3"/>
  <c r="U956" i="3"/>
  <c r="V956" i="3"/>
  <c r="W956" i="3"/>
  <c r="X956" i="3"/>
  <c r="Y956" i="3"/>
  <c r="T384" i="3"/>
  <c r="U384" i="3"/>
  <c r="V384" i="3"/>
  <c r="W384" i="3"/>
  <c r="X384" i="3"/>
  <c r="Y384" i="3"/>
  <c r="T175" i="3"/>
  <c r="U175" i="3"/>
  <c r="V175" i="3"/>
  <c r="W175" i="3"/>
  <c r="X175" i="3"/>
  <c r="Y175" i="3"/>
  <c r="T795" i="3"/>
  <c r="U795" i="3"/>
  <c r="V795" i="3"/>
  <c r="W795" i="3"/>
  <c r="X795" i="3"/>
  <c r="Y795" i="3"/>
  <c r="T869" i="3"/>
  <c r="U869" i="3"/>
  <c r="V869" i="3"/>
  <c r="W869" i="3"/>
  <c r="X869" i="3"/>
  <c r="Y869" i="3"/>
  <c r="T571" i="3"/>
  <c r="U571" i="3"/>
  <c r="V571" i="3"/>
  <c r="W571" i="3"/>
  <c r="X571" i="3"/>
  <c r="Y571" i="3"/>
  <c r="T476" i="3"/>
  <c r="U476" i="3"/>
  <c r="V476" i="3"/>
  <c r="W476" i="3"/>
  <c r="X476" i="3"/>
  <c r="Y476" i="3"/>
  <c r="T214" i="3"/>
  <c r="U214" i="3"/>
  <c r="V214" i="3"/>
  <c r="W214" i="3"/>
  <c r="X214" i="3"/>
  <c r="Y214" i="3"/>
  <c r="T83" i="3"/>
  <c r="U83" i="3"/>
  <c r="V83" i="3"/>
  <c r="W83" i="3"/>
  <c r="X83" i="3"/>
  <c r="Y83" i="3"/>
  <c r="T431" i="3"/>
  <c r="U431" i="3"/>
  <c r="V431" i="3"/>
  <c r="W431" i="3"/>
  <c r="X431" i="3"/>
  <c r="Y431" i="3"/>
  <c r="T154" i="3"/>
  <c r="U154" i="3"/>
  <c r="V154" i="3"/>
  <c r="W154" i="3"/>
  <c r="X154" i="3"/>
  <c r="Y154" i="3"/>
  <c r="T276" i="3"/>
  <c r="U276" i="3"/>
  <c r="V276" i="3"/>
  <c r="W276" i="3"/>
  <c r="X276" i="3"/>
  <c r="Y276" i="3"/>
  <c r="T194" i="3"/>
  <c r="U194" i="3"/>
  <c r="V194" i="3"/>
  <c r="W194" i="3"/>
  <c r="X194" i="3"/>
  <c r="Y194" i="3"/>
  <c r="T80" i="3"/>
  <c r="U80" i="3"/>
  <c r="V80" i="3"/>
  <c r="W80" i="3"/>
  <c r="X80" i="3"/>
  <c r="Y80" i="3"/>
  <c r="T237" i="3"/>
  <c r="U237" i="3"/>
  <c r="V237" i="3"/>
  <c r="W237" i="3"/>
  <c r="X237" i="3"/>
  <c r="Y237" i="3"/>
  <c r="T857" i="3"/>
  <c r="U857" i="3"/>
  <c r="V857" i="3"/>
  <c r="W857" i="3"/>
  <c r="X857" i="3"/>
  <c r="Y857" i="3"/>
  <c r="T770" i="3"/>
  <c r="U770" i="3"/>
  <c r="V770" i="3"/>
  <c r="W770" i="3"/>
  <c r="X770" i="3"/>
  <c r="Y770" i="3"/>
  <c r="T302" i="3"/>
  <c r="U302" i="3"/>
  <c r="V302" i="3"/>
  <c r="W302" i="3"/>
  <c r="X302" i="3"/>
  <c r="Y302" i="3"/>
  <c r="T330" i="3"/>
  <c r="U330" i="3"/>
  <c r="V330" i="3"/>
  <c r="W330" i="3"/>
  <c r="X330" i="3"/>
  <c r="Y330" i="3"/>
  <c r="T243" i="3"/>
  <c r="U243" i="3"/>
  <c r="V243" i="3"/>
  <c r="W243" i="3"/>
  <c r="X243" i="3"/>
  <c r="Y243" i="3"/>
  <c r="T428" i="3"/>
  <c r="U428" i="3"/>
  <c r="V428" i="3"/>
  <c r="W428" i="3"/>
  <c r="X428" i="3"/>
  <c r="Y428" i="3"/>
  <c r="T459" i="3"/>
  <c r="U459" i="3"/>
  <c r="V459" i="3"/>
  <c r="W459" i="3"/>
  <c r="X459" i="3"/>
  <c r="Y459" i="3"/>
  <c r="T359" i="3"/>
  <c r="U359" i="3"/>
  <c r="V359" i="3"/>
  <c r="W359" i="3"/>
  <c r="X359" i="3"/>
  <c r="Y359" i="3"/>
  <c r="T102" i="3"/>
  <c r="U102" i="3"/>
  <c r="V102" i="3"/>
  <c r="W102" i="3"/>
  <c r="X102" i="3"/>
  <c r="Y102" i="3"/>
  <c r="T197" i="3"/>
  <c r="U197" i="3"/>
  <c r="V197" i="3"/>
  <c r="W197" i="3"/>
  <c r="X197" i="3"/>
  <c r="Y197" i="3"/>
  <c r="T484" i="3"/>
  <c r="U484" i="3"/>
  <c r="V484" i="3"/>
  <c r="W484" i="3"/>
  <c r="X484" i="3"/>
  <c r="Y484" i="3"/>
  <c r="T933" i="3"/>
  <c r="U933" i="3"/>
  <c r="V933" i="3"/>
  <c r="W933" i="3"/>
  <c r="X933" i="3"/>
  <c r="Y933" i="3"/>
  <c r="T371" i="3"/>
  <c r="U371" i="3"/>
  <c r="V371" i="3"/>
  <c r="W371" i="3"/>
  <c r="X371" i="3"/>
  <c r="Y371" i="3"/>
  <c r="T522" i="3"/>
  <c r="U522" i="3"/>
  <c r="V522" i="3"/>
  <c r="W522" i="3"/>
  <c r="X522" i="3"/>
  <c r="Y522" i="3"/>
  <c r="T706" i="3"/>
  <c r="U706" i="3"/>
  <c r="V706" i="3"/>
  <c r="W706" i="3"/>
  <c r="X706" i="3"/>
  <c r="Y706" i="3"/>
  <c r="T128" i="3"/>
  <c r="U128" i="3"/>
  <c r="V128" i="3"/>
  <c r="W128" i="3"/>
  <c r="X128" i="3"/>
  <c r="Y128" i="3"/>
  <c r="T255" i="3"/>
  <c r="U255" i="3"/>
  <c r="V255" i="3"/>
  <c r="W255" i="3"/>
  <c r="X255" i="3"/>
  <c r="Y255" i="3"/>
  <c r="T467" i="3"/>
  <c r="U467" i="3"/>
  <c r="V467" i="3"/>
  <c r="W467" i="3"/>
  <c r="X467" i="3"/>
  <c r="Y467" i="3"/>
  <c r="T439" i="3"/>
  <c r="U439" i="3"/>
  <c r="V439" i="3"/>
  <c r="W439" i="3"/>
  <c r="X439" i="3"/>
  <c r="Y439" i="3"/>
  <c r="T222" i="3"/>
  <c r="U222" i="3"/>
  <c r="V222" i="3"/>
  <c r="W222" i="3"/>
  <c r="X222" i="3"/>
  <c r="Y222" i="3"/>
  <c r="T490" i="3"/>
  <c r="U490" i="3"/>
  <c r="V490" i="3"/>
  <c r="W490" i="3"/>
  <c r="X490" i="3"/>
  <c r="Y490" i="3"/>
  <c r="T287" i="3"/>
  <c r="U287" i="3"/>
  <c r="V287" i="3"/>
  <c r="W287" i="3"/>
  <c r="X287" i="3"/>
  <c r="Y287" i="3"/>
  <c r="T223" i="3"/>
  <c r="U223" i="3"/>
  <c r="V223" i="3"/>
  <c r="W223" i="3"/>
  <c r="X223" i="3"/>
  <c r="Y223" i="3"/>
  <c r="T740" i="3"/>
  <c r="U740" i="3"/>
  <c r="V740" i="3"/>
  <c r="W740" i="3"/>
  <c r="X740" i="3"/>
  <c r="Y740" i="3"/>
  <c r="T285" i="3"/>
  <c r="U285" i="3"/>
  <c r="V285" i="3"/>
  <c r="W285" i="3"/>
  <c r="X285" i="3"/>
  <c r="Y285" i="3"/>
  <c r="T698" i="3"/>
  <c r="U698" i="3"/>
  <c r="V698" i="3"/>
  <c r="W698" i="3"/>
  <c r="X698" i="3"/>
  <c r="Y698" i="3"/>
  <c r="T765" i="3"/>
  <c r="U765" i="3"/>
  <c r="V765" i="3"/>
  <c r="W765" i="3"/>
  <c r="X765" i="3"/>
  <c r="Y765" i="3"/>
  <c r="T394" i="3"/>
  <c r="U394" i="3"/>
  <c r="V394" i="3"/>
  <c r="W394" i="3"/>
  <c r="X394" i="3"/>
  <c r="Y394" i="3"/>
  <c r="T543" i="3"/>
  <c r="U543" i="3"/>
  <c r="V543" i="3"/>
  <c r="W543" i="3"/>
  <c r="X543" i="3"/>
  <c r="Y543" i="3"/>
  <c r="T893" i="3"/>
  <c r="U893" i="3"/>
  <c r="V893" i="3"/>
  <c r="W893" i="3"/>
  <c r="X893" i="3"/>
  <c r="Y893" i="3"/>
  <c r="T483" i="3"/>
  <c r="U483" i="3"/>
  <c r="V483" i="3"/>
  <c r="W483" i="3"/>
  <c r="X483" i="3"/>
  <c r="Y483" i="3"/>
  <c r="T839" i="3"/>
  <c r="U839" i="3"/>
  <c r="V839" i="3"/>
  <c r="W839" i="3"/>
  <c r="X839" i="3"/>
  <c r="Y839" i="3"/>
  <c r="T508" i="3"/>
  <c r="U508" i="3"/>
  <c r="V508" i="3"/>
  <c r="W508" i="3"/>
  <c r="X508" i="3"/>
  <c r="Y508" i="3"/>
  <c r="T353" i="3"/>
  <c r="U353" i="3"/>
  <c r="V353" i="3"/>
  <c r="W353" i="3"/>
  <c r="X353" i="3"/>
  <c r="Y353" i="3"/>
  <c r="T670" i="3"/>
  <c r="U670" i="3"/>
  <c r="V670" i="3"/>
  <c r="W670" i="3"/>
  <c r="X670" i="3"/>
  <c r="Y670" i="3"/>
  <c r="T134" i="3"/>
  <c r="U134" i="3"/>
  <c r="V134" i="3"/>
  <c r="W134" i="3"/>
  <c r="X134" i="3"/>
  <c r="Y134" i="3"/>
  <c r="T957" i="3"/>
  <c r="U957" i="3"/>
  <c r="V957" i="3"/>
  <c r="W957" i="3"/>
  <c r="X957" i="3"/>
  <c r="Y957" i="3"/>
  <c r="T741" i="3"/>
  <c r="U741" i="3"/>
  <c r="V741" i="3"/>
  <c r="W741" i="3"/>
  <c r="X741" i="3"/>
  <c r="Y741" i="3"/>
  <c r="T751" i="3"/>
  <c r="U751" i="3"/>
  <c r="V751" i="3"/>
  <c r="W751" i="3"/>
  <c r="X751" i="3"/>
  <c r="Y751" i="3"/>
  <c r="T366" i="3"/>
  <c r="U366" i="3"/>
  <c r="V366" i="3"/>
  <c r="W366" i="3"/>
  <c r="X366" i="3"/>
  <c r="Y366" i="3"/>
  <c r="T463" i="3"/>
  <c r="U463" i="3"/>
  <c r="V463" i="3"/>
  <c r="W463" i="3"/>
  <c r="X463" i="3"/>
  <c r="Y463" i="3"/>
  <c r="T253" i="3"/>
  <c r="U253" i="3"/>
  <c r="V253" i="3"/>
  <c r="W253" i="3"/>
  <c r="X253" i="3"/>
  <c r="Y253" i="3"/>
  <c r="T55" i="3"/>
  <c r="U55" i="3"/>
  <c r="V55" i="3"/>
  <c r="W55" i="3"/>
  <c r="X55" i="3"/>
  <c r="Y55" i="3"/>
  <c r="T308" i="3"/>
  <c r="U308" i="3"/>
  <c r="V308" i="3"/>
  <c r="W308" i="3"/>
  <c r="X308" i="3"/>
  <c r="Y308" i="3"/>
  <c r="T593" i="3"/>
  <c r="U593" i="3"/>
  <c r="V593" i="3"/>
  <c r="W593" i="3"/>
  <c r="X593" i="3"/>
  <c r="Y593" i="3"/>
  <c r="T410" i="3"/>
  <c r="U410" i="3"/>
  <c r="V410" i="3"/>
  <c r="W410" i="3"/>
  <c r="X410" i="3"/>
  <c r="Y410" i="3"/>
  <c r="T918" i="3"/>
  <c r="U918" i="3"/>
  <c r="V918" i="3"/>
  <c r="W918" i="3"/>
  <c r="X918" i="3"/>
  <c r="Y918" i="3"/>
  <c r="T545" i="3"/>
  <c r="U545" i="3"/>
  <c r="V545" i="3"/>
  <c r="W545" i="3"/>
  <c r="X545" i="3"/>
  <c r="Y545" i="3"/>
  <c r="T636" i="3"/>
  <c r="U636" i="3"/>
  <c r="V636" i="3"/>
  <c r="W636" i="3"/>
  <c r="X636" i="3"/>
  <c r="Y636" i="3"/>
  <c r="T402" i="3"/>
  <c r="U402" i="3"/>
  <c r="V402" i="3"/>
  <c r="W402" i="3"/>
  <c r="X402" i="3"/>
  <c r="Y402" i="3"/>
  <c r="T144" i="3"/>
  <c r="U144" i="3"/>
  <c r="V144" i="3"/>
  <c r="W144" i="3"/>
  <c r="X144" i="3"/>
  <c r="Y144" i="3"/>
  <c r="T391" i="3"/>
  <c r="U391" i="3"/>
  <c r="V391" i="3"/>
  <c r="W391" i="3"/>
  <c r="X391" i="3"/>
  <c r="Y391" i="3"/>
  <c r="T621" i="3"/>
  <c r="U621" i="3"/>
  <c r="V621" i="3"/>
  <c r="W621" i="3"/>
  <c r="X621" i="3"/>
  <c r="Y621" i="3"/>
  <c r="T686" i="3"/>
  <c r="U686" i="3"/>
  <c r="V686" i="3"/>
  <c r="W686" i="3"/>
  <c r="X686" i="3"/>
  <c r="Y686" i="3"/>
  <c r="T482" i="3"/>
  <c r="U482" i="3"/>
  <c r="V482" i="3"/>
  <c r="W482" i="3"/>
  <c r="X482" i="3"/>
  <c r="Y482" i="3"/>
  <c r="T10" i="3"/>
  <c r="U10" i="3"/>
  <c r="V10" i="3"/>
  <c r="W10" i="3"/>
  <c r="X10" i="3"/>
  <c r="Y10" i="3"/>
  <c r="T466" i="3"/>
  <c r="U466" i="3"/>
  <c r="V466" i="3"/>
  <c r="W466" i="3"/>
  <c r="X466" i="3"/>
  <c r="Y466" i="3"/>
  <c r="T322" i="3"/>
  <c r="U322" i="3"/>
  <c r="V322" i="3"/>
  <c r="W322" i="3"/>
  <c r="X322" i="3"/>
  <c r="Y322" i="3"/>
  <c r="T70" i="3"/>
  <c r="U70" i="3"/>
  <c r="V70" i="3"/>
  <c r="W70" i="3"/>
  <c r="X70" i="3"/>
  <c r="Y70" i="3"/>
  <c r="T595" i="3"/>
  <c r="U595" i="3"/>
  <c r="V595" i="3"/>
  <c r="W595" i="3"/>
  <c r="X595" i="3"/>
  <c r="Y595" i="3"/>
  <c r="T532" i="3"/>
  <c r="U532" i="3"/>
  <c r="V532" i="3"/>
  <c r="W532" i="3"/>
  <c r="X532" i="3"/>
  <c r="Y532" i="3"/>
  <c r="T279" i="3"/>
  <c r="U279" i="3"/>
  <c r="V279" i="3"/>
  <c r="W279" i="3"/>
  <c r="X279" i="3"/>
  <c r="Y279" i="3"/>
  <c r="T586" i="3"/>
  <c r="U586" i="3"/>
  <c r="V586" i="3"/>
  <c r="W586" i="3"/>
  <c r="X586" i="3"/>
  <c r="Y586" i="3"/>
  <c r="T628" i="3"/>
  <c r="U628" i="3"/>
  <c r="V628" i="3"/>
  <c r="W628" i="3"/>
  <c r="X628" i="3"/>
  <c r="Y628" i="3"/>
  <c r="T170" i="3"/>
  <c r="U170" i="3"/>
  <c r="V170" i="3"/>
  <c r="W170" i="3"/>
  <c r="X170" i="3"/>
  <c r="Y170" i="3"/>
  <c r="T643" i="3"/>
  <c r="U643" i="3"/>
  <c r="V643" i="3"/>
  <c r="W643" i="3"/>
  <c r="X643" i="3"/>
  <c r="Y643" i="3"/>
  <c r="T112" i="3"/>
  <c r="U112" i="3"/>
  <c r="V112" i="3"/>
  <c r="W112" i="3"/>
  <c r="X112" i="3"/>
  <c r="Y112" i="3"/>
  <c r="T900" i="3"/>
  <c r="U900" i="3"/>
  <c r="V900" i="3"/>
  <c r="W900" i="3"/>
  <c r="X900" i="3"/>
  <c r="Y900" i="3"/>
  <c r="T870" i="3"/>
  <c r="U870" i="3"/>
  <c r="V870" i="3"/>
  <c r="W870" i="3"/>
  <c r="X870" i="3"/>
  <c r="Y870" i="3"/>
  <c r="T819" i="3"/>
  <c r="U819" i="3"/>
  <c r="V819" i="3"/>
  <c r="W819" i="3"/>
  <c r="X819" i="3"/>
  <c r="Y819" i="3"/>
  <c r="T836" i="3"/>
  <c r="U836" i="3"/>
  <c r="V836" i="3"/>
  <c r="W836" i="3"/>
  <c r="X836" i="3"/>
  <c r="Y836" i="3"/>
  <c r="T601" i="3"/>
  <c r="U601" i="3"/>
  <c r="V601" i="3"/>
  <c r="W601" i="3"/>
  <c r="X601" i="3"/>
  <c r="Y601" i="3"/>
  <c r="T161" i="3"/>
  <c r="U161" i="3"/>
  <c r="V161" i="3"/>
  <c r="W161" i="3"/>
  <c r="X161" i="3"/>
  <c r="Y161" i="3"/>
  <c r="T219" i="3"/>
  <c r="U219" i="3"/>
  <c r="V219" i="3"/>
  <c r="W219" i="3"/>
  <c r="X219" i="3"/>
  <c r="Y219" i="3"/>
  <c r="T305" i="3"/>
  <c r="U305" i="3"/>
  <c r="V305" i="3"/>
  <c r="W305" i="3"/>
  <c r="X305" i="3"/>
  <c r="Y305" i="3"/>
  <c r="T178" i="3"/>
  <c r="U178" i="3"/>
  <c r="V178" i="3"/>
  <c r="W178" i="3"/>
  <c r="X178" i="3"/>
  <c r="Y178" i="3"/>
  <c r="T661" i="3"/>
  <c r="U661" i="3"/>
  <c r="V661" i="3"/>
  <c r="W661" i="3"/>
  <c r="X661" i="3"/>
  <c r="Y661" i="3"/>
  <c r="T75" i="3"/>
  <c r="U75" i="3"/>
  <c r="V75" i="3"/>
  <c r="W75" i="3"/>
  <c r="X75" i="3"/>
  <c r="Y75" i="3"/>
  <c r="T351" i="3"/>
  <c r="U351" i="3"/>
  <c r="V351" i="3"/>
  <c r="W351" i="3"/>
  <c r="X351" i="3"/>
  <c r="Y351" i="3"/>
  <c r="T148" i="3"/>
  <c r="U148" i="3"/>
  <c r="V148" i="3"/>
  <c r="W148" i="3"/>
  <c r="X148" i="3"/>
  <c r="Y148" i="3"/>
  <c r="T960" i="3"/>
  <c r="U960" i="3"/>
  <c r="V960" i="3"/>
  <c r="W960" i="3"/>
  <c r="X960" i="3"/>
  <c r="Y960" i="3"/>
  <c r="T931" i="3"/>
  <c r="U931" i="3"/>
  <c r="V931" i="3"/>
  <c r="W931" i="3"/>
  <c r="X931" i="3"/>
  <c r="Y931" i="3"/>
  <c r="T472" i="3"/>
  <c r="U472" i="3"/>
  <c r="V472" i="3"/>
  <c r="W472" i="3"/>
  <c r="X472" i="3"/>
  <c r="Y472" i="3"/>
  <c r="T333" i="3"/>
  <c r="U333" i="3"/>
  <c r="V333" i="3"/>
  <c r="W333" i="3"/>
  <c r="X333" i="3"/>
  <c r="Y333" i="3"/>
  <c r="T101" i="3"/>
  <c r="U101" i="3"/>
  <c r="V101" i="3"/>
  <c r="W101" i="3"/>
  <c r="X101" i="3"/>
  <c r="Y101" i="3"/>
  <c r="T153" i="3"/>
  <c r="U153" i="3"/>
  <c r="V153" i="3"/>
  <c r="W153" i="3"/>
  <c r="X153" i="3"/>
  <c r="Y153" i="3"/>
  <c r="T40" i="3"/>
  <c r="U40" i="3"/>
  <c r="V40" i="3"/>
  <c r="W40" i="3"/>
  <c r="X40" i="3"/>
  <c r="Y40" i="3"/>
  <c r="T66" i="3"/>
  <c r="U66" i="3"/>
  <c r="V66" i="3"/>
  <c r="W66" i="3"/>
  <c r="X66" i="3"/>
  <c r="Y66" i="3"/>
  <c r="T317" i="3"/>
  <c r="U317" i="3"/>
  <c r="V317" i="3"/>
  <c r="W317" i="3"/>
  <c r="X317" i="3"/>
  <c r="Y317" i="3"/>
  <c r="T6" i="3"/>
  <c r="U6" i="3"/>
  <c r="V6" i="3"/>
  <c r="W6" i="3"/>
  <c r="X6" i="3"/>
  <c r="Y6" i="3"/>
  <c r="T291" i="3"/>
  <c r="U291" i="3"/>
  <c r="V291" i="3"/>
  <c r="W291" i="3"/>
  <c r="X291" i="3"/>
  <c r="Y291" i="3"/>
  <c r="T639" i="3"/>
  <c r="U639" i="3"/>
  <c r="V639" i="3"/>
  <c r="W639" i="3"/>
  <c r="X639" i="3"/>
  <c r="Y639" i="3"/>
  <c r="T288" i="3"/>
  <c r="U288" i="3"/>
  <c r="V288" i="3"/>
  <c r="W288" i="3"/>
  <c r="X288" i="3"/>
  <c r="Y288" i="3"/>
  <c r="T93" i="3"/>
  <c r="U93" i="3"/>
  <c r="V93" i="3"/>
  <c r="W93" i="3"/>
  <c r="X93" i="3"/>
  <c r="Y93" i="3"/>
  <c r="T623" i="3"/>
  <c r="U623" i="3"/>
  <c r="V623" i="3"/>
  <c r="W623" i="3"/>
  <c r="X623" i="3"/>
  <c r="Y623" i="3"/>
  <c r="T241" i="3"/>
  <c r="U241" i="3"/>
  <c r="V241" i="3"/>
  <c r="W241" i="3"/>
  <c r="X241" i="3"/>
  <c r="Y241" i="3"/>
  <c r="T30" i="3"/>
  <c r="U30" i="3"/>
  <c r="V30" i="3"/>
  <c r="W30" i="3"/>
  <c r="X30" i="3"/>
  <c r="Y30" i="3"/>
  <c r="T307" i="3"/>
  <c r="U307" i="3"/>
  <c r="V307" i="3"/>
  <c r="W307" i="3"/>
  <c r="X307" i="3"/>
  <c r="Y307" i="3"/>
  <c r="T921" i="3"/>
  <c r="U921" i="3"/>
  <c r="V921" i="3"/>
  <c r="W921" i="3"/>
  <c r="X921" i="3"/>
  <c r="Y921" i="3"/>
  <c r="T570" i="3"/>
  <c r="U570" i="3"/>
  <c r="V570" i="3"/>
  <c r="W570" i="3"/>
  <c r="X570" i="3"/>
  <c r="Y570" i="3"/>
  <c r="T196" i="3"/>
  <c r="U196" i="3"/>
  <c r="V196" i="3"/>
  <c r="W196" i="3"/>
  <c r="X196" i="3"/>
  <c r="Y196" i="3"/>
  <c r="T784" i="3"/>
  <c r="U784" i="3"/>
  <c r="V784" i="3"/>
  <c r="W784" i="3"/>
  <c r="X784" i="3"/>
  <c r="Y784" i="3"/>
  <c r="T760" i="3"/>
  <c r="U760" i="3"/>
  <c r="V760" i="3"/>
  <c r="W760" i="3"/>
  <c r="X760" i="3"/>
  <c r="Y760" i="3"/>
  <c r="T873" i="3"/>
  <c r="U873" i="3"/>
  <c r="V873" i="3"/>
  <c r="W873" i="3"/>
  <c r="X873" i="3"/>
  <c r="Y873" i="3"/>
  <c r="T843" i="3"/>
  <c r="U843" i="3"/>
  <c r="V843" i="3"/>
  <c r="W843" i="3"/>
  <c r="X843" i="3"/>
  <c r="Y843" i="3"/>
  <c r="T928" i="3"/>
  <c r="U928" i="3"/>
  <c r="V928" i="3"/>
  <c r="W928" i="3"/>
  <c r="X928" i="3"/>
  <c r="Y928" i="3"/>
  <c r="T693" i="3"/>
  <c r="U693" i="3"/>
  <c r="V693" i="3"/>
  <c r="W693" i="3"/>
  <c r="X693" i="3"/>
  <c r="Y693" i="3"/>
  <c r="T828" i="3"/>
  <c r="U828" i="3"/>
  <c r="V828" i="3"/>
  <c r="W828" i="3"/>
  <c r="X828" i="3"/>
  <c r="Y828" i="3"/>
  <c r="T299" i="3"/>
  <c r="U299" i="3"/>
  <c r="V299" i="3"/>
  <c r="W299" i="3"/>
  <c r="X299" i="3"/>
  <c r="Y299" i="3"/>
  <c r="T689" i="3"/>
  <c r="U689" i="3"/>
  <c r="V689" i="3"/>
  <c r="W689" i="3"/>
  <c r="X689" i="3"/>
  <c r="Y689" i="3"/>
  <c r="T688" i="3"/>
  <c r="U688" i="3"/>
  <c r="V688" i="3"/>
  <c r="W688" i="3"/>
  <c r="X688" i="3"/>
  <c r="Y688" i="3"/>
  <c r="T647" i="3"/>
  <c r="U647" i="3"/>
  <c r="V647" i="3"/>
  <c r="W647" i="3"/>
  <c r="X647" i="3"/>
  <c r="Y647" i="3"/>
  <c r="T851" i="3"/>
  <c r="U851" i="3"/>
  <c r="V851" i="3"/>
  <c r="W851" i="3"/>
  <c r="X851" i="3"/>
  <c r="Y851" i="3"/>
  <c r="T898" i="3"/>
  <c r="U898" i="3"/>
  <c r="V898" i="3"/>
  <c r="W898" i="3"/>
  <c r="X898" i="3"/>
  <c r="Y898" i="3"/>
  <c r="T791" i="3"/>
  <c r="U791" i="3"/>
  <c r="V791" i="3"/>
  <c r="W791" i="3"/>
  <c r="X791" i="3"/>
  <c r="Y791" i="3"/>
  <c r="T736" i="3"/>
  <c r="U736" i="3"/>
  <c r="V736" i="3"/>
  <c r="W736" i="3"/>
  <c r="X736" i="3"/>
  <c r="Y736" i="3"/>
  <c r="T343" i="3"/>
  <c r="U343" i="3"/>
  <c r="V343" i="3"/>
  <c r="W343" i="3"/>
  <c r="X343" i="3"/>
  <c r="Y343" i="3"/>
  <c r="T79" i="3"/>
  <c r="U79" i="3"/>
  <c r="V79" i="3"/>
  <c r="W79" i="3"/>
  <c r="X79" i="3"/>
  <c r="Y79" i="3"/>
  <c r="T785" i="3"/>
  <c r="U785" i="3"/>
  <c r="V785" i="3"/>
  <c r="W785" i="3"/>
  <c r="X785" i="3"/>
  <c r="Y785" i="3"/>
  <c r="T810" i="3"/>
  <c r="U810" i="3"/>
  <c r="V810" i="3"/>
  <c r="W810" i="3"/>
  <c r="X810" i="3"/>
  <c r="Y810" i="3"/>
  <c r="T618" i="3"/>
  <c r="U618" i="3"/>
  <c r="V618" i="3"/>
  <c r="W618" i="3"/>
  <c r="X618" i="3"/>
  <c r="Y618" i="3"/>
  <c r="T846" i="3"/>
  <c r="U846" i="3"/>
  <c r="V846" i="3"/>
  <c r="W846" i="3"/>
  <c r="X846" i="3"/>
  <c r="Y846" i="3"/>
  <c r="T614" i="3"/>
  <c r="U614" i="3"/>
  <c r="V614" i="3"/>
  <c r="W614" i="3"/>
  <c r="X614" i="3"/>
  <c r="Y614" i="3"/>
  <c r="T440" i="3"/>
  <c r="U440" i="3"/>
  <c r="V440" i="3"/>
  <c r="W440" i="3"/>
  <c r="X440" i="3"/>
  <c r="Y440" i="3"/>
  <c r="T744" i="3"/>
  <c r="U744" i="3"/>
  <c r="V744" i="3"/>
  <c r="W744" i="3"/>
  <c r="X744" i="3"/>
  <c r="Y744" i="3"/>
  <c r="T470" i="3"/>
  <c r="U470" i="3"/>
  <c r="V470" i="3"/>
  <c r="W470" i="3"/>
  <c r="X470" i="3"/>
  <c r="Y470" i="3"/>
  <c r="T837" i="3"/>
  <c r="U837" i="3"/>
  <c r="V837" i="3"/>
  <c r="W837" i="3"/>
  <c r="X837" i="3"/>
  <c r="Y837" i="3"/>
  <c r="T899" i="3"/>
  <c r="U899" i="3"/>
  <c r="V899" i="3"/>
  <c r="W899" i="3"/>
  <c r="X899" i="3"/>
  <c r="Y899" i="3"/>
  <c r="T156" i="3"/>
  <c r="U156" i="3"/>
  <c r="V156" i="3"/>
  <c r="W156" i="3"/>
  <c r="X156" i="3"/>
  <c r="Y156" i="3"/>
  <c r="T516" i="3"/>
  <c r="U516" i="3"/>
  <c r="V516" i="3"/>
  <c r="W516" i="3"/>
  <c r="X516" i="3"/>
  <c r="Y516" i="3"/>
  <c r="T754" i="3"/>
  <c r="U754" i="3"/>
  <c r="V754" i="3"/>
  <c r="W754" i="3"/>
  <c r="X754" i="3"/>
  <c r="Y754" i="3"/>
  <c r="T799" i="3"/>
  <c r="U799" i="3"/>
  <c r="V799" i="3"/>
  <c r="W799" i="3"/>
  <c r="X799" i="3"/>
  <c r="Y799" i="3"/>
  <c r="T814" i="3"/>
  <c r="U814" i="3"/>
  <c r="V814" i="3"/>
  <c r="W814" i="3"/>
  <c r="X814" i="3"/>
  <c r="Y814" i="3"/>
  <c r="T629" i="3"/>
  <c r="U629" i="3"/>
  <c r="V629" i="3"/>
  <c r="W629" i="3"/>
  <c r="X629" i="3"/>
  <c r="Y629" i="3"/>
  <c r="T205" i="3"/>
  <c r="U205" i="3"/>
  <c r="V205" i="3"/>
  <c r="W205" i="3"/>
  <c r="X205" i="3"/>
  <c r="Y205" i="3"/>
  <c r="T971" i="3"/>
  <c r="U971" i="3"/>
  <c r="V971" i="3"/>
  <c r="W971" i="3"/>
  <c r="X971" i="3"/>
  <c r="Y971" i="3"/>
  <c r="T238" i="3"/>
  <c r="U238" i="3"/>
  <c r="V238" i="3"/>
  <c r="W238" i="3"/>
  <c r="X238" i="3"/>
  <c r="Y238" i="3"/>
  <c r="T642" i="3"/>
  <c r="U642" i="3"/>
  <c r="V642" i="3"/>
  <c r="W642" i="3"/>
  <c r="X642" i="3"/>
  <c r="Y642" i="3"/>
  <c r="T568" i="3"/>
  <c r="U568" i="3"/>
  <c r="V568" i="3"/>
  <c r="W568" i="3"/>
  <c r="X568" i="3"/>
  <c r="Y568" i="3"/>
  <c r="T789" i="3"/>
  <c r="U789" i="3"/>
  <c r="V789" i="3"/>
  <c r="W789" i="3"/>
  <c r="X789" i="3"/>
  <c r="Y789" i="3"/>
  <c r="T113" i="3"/>
  <c r="U113" i="3"/>
  <c r="V113" i="3"/>
  <c r="W113" i="3"/>
  <c r="X113" i="3"/>
  <c r="Y113" i="3"/>
  <c r="T552" i="3"/>
  <c r="U552" i="3"/>
  <c r="V552" i="3"/>
  <c r="W552" i="3"/>
  <c r="X552" i="3"/>
  <c r="Y552" i="3"/>
  <c r="T220" i="3"/>
  <c r="U220" i="3"/>
  <c r="V220" i="3"/>
  <c r="W220" i="3"/>
  <c r="X220" i="3"/>
  <c r="Y220" i="3"/>
  <c r="T38" i="3"/>
  <c r="U38" i="3"/>
  <c r="V38" i="3"/>
  <c r="W38" i="3"/>
  <c r="X38" i="3"/>
  <c r="Y38" i="3"/>
  <c r="T717" i="3"/>
  <c r="U717" i="3"/>
  <c r="V717" i="3"/>
  <c r="W717" i="3"/>
  <c r="X717" i="3"/>
  <c r="Y717" i="3"/>
  <c r="T794" i="3"/>
  <c r="U794" i="3"/>
  <c r="V794" i="3"/>
  <c r="W794" i="3"/>
  <c r="X794" i="3"/>
  <c r="Y794" i="3"/>
  <c r="T562" i="3"/>
  <c r="U562" i="3"/>
  <c r="V562" i="3"/>
  <c r="W562" i="3"/>
  <c r="X562" i="3"/>
  <c r="Y562" i="3"/>
  <c r="T22" i="3"/>
  <c r="U22" i="3"/>
  <c r="V22" i="3"/>
  <c r="W22" i="3"/>
  <c r="X22" i="3"/>
  <c r="Y22" i="3"/>
  <c r="T221" i="3"/>
  <c r="U221" i="3"/>
  <c r="V221" i="3"/>
  <c r="W221" i="3"/>
  <c r="X221" i="3"/>
  <c r="Y221" i="3"/>
  <c r="T9" i="3"/>
  <c r="U9" i="3"/>
  <c r="V9" i="3"/>
  <c r="W9" i="3"/>
  <c r="X9" i="3"/>
  <c r="Y9" i="3"/>
  <c r="T567" i="3"/>
  <c r="U567" i="3"/>
  <c r="V567" i="3"/>
  <c r="W567" i="3"/>
  <c r="X567" i="3"/>
  <c r="Y567" i="3"/>
  <c r="T575" i="3"/>
  <c r="U575" i="3"/>
  <c r="V575" i="3"/>
  <c r="W575" i="3"/>
  <c r="X575" i="3"/>
  <c r="Y575" i="3"/>
  <c r="T605" i="3"/>
  <c r="U605" i="3"/>
  <c r="V605" i="3"/>
  <c r="W605" i="3"/>
  <c r="X605" i="3"/>
  <c r="Y605" i="3"/>
  <c r="T25" i="3"/>
  <c r="U25" i="3"/>
  <c r="V25" i="3"/>
  <c r="W25" i="3"/>
  <c r="X25" i="3"/>
  <c r="Y25" i="3"/>
  <c r="T950" i="3"/>
  <c r="U950" i="3"/>
  <c r="V950" i="3"/>
  <c r="W950" i="3"/>
  <c r="X950" i="3"/>
  <c r="Y950" i="3"/>
  <c r="T894" i="3"/>
  <c r="U894" i="3"/>
  <c r="V894" i="3"/>
  <c r="W894" i="3"/>
  <c r="X894" i="3"/>
  <c r="Y894" i="3"/>
  <c r="T416" i="3"/>
  <c r="U416" i="3"/>
  <c r="V416" i="3"/>
  <c r="W416" i="3"/>
  <c r="X416" i="3"/>
  <c r="Y416" i="3"/>
  <c r="T771" i="3"/>
  <c r="U771" i="3"/>
  <c r="V771" i="3"/>
  <c r="W771" i="3"/>
  <c r="X771" i="3"/>
  <c r="Y771" i="3"/>
  <c r="T122" i="3"/>
  <c r="U122" i="3"/>
  <c r="V122" i="3"/>
  <c r="W122" i="3"/>
  <c r="X122" i="3"/>
  <c r="Y122" i="3"/>
  <c r="T973" i="3"/>
  <c r="U973" i="3"/>
  <c r="V973" i="3"/>
  <c r="W973" i="3"/>
  <c r="X973" i="3"/>
  <c r="Y973" i="3"/>
  <c r="T136" i="3"/>
  <c r="U136" i="3"/>
  <c r="V136" i="3"/>
  <c r="W136" i="3"/>
  <c r="X136" i="3"/>
  <c r="Y136" i="3"/>
  <c r="T975" i="3"/>
  <c r="U975" i="3"/>
  <c r="V975" i="3"/>
  <c r="W975" i="3"/>
  <c r="X975" i="3"/>
  <c r="Y975" i="3"/>
  <c r="T852" i="3"/>
  <c r="U852" i="3"/>
  <c r="V852" i="3"/>
  <c r="W852" i="3"/>
  <c r="X852" i="3"/>
  <c r="Y852" i="3"/>
  <c r="T427" i="3"/>
  <c r="U427" i="3"/>
  <c r="V427" i="3"/>
  <c r="W427" i="3"/>
  <c r="X427" i="3"/>
  <c r="Y427" i="3"/>
  <c r="T492" i="3"/>
  <c r="U492" i="3"/>
  <c r="V492" i="3"/>
  <c r="W492" i="3"/>
  <c r="X492" i="3"/>
  <c r="Y492" i="3"/>
  <c r="T303" i="3"/>
  <c r="U303" i="3"/>
  <c r="V303" i="3"/>
  <c r="W303" i="3"/>
  <c r="X303" i="3"/>
  <c r="Y303" i="3"/>
  <c r="T84" i="3"/>
  <c r="U84" i="3"/>
  <c r="V84" i="3"/>
  <c r="W84" i="3"/>
  <c r="X84" i="3"/>
  <c r="Y84" i="3"/>
  <c r="T452" i="3"/>
  <c r="U452" i="3"/>
  <c r="V452" i="3"/>
  <c r="W452" i="3"/>
  <c r="X452" i="3"/>
  <c r="Y452" i="3"/>
  <c r="T884" i="3"/>
  <c r="U884" i="3"/>
  <c r="V884" i="3"/>
  <c r="W884" i="3"/>
  <c r="X884" i="3"/>
  <c r="Y884" i="3"/>
  <c r="T323" i="3"/>
  <c r="U323" i="3"/>
  <c r="V323" i="3"/>
  <c r="W323" i="3"/>
  <c r="X323" i="3"/>
  <c r="Y323" i="3"/>
  <c r="T445" i="3"/>
  <c r="U445" i="3"/>
  <c r="V445" i="3"/>
  <c r="W445" i="3"/>
  <c r="X445" i="3"/>
  <c r="Y445" i="3"/>
  <c r="T68" i="3"/>
  <c r="U68" i="3"/>
  <c r="V68" i="3"/>
  <c r="W68" i="3"/>
  <c r="X68" i="3"/>
  <c r="Y68" i="3"/>
  <c r="T140" i="3"/>
  <c r="U140" i="3"/>
  <c r="V140" i="3"/>
  <c r="W140" i="3"/>
  <c r="X140" i="3"/>
  <c r="Y140" i="3"/>
  <c r="T374" i="3"/>
  <c r="U374" i="3"/>
  <c r="V374" i="3"/>
  <c r="W374" i="3"/>
  <c r="X374" i="3"/>
  <c r="Y374" i="3"/>
  <c r="T419" i="3"/>
  <c r="U419" i="3"/>
  <c r="V419" i="3"/>
  <c r="W419" i="3"/>
  <c r="X419" i="3"/>
  <c r="Y419" i="3"/>
  <c r="T938" i="3"/>
  <c r="U938" i="3"/>
  <c r="V938" i="3"/>
  <c r="W938" i="3"/>
  <c r="X938" i="3"/>
  <c r="Y938" i="3"/>
  <c r="T561" i="3"/>
  <c r="U561" i="3"/>
  <c r="V561" i="3"/>
  <c r="W561" i="3"/>
  <c r="X561" i="3"/>
  <c r="Y561" i="3"/>
  <c r="T859" i="3"/>
  <c r="U859" i="3"/>
  <c r="V859" i="3"/>
  <c r="W859" i="3"/>
  <c r="X859" i="3"/>
  <c r="Y859" i="3"/>
  <c r="T252" i="3"/>
  <c r="U252" i="3"/>
  <c r="V252" i="3"/>
  <c r="W252" i="3"/>
  <c r="X252" i="3"/>
  <c r="Y252" i="3"/>
  <c r="T436" i="3"/>
  <c r="U436" i="3"/>
  <c r="V436" i="3"/>
  <c r="W436" i="3"/>
  <c r="X436" i="3"/>
  <c r="Y436" i="3"/>
  <c r="T749" i="3"/>
  <c r="U749" i="3"/>
  <c r="V749" i="3"/>
  <c r="W749" i="3"/>
  <c r="X749" i="3"/>
  <c r="Y749" i="3"/>
  <c r="T349" i="3"/>
  <c r="U349" i="3"/>
  <c r="V349" i="3"/>
  <c r="W349" i="3"/>
  <c r="X349" i="3"/>
  <c r="Y349" i="3"/>
  <c r="T277" i="3"/>
  <c r="U277" i="3"/>
  <c r="V277" i="3"/>
  <c r="W277" i="3"/>
  <c r="X277" i="3"/>
  <c r="Y277" i="3"/>
  <c r="T387" i="3"/>
  <c r="U387" i="3"/>
  <c r="V387" i="3"/>
  <c r="W387" i="3"/>
  <c r="X387" i="3"/>
  <c r="Y387" i="3"/>
  <c r="T106" i="3"/>
  <c r="U106" i="3"/>
  <c r="V106" i="3"/>
  <c r="W106" i="3"/>
  <c r="X106" i="3"/>
  <c r="Y106" i="3"/>
  <c r="T710" i="3"/>
  <c r="U710" i="3"/>
  <c r="V710" i="3"/>
  <c r="W710" i="3"/>
  <c r="X710" i="3"/>
  <c r="Y710" i="3"/>
  <c r="T186" i="3"/>
  <c r="U186" i="3"/>
  <c r="V186" i="3"/>
  <c r="W186" i="3"/>
  <c r="X186" i="3"/>
  <c r="Y186" i="3"/>
  <c r="T383" i="3"/>
  <c r="U383" i="3"/>
  <c r="V383" i="3"/>
  <c r="W383" i="3"/>
  <c r="X383" i="3"/>
  <c r="Y383" i="3"/>
  <c r="T892" i="3"/>
  <c r="U892" i="3"/>
  <c r="V892" i="3"/>
  <c r="W892" i="3"/>
  <c r="X892" i="3"/>
  <c r="Y892" i="3"/>
  <c r="T29" i="3"/>
  <c r="U29" i="3"/>
  <c r="V29" i="3"/>
  <c r="W29" i="3"/>
  <c r="X29" i="3"/>
  <c r="Y29" i="3"/>
  <c r="T304" i="3"/>
  <c r="U304" i="3"/>
  <c r="V304" i="3"/>
  <c r="W304" i="3"/>
  <c r="X304" i="3"/>
  <c r="Y304" i="3"/>
  <c r="T282" i="3"/>
  <c r="U282" i="3"/>
  <c r="V282" i="3"/>
  <c r="W282" i="3"/>
  <c r="X282" i="3"/>
  <c r="Y282" i="3"/>
  <c r="T972" i="3"/>
  <c r="U972" i="3"/>
  <c r="V972" i="3"/>
  <c r="W972" i="3"/>
  <c r="X972" i="3"/>
  <c r="Y972" i="3"/>
  <c r="T704" i="3"/>
  <c r="U704" i="3"/>
  <c r="V704" i="3"/>
  <c r="W704" i="3"/>
  <c r="X704" i="3"/>
  <c r="Y704" i="3"/>
  <c r="T177" i="3"/>
  <c r="U177" i="3"/>
  <c r="V177" i="3"/>
  <c r="W177" i="3"/>
  <c r="X177" i="3"/>
  <c r="Y177" i="3"/>
  <c r="T242" i="3"/>
  <c r="U242" i="3"/>
  <c r="V242" i="3"/>
  <c r="W242" i="3"/>
  <c r="X242" i="3"/>
  <c r="Y242" i="3"/>
  <c r="T496" i="3"/>
  <c r="U496" i="3"/>
  <c r="V496" i="3"/>
  <c r="W496" i="3"/>
  <c r="X496" i="3"/>
  <c r="Y496" i="3"/>
  <c r="T474" i="3"/>
  <c r="U474" i="3"/>
  <c r="V474" i="3"/>
  <c r="W474" i="3"/>
  <c r="X474" i="3"/>
  <c r="Y474" i="3"/>
  <c r="T438" i="3"/>
  <c r="U438" i="3"/>
  <c r="V438" i="3"/>
  <c r="W438" i="3"/>
  <c r="X438" i="3"/>
  <c r="Y438" i="3"/>
  <c r="T388" i="3"/>
  <c r="U388" i="3"/>
  <c r="V388" i="3"/>
  <c r="W388" i="3"/>
  <c r="X388" i="3"/>
  <c r="Y388" i="3"/>
  <c r="T379" i="3"/>
  <c r="U379" i="3"/>
  <c r="V379" i="3"/>
  <c r="W379" i="3"/>
  <c r="X379" i="3"/>
  <c r="Y379" i="3"/>
  <c r="T16" i="3"/>
  <c r="U16" i="3"/>
  <c r="V16" i="3"/>
  <c r="W16" i="3"/>
  <c r="X16" i="3"/>
  <c r="Y16" i="3"/>
  <c r="T811" i="3"/>
  <c r="U811" i="3"/>
  <c r="V811" i="3"/>
  <c r="W811" i="3"/>
  <c r="X811" i="3"/>
  <c r="Y811" i="3"/>
  <c r="T300" i="3"/>
  <c r="U300" i="3"/>
  <c r="V300" i="3"/>
  <c r="W300" i="3"/>
  <c r="X300" i="3"/>
  <c r="Y300" i="3"/>
  <c r="T124" i="3"/>
  <c r="U124" i="3"/>
  <c r="V124" i="3"/>
  <c r="W124" i="3"/>
  <c r="X124" i="3"/>
  <c r="Y124" i="3"/>
  <c r="T382" i="3"/>
  <c r="U382" i="3"/>
  <c r="V382" i="3"/>
  <c r="W382" i="3"/>
  <c r="X382" i="3"/>
  <c r="Y382" i="3"/>
  <c r="T473" i="3"/>
  <c r="U473" i="3"/>
  <c r="V473" i="3"/>
  <c r="W473" i="3"/>
  <c r="X473" i="3"/>
  <c r="Y473" i="3"/>
  <c r="T713" i="3"/>
  <c r="U713" i="3"/>
  <c r="V713" i="3"/>
  <c r="W713" i="3"/>
  <c r="X713" i="3"/>
  <c r="Y713" i="3"/>
  <c r="T583" i="3"/>
  <c r="U583" i="3"/>
  <c r="V583" i="3"/>
  <c r="W583" i="3"/>
  <c r="X583" i="3"/>
  <c r="Y583" i="3"/>
  <c r="T11" i="3"/>
  <c r="U11" i="3"/>
  <c r="V11" i="3"/>
  <c r="W11" i="3"/>
  <c r="X11" i="3"/>
  <c r="Y11" i="3"/>
  <c r="T958" i="3"/>
  <c r="U958" i="3"/>
  <c r="V958" i="3"/>
  <c r="W958" i="3"/>
  <c r="X958" i="3"/>
  <c r="Y958" i="3"/>
  <c r="T41" i="3"/>
  <c r="U41" i="3"/>
  <c r="V41" i="3"/>
  <c r="W41" i="3"/>
  <c r="X41" i="3"/>
  <c r="Y41" i="3"/>
  <c r="T687" i="3"/>
  <c r="U687" i="3"/>
  <c r="V687" i="3"/>
  <c r="W687" i="3"/>
  <c r="X687" i="3"/>
  <c r="Y687" i="3"/>
  <c r="T434" i="3"/>
  <c r="U434" i="3"/>
  <c r="V434" i="3"/>
  <c r="W434" i="3"/>
  <c r="X434" i="3"/>
  <c r="Y434" i="3"/>
  <c r="T932" i="3"/>
  <c r="U932" i="3"/>
  <c r="V932" i="3"/>
  <c r="W932" i="3"/>
  <c r="X932" i="3"/>
  <c r="Y932" i="3"/>
  <c r="T157" i="3"/>
  <c r="U157" i="3"/>
  <c r="V157" i="3"/>
  <c r="W157" i="3"/>
  <c r="X157" i="3"/>
  <c r="Y157" i="3"/>
  <c r="T871" i="3"/>
  <c r="U871" i="3"/>
  <c r="V871" i="3"/>
  <c r="W871" i="3"/>
  <c r="X871" i="3"/>
  <c r="Y871" i="3"/>
  <c r="T345" i="3"/>
  <c r="U345" i="3"/>
  <c r="V345" i="3"/>
  <c r="W345" i="3"/>
  <c r="X345" i="3"/>
  <c r="Y345" i="3"/>
  <c r="T280" i="3"/>
  <c r="U280" i="3"/>
  <c r="V280" i="3"/>
  <c r="W280" i="3"/>
  <c r="X280" i="3"/>
  <c r="Y280" i="3"/>
  <c r="T264" i="3"/>
  <c r="U264" i="3"/>
  <c r="V264" i="3"/>
  <c r="W264" i="3"/>
  <c r="X264" i="3"/>
  <c r="Y264" i="3"/>
  <c r="T731" i="3"/>
  <c r="U731" i="3"/>
  <c r="V731" i="3"/>
  <c r="W731" i="3"/>
  <c r="X731" i="3"/>
  <c r="Y731" i="3"/>
  <c r="T920" i="3"/>
  <c r="U920" i="3"/>
  <c r="V920" i="3"/>
  <c r="W920" i="3"/>
  <c r="X920" i="3"/>
  <c r="Y920" i="3"/>
  <c r="T180" i="3"/>
  <c r="U180" i="3"/>
  <c r="V180" i="3"/>
  <c r="W180" i="3"/>
  <c r="X180" i="3"/>
  <c r="Y180" i="3"/>
  <c r="T879" i="3"/>
  <c r="U879" i="3"/>
  <c r="V879" i="3"/>
  <c r="W879" i="3"/>
  <c r="X879" i="3"/>
  <c r="Y879" i="3"/>
  <c r="T362" i="3"/>
  <c r="U362" i="3"/>
  <c r="V362" i="3"/>
  <c r="W362" i="3"/>
  <c r="X362" i="3"/>
  <c r="Y362" i="3"/>
  <c r="T389" i="3"/>
  <c r="U389" i="3"/>
  <c r="V389" i="3"/>
  <c r="W389" i="3"/>
  <c r="X389" i="3"/>
  <c r="Y389" i="3"/>
  <c r="T262" i="3"/>
  <c r="U262" i="3"/>
  <c r="V262" i="3"/>
  <c r="W262" i="3"/>
  <c r="X262" i="3"/>
  <c r="Y262" i="3"/>
  <c r="T777" i="3"/>
  <c r="U777" i="3"/>
  <c r="V777" i="3"/>
  <c r="W777" i="3"/>
  <c r="X777" i="3"/>
  <c r="Y777" i="3"/>
  <c r="T673" i="3"/>
  <c r="U673" i="3"/>
  <c r="V673" i="3"/>
  <c r="W673" i="3"/>
  <c r="X673" i="3"/>
  <c r="Y673" i="3"/>
  <c r="T540" i="3"/>
  <c r="U540" i="3"/>
  <c r="V540" i="3"/>
  <c r="W540" i="3"/>
  <c r="X540" i="3"/>
  <c r="Y540" i="3"/>
  <c r="T697" i="3"/>
  <c r="U697" i="3"/>
  <c r="V697" i="3"/>
  <c r="W697" i="3"/>
  <c r="X697" i="3"/>
  <c r="Y697" i="3"/>
  <c r="T779" i="3"/>
  <c r="U779" i="3"/>
  <c r="V779" i="3"/>
  <c r="W779" i="3"/>
  <c r="X779" i="3"/>
  <c r="Y779" i="3"/>
  <c r="T968" i="3"/>
  <c r="U968" i="3"/>
  <c r="V968" i="3"/>
  <c r="W968" i="3"/>
  <c r="X968" i="3"/>
  <c r="Y968" i="3"/>
  <c r="T596" i="3"/>
  <c r="U596" i="3"/>
  <c r="V596" i="3"/>
  <c r="W596" i="3"/>
  <c r="X596" i="3"/>
  <c r="Y596" i="3"/>
  <c r="T786" i="3"/>
  <c r="U786" i="3"/>
  <c r="V786" i="3"/>
  <c r="W786" i="3"/>
  <c r="X786" i="3"/>
  <c r="Y786" i="3"/>
  <c r="T578" i="3"/>
  <c r="U578" i="3"/>
  <c r="V578" i="3"/>
  <c r="W578" i="3"/>
  <c r="X578" i="3"/>
  <c r="Y578" i="3"/>
  <c r="T565" i="3"/>
  <c r="U565" i="3"/>
  <c r="V565" i="3"/>
  <c r="W565" i="3"/>
  <c r="X565" i="3"/>
  <c r="Y565" i="3"/>
  <c r="T414" i="3"/>
  <c r="U414" i="3"/>
  <c r="V414" i="3"/>
  <c r="W414" i="3"/>
  <c r="X414" i="3"/>
  <c r="Y414" i="3"/>
  <c r="T874" i="3"/>
  <c r="U874" i="3"/>
  <c r="V874" i="3"/>
  <c r="W874" i="3"/>
  <c r="X874" i="3"/>
  <c r="Y874" i="3"/>
  <c r="T409" i="3"/>
  <c r="U409" i="3"/>
  <c r="V409" i="3"/>
  <c r="W409" i="3"/>
  <c r="X409" i="3"/>
  <c r="Y409" i="3"/>
  <c r="T150" i="3"/>
  <c r="U150" i="3"/>
  <c r="V150" i="3"/>
  <c r="W150" i="3"/>
  <c r="X150" i="3"/>
  <c r="Y150" i="3"/>
  <c r="T669" i="3"/>
  <c r="U669" i="3"/>
  <c r="V669" i="3"/>
  <c r="W669" i="3"/>
  <c r="X669" i="3"/>
  <c r="Y669" i="3"/>
  <c r="T183" i="3"/>
  <c r="U183" i="3"/>
  <c r="V183" i="3"/>
  <c r="W183" i="3"/>
  <c r="X183" i="3"/>
  <c r="Y183" i="3"/>
  <c r="T842" i="3"/>
  <c r="U842" i="3"/>
  <c r="V842" i="3"/>
  <c r="W842" i="3"/>
  <c r="X842" i="3"/>
  <c r="Y842" i="3"/>
  <c r="T407" i="3"/>
  <c r="U407" i="3"/>
  <c r="V407" i="3"/>
  <c r="W407" i="3"/>
  <c r="X407" i="3"/>
  <c r="Y407" i="3"/>
  <c r="T585" i="3"/>
  <c r="U585" i="3"/>
  <c r="V585" i="3"/>
  <c r="W585" i="3"/>
  <c r="X585" i="3"/>
  <c r="Y585" i="3"/>
  <c r="T878" i="3"/>
  <c r="U878" i="3"/>
  <c r="V878" i="3"/>
  <c r="W878" i="3"/>
  <c r="X878" i="3"/>
  <c r="Y878" i="3"/>
  <c r="T216" i="3"/>
  <c r="U216" i="3"/>
  <c r="V216" i="3"/>
  <c r="W216" i="3"/>
  <c r="X216" i="3"/>
  <c r="Y216" i="3"/>
  <c r="T732" i="3"/>
  <c r="U732" i="3"/>
  <c r="V732" i="3"/>
  <c r="W732" i="3"/>
  <c r="X732" i="3"/>
  <c r="Y732" i="3"/>
  <c r="T574" i="3"/>
  <c r="U574" i="3"/>
  <c r="V574" i="3"/>
  <c r="W574" i="3"/>
  <c r="X574" i="3"/>
  <c r="Y574" i="3"/>
  <c r="T712" i="3"/>
  <c r="U712" i="3"/>
  <c r="V712" i="3"/>
  <c r="W712" i="3"/>
  <c r="X712" i="3"/>
  <c r="Y712" i="3"/>
  <c r="T820" i="3"/>
  <c r="U820" i="3"/>
  <c r="V820" i="3"/>
  <c r="W820" i="3"/>
  <c r="X820" i="3"/>
  <c r="Y820" i="3"/>
  <c r="T126" i="3"/>
  <c r="U126" i="3"/>
  <c r="V126" i="3"/>
  <c r="W126" i="3"/>
  <c r="X126" i="3"/>
  <c r="Y126" i="3"/>
  <c r="T781" i="3"/>
  <c r="U781" i="3"/>
  <c r="V781" i="3"/>
  <c r="W781" i="3"/>
  <c r="X781" i="3"/>
  <c r="Y781" i="3"/>
  <c r="T179" i="3"/>
  <c r="U179" i="3"/>
  <c r="V179" i="3"/>
  <c r="W179" i="3"/>
  <c r="X179" i="3"/>
  <c r="Y179" i="3"/>
  <c r="T976" i="3"/>
  <c r="U976" i="3"/>
  <c r="V976" i="3"/>
  <c r="W976" i="3"/>
  <c r="X976" i="3"/>
  <c r="Y976" i="3"/>
  <c r="T882" i="3"/>
  <c r="U882" i="3"/>
  <c r="V882" i="3"/>
  <c r="W882" i="3"/>
  <c r="X882" i="3"/>
  <c r="Y882" i="3"/>
  <c r="T138" i="3"/>
  <c r="U138" i="3"/>
  <c r="V138" i="3"/>
  <c r="W138" i="3"/>
  <c r="X138" i="3"/>
  <c r="Y138" i="3"/>
  <c r="T817" i="3"/>
  <c r="U817" i="3"/>
  <c r="V817" i="3"/>
  <c r="W817" i="3"/>
  <c r="X817" i="3"/>
  <c r="Y817" i="3"/>
  <c r="T513" i="3"/>
  <c r="U513" i="3"/>
  <c r="V513" i="3"/>
  <c r="W513" i="3"/>
  <c r="X513" i="3"/>
  <c r="Y513" i="3"/>
  <c r="T433" i="3"/>
  <c r="U433" i="3"/>
  <c r="V433" i="3"/>
  <c r="W433" i="3"/>
  <c r="X433" i="3"/>
  <c r="Y433" i="3"/>
  <c r="T964" i="3"/>
  <c r="U964" i="3"/>
  <c r="V964" i="3"/>
  <c r="W964" i="3"/>
  <c r="X964" i="3"/>
  <c r="Y964" i="3"/>
  <c r="T840" i="3"/>
  <c r="U840" i="3"/>
  <c r="V840" i="3"/>
  <c r="W840" i="3"/>
  <c r="X840" i="3"/>
  <c r="Y840" i="3"/>
  <c r="T608" i="3"/>
  <c r="U608" i="3"/>
  <c r="V608" i="3"/>
  <c r="W608" i="3"/>
  <c r="X608" i="3"/>
  <c r="Y608" i="3"/>
  <c r="T380" i="3"/>
  <c r="U380" i="3"/>
  <c r="V380" i="3"/>
  <c r="W380" i="3"/>
  <c r="X380" i="3"/>
  <c r="Y380" i="3"/>
  <c r="T672" i="3"/>
  <c r="U672" i="3"/>
  <c r="V672" i="3"/>
  <c r="W672" i="3"/>
  <c r="X672" i="3"/>
  <c r="Y672" i="3"/>
  <c r="T947" i="3"/>
  <c r="U947" i="3"/>
  <c r="V947" i="3"/>
  <c r="W947" i="3"/>
  <c r="X947" i="3"/>
  <c r="Y947" i="3"/>
  <c r="T915" i="3"/>
  <c r="U915" i="3"/>
  <c r="V915" i="3"/>
  <c r="W915" i="3"/>
  <c r="X915" i="3"/>
  <c r="Y915" i="3"/>
  <c r="T860" i="3"/>
  <c r="U860" i="3"/>
  <c r="V860" i="3"/>
  <c r="W860" i="3"/>
  <c r="X860" i="3"/>
  <c r="Y860" i="3"/>
  <c r="T855" i="3"/>
  <c r="U855" i="3"/>
  <c r="V855" i="3"/>
  <c r="W855" i="3"/>
  <c r="X855" i="3"/>
  <c r="Y855" i="3"/>
  <c r="T594" i="3"/>
  <c r="U594" i="3"/>
  <c r="V594" i="3"/>
  <c r="W594" i="3"/>
  <c r="X594" i="3"/>
  <c r="Y594" i="3"/>
  <c r="T863" i="3"/>
  <c r="U863" i="3"/>
  <c r="V863" i="3"/>
  <c r="W863" i="3"/>
  <c r="X863" i="3"/>
  <c r="Y863" i="3"/>
  <c r="T486" i="3"/>
  <c r="U486" i="3"/>
  <c r="V486" i="3"/>
  <c r="W486" i="3"/>
  <c r="X486" i="3"/>
  <c r="Y486" i="3"/>
  <c r="T454" i="3"/>
  <c r="U454" i="3"/>
  <c r="V454" i="3"/>
  <c r="W454" i="3"/>
  <c r="X454" i="3"/>
  <c r="Y454" i="3"/>
  <c r="T650" i="3"/>
  <c r="U650" i="3"/>
  <c r="V650" i="3"/>
  <c r="W650" i="3"/>
  <c r="X650" i="3"/>
  <c r="Y650" i="3"/>
  <c r="T325" i="3"/>
  <c r="U325" i="3"/>
  <c r="V325" i="3"/>
  <c r="W325" i="3"/>
  <c r="X325" i="3"/>
  <c r="Y325" i="3"/>
  <c r="T131" i="3"/>
  <c r="U131" i="3"/>
  <c r="V131" i="3"/>
  <c r="W131" i="3"/>
  <c r="X131" i="3"/>
  <c r="Y131" i="3"/>
  <c r="T455" i="3"/>
  <c r="U455" i="3"/>
  <c r="V455" i="3"/>
  <c r="W455" i="3"/>
  <c r="X455" i="3"/>
  <c r="Y455" i="3"/>
  <c r="T507" i="3"/>
  <c r="U507" i="3"/>
  <c r="V507" i="3"/>
  <c r="W507" i="3"/>
  <c r="X507" i="3"/>
  <c r="Y507" i="3"/>
  <c r="T652" i="3"/>
  <c r="U652" i="3"/>
  <c r="V652" i="3"/>
  <c r="W652" i="3"/>
  <c r="X652" i="3"/>
  <c r="Y652" i="3"/>
  <c r="T563" i="3"/>
  <c r="U563" i="3"/>
  <c r="V563" i="3"/>
  <c r="W563" i="3"/>
  <c r="X563" i="3"/>
  <c r="Y563" i="3"/>
  <c r="T441" i="3"/>
  <c r="U441" i="3"/>
  <c r="V441" i="3"/>
  <c r="W441" i="3"/>
  <c r="X441" i="3"/>
  <c r="Y441" i="3"/>
  <c r="T263" i="3"/>
  <c r="U263" i="3"/>
  <c r="V263" i="3"/>
  <c r="W263" i="3"/>
  <c r="X263" i="3"/>
  <c r="Y263" i="3"/>
  <c r="T145" i="3"/>
  <c r="U145" i="3"/>
  <c r="V145" i="3"/>
  <c r="W145" i="3"/>
  <c r="X145" i="3"/>
  <c r="Y145" i="3"/>
  <c r="T955" i="3"/>
  <c r="U955" i="3"/>
  <c r="V955" i="3"/>
  <c r="W955" i="3"/>
  <c r="X955" i="3"/>
  <c r="Y955" i="3"/>
  <c r="T715" i="3"/>
  <c r="U715" i="3"/>
  <c r="V715" i="3"/>
  <c r="W715" i="3"/>
  <c r="X715" i="3"/>
  <c r="Y715" i="3"/>
  <c r="T395" i="3"/>
  <c r="U395" i="3"/>
  <c r="V395" i="3"/>
  <c r="W395" i="3"/>
  <c r="X395" i="3"/>
  <c r="Y395" i="3"/>
  <c r="T531" i="3"/>
  <c r="U531" i="3"/>
  <c r="V531" i="3"/>
  <c r="W531" i="3"/>
  <c r="X531" i="3"/>
  <c r="Y531" i="3"/>
  <c r="T270" i="3"/>
  <c r="U270" i="3"/>
  <c r="V270" i="3"/>
  <c r="W270" i="3"/>
  <c r="X270" i="3"/>
  <c r="Y270" i="3"/>
  <c r="T748" i="3"/>
  <c r="U748" i="3"/>
  <c r="V748" i="3"/>
  <c r="W748" i="3"/>
  <c r="X748" i="3"/>
  <c r="Y748" i="3"/>
  <c r="T909" i="3"/>
  <c r="U909" i="3"/>
  <c r="V909" i="3"/>
  <c r="W909" i="3"/>
  <c r="X909" i="3"/>
  <c r="Y909" i="3"/>
  <c r="T114" i="3"/>
  <c r="U114" i="3"/>
  <c r="V114" i="3"/>
  <c r="W114" i="3"/>
  <c r="X114" i="3"/>
  <c r="Y114" i="3"/>
  <c r="T607" i="3"/>
  <c r="U607" i="3"/>
  <c r="V607" i="3"/>
  <c r="W607" i="3"/>
  <c r="X607" i="3"/>
  <c r="Y607" i="3"/>
  <c r="T838" i="3"/>
  <c r="U838" i="3"/>
  <c r="V838" i="3"/>
  <c r="W838" i="3"/>
  <c r="X838" i="3"/>
  <c r="Y838" i="3"/>
  <c r="T321" i="3"/>
  <c r="U321" i="3"/>
  <c r="V321" i="3"/>
  <c r="W321" i="3"/>
  <c r="X321" i="3"/>
  <c r="Y321" i="3"/>
  <c r="T533" i="3"/>
  <c r="U533" i="3"/>
  <c r="V533" i="3"/>
  <c r="W533" i="3"/>
  <c r="X533" i="3"/>
  <c r="Y533" i="3"/>
  <c r="T225" i="3"/>
  <c r="U225" i="3"/>
  <c r="V225" i="3"/>
  <c r="W225" i="3"/>
  <c r="X225" i="3"/>
  <c r="Y225" i="3"/>
  <c r="T974" i="3"/>
  <c r="U974" i="3"/>
  <c r="V974" i="3"/>
  <c r="W974" i="3"/>
  <c r="X974" i="3"/>
  <c r="Y974" i="3"/>
  <c r="T268" i="3"/>
  <c r="U268" i="3"/>
  <c r="V268" i="3"/>
  <c r="W268" i="3"/>
  <c r="X268" i="3"/>
  <c r="Y268" i="3"/>
  <c r="T28" i="3"/>
  <c r="U28" i="3"/>
  <c r="V28" i="3"/>
  <c r="W28" i="3"/>
  <c r="X28" i="3"/>
  <c r="Y28" i="3"/>
  <c r="T769" i="3"/>
  <c r="U769" i="3"/>
  <c r="V769" i="3"/>
  <c r="W769" i="3"/>
  <c r="X769" i="3"/>
  <c r="Y769" i="3"/>
  <c r="T913" i="3"/>
  <c r="U913" i="3"/>
  <c r="V913" i="3"/>
  <c r="W913" i="3"/>
  <c r="X913" i="3"/>
  <c r="Y913" i="3"/>
  <c r="T444" i="3"/>
  <c r="U444" i="3"/>
  <c r="V444" i="3"/>
  <c r="W444" i="3"/>
  <c r="X444" i="3"/>
  <c r="Y444" i="3"/>
  <c r="T597" i="3"/>
  <c r="U597" i="3"/>
  <c r="V597" i="3"/>
  <c r="W597" i="3"/>
  <c r="X597" i="3"/>
  <c r="Y597" i="3"/>
  <c r="T250" i="3"/>
  <c r="U250" i="3"/>
  <c r="V250" i="3"/>
  <c r="W250" i="3"/>
  <c r="X250" i="3"/>
  <c r="Y250" i="3"/>
  <c r="T109" i="3"/>
  <c r="U109" i="3"/>
  <c r="V109" i="3"/>
  <c r="W109" i="3"/>
  <c r="X109" i="3"/>
  <c r="Y109" i="3"/>
  <c r="T160" i="3"/>
  <c r="U160" i="3"/>
  <c r="V160" i="3"/>
  <c r="W160" i="3"/>
  <c r="X160" i="3"/>
  <c r="Y160" i="3"/>
  <c r="T584" i="3"/>
  <c r="U584" i="3"/>
  <c r="V584" i="3"/>
  <c r="W584" i="3"/>
  <c r="X584" i="3"/>
  <c r="Y584" i="3"/>
  <c r="T536" i="3"/>
  <c r="U536" i="3"/>
  <c r="V536" i="3"/>
  <c r="W536" i="3"/>
  <c r="X536" i="3"/>
  <c r="Y536" i="3"/>
  <c r="T818" i="3"/>
  <c r="U818" i="3"/>
  <c r="V818" i="3"/>
  <c r="W818" i="3"/>
  <c r="X818" i="3"/>
  <c r="Y818" i="3"/>
  <c r="T57" i="3"/>
  <c r="U57" i="3"/>
  <c r="V57" i="3"/>
  <c r="W57" i="3"/>
  <c r="X57" i="3"/>
  <c r="Y57" i="3"/>
  <c r="T616" i="3"/>
  <c r="U616" i="3"/>
  <c r="V616" i="3"/>
  <c r="W616" i="3"/>
  <c r="X616" i="3"/>
  <c r="Y616" i="3"/>
  <c r="T446" i="3"/>
  <c r="U446" i="3"/>
  <c r="V446" i="3"/>
  <c r="W446" i="3"/>
  <c r="X446" i="3"/>
  <c r="Y446" i="3"/>
  <c r="T500" i="3"/>
  <c r="U500" i="3"/>
  <c r="V500" i="3"/>
  <c r="W500" i="3"/>
  <c r="X500" i="3"/>
  <c r="Y500" i="3"/>
  <c r="T485" i="3"/>
  <c r="U485" i="3"/>
  <c r="V485" i="3"/>
  <c r="W485" i="3"/>
  <c r="X485" i="3"/>
  <c r="Y485" i="3"/>
  <c r="T524" i="3"/>
  <c r="U524" i="3"/>
  <c r="V524" i="3"/>
  <c r="W524" i="3"/>
  <c r="X524" i="3"/>
  <c r="Y524" i="3"/>
  <c r="T949" i="3"/>
  <c r="U949" i="3"/>
  <c r="V949" i="3"/>
  <c r="W949" i="3"/>
  <c r="X949" i="3"/>
  <c r="Y949" i="3"/>
  <c r="T480" i="3"/>
  <c r="U480" i="3"/>
  <c r="V480" i="3"/>
  <c r="W480" i="3"/>
  <c r="X480" i="3"/>
  <c r="Y480" i="3"/>
  <c r="T51" i="3"/>
  <c r="U51" i="3"/>
  <c r="V51" i="3"/>
  <c r="W51" i="3"/>
  <c r="X51" i="3"/>
  <c r="Y51" i="3"/>
  <c r="T469" i="3"/>
  <c r="U469" i="3"/>
  <c r="V469" i="3"/>
  <c r="W469" i="3"/>
  <c r="X469" i="3"/>
  <c r="Y469" i="3"/>
  <c r="T671" i="3"/>
  <c r="U671" i="3"/>
  <c r="V671" i="3"/>
  <c r="W671" i="3"/>
  <c r="X671" i="3"/>
  <c r="Y671" i="3"/>
  <c r="T505" i="3"/>
  <c r="U505" i="3"/>
  <c r="V505" i="3"/>
  <c r="W505" i="3"/>
  <c r="X505" i="3"/>
  <c r="Y505" i="3"/>
  <c r="T77" i="3"/>
  <c r="U77" i="3"/>
  <c r="V77" i="3"/>
  <c r="W77" i="3"/>
  <c r="X77" i="3"/>
  <c r="Y77" i="3"/>
  <c r="T558" i="3"/>
  <c r="U558" i="3"/>
  <c r="V558" i="3"/>
  <c r="W558" i="3"/>
  <c r="X558" i="3"/>
  <c r="Y558" i="3"/>
  <c r="T883" i="3"/>
  <c r="U883" i="3"/>
  <c r="V883" i="3"/>
  <c r="W883" i="3"/>
  <c r="X883" i="3"/>
  <c r="Y883" i="3"/>
  <c r="T256" i="3"/>
  <c r="U256" i="3"/>
  <c r="V256" i="3"/>
  <c r="W256" i="3"/>
  <c r="X256" i="3"/>
  <c r="Y256" i="3"/>
  <c r="T200" i="3"/>
  <c r="U200" i="3"/>
  <c r="V200" i="3"/>
  <c r="W200" i="3"/>
  <c r="X200" i="3"/>
  <c r="Y200" i="3"/>
  <c r="T312" i="3"/>
  <c r="U312" i="3"/>
  <c r="V312" i="3"/>
  <c r="W312" i="3"/>
  <c r="X312" i="3"/>
  <c r="Y312" i="3"/>
  <c r="T864" i="3"/>
  <c r="U864" i="3"/>
  <c r="V864" i="3"/>
  <c r="W864" i="3"/>
  <c r="X864" i="3"/>
  <c r="Y864" i="3"/>
  <c r="T815" i="3"/>
  <c r="U815" i="3"/>
  <c r="V815" i="3"/>
  <c r="W815" i="3"/>
  <c r="X815" i="3"/>
  <c r="Y815" i="3"/>
  <c r="T76" i="3"/>
  <c r="U76" i="3"/>
  <c r="V76" i="3"/>
  <c r="W76" i="3"/>
  <c r="X76" i="3"/>
  <c r="Y76" i="3"/>
  <c r="T60" i="3"/>
  <c r="U60" i="3"/>
  <c r="V60" i="3"/>
  <c r="W60" i="3"/>
  <c r="X60" i="3"/>
  <c r="Y60" i="3"/>
  <c r="T82" i="3"/>
  <c r="U82" i="3"/>
  <c r="V82" i="3"/>
  <c r="W82" i="3"/>
  <c r="X82" i="3"/>
  <c r="Y82" i="3"/>
  <c r="T679" i="3"/>
  <c r="U679" i="3"/>
  <c r="V679" i="3"/>
  <c r="W679" i="3"/>
  <c r="X679" i="3"/>
  <c r="Y679" i="3"/>
  <c r="T821" i="3"/>
  <c r="U821" i="3"/>
  <c r="V821" i="3"/>
  <c r="W821" i="3"/>
  <c r="X821" i="3"/>
  <c r="Y821" i="3"/>
  <c r="T417" i="3"/>
  <c r="U417" i="3"/>
  <c r="V417" i="3"/>
  <c r="W417" i="3"/>
  <c r="X417" i="3"/>
  <c r="Y417" i="3"/>
  <c r="T922" i="3"/>
  <c r="U922" i="3"/>
  <c r="V922" i="3"/>
  <c r="W922" i="3"/>
  <c r="X922" i="3"/>
  <c r="Y922" i="3"/>
  <c r="T654" i="3"/>
  <c r="U654" i="3"/>
  <c r="V654" i="3"/>
  <c r="W654" i="3"/>
  <c r="X654" i="3"/>
  <c r="Y654" i="3"/>
  <c r="T680" i="3"/>
  <c r="U680" i="3"/>
  <c r="V680" i="3"/>
  <c r="W680" i="3"/>
  <c r="X680" i="3"/>
  <c r="Y680" i="3"/>
  <c r="T213" i="3"/>
  <c r="U213" i="3"/>
  <c r="V213" i="3"/>
  <c r="W213" i="3"/>
  <c r="X213" i="3"/>
  <c r="Y213" i="3"/>
  <c r="T7" i="3"/>
  <c r="U7" i="3"/>
  <c r="V7" i="3"/>
  <c r="W7" i="3"/>
  <c r="X7" i="3"/>
  <c r="Y7" i="3"/>
  <c r="T88" i="3"/>
  <c r="U88" i="3"/>
  <c r="V88" i="3"/>
  <c r="W88" i="3"/>
  <c r="X88" i="3"/>
  <c r="Y88" i="3"/>
  <c r="T90" i="3"/>
  <c r="U90" i="3"/>
  <c r="V90" i="3"/>
  <c r="W90" i="3"/>
  <c r="X90" i="3"/>
  <c r="Y90" i="3"/>
  <c r="T902" i="3"/>
  <c r="U902" i="3"/>
  <c r="V902" i="3"/>
  <c r="W902" i="3"/>
  <c r="X902" i="3"/>
  <c r="Y902" i="3"/>
  <c r="T613" i="3"/>
  <c r="U613" i="3"/>
  <c r="V613" i="3"/>
  <c r="W613" i="3"/>
  <c r="X613" i="3"/>
  <c r="Y613" i="3"/>
  <c r="T926" i="3"/>
  <c r="U926" i="3"/>
  <c r="V926" i="3"/>
  <c r="W926" i="3"/>
  <c r="X926" i="3"/>
  <c r="Y926" i="3"/>
  <c r="T204" i="3"/>
  <c r="U204" i="3"/>
  <c r="V204" i="3"/>
  <c r="W204" i="3"/>
  <c r="X204" i="3"/>
  <c r="Y204" i="3"/>
  <c r="T78" i="3"/>
  <c r="U78" i="3"/>
  <c r="V78" i="3"/>
  <c r="W78" i="3"/>
  <c r="X78" i="3"/>
  <c r="Y78" i="3"/>
  <c r="T53" i="3"/>
  <c r="U53" i="3"/>
  <c r="V53" i="3"/>
  <c r="W53" i="3"/>
  <c r="X53" i="3"/>
  <c r="Y53" i="3"/>
  <c r="T901" i="3"/>
  <c r="U901" i="3"/>
  <c r="V901" i="3"/>
  <c r="W901" i="3"/>
  <c r="X901" i="3"/>
  <c r="Y901" i="3"/>
  <c r="T129" i="3"/>
  <c r="U129" i="3"/>
  <c r="V129" i="3"/>
  <c r="W129" i="3"/>
  <c r="X129" i="3"/>
  <c r="Y129" i="3"/>
  <c r="T538" i="3"/>
  <c r="U538" i="3"/>
  <c r="V538" i="3"/>
  <c r="W538" i="3"/>
  <c r="X538" i="3"/>
  <c r="Y538" i="3"/>
  <c r="T413" i="3"/>
  <c r="U413" i="3"/>
  <c r="V413" i="3"/>
  <c r="W413" i="3"/>
  <c r="X413" i="3"/>
  <c r="Y413" i="3"/>
  <c r="T73" i="3"/>
  <c r="U73" i="3"/>
  <c r="V73" i="3"/>
  <c r="W73" i="3"/>
  <c r="X73" i="3"/>
  <c r="Y73" i="3"/>
  <c r="T866" i="3"/>
  <c r="U866" i="3"/>
  <c r="V866" i="3"/>
  <c r="W866" i="3"/>
  <c r="X866" i="3"/>
  <c r="Y866" i="3"/>
  <c r="T271" i="3"/>
  <c r="U271" i="3"/>
  <c r="V271" i="3"/>
  <c r="W271" i="3"/>
  <c r="X271" i="3"/>
  <c r="Y271" i="3"/>
  <c r="T825" i="3"/>
  <c r="U825" i="3"/>
  <c r="V825" i="3"/>
  <c r="W825" i="3"/>
  <c r="X825" i="3"/>
  <c r="Y825" i="3"/>
  <c r="T458" i="3"/>
  <c r="U458" i="3"/>
  <c r="V458" i="3"/>
  <c r="W458" i="3"/>
  <c r="X458" i="3"/>
  <c r="Y458" i="3"/>
  <c r="T344" i="3"/>
  <c r="U344" i="3"/>
  <c r="V344" i="3"/>
  <c r="W344" i="3"/>
  <c r="X344" i="3"/>
  <c r="Y344" i="3"/>
  <c r="T368" i="3"/>
  <c r="U368" i="3"/>
  <c r="V368" i="3"/>
  <c r="W368" i="3"/>
  <c r="X368" i="3"/>
  <c r="Y368" i="3"/>
  <c r="T943" i="3"/>
  <c r="U943" i="3"/>
  <c r="V943" i="3"/>
  <c r="W943" i="3"/>
  <c r="X943" i="3"/>
  <c r="Y943" i="3"/>
  <c r="T767" i="3"/>
  <c r="U767" i="3"/>
  <c r="V767" i="3"/>
  <c r="W767" i="3"/>
  <c r="X767" i="3"/>
  <c r="Y767" i="3"/>
  <c r="T966" i="3"/>
  <c r="U966" i="3"/>
  <c r="V966" i="3"/>
  <c r="W966" i="3"/>
  <c r="X966" i="3"/>
  <c r="Y966" i="3"/>
  <c r="T868" i="3"/>
  <c r="U868" i="3"/>
  <c r="V868" i="3"/>
  <c r="W868" i="3"/>
  <c r="X868" i="3"/>
  <c r="Y868" i="3"/>
  <c r="T67" i="3"/>
  <c r="U67" i="3"/>
  <c r="V67" i="3"/>
  <c r="W67" i="3"/>
  <c r="X67" i="3"/>
  <c r="Y67" i="3"/>
  <c r="T952" i="3"/>
  <c r="U952" i="3"/>
  <c r="V952" i="3"/>
  <c r="W952" i="3"/>
  <c r="X952" i="3"/>
  <c r="Y952" i="3"/>
  <c r="T164" i="3"/>
  <c r="U164" i="3"/>
  <c r="V164" i="3"/>
  <c r="W164" i="3"/>
  <c r="X164" i="3"/>
  <c r="Y164" i="3"/>
  <c r="T599" i="3"/>
  <c r="U599" i="3"/>
  <c r="V599" i="3"/>
  <c r="W599" i="3"/>
  <c r="X599" i="3"/>
  <c r="Y599" i="3"/>
  <c r="T306" i="3"/>
  <c r="U306" i="3"/>
  <c r="V306" i="3"/>
  <c r="W306" i="3"/>
  <c r="X306" i="3"/>
  <c r="Y306" i="3"/>
  <c r="T664" i="3"/>
  <c r="U664" i="3"/>
  <c r="V664" i="3"/>
  <c r="W664" i="3"/>
  <c r="X664" i="3"/>
  <c r="Y664" i="3"/>
  <c r="T95" i="3"/>
  <c r="U95" i="3"/>
  <c r="V95" i="3"/>
  <c r="W95" i="3"/>
  <c r="X95" i="3"/>
  <c r="Y95" i="3"/>
  <c r="T718" i="3"/>
  <c r="U718" i="3"/>
  <c r="V718" i="3"/>
  <c r="W718" i="3"/>
  <c r="X718" i="3"/>
  <c r="Y718" i="3"/>
  <c r="T372" i="3"/>
  <c r="U372" i="3"/>
  <c r="V372" i="3"/>
  <c r="W372" i="3"/>
  <c r="X372" i="3"/>
  <c r="Y372" i="3"/>
  <c r="T612" i="3"/>
  <c r="U612" i="3"/>
  <c r="V612" i="3"/>
  <c r="W612" i="3"/>
  <c r="X612" i="3"/>
  <c r="Y612" i="3"/>
  <c r="T192" i="3"/>
  <c r="U192" i="3"/>
  <c r="V192" i="3"/>
  <c r="W192" i="3"/>
  <c r="X192" i="3"/>
  <c r="Y192" i="3"/>
  <c r="T404" i="3"/>
  <c r="U404" i="3"/>
  <c r="V404" i="3"/>
  <c r="W404" i="3"/>
  <c r="X404" i="3"/>
  <c r="Y404" i="3"/>
  <c r="T703" i="3"/>
  <c r="U703" i="3"/>
  <c r="V703" i="3"/>
  <c r="W703" i="3"/>
  <c r="X703" i="3"/>
  <c r="Y703" i="3"/>
  <c r="T660" i="3"/>
  <c r="U660" i="3"/>
  <c r="V660" i="3"/>
  <c r="W660" i="3"/>
  <c r="X660" i="3"/>
  <c r="Y660" i="3"/>
  <c r="T348" i="3"/>
  <c r="U348" i="3"/>
  <c r="V348" i="3"/>
  <c r="W348" i="3"/>
  <c r="X348" i="3"/>
  <c r="Y348" i="3"/>
  <c r="T224" i="3"/>
  <c r="U224" i="3"/>
  <c r="V224" i="3"/>
  <c r="W224" i="3"/>
  <c r="X224" i="3"/>
  <c r="Y224" i="3"/>
  <c r="T320" i="3"/>
  <c r="U320" i="3"/>
  <c r="V320" i="3"/>
  <c r="W320" i="3"/>
  <c r="X320" i="3"/>
  <c r="Y320" i="3"/>
  <c r="T907" i="3"/>
  <c r="U907" i="3"/>
  <c r="V907" i="3"/>
  <c r="W907" i="3"/>
  <c r="X907" i="3"/>
  <c r="Y907" i="3"/>
  <c r="T392" i="3"/>
  <c r="U392" i="3"/>
  <c r="V392" i="3"/>
  <c r="W392" i="3"/>
  <c r="X392" i="3"/>
  <c r="Y392" i="3"/>
  <c r="T604" i="3"/>
  <c r="U604" i="3"/>
  <c r="V604" i="3"/>
  <c r="W604" i="3"/>
  <c r="X604" i="3"/>
  <c r="Y604" i="3"/>
  <c r="T289" i="3"/>
  <c r="U289" i="3"/>
  <c r="V289" i="3"/>
  <c r="W289" i="3"/>
  <c r="X289" i="3"/>
  <c r="Y289" i="3"/>
  <c r="T254" i="3"/>
  <c r="U254" i="3"/>
  <c r="V254" i="3"/>
  <c r="W254" i="3"/>
  <c r="X254" i="3"/>
  <c r="Y254" i="3"/>
  <c r="T634" i="3"/>
  <c r="U634" i="3"/>
  <c r="V634" i="3"/>
  <c r="W634" i="3"/>
  <c r="X634" i="3"/>
  <c r="Y634" i="3"/>
  <c r="T696" i="3"/>
  <c r="U696" i="3"/>
  <c r="V696" i="3"/>
  <c r="W696" i="3"/>
  <c r="X696" i="3"/>
  <c r="Y696" i="3"/>
  <c r="T803" i="3"/>
  <c r="U803" i="3"/>
  <c r="V803" i="3"/>
  <c r="W803" i="3"/>
  <c r="X803" i="3"/>
  <c r="Y803" i="3"/>
  <c r="T764" i="3"/>
  <c r="U764" i="3"/>
  <c r="V764" i="3"/>
  <c r="W764" i="3"/>
  <c r="X764" i="3"/>
  <c r="Y764" i="3"/>
  <c r="T249" i="3"/>
  <c r="U249" i="3"/>
  <c r="V249" i="3"/>
  <c r="W249" i="3"/>
  <c r="X249" i="3"/>
  <c r="Y249" i="3"/>
  <c r="T208" i="3"/>
  <c r="U208" i="3"/>
  <c r="V208" i="3"/>
  <c r="W208" i="3"/>
  <c r="X208" i="3"/>
  <c r="Y208" i="3"/>
  <c r="T640" i="3"/>
  <c r="U640" i="3"/>
  <c r="V640" i="3"/>
  <c r="W640" i="3"/>
  <c r="X640" i="3"/>
  <c r="Y640" i="3"/>
  <c r="T858" i="3"/>
  <c r="U858" i="3"/>
  <c r="V858" i="3"/>
  <c r="W858" i="3"/>
  <c r="X858" i="3"/>
  <c r="Y858" i="3"/>
  <c r="T316" i="3"/>
  <c r="U316" i="3"/>
  <c r="V316" i="3"/>
  <c r="W316" i="3"/>
  <c r="X316" i="3"/>
  <c r="Y316" i="3"/>
  <c r="T118" i="3"/>
  <c r="U118" i="3"/>
  <c r="V118" i="3"/>
  <c r="W118" i="3"/>
  <c r="X118" i="3"/>
  <c r="Y118" i="3"/>
  <c r="T720" i="3"/>
  <c r="U720" i="3"/>
  <c r="V720" i="3"/>
  <c r="W720" i="3"/>
  <c r="X720" i="3"/>
  <c r="Y720" i="3"/>
  <c r="T845" i="3"/>
  <c r="U845" i="3"/>
  <c r="V845" i="3"/>
  <c r="W845" i="3"/>
  <c r="X845" i="3"/>
  <c r="Y845" i="3"/>
  <c r="T576" i="3"/>
  <c r="U576" i="3"/>
  <c r="V576" i="3"/>
  <c r="W576" i="3"/>
  <c r="X576" i="3"/>
  <c r="Y576" i="3"/>
  <c r="T59" i="3"/>
  <c r="U59" i="3"/>
  <c r="V59" i="3"/>
  <c r="W59" i="3"/>
  <c r="X59" i="3"/>
  <c r="Y59" i="3"/>
  <c r="T172" i="3"/>
  <c r="U172" i="3"/>
  <c r="V172" i="3"/>
  <c r="W172" i="3"/>
  <c r="X172" i="3"/>
  <c r="Y172" i="3"/>
  <c r="T424" i="3"/>
  <c r="U424" i="3"/>
  <c r="V424" i="3"/>
  <c r="W424" i="3"/>
  <c r="X424" i="3"/>
  <c r="Y424" i="3"/>
  <c r="T462" i="3"/>
  <c r="U462" i="3"/>
  <c r="V462" i="3"/>
  <c r="W462" i="3"/>
  <c r="X462" i="3"/>
  <c r="Y462" i="3"/>
  <c r="T430" i="3"/>
  <c r="U430" i="3"/>
  <c r="V430" i="3"/>
  <c r="W430" i="3"/>
  <c r="X430" i="3"/>
  <c r="Y430" i="3"/>
  <c r="T600" i="3"/>
  <c r="U600" i="3"/>
  <c r="V600" i="3"/>
  <c r="W600" i="3"/>
  <c r="X600" i="3"/>
  <c r="Y600" i="3"/>
  <c r="T92" i="3"/>
  <c r="U92" i="3"/>
  <c r="V92" i="3"/>
  <c r="W92" i="3"/>
  <c r="X92" i="3"/>
  <c r="Y92" i="3"/>
  <c r="T293" i="3"/>
  <c r="U293" i="3"/>
  <c r="V293" i="3"/>
  <c r="W293" i="3"/>
  <c r="X293" i="3"/>
  <c r="Y293" i="3"/>
  <c r="T632" i="3"/>
  <c r="U632" i="3"/>
  <c r="V632" i="3"/>
  <c r="W632" i="3"/>
  <c r="X632" i="3"/>
  <c r="Y632" i="3"/>
  <c r="T582" i="3"/>
  <c r="U582" i="3"/>
  <c r="V582" i="3"/>
  <c r="W582" i="3"/>
  <c r="X582" i="3"/>
  <c r="Y582" i="3"/>
  <c r="T5" i="3"/>
  <c r="U5" i="3"/>
  <c r="V5" i="3"/>
  <c r="W5" i="3"/>
  <c r="X5" i="3"/>
  <c r="Y5" i="3"/>
  <c r="T20" i="3"/>
  <c r="U20" i="3"/>
  <c r="V20" i="3"/>
  <c r="W20" i="3"/>
  <c r="X20" i="3"/>
  <c r="Y20" i="3"/>
  <c r="T267" i="3"/>
  <c r="U267" i="3"/>
  <c r="V267" i="3"/>
  <c r="W267" i="3"/>
  <c r="X267" i="3"/>
  <c r="Y267" i="3"/>
  <c r="T26" i="3"/>
  <c r="U26" i="3"/>
  <c r="V26" i="3"/>
  <c r="W26" i="3"/>
  <c r="X26" i="3"/>
  <c r="Y26" i="3"/>
  <c r="T757" i="3"/>
  <c r="U757" i="3"/>
  <c r="V757" i="3"/>
  <c r="W757" i="3"/>
  <c r="X757" i="3"/>
  <c r="Y757" i="3"/>
  <c r="T735" i="3"/>
  <c r="U735" i="3"/>
  <c r="V735" i="3"/>
  <c r="W735" i="3"/>
  <c r="X735" i="3"/>
  <c r="Y735" i="3"/>
  <c r="T98" i="3"/>
  <c r="U98" i="3"/>
  <c r="V98" i="3"/>
  <c r="W98" i="3"/>
  <c r="X98" i="3"/>
  <c r="Y98" i="3"/>
  <c r="T301" i="3"/>
  <c r="U301" i="3"/>
  <c r="V301" i="3"/>
  <c r="W301" i="3"/>
  <c r="X301" i="3"/>
  <c r="Y301" i="3"/>
  <c r="T700" i="3"/>
  <c r="U700" i="3"/>
  <c r="V700" i="3"/>
  <c r="W700" i="3"/>
  <c r="X700" i="3"/>
  <c r="Y700" i="3"/>
  <c r="T746" i="3"/>
  <c r="U746" i="3"/>
  <c r="V746" i="3"/>
  <c r="W746" i="3"/>
  <c r="X746" i="3"/>
  <c r="Y746" i="3"/>
  <c r="T610" i="3"/>
  <c r="U610" i="3"/>
  <c r="V610" i="3"/>
  <c r="W610" i="3"/>
  <c r="X610" i="3"/>
  <c r="Y610" i="3"/>
  <c r="T347" i="3"/>
  <c r="U347" i="3"/>
  <c r="V347" i="3"/>
  <c r="W347" i="3"/>
  <c r="X347" i="3"/>
  <c r="Y347" i="3"/>
  <c r="T924" i="3"/>
  <c r="U924" i="3"/>
  <c r="V924" i="3"/>
  <c r="W924" i="3"/>
  <c r="X924" i="3"/>
  <c r="Y924" i="3"/>
  <c r="T447" i="3"/>
  <c r="U447" i="3"/>
  <c r="V447" i="3"/>
  <c r="W447" i="3"/>
  <c r="X447" i="3"/>
  <c r="Y447" i="3"/>
  <c r="T630" i="3"/>
  <c r="U630" i="3"/>
  <c r="V630" i="3"/>
  <c r="W630" i="3"/>
  <c r="X630" i="3"/>
  <c r="Y630" i="3"/>
  <c r="T173" i="3"/>
  <c r="U173" i="3"/>
  <c r="V173" i="3"/>
  <c r="W173" i="3"/>
  <c r="X173" i="3"/>
  <c r="Y173" i="3"/>
  <c r="T23" i="3"/>
  <c r="U23" i="3"/>
  <c r="V23" i="3"/>
  <c r="W23" i="3"/>
  <c r="X23" i="3"/>
  <c r="Y23" i="3"/>
  <c r="T457" i="3"/>
  <c r="U457" i="3"/>
  <c r="V457" i="3"/>
  <c r="W457" i="3"/>
  <c r="X457" i="3"/>
  <c r="Y457" i="3"/>
  <c r="T21" i="3"/>
  <c r="U21" i="3"/>
  <c r="V21" i="3"/>
  <c r="W21" i="3"/>
  <c r="X21" i="3"/>
  <c r="Y21" i="3"/>
  <c r="T135" i="3"/>
  <c r="U135" i="3"/>
  <c r="V135" i="3"/>
  <c r="W135" i="3"/>
  <c r="X135" i="3"/>
  <c r="Y135" i="3"/>
  <c r="T865" i="3"/>
  <c r="U865" i="3"/>
  <c r="V865" i="3"/>
  <c r="W865" i="3"/>
  <c r="X865" i="3"/>
  <c r="Y865" i="3"/>
  <c r="T217" i="3"/>
  <c r="U217" i="3"/>
  <c r="V217" i="3"/>
  <c r="W217" i="3"/>
  <c r="X217" i="3"/>
  <c r="Y217" i="3"/>
  <c r="T721" i="3"/>
  <c r="U721" i="3"/>
  <c r="V721" i="3"/>
  <c r="W721" i="3"/>
  <c r="X721" i="3"/>
  <c r="Y721" i="3"/>
  <c r="T763" i="3"/>
  <c r="U763" i="3"/>
  <c r="V763" i="3"/>
  <c r="W763" i="3"/>
  <c r="X763" i="3"/>
  <c r="Y763" i="3"/>
  <c r="T65" i="3"/>
  <c r="U65" i="3"/>
  <c r="V65" i="3"/>
  <c r="W65" i="3"/>
  <c r="X65" i="3"/>
  <c r="Y65" i="3"/>
  <c r="T624" i="3"/>
  <c r="U624" i="3"/>
  <c r="V624" i="3"/>
  <c r="W624" i="3"/>
  <c r="X624" i="3"/>
  <c r="Y624" i="3"/>
  <c r="T722" i="3"/>
  <c r="U722" i="3"/>
  <c r="V722" i="3"/>
  <c r="W722" i="3"/>
  <c r="X722" i="3"/>
  <c r="Y722" i="3"/>
  <c r="T356" i="3"/>
  <c r="U356" i="3"/>
  <c r="V356" i="3"/>
  <c r="W356" i="3"/>
  <c r="X356" i="3"/>
  <c r="Y356" i="3"/>
  <c r="T951" i="3"/>
  <c r="U951" i="3"/>
  <c r="V951" i="3"/>
  <c r="W951" i="3"/>
  <c r="X951" i="3"/>
  <c r="Y951" i="3"/>
  <c r="T358" i="3"/>
  <c r="U358" i="3"/>
  <c r="V358" i="3"/>
  <c r="W358" i="3"/>
  <c r="X358" i="3"/>
  <c r="Y358" i="3"/>
  <c r="T619" i="3"/>
  <c r="U619" i="3"/>
  <c r="V619" i="3"/>
  <c r="W619" i="3"/>
  <c r="X619" i="3"/>
  <c r="Y619" i="3"/>
  <c r="T142" i="3"/>
  <c r="U142" i="3"/>
  <c r="V142" i="3"/>
  <c r="W142" i="3"/>
  <c r="X142" i="3"/>
  <c r="Y142" i="3"/>
  <c r="T116" i="3"/>
  <c r="U116" i="3"/>
  <c r="V116" i="3"/>
  <c r="W116" i="3"/>
  <c r="X116" i="3"/>
  <c r="Y116" i="3"/>
  <c r="T182" i="3"/>
  <c r="U182" i="3"/>
  <c r="V182" i="3"/>
  <c r="W182" i="3"/>
  <c r="X182" i="3"/>
  <c r="Y182" i="3"/>
  <c r="T518" i="3"/>
  <c r="U518" i="3"/>
  <c r="V518" i="3"/>
  <c r="W518" i="3"/>
  <c r="X518" i="3"/>
  <c r="Y518" i="3"/>
  <c r="T313" i="3"/>
  <c r="U313" i="3"/>
  <c r="V313" i="3"/>
  <c r="W313" i="3"/>
  <c r="X313" i="3"/>
  <c r="Y313" i="3"/>
  <c r="T245" i="3"/>
  <c r="U245" i="3"/>
  <c r="V245" i="3"/>
  <c r="W245" i="3"/>
  <c r="X245" i="3"/>
  <c r="Y245" i="3"/>
  <c r="T231" i="3"/>
  <c r="U231" i="3"/>
  <c r="V231" i="3"/>
  <c r="W231" i="3"/>
  <c r="X231" i="3"/>
  <c r="Y231" i="3"/>
  <c r="T479" i="3"/>
  <c r="U479" i="3"/>
  <c r="V479" i="3"/>
  <c r="W479" i="3"/>
  <c r="X479" i="3"/>
  <c r="Y479" i="3"/>
  <c r="T258" i="3"/>
  <c r="U258" i="3"/>
  <c r="V258" i="3"/>
  <c r="W258" i="3"/>
  <c r="X258" i="3"/>
  <c r="Y258" i="3"/>
  <c r="T788" i="3"/>
  <c r="U788" i="3"/>
  <c r="V788" i="3"/>
  <c r="W788" i="3"/>
  <c r="X788" i="3"/>
  <c r="Y788" i="3"/>
  <c r="T875" i="3"/>
  <c r="U875" i="3"/>
  <c r="V875" i="3"/>
  <c r="W875" i="3"/>
  <c r="X875" i="3"/>
  <c r="Y875" i="3"/>
  <c r="T603" i="3"/>
  <c r="U603" i="3"/>
  <c r="V603" i="3"/>
  <c r="W603" i="3"/>
  <c r="X603" i="3"/>
  <c r="Y603" i="3"/>
  <c r="T152" i="3"/>
  <c r="U152" i="3"/>
  <c r="V152" i="3"/>
  <c r="W152" i="3"/>
  <c r="X152" i="3"/>
  <c r="Y152" i="3"/>
  <c r="T598" i="3"/>
  <c r="U598" i="3"/>
  <c r="V598" i="3"/>
  <c r="W598" i="3"/>
  <c r="X598" i="3"/>
  <c r="Y598" i="3"/>
  <c r="T535" i="3"/>
  <c r="U535" i="3"/>
  <c r="V535" i="3"/>
  <c r="W535" i="3"/>
  <c r="X535" i="3"/>
  <c r="Y535" i="3"/>
  <c r="T465" i="3"/>
  <c r="U465" i="3"/>
  <c r="V465" i="3"/>
  <c r="W465" i="3"/>
  <c r="X465" i="3"/>
  <c r="Y465" i="3"/>
  <c r="T4" i="3"/>
  <c r="U4" i="3"/>
  <c r="V4" i="3"/>
  <c r="W4" i="3"/>
  <c r="X4" i="3"/>
  <c r="Y4" i="3"/>
  <c r="T195" i="3"/>
  <c r="U195" i="3"/>
  <c r="V195" i="3"/>
  <c r="W195" i="3"/>
  <c r="X195" i="3"/>
  <c r="Y195" i="3"/>
  <c r="T946" i="3"/>
  <c r="U946" i="3"/>
  <c r="V946" i="3"/>
  <c r="W946" i="3"/>
  <c r="X946" i="3"/>
  <c r="Y946" i="3"/>
  <c r="T104" i="3"/>
  <c r="U104" i="3"/>
  <c r="V104" i="3"/>
  <c r="W104" i="3"/>
  <c r="X104" i="3"/>
  <c r="Y104" i="3"/>
  <c r="T85" i="3"/>
  <c r="U85" i="3"/>
  <c r="V85" i="3"/>
  <c r="W85" i="3"/>
  <c r="X85" i="3"/>
  <c r="Y85" i="3"/>
  <c r="T910" i="3"/>
  <c r="U910" i="3"/>
  <c r="V910" i="3"/>
  <c r="W910" i="3"/>
  <c r="X910" i="3"/>
  <c r="Y910" i="3"/>
  <c r="T385" i="3"/>
  <c r="U385" i="3"/>
  <c r="V385" i="3"/>
  <c r="W385" i="3"/>
  <c r="X385" i="3"/>
  <c r="Y385" i="3"/>
  <c r="T49" i="3"/>
  <c r="U49" i="3"/>
  <c r="V49" i="3"/>
  <c r="W49" i="3"/>
  <c r="X49" i="3"/>
  <c r="Y49" i="3"/>
  <c r="T232" i="3"/>
  <c r="U232" i="3"/>
  <c r="V232" i="3"/>
  <c r="W232" i="3"/>
  <c r="X232" i="3"/>
  <c r="Y232" i="3"/>
  <c r="T63" i="3"/>
  <c r="U63" i="3"/>
  <c r="V63" i="3"/>
  <c r="W63" i="3"/>
  <c r="X63" i="3"/>
  <c r="Y63" i="3"/>
  <c r="T96" i="3"/>
  <c r="U96" i="3"/>
  <c r="V96" i="3"/>
  <c r="W96" i="3"/>
  <c r="X96" i="3"/>
  <c r="Y96" i="3"/>
  <c r="T589" i="3"/>
  <c r="U589" i="3"/>
  <c r="V589" i="3"/>
  <c r="W589" i="3"/>
  <c r="X589" i="3"/>
  <c r="Y589" i="3"/>
  <c r="T729" i="3"/>
  <c r="U729" i="3"/>
  <c r="V729" i="3"/>
  <c r="W729" i="3"/>
  <c r="X729" i="3"/>
  <c r="Y729" i="3"/>
  <c r="T36" i="3"/>
  <c r="U36" i="3"/>
  <c r="V36" i="3"/>
  <c r="W36" i="3"/>
  <c r="X36" i="3"/>
  <c r="Y36" i="3"/>
  <c r="T555" i="3"/>
  <c r="U555" i="3"/>
  <c r="V555" i="3"/>
  <c r="W555" i="3"/>
  <c r="X555" i="3"/>
  <c r="Y555" i="3"/>
  <c r="T123" i="3"/>
  <c r="U123" i="3"/>
  <c r="V123" i="3"/>
  <c r="W123" i="3"/>
  <c r="X123" i="3"/>
  <c r="Y123" i="3"/>
  <c r="T332" i="3"/>
  <c r="U332" i="3"/>
  <c r="V332" i="3"/>
  <c r="W332" i="3"/>
  <c r="X332" i="3"/>
  <c r="Y332" i="3"/>
  <c r="T633" i="3"/>
  <c r="U633" i="3"/>
  <c r="V633" i="3"/>
  <c r="W633" i="3"/>
  <c r="X633" i="3"/>
  <c r="Y633" i="3"/>
  <c r="T350" i="3"/>
  <c r="U350" i="3"/>
  <c r="V350" i="3"/>
  <c r="W350" i="3"/>
  <c r="X350" i="3"/>
  <c r="Y350" i="3"/>
  <c r="T50" i="3"/>
  <c r="U50" i="3"/>
  <c r="V50" i="3"/>
  <c r="W50" i="3"/>
  <c r="X50" i="3"/>
  <c r="Y50" i="3"/>
  <c r="T319" i="3"/>
  <c r="U319" i="3"/>
  <c r="V319" i="3"/>
  <c r="W319" i="3"/>
  <c r="X319" i="3"/>
  <c r="Y319" i="3"/>
  <c r="T236" i="3"/>
  <c r="U236" i="3"/>
  <c r="V236" i="3"/>
  <c r="W236" i="3"/>
  <c r="X236" i="3"/>
  <c r="Y236" i="3"/>
  <c r="T804" i="3"/>
  <c r="U804" i="3"/>
  <c r="V804" i="3"/>
  <c r="W804" i="3"/>
  <c r="X804" i="3"/>
  <c r="Y804" i="3"/>
  <c r="T627" i="3"/>
  <c r="U627" i="3"/>
  <c r="V627" i="3"/>
  <c r="W627" i="3"/>
  <c r="X627" i="3"/>
  <c r="Y627" i="3"/>
  <c r="T396" i="3"/>
  <c r="U396" i="3"/>
  <c r="V396" i="3"/>
  <c r="W396" i="3"/>
  <c r="X396" i="3"/>
  <c r="Y396" i="3"/>
  <c r="T544" i="3"/>
  <c r="U544" i="3"/>
  <c r="V544" i="3"/>
  <c r="W544" i="3"/>
  <c r="X544" i="3"/>
  <c r="Y544" i="3"/>
  <c r="T199" i="3"/>
  <c r="U199" i="3"/>
  <c r="V199" i="3"/>
  <c r="W199" i="3"/>
  <c r="X199" i="3"/>
  <c r="Y199" i="3"/>
  <c r="T451" i="3"/>
  <c r="U451" i="3"/>
  <c r="V451" i="3"/>
  <c r="W451" i="3"/>
  <c r="X451" i="3"/>
  <c r="Y451" i="3"/>
  <c r="T742" i="3"/>
  <c r="U742" i="3"/>
  <c r="V742" i="3"/>
  <c r="W742" i="3"/>
  <c r="X742" i="3"/>
  <c r="Y742" i="3"/>
  <c r="T577" i="3"/>
  <c r="U577" i="3"/>
  <c r="V577" i="3"/>
  <c r="W577" i="3"/>
  <c r="X577" i="3"/>
  <c r="Y577" i="3"/>
  <c r="T534" i="3"/>
  <c r="U534" i="3"/>
  <c r="V534" i="3"/>
  <c r="W534" i="3"/>
  <c r="X534" i="3"/>
  <c r="Y534" i="3"/>
  <c r="T12" i="3"/>
  <c r="U12" i="3"/>
  <c r="V12" i="3"/>
  <c r="W12" i="3"/>
  <c r="X12" i="3"/>
  <c r="Y12" i="3"/>
  <c r="T940" i="3"/>
  <c r="U940" i="3"/>
  <c r="V940" i="3"/>
  <c r="W940" i="3"/>
  <c r="X940" i="3"/>
  <c r="Y940" i="3"/>
  <c r="T240" i="3"/>
  <c r="U240" i="3"/>
  <c r="V240" i="3"/>
  <c r="W240" i="3"/>
  <c r="X240" i="3"/>
  <c r="Y240" i="3"/>
  <c r="T266" i="3"/>
  <c r="U266" i="3"/>
  <c r="V266" i="3"/>
  <c r="W266" i="3"/>
  <c r="X266" i="3"/>
  <c r="Y266" i="3"/>
  <c r="T560" i="3"/>
  <c r="U560" i="3"/>
  <c r="V560" i="3"/>
  <c r="W560" i="3"/>
  <c r="X560" i="3"/>
  <c r="Y560" i="3"/>
  <c r="T590" i="3"/>
  <c r="U590" i="3"/>
  <c r="V590" i="3"/>
  <c r="W590" i="3"/>
  <c r="X590" i="3"/>
  <c r="Y590" i="3"/>
  <c r="T752" i="3"/>
  <c r="U752" i="3"/>
  <c r="V752" i="3"/>
  <c r="W752" i="3"/>
  <c r="X752" i="3"/>
  <c r="Y752" i="3"/>
  <c r="T346" i="3"/>
  <c r="U346" i="3"/>
  <c r="V346" i="3"/>
  <c r="W346" i="3"/>
  <c r="X346" i="3"/>
  <c r="Y346" i="3"/>
  <c r="T493" i="3"/>
  <c r="U493" i="3"/>
  <c r="V493" i="3"/>
  <c r="W493" i="3"/>
  <c r="X493" i="3"/>
  <c r="Y493" i="3"/>
  <c r="T835" i="3"/>
  <c r="U835" i="3"/>
  <c r="V835" i="3"/>
  <c r="W835" i="3"/>
  <c r="X835" i="3"/>
  <c r="Y835" i="3"/>
  <c r="T682" i="3"/>
  <c r="U682" i="3"/>
  <c r="V682" i="3"/>
  <c r="W682" i="3"/>
  <c r="X682" i="3"/>
  <c r="Y682" i="3"/>
  <c r="T329" i="3"/>
  <c r="U329" i="3"/>
  <c r="V329" i="3"/>
  <c r="W329" i="3"/>
  <c r="X329" i="3"/>
  <c r="Y329" i="3"/>
  <c r="T573" i="3"/>
  <c r="U573" i="3"/>
  <c r="V573" i="3"/>
  <c r="W573" i="3"/>
  <c r="X573" i="3"/>
  <c r="Y573" i="3"/>
  <c r="T509" i="3"/>
  <c r="U509" i="3"/>
  <c r="V509" i="3"/>
  <c r="W509" i="3"/>
  <c r="X509" i="3"/>
  <c r="Y509" i="3"/>
  <c r="T210" i="3"/>
  <c r="U210" i="3"/>
  <c r="V210" i="3"/>
  <c r="W210" i="3"/>
  <c r="X210" i="3"/>
  <c r="Y210" i="3"/>
  <c r="T923" i="3"/>
  <c r="U923" i="3"/>
  <c r="V923" i="3"/>
  <c r="W923" i="3"/>
  <c r="X923" i="3"/>
  <c r="Y923" i="3"/>
  <c r="T934" i="3"/>
  <c r="U934" i="3"/>
  <c r="V934" i="3"/>
  <c r="W934" i="3"/>
  <c r="X934" i="3"/>
  <c r="Y934" i="3"/>
  <c r="T352" i="3"/>
  <c r="U352" i="3"/>
  <c r="V352" i="3"/>
  <c r="W352" i="3"/>
  <c r="X352" i="3"/>
  <c r="Y352" i="3"/>
  <c r="T487" i="3"/>
  <c r="U487" i="3"/>
  <c r="V487" i="3"/>
  <c r="W487" i="3"/>
  <c r="X487" i="3"/>
  <c r="Y487" i="3"/>
  <c r="T644" i="3"/>
  <c r="U644" i="3"/>
  <c r="V644" i="3"/>
  <c r="W644" i="3"/>
  <c r="X644" i="3"/>
  <c r="Y644" i="3"/>
  <c r="T523" i="3"/>
  <c r="U523" i="3"/>
  <c r="V523" i="3"/>
  <c r="W523" i="3"/>
  <c r="X523" i="3"/>
  <c r="Y523" i="3"/>
  <c r="T226" i="3"/>
  <c r="U226" i="3"/>
  <c r="V226" i="3"/>
  <c r="W226" i="3"/>
  <c r="X226" i="3"/>
  <c r="Y226" i="3"/>
  <c r="T542" i="3"/>
  <c r="U542" i="3"/>
  <c r="V542" i="3"/>
  <c r="W542" i="3"/>
  <c r="X542" i="3"/>
  <c r="Y542" i="3"/>
  <c r="T631" i="3"/>
  <c r="U631" i="3"/>
  <c r="V631" i="3"/>
  <c r="W631" i="3"/>
  <c r="X631" i="3"/>
  <c r="Y631" i="3"/>
  <c r="T658" i="3"/>
  <c r="U658" i="3"/>
  <c r="V658" i="3"/>
  <c r="W658" i="3"/>
  <c r="X658" i="3"/>
  <c r="Y658" i="3"/>
  <c r="T847" i="3"/>
  <c r="U847" i="3"/>
  <c r="V847" i="3"/>
  <c r="W847" i="3"/>
  <c r="X847" i="3"/>
  <c r="Y847" i="3"/>
  <c r="T919" i="3"/>
  <c r="U919" i="3"/>
  <c r="V919" i="3"/>
  <c r="W919" i="3"/>
  <c r="X919" i="3"/>
  <c r="Y919" i="3"/>
  <c r="T408" i="3"/>
  <c r="U408" i="3"/>
  <c r="V408" i="3"/>
  <c r="W408" i="3"/>
  <c r="X408" i="3"/>
  <c r="Y408" i="3"/>
  <c r="T667" i="3"/>
  <c r="U667" i="3"/>
  <c r="V667" i="3"/>
  <c r="W667" i="3"/>
  <c r="X667" i="3"/>
  <c r="Y667" i="3"/>
  <c r="T32" i="3"/>
  <c r="U32" i="3"/>
  <c r="V32" i="3"/>
  <c r="W32" i="3"/>
  <c r="X32" i="3"/>
  <c r="Y32" i="3"/>
  <c r="T548" i="3"/>
  <c r="U548" i="3"/>
  <c r="V548" i="3"/>
  <c r="W548" i="3"/>
  <c r="X548" i="3"/>
  <c r="Y548" i="3"/>
  <c r="T207" i="3"/>
  <c r="U207" i="3"/>
  <c r="V207" i="3"/>
  <c r="W207" i="3"/>
  <c r="X207" i="3"/>
  <c r="Y207" i="3"/>
  <c r="T62" i="3"/>
  <c r="U62" i="3"/>
  <c r="V62" i="3"/>
  <c r="W62" i="3"/>
  <c r="X62" i="3"/>
  <c r="Y62" i="3"/>
  <c r="T539" i="3"/>
  <c r="U539" i="3"/>
  <c r="V539" i="3"/>
  <c r="W539" i="3"/>
  <c r="X539" i="3"/>
  <c r="Y539" i="3"/>
  <c r="T165" i="3"/>
  <c r="U165" i="3"/>
  <c r="V165" i="3"/>
  <c r="W165" i="3"/>
  <c r="X165" i="3"/>
  <c r="Y165" i="3"/>
  <c r="T553" i="3"/>
  <c r="U553" i="3"/>
  <c r="V553" i="3"/>
  <c r="W553" i="3"/>
  <c r="X553" i="3"/>
  <c r="Y553" i="3"/>
  <c r="T826" i="3"/>
  <c r="U826" i="3"/>
  <c r="V826" i="3"/>
  <c r="W826" i="3"/>
  <c r="X826" i="3"/>
  <c r="Y826" i="3"/>
  <c r="T793" i="3"/>
  <c r="U793" i="3"/>
  <c r="V793" i="3"/>
  <c r="W793" i="3"/>
  <c r="X793" i="3"/>
  <c r="Y793" i="3"/>
  <c r="T707" i="3"/>
  <c r="U707" i="3"/>
  <c r="V707" i="3"/>
  <c r="W707" i="3"/>
  <c r="X707" i="3"/>
  <c r="Y707" i="3"/>
  <c r="T965" i="3"/>
  <c r="U965" i="3"/>
  <c r="V965" i="3"/>
  <c r="W965" i="3"/>
  <c r="X965" i="3"/>
  <c r="Y965" i="3"/>
  <c r="T564" i="3"/>
  <c r="U564" i="3"/>
  <c r="V564" i="3"/>
  <c r="W564" i="3"/>
  <c r="X564" i="3"/>
  <c r="Y564" i="3"/>
  <c r="T227" i="3"/>
  <c r="U227" i="3"/>
  <c r="V227" i="3"/>
  <c r="W227" i="3"/>
  <c r="X227" i="3"/>
  <c r="Y227" i="3"/>
  <c r="T519" i="3"/>
  <c r="U519" i="3"/>
  <c r="V519" i="3"/>
  <c r="W519" i="3"/>
  <c r="X519" i="3"/>
  <c r="Y519" i="3"/>
  <c r="T678" i="3"/>
  <c r="U678" i="3"/>
  <c r="V678" i="3"/>
  <c r="W678" i="3"/>
  <c r="X678" i="3"/>
  <c r="Y678" i="3"/>
  <c r="T15" i="3"/>
  <c r="U15" i="3"/>
  <c r="V15" i="3"/>
  <c r="W15" i="3"/>
  <c r="X15" i="3"/>
  <c r="Y15" i="3"/>
  <c r="T190" i="3"/>
  <c r="U190" i="3"/>
  <c r="V190" i="3"/>
  <c r="W190" i="3"/>
  <c r="X190" i="3"/>
  <c r="Y190" i="3"/>
  <c r="T714" i="3"/>
  <c r="U714" i="3"/>
  <c r="V714" i="3"/>
  <c r="W714" i="3"/>
  <c r="X714" i="3"/>
  <c r="Y714" i="3"/>
  <c r="T43" i="3"/>
  <c r="U43" i="3"/>
  <c r="V43" i="3"/>
  <c r="W43" i="3"/>
  <c r="X43" i="3"/>
  <c r="Y43" i="3"/>
  <c r="T99" i="3"/>
  <c r="U99" i="3"/>
  <c r="V99" i="3"/>
  <c r="W99" i="3"/>
  <c r="X99" i="3"/>
  <c r="Y99" i="3"/>
  <c r="T520" i="3"/>
  <c r="U520" i="3"/>
  <c r="V520" i="3"/>
  <c r="W520" i="3"/>
  <c r="X520" i="3"/>
  <c r="Y520" i="3"/>
  <c r="T662" i="3"/>
  <c r="U662" i="3"/>
  <c r="V662" i="3"/>
  <c r="W662" i="3"/>
  <c r="X662" i="3"/>
  <c r="Y662" i="3"/>
  <c r="T780" i="3"/>
  <c r="U780" i="3"/>
  <c r="V780" i="3"/>
  <c r="W780" i="3"/>
  <c r="X780" i="3"/>
  <c r="Y780" i="3"/>
  <c r="T117" i="3"/>
  <c r="U117" i="3"/>
  <c r="V117" i="3"/>
  <c r="W117" i="3"/>
  <c r="X117" i="3"/>
  <c r="Y117" i="3"/>
  <c r="T541" i="3"/>
  <c r="U541" i="3"/>
  <c r="V541" i="3"/>
  <c r="W541" i="3"/>
  <c r="X541" i="3"/>
  <c r="Y541" i="3"/>
  <c r="T375" i="3"/>
  <c r="U375" i="3"/>
  <c r="V375" i="3"/>
  <c r="W375" i="3"/>
  <c r="X375" i="3"/>
  <c r="Y375" i="3"/>
  <c r="T936" i="3"/>
  <c r="U936" i="3"/>
  <c r="V936" i="3"/>
  <c r="W936" i="3"/>
  <c r="X936" i="3"/>
  <c r="Y936" i="3"/>
  <c r="T556" i="3"/>
  <c r="U556" i="3"/>
  <c r="V556" i="3"/>
  <c r="W556" i="3"/>
  <c r="X556" i="3"/>
  <c r="Y556" i="3"/>
  <c r="T215" i="3"/>
  <c r="U215" i="3"/>
  <c r="V215" i="3"/>
  <c r="W215" i="3"/>
  <c r="X215" i="3"/>
  <c r="Y215" i="3"/>
  <c r="T929" i="3"/>
  <c r="U929" i="3"/>
  <c r="V929" i="3"/>
  <c r="W929" i="3"/>
  <c r="X929" i="3"/>
  <c r="Y929" i="3"/>
  <c r="T743" i="3"/>
  <c r="U743" i="3"/>
  <c r="V743" i="3"/>
  <c r="W743" i="3"/>
  <c r="X743" i="3"/>
  <c r="Y743" i="3"/>
  <c r="T411" i="3"/>
  <c r="U411" i="3"/>
  <c r="V411" i="3"/>
  <c r="W411" i="3"/>
  <c r="X411" i="3"/>
  <c r="Y411" i="3"/>
  <c r="T265" i="3"/>
  <c r="U265" i="3"/>
  <c r="V265" i="3"/>
  <c r="W265" i="3"/>
  <c r="X265" i="3"/>
  <c r="Y265" i="3"/>
  <c r="T340" i="3"/>
  <c r="U340" i="3"/>
  <c r="V340" i="3"/>
  <c r="W340" i="3"/>
  <c r="X340" i="3"/>
  <c r="Y340" i="3"/>
  <c r="T809" i="3"/>
  <c r="U809" i="3"/>
  <c r="V809" i="3"/>
  <c r="W809" i="3"/>
  <c r="X809" i="3"/>
  <c r="Y809" i="3"/>
  <c r="T94" i="3"/>
  <c r="U94" i="3"/>
  <c r="V94" i="3"/>
  <c r="W94" i="3"/>
  <c r="X94" i="3"/>
  <c r="Y94" i="3"/>
  <c r="T464" i="3"/>
  <c r="U464" i="3"/>
  <c r="V464" i="3"/>
  <c r="W464" i="3"/>
  <c r="X464" i="3"/>
  <c r="Y464" i="3"/>
  <c r="T830" i="3"/>
  <c r="U830" i="3"/>
  <c r="V830" i="3"/>
  <c r="W830" i="3"/>
  <c r="X830" i="3"/>
  <c r="Y830" i="3"/>
  <c r="T812" i="3"/>
  <c r="U812" i="3"/>
  <c r="V812" i="3"/>
  <c r="W812" i="3"/>
  <c r="X812" i="3"/>
  <c r="Y812" i="3"/>
  <c r="T35" i="3"/>
  <c r="U35" i="3"/>
  <c r="V35" i="3"/>
  <c r="W35" i="3"/>
  <c r="X35" i="3"/>
  <c r="Y35" i="3"/>
  <c r="T189" i="3"/>
  <c r="U189" i="3"/>
  <c r="V189" i="3"/>
  <c r="W189" i="3"/>
  <c r="X189" i="3"/>
  <c r="Y189" i="3"/>
  <c r="T425" i="3"/>
  <c r="U425" i="3"/>
  <c r="V425" i="3"/>
  <c r="W425" i="3"/>
  <c r="X425" i="3"/>
  <c r="Y425" i="3"/>
  <c r="T89" i="3"/>
  <c r="U89" i="3"/>
  <c r="V89" i="3"/>
  <c r="W89" i="3"/>
  <c r="X89" i="3"/>
  <c r="Y89" i="3"/>
  <c r="T831" i="3"/>
  <c r="U831" i="3"/>
  <c r="V831" i="3"/>
  <c r="W831" i="3"/>
  <c r="X831" i="3"/>
  <c r="Y831" i="3"/>
  <c r="T363" i="3"/>
  <c r="U363" i="3"/>
  <c r="V363" i="3"/>
  <c r="W363" i="3"/>
  <c r="X363" i="3"/>
  <c r="Y363" i="3"/>
  <c r="T849" i="3"/>
  <c r="U849" i="3"/>
  <c r="V849" i="3"/>
  <c r="W849" i="3"/>
  <c r="X849" i="3"/>
  <c r="Y849" i="3"/>
  <c r="T74" i="3"/>
  <c r="U74" i="3"/>
  <c r="V74" i="3"/>
  <c r="W74" i="3"/>
  <c r="X74" i="3"/>
  <c r="Y74" i="3"/>
  <c r="T886" i="3"/>
  <c r="U886" i="3"/>
  <c r="V886" i="3"/>
  <c r="W886" i="3"/>
  <c r="X886" i="3"/>
  <c r="Y886" i="3"/>
  <c r="T19" i="3"/>
  <c r="U19" i="3"/>
  <c r="V19" i="3"/>
  <c r="W19" i="3"/>
  <c r="X19" i="3"/>
  <c r="Y19" i="3"/>
  <c r="T498" i="3"/>
  <c r="U498" i="3"/>
  <c r="V498" i="3"/>
  <c r="W498" i="3"/>
  <c r="X498" i="3"/>
  <c r="Y498" i="3"/>
  <c r="T198" i="3"/>
  <c r="U198" i="3"/>
  <c r="V198" i="3"/>
  <c r="W198" i="3"/>
  <c r="X198" i="3"/>
  <c r="Y198" i="3"/>
  <c r="T295" i="3"/>
  <c r="U295" i="3"/>
  <c r="V295" i="3"/>
  <c r="W295" i="3"/>
  <c r="X295" i="3"/>
  <c r="Y295" i="3"/>
  <c r="T511" i="3"/>
  <c r="U511" i="3"/>
  <c r="V511" i="3"/>
  <c r="W511" i="3"/>
  <c r="X511" i="3"/>
  <c r="Y511" i="3"/>
  <c r="T37" i="3"/>
  <c r="U37" i="3"/>
  <c r="V37" i="3"/>
  <c r="W37" i="3"/>
  <c r="X37" i="3"/>
  <c r="Y37" i="3"/>
  <c r="T360" i="3"/>
  <c r="U360" i="3"/>
  <c r="V360" i="3"/>
  <c r="W360" i="3"/>
  <c r="X360" i="3"/>
  <c r="Y360" i="3"/>
  <c r="T58" i="3"/>
  <c r="U58" i="3"/>
  <c r="V58" i="3"/>
  <c r="W58" i="3"/>
  <c r="X58" i="3"/>
  <c r="Y58" i="3"/>
  <c r="T442" i="3"/>
  <c r="U442" i="3"/>
  <c r="V442" i="3"/>
  <c r="W442" i="3"/>
  <c r="X442" i="3"/>
  <c r="Y442" i="3"/>
  <c r="T515" i="3"/>
  <c r="U515" i="3"/>
  <c r="V515" i="3"/>
  <c r="W515" i="3"/>
  <c r="X515" i="3"/>
  <c r="Y515" i="3"/>
  <c r="T386" i="3"/>
  <c r="U386" i="3"/>
  <c r="V386" i="3"/>
  <c r="W386" i="3"/>
  <c r="X386" i="3"/>
  <c r="Y386" i="3"/>
  <c r="T622" i="3"/>
  <c r="U622" i="3"/>
  <c r="V622" i="3"/>
  <c r="W622" i="3"/>
  <c r="X622" i="3"/>
  <c r="Y622" i="3"/>
  <c r="T969" i="3"/>
  <c r="U969" i="3"/>
  <c r="V969" i="3"/>
  <c r="W969" i="3"/>
  <c r="X969" i="3"/>
  <c r="Y969" i="3"/>
  <c r="T229" i="3"/>
  <c r="U229" i="3"/>
  <c r="V229" i="3"/>
  <c r="W229" i="3"/>
  <c r="X229" i="3"/>
  <c r="Y229" i="3"/>
  <c r="T273" i="3"/>
  <c r="U273" i="3"/>
  <c r="V273" i="3"/>
  <c r="W273" i="3"/>
  <c r="X273" i="3"/>
  <c r="Y273" i="3"/>
  <c r="T620" i="3"/>
  <c r="U620" i="3"/>
  <c r="V620" i="3"/>
  <c r="W620" i="3"/>
  <c r="X620" i="3"/>
  <c r="Y620" i="3"/>
  <c r="T400" i="3"/>
  <c r="U400" i="3"/>
  <c r="V400" i="3"/>
  <c r="W400" i="3"/>
  <c r="X400" i="3"/>
  <c r="Y400" i="3"/>
  <c r="T257" i="3"/>
  <c r="U257" i="3"/>
  <c r="V257" i="3"/>
  <c r="W257" i="3"/>
  <c r="X257" i="3"/>
  <c r="Y257" i="3"/>
  <c r="T941" i="3"/>
  <c r="U941" i="3"/>
  <c r="V941" i="3"/>
  <c r="W941" i="3"/>
  <c r="X941" i="3"/>
  <c r="Y941" i="3"/>
  <c r="T725" i="3"/>
  <c r="U725" i="3"/>
  <c r="V725" i="3"/>
  <c r="W725" i="3"/>
  <c r="X725" i="3"/>
  <c r="Y725" i="3"/>
  <c r="T602" i="3"/>
  <c r="U602" i="3"/>
  <c r="V602" i="3"/>
  <c r="W602" i="3"/>
  <c r="X602" i="3"/>
  <c r="Y602" i="3"/>
  <c r="T705" i="3"/>
  <c r="U705" i="3"/>
  <c r="V705" i="3"/>
  <c r="W705" i="3"/>
  <c r="X705" i="3"/>
  <c r="Y705" i="3"/>
  <c r="T550" i="3"/>
  <c r="U550" i="3"/>
  <c r="V550" i="3"/>
  <c r="W550" i="3"/>
  <c r="X550" i="3"/>
  <c r="Y550" i="3"/>
  <c r="T298" i="3"/>
  <c r="U298" i="3"/>
  <c r="V298" i="3"/>
  <c r="W298" i="3"/>
  <c r="X298" i="3"/>
  <c r="Y298" i="3"/>
  <c r="T468" i="3"/>
  <c r="U468" i="3"/>
  <c r="V468" i="3"/>
  <c r="W468" i="3"/>
  <c r="X468" i="3"/>
  <c r="Y468" i="3"/>
  <c r="T702" i="3"/>
  <c r="U702" i="3"/>
  <c r="V702" i="3"/>
  <c r="W702" i="3"/>
  <c r="X702" i="3"/>
  <c r="Y702" i="3"/>
  <c r="T52" i="3"/>
  <c r="U52" i="3"/>
  <c r="V52" i="3"/>
  <c r="W52" i="3"/>
  <c r="X52" i="3"/>
  <c r="Y52" i="3"/>
  <c r="T905" i="3"/>
  <c r="U905" i="3"/>
  <c r="V905" i="3"/>
  <c r="W905" i="3"/>
  <c r="X905" i="3"/>
  <c r="Y905" i="3"/>
  <c r="T158" i="3"/>
  <c r="U158" i="3"/>
  <c r="V158" i="3"/>
  <c r="W158" i="3"/>
  <c r="X158" i="3"/>
  <c r="Y158" i="3"/>
  <c r="T790" i="3"/>
  <c r="U790" i="3"/>
  <c r="V790" i="3"/>
  <c r="W790" i="3"/>
  <c r="X790" i="3"/>
  <c r="Y790" i="3"/>
  <c r="T318" i="3"/>
  <c r="U318" i="3"/>
  <c r="V318" i="3"/>
  <c r="W318" i="3"/>
  <c r="X318" i="3"/>
  <c r="Y318" i="3"/>
  <c r="T377" i="3"/>
  <c r="U377" i="3"/>
  <c r="V377" i="3"/>
  <c r="W377" i="3"/>
  <c r="X377" i="3"/>
  <c r="Y377" i="3"/>
  <c r="T107" i="3"/>
  <c r="U107" i="3"/>
  <c r="V107" i="3"/>
  <c r="W107" i="3"/>
  <c r="X107" i="3"/>
  <c r="Y107" i="3"/>
  <c r="T477" i="3"/>
  <c r="U477" i="3"/>
  <c r="V477" i="3"/>
  <c r="W477" i="3"/>
  <c r="X477" i="3"/>
  <c r="Y477" i="3"/>
  <c r="T499" i="3"/>
  <c r="U499" i="3"/>
  <c r="V499" i="3"/>
  <c r="W499" i="3"/>
  <c r="X499" i="3"/>
  <c r="Y499" i="3"/>
  <c r="T327" i="3"/>
  <c r="U327" i="3"/>
  <c r="V327" i="3"/>
  <c r="W327" i="3"/>
  <c r="X327" i="3"/>
  <c r="Y327" i="3"/>
  <c r="T708" i="3"/>
  <c r="U708" i="3"/>
  <c r="V708" i="3"/>
  <c r="W708" i="3"/>
  <c r="X708" i="3"/>
  <c r="Y708" i="3"/>
  <c r="T491" i="3"/>
  <c r="U491" i="3"/>
  <c r="V491" i="3"/>
  <c r="W491" i="3"/>
  <c r="X491" i="3"/>
  <c r="Y491" i="3"/>
  <c r="T521" i="3"/>
  <c r="U521" i="3"/>
  <c r="V521" i="3"/>
  <c r="W521" i="3"/>
  <c r="X521" i="3"/>
  <c r="Y521" i="3"/>
  <c r="T181" i="3"/>
  <c r="U181" i="3"/>
  <c r="V181" i="3"/>
  <c r="W181" i="3"/>
  <c r="X181" i="3"/>
  <c r="Y181" i="3"/>
  <c r="T844" i="3"/>
  <c r="U844" i="3"/>
  <c r="V844" i="3"/>
  <c r="W844" i="3"/>
  <c r="X844" i="3"/>
  <c r="Y844" i="3"/>
  <c r="T167" i="3"/>
  <c r="U167" i="3"/>
  <c r="V167" i="3"/>
  <c r="W167" i="3"/>
  <c r="X167" i="3"/>
  <c r="Y167" i="3"/>
  <c r="T762" i="3"/>
  <c r="U762" i="3"/>
  <c r="V762" i="3"/>
  <c r="W762" i="3"/>
  <c r="X762" i="3"/>
  <c r="Y762" i="3"/>
  <c r="T437" i="3"/>
  <c r="U437" i="3"/>
  <c r="V437" i="3"/>
  <c r="W437" i="3"/>
  <c r="X437" i="3"/>
  <c r="Y437" i="3"/>
  <c r="T478" i="3"/>
  <c r="U478" i="3"/>
  <c r="V478" i="3"/>
  <c r="W478" i="3"/>
  <c r="X478" i="3"/>
  <c r="Y478" i="3"/>
  <c r="T14" i="3"/>
  <c r="U14" i="3"/>
  <c r="V14" i="3"/>
  <c r="W14" i="3"/>
  <c r="X14" i="3"/>
  <c r="Y14" i="3"/>
  <c r="T339" i="3"/>
  <c r="U339" i="3"/>
  <c r="V339" i="3"/>
  <c r="W339" i="3"/>
  <c r="X339" i="3"/>
  <c r="Y339" i="3"/>
  <c r="T284" i="3"/>
  <c r="U284" i="3"/>
  <c r="V284" i="3"/>
  <c r="W284" i="3"/>
  <c r="X284" i="3"/>
  <c r="Y284" i="3"/>
  <c r="T443" i="3"/>
  <c r="U443" i="3"/>
  <c r="V443" i="3"/>
  <c r="W443" i="3"/>
  <c r="X443" i="3"/>
  <c r="Y443" i="3"/>
  <c r="T33" i="3"/>
  <c r="U33" i="3"/>
  <c r="V33" i="3"/>
  <c r="W33" i="3"/>
  <c r="X33" i="3"/>
  <c r="Y33" i="3"/>
  <c r="T235" i="3"/>
  <c r="U235" i="3"/>
  <c r="V235" i="3"/>
  <c r="W235" i="3"/>
  <c r="X235" i="3"/>
  <c r="Y235" i="3"/>
  <c r="T420" i="3"/>
  <c r="U420" i="3"/>
  <c r="V420" i="3"/>
  <c r="W420" i="3"/>
  <c r="X420" i="3"/>
  <c r="Y420" i="3"/>
  <c r="T501" i="3"/>
  <c r="U501" i="3"/>
  <c r="V501" i="3"/>
  <c r="W501" i="3"/>
  <c r="X501" i="3"/>
  <c r="Y501" i="3"/>
  <c r="T497" i="3"/>
  <c r="U497" i="3"/>
  <c r="V497" i="3"/>
  <c r="W497" i="3"/>
  <c r="X497" i="3"/>
  <c r="Y497" i="3"/>
  <c r="T675" i="3"/>
  <c r="U675" i="3"/>
  <c r="V675" i="3"/>
  <c r="W675" i="3"/>
  <c r="X675" i="3"/>
  <c r="Y675" i="3"/>
  <c r="T246" i="3"/>
  <c r="U246" i="3"/>
  <c r="V246" i="3"/>
  <c r="W246" i="3"/>
  <c r="X246" i="3"/>
  <c r="Y246" i="3"/>
  <c r="T202" i="3"/>
  <c r="U202" i="3"/>
  <c r="V202" i="3"/>
  <c r="W202" i="3"/>
  <c r="X202" i="3"/>
  <c r="Y202" i="3"/>
  <c r="T827" i="3"/>
  <c r="U827" i="3"/>
  <c r="V827" i="3"/>
  <c r="W827" i="3"/>
  <c r="X827" i="3"/>
  <c r="Y827" i="3"/>
  <c r="T163" i="3"/>
  <c r="U163" i="3"/>
  <c r="V163" i="3"/>
  <c r="W163" i="3"/>
  <c r="X163" i="3"/>
  <c r="Y163" i="3"/>
  <c r="T259" i="3"/>
  <c r="U259" i="3"/>
  <c r="V259" i="3"/>
  <c r="W259" i="3"/>
  <c r="X259" i="3"/>
  <c r="Y259" i="3"/>
  <c r="T961" i="3"/>
  <c r="U961" i="3"/>
  <c r="V961" i="3"/>
  <c r="W961" i="3"/>
  <c r="X961" i="3"/>
  <c r="Y961" i="3"/>
  <c r="T169" i="3"/>
  <c r="U169" i="3"/>
  <c r="V169" i="3"/>
  <c r="W169" i="3"/>
  <c r="X169" i="3"/>
  <c r="Y169" i="3"/>
  <c r="T963" i="3"/>
  <c r="U963" i="3"/>
  <c r="V963" i="3"/>
  <c r="W963" i="3"/>
  <c r="X963" i="3"/>
  <c r="Y963" i="3"/>
  <c r="T233" i="3"/>
  <c r="U233" i="3"/>
  <c r="V233" i="3"/>
  <c r="W233" i="3"/>
  <c r="X233" i="3"/>
  <c r="Y233" i="3"/>
  <c r="T953" i="3"/>
  <c r="U953" i="3"/>
  <c r="V953" i="3"/>
  <c r="W953" i="3"/>
  <c r="X953" i="3"/>
  <c r="Y953" i="3"/>
  <c r="T684" i="3"/>
  <c r="U684" i="3"/>
  <c r="V684" i="3"/>
  <c r="W684" i="3"/>
  <c r="X684" i="3"/>
  <c r="Y684" i="3"/>
  <c r="T653" i="3"/>
  <c r="U653" i="3"/>
  <c r="V653" i="3"/>
  <c r="W653" i="3"/>
  <c r="X653" i="3"/>
  <c r="Y653" i="3"/>
  <c r="T726" i="3"/>
  <c r="U726" i="3"/>
  <c r="V726" i="3"/>
  <c r="W726" i="3"/>
  <c r="X726" i="3"/>
  <c r="Y726" i="3"/>
  <c r="T185" i="3"/>
  <c r="U185" i="3"/>
  <c r="V185" i="3"/>
  <c r="W185" i="3"/>
  <c r="X185" i="3"/>
  <c r="Y185" i="3"/>
  <c r="T666" i="3"/>
  <c r="U666" i="3"/>
  <c r="V666" i="3"/>
  <c r="W666" i="3"/>
  <c r="X666" i="3"/>
  <c r="Y666" i="3"/>
  <c r="T954" i="3"/>
  <c r="U954" i="3"/>
  <c r="V954" i="3"/>
  <c r="W954" i="3"/>
  <c r="X954" i="3"/>
  <c r="Y954" i="3"/>
  <c r="T824" i="3"/>
  <c r="U824" i="3"/>
  <c r="V824" i="3"/>
  <c r="W824" i="3"/>
  <c r="X824" i="3"/>
  <c r="Y824" i="3"/>
  <c r="T727" i="3"/>
  <c r="U727" i="3"/>
  <c r="V727" i="3"/>
  <c r="W727" i="3"/>
  <c r="X727" i="3"/>
  <c r="Y727" i="3"/>
  <c r="T31" i="3"/>
  <c r="U31" i="3"/>
  <c r="V31" i="3"/>
  <c r="W31" i="3"/>
  <c r="X31" i="3"/>
  <c r="Y31" i="3"/>
  <c r="T81" i="3"/>
  <c r="U81" i="3"/>
  <c r="V81" i="3"/>
  <c r="W81" i="3"/>
  <c r="X81" i="3"/>
  <c r="Y81" i="3"/>
  <c r="T773" i="3"/>
  <c r="U773" i="3"/>
  <c r="V773" i="3"/>
  <c r="W773" i="3"/>
  <c r="X773" i="3"/>
  <c r="Y773" i="3"/>
  <c r="T832" i="3"/>
  <c r="U832" i="3"/>
  <c r="V832" i="3"/>
  <c r="W832" i="3"/>
  <c r="X832" i="3"/>
  <c r="Y832" i="3"/>
  <c r="T47" i="3"/>
  <c r="U47" i="3"/>
  <c r="V47" i="3"/>
  <c r="W47" i="3"/>
  <c r="X47" i="3"/>
  <c r="Y47" i="3"/>
  <c r="T261" i="3"/>
  <c r="U261" i="3"/>
  <c r="V261" i="3"/>
  <c r="W261" i="3"/>
  <c r="X261" i="3"/>
  <c r="Y261" i="3"/>
  <c r="T745" i="3"/>
  <c r="U745" i="3"/>
  <c r="V745" i="3"/>
  <c r="W745" i="3"/>
  <c r="X745" i="3"/>
  <c r="Y745" i="3"/>
  <c r="T766" i="3"/>
  <c r="U766" i="3"/>
  <c r="V766" i="3"/>
  <c r="W766" i="3"/>
  <c r="X766" i="3"/>
  <c r="Y766" i="3"/>
  <c r="T403" i="3"/>
  <c r="U403" i="3"/>
  <c r="V403" i="3"/>
  <c r="W403" i="3"/>
  <c r="X403" i="3"/>
  <c r="Y403" i="3"/>
  <c r="T645" i="3"/>
  <c r="U645" i="3"/>
  <c r="V645" i="3"/>
  <c r="W645" i="3"/>
  <c r="X645" i="3"/>
  <c r="Y645" i="3"/>
  <c r="T260" i="3"/>
  <c r="U260" i="3"/>
  <c r="V260" i="3"/>
  <c r="W260" i="3"/>
  <c r="X260" i="3"/>
  <c r="Y260" i="3"/>
  <c r="T86" i="3"/>
  <c r="U86" i="3"/>
  <c r="V86" i="3"/>
  <c r="W86" i="3"/>
  <c r="X86" i="3"/>
  <c r="Y86" i="3"/>
  <c r="T782" i="3"/>
  <c r="U782" i="3"/>
  <c r="V782" i="3"/>
  <c r="W782" i="3"/>
  <c r="X782" i="3"/>
  <c r="Y782" i="3"/>
  <c r="T27" i="3"/>
  <c r="U27" i="3"/>
  <c r="V27" i="3"/>
  <c r="W27" i="3"/>
  <c r="X27" i="3"/>
  <c r="Y27" i="3"/>
  <c r="T450" i="3"/>
  <c r="U450" i="3"/>
  <c r="V450" i="3"/>
  <c r="W450" i="3"/>
  <c r="X450" i="3"/>
  <c r="Y450" i="3"/>
  <c r="T422" i="3"/>
  <c r="U422" i="3"/>
  <c r="V422" i="3"/>
  <c r="W422" i="3"/>
  <c r="X422" i="3"/>
  <c r="Y422" i="3"/>
  <c r="T13" i="3"/>
  <c r="U13" i="3"/>
  <c r="V13" i="3"/>
  <c r="W13" i="3"/>
  <c r="X13" i="3"/>
  <c r="Y13" i="3"/>
  <c r="T247" i="3"/>
  <c r="U247" i="3"/>
  <c r="V247" i="3"/>
  <c r="W247" i="3"/>
  <c r="X247" i="3"/>
  <c r="Y247" i="3"/>
  <c r="T772" i="3"/>
  <c r="U772" i="3"/>
  <c r="V772" i="3"/>
  <c r="W772" i="3"/>
  <c r="X772" i="3"/>
  <c r="Y772" i="3"/>
  <c r="T370" i="3"/>
  <c r="U370" i="3"/>
  <c r="V370" i="3"/>
  <c r="W370" i="3"/>
  <c r="X370" i="3"/>
  <c r="Y370" i="3"/>
  <c r="T209" i="3"/>
  <c r="U209" i="3"/>
  <c r="V209" i="3"/>
  <c r="W209" i="3"/>
  <c r="X209" i="3"/>
  <c r="Y209" i="3"/>
  <c r="T701" i="3"/>
  <c r="U701" i="3"/>
  <c r="V701" i="3"/>
  <c r="W701" i="3"/>
  <c r="X701" i="3"/>
  <c r="Y701" i="3"/>
  <c r="T151" i="3"/>
  <c r="U151" i="3"/>
  <c r="V151" i="3"/>
  <c r="W151" i="3"/>
  <c r="X151" i="3"/>
  <c r="Y151" i="3"/>
  <c r="T747" i="3"/>
  <c r="U747" i="3"/>
  <c r="V747" i="3"/>
  <c r="W747" i="3"/>
  <c r="X747" i="3"/>
  <c r="Y747" i="3"/>
  <c r="T8" i="3"/>
  <c r="U8" i="3"/>
  <c r="V8" i="3"/>
  <c r="W8" i="3"/>
  <c r="X8" i="3"/>
  <c r="Y8" i="3"/>
  <c r="T251" i="3"/>
  <c r="U251" i="3"/>
  <c r="V251" i="3"/>
  <c r="W251" i="3"/>
  <c r="X251" i="3"/>
  <c r="Y251" i="3"/>
  <c r="T559" i="3"/>
  <c r="U559" i="3"/>
  <c r="V559" i="3"/>
  <c r="W559" i="3"/>
  <c r="X559" i="3"/>
  <c r="Y559" i="3"/>
  <c r="T315" i="3"/>
  <c r="U315" i="3"/>
  <c r="V315" i="3"/>
  <c r="W315" i="3"/>
  <c r="X315" i="3"/>
  <c r="Y315" i="3"/>
  <c r="T159" i="3"/>
  <c r="U159" i="3"/>
  <c r="V159" i="3"/>
  <c r="W159" i="3"/>
  <c r="X159" i="3"/>
  <c r="Y159" i="3"/>
  <c r="T967" i="3"/>
  <c r="U967" i="3"/>
  <c r="V967" i="3"/>
  <c r="W967" i="3"/>
  <c r="X967" i="3"/>
  <c r="Y967" i="3"/>
  <c r="T17" i="3"/>
  <c r="U17" i="3"/>
  <c r="V17" i="3"/>
  <c r="W17" i="3"/>
  <c r="X17" i="3"/>
  <c r="Y17" i="3"/>
  <c r="T537" i="3"/>
  <c r="U537" i="3"/>
  <c r="V537" i="3"/>
  <c r="W537" i="3"/>
  <c r="X537" i="3"/>
  <c r="Y537" i="3"/>
  <c r="T665" i="3"/>
  <c r="U665" i="3"/>
  <c r="V665" i="3"/>
  <c r="W665" i="3"/>
  <c r="X665" i="3"/>
  <c r="Y665" i="3"/>
  <c r="T807" i="3"/>
  <c r="U807" i="3"/>
  <c r="V807" i="3"/>
  <c r="W807" i="3"/>
  <c r="X807" i="3"/>
  <c r="Y807" i="3"/>
  <c r="T54" i="3"/>
  <c r="U54" i="3"/>
  <c r="V54" i="3"/>
  <c r="W54" i="3"/>
  <c r="X54" i="3"/>
  <c r="Y54" i="3"/>
  <c r="T283" i="3"/>
  <c r="U283" i="3"/>
  <c r="V283" i="3"/>
  <c r="W283" i="3"/>
  <c r="X283" i="3"/>
  <c r="Y283" i="3"/>
  <c r="T292" i="3"/>
  <c r="U292" i="3"/>
  <c r="V292" i="3"/>
  <c r="W292" i="3"/>
  <c r="X292" i="3"/>
  <c r="Y292" i="3"/>
  <c r="T959" i="3"/>
  <c r="U959" i="3"/>
  <c r="V959" i="3"/>
  <c r="W959" i="3"/>
  <c r="X959" i="3"/>
  <c r="Y959" i="3"/>
  <c r="T750" i="3"/>
  <c r="U750" i="3"/>
  <c r="V750" i="3"/>
  <c r="W750" i="3"/>
  <c r="X750" i="3"/>
  <c r="Y750" i="3"/>
  <c r="T328" i="3"/>
  <c r="U328" i="3"/>
  <c r="V328" i="3"/>
  <c r="W328" i="3"/>
  <c r="X328" i="3"/>
  <c r="Y328" i="3"/>
  <c r="T850" i="3"/>
  <c r="U850" i="3"/>
  <c r="V850" i="3"/>
  <c r="W850" i="3"/>
  <c r="X850" i="3"/>
  <c r="Y850" i="3"/>
  <c r="T311" i="3"/>
  <c r="U311" i="3"/>
  <c r="V311" i="3"/>
  <c r="W311" i="3"/>
  <c r="X311" i="3"/>
  <c r="Y311" i="3"/>
  <c r="T326" i="3"/>
  <c r="U326" i="3"/>
  <c r="V326" i="3"/>
  <c r="W326" i="3"/>
  <c r="X326" i="3"/>
  <c r="Y326" i="3"/>
  <c r="T867" i="3"/>
  <c r="U867" i="3"/>
  <c r="V867" i="3"/>
  <c r="W867" i="3"/>
  <c r="X867" i="3"/>
  <c r="Y867" i="3"/>
  <c r="T776" i="3"/>
  <c r="U776" i="3"/>
  <c r="V776" i="3"/>
  <c r="W776" i="3"/>
  <c r="X776" i="3"/>
  <c r="Y776" i="3"/>
  <c r="T111" i="3"/>
  <c r="U111" i="3"/>
  <c r="V111" i="3"/>
  <c r="W111" i="3"/>
  <c r="X111" i="3"/>
  <c r="Y111" i="3"/>
  <c r="T579" i="3"/>
  <c r="U579" i="3"/>
  <c r="V579" i="3"/>
  <c r="W579" i="3"/>
  <c r="X579" i="3"/>
  <c r="Y579" i="3"/>
  <c r="T813" i="3"/>
  <c r="U813" i="3"/>
  <c r="V813" i="3"/>
  <c r="W813" i="3"/>
  <c r="X813" i="3"/>
  <c r="Y813" i="3"/>
  <c r="T637" i="3"/>
  <c r="U637" i="3"/>
  <c r="V637" i="3"/>
  <c r="W637" i="3"/>
  <c r="X637" i="3"/>
  <c r="Y637" i="3"/>
  <c r="T691" i="3"/>
  <c r="U691" i="3"/>
  <c r="V691" i="3"/>
  <c r="W691" i="3"/>
  <c r="X691" i="3"/>
  <c r="Y691" i="3"/>
  <c r="T91" i="3"/>
  <c r="U91" i="3"/>
  <c r="V91" i="3"/>
  <c r="W91" i="3"/>
  <c r="X91" i="3"/>
  <c r="Y91" i="3"/>
  <c r="T854" i="3"/>
  <c r="U854" i="3"/>
  <c r="V854" i="3"/>
  <c r="W854" i="3"/>
  <c r="X854" i="3"/>
  <c r="Y854" i="3"/>
  <c r="T456" i="3"/>
  <c r="U456" i="3"/>
  <c r="V456" i="3"/>
  <c r="W456" i="3"/>
  <c r="X456" i="3"/>
  <c r="Y456" i="3"/>
  <c r="T822" i="3"/>
  <c r="U822" i="3"/>
  <c r="V822" i="3"/>
  <c r="W822" i="3"/>
  <c r="X822" i="3"/>
  <c r="Y822" i="3"/>
  <c r="T914" i="3"/>
  <c r="U914" i="3"/>
  <c r="V914" i="3"/>
  <c r="W914" i="3"/>
  <c r="X914" i="3"/>
  <c r="Y914" i="3"/>
  <c r="T105" i="3"/>
  <c r="U105" i="3"/>
  <c r="V105" i="3"/>
  <c r="W105" i="3"/>
  <c r="X105" i="3"/>
  <c r="Y105" i="3"/>
  <c r="T935" i="3"/>
  <c r="U935" i="3"/>
  <c r="V935" i="3"/>
  <c r="W935" i="3"/>
  <c r="X935" i="3"/>
  <c r="Y935" i="3"/>
  <c r="T504" i="3"/>
  <c r="U504" i="3"/>
  <c r="V504" i="3"/>
  <c r="W504" i="3"/>
  <c r="X504" i="3"/>
  <c r="Y504" i="3"/>
  <c r="T895" i="3"/>
  <c r="U895" i="3"/>
  <c r="V895" i="3"/>
  <c r="W895" i="3"/>
  <c r="X895" i="3"/>
  <c r="Y895" i="3"/>
  <c r="T690" i="3"/>
  <c r="U690" i="3"/>
  <c r="V690" i="3"/>
  <c r="W690" i="3"/>
  <c r="X690" i="3"/>
  <c r="Y690" i="3"/>
  <c r="T367" i="3"/>
  <c r="U367" i="3"/>
  <c r="V367" i="3"/>
  <c r="W367" i="3"/>
  <c r="X367" i="3"/>
  <c r="Y367" i="3"/>
  <c r="T174" i="3"/>
  <c r="U174" i="3"/>
  <c r="V174" i="3"/>
  <c r="W174" i="3"/>
  <c r="X174" i="3"/>
  <c r="Y174" i="3"/>
  <c r="T529" i="3"/>
  <c r="U529" i="3"/>
  <c r="V529" i="3"/>
  <c r="W529" i="3"/>
  <c r="X529" i="3"/>
  <c r="Y529" i="3"/>
  <c r="T281" i="3"/>
  <c r="U281" i="3"/>
  <c r="V281" i="3"/>
  <c r="W281" i="3"/>
  <c r="X281" i="3"/>
  <c r="Y281" i="3"/>
  <c r="T887" i="3"/>
  <c r="U887" i="3"/>
  <c r="V887" i="3"/>
  <c r="W887" i="3"/>
  <c r="X887" i="3"/>
  <c r="Y887" i="3"/>
  <c r="T699" i="3"/>
  <c r="U699" i="3"/>
  <c r="V699" i="3"/>
  <c r="W699" i="3"/>
  <c r="X699" i="3"/>
  <c r="Y699" i="3"/>
  <c r="T897" i="3"/>
  <c r="U897" i="3"/>
  <c r="V897" i="3"/>
  <c r="W897" i="3"/>
  <c r="X897" i="3"/>
  <c r="Y897" i="3"/>
  <c r="T244" i="3"/>
  <c r="U244" i="3"/>
  <c r="V244" i="3"/>
  <c r="W244" i="3"/>
  <c r="X244" i="3"/>
  <c r="Y244" i="3"/>
  <c r="T877" i="3"/>
  <c r="U877" i="3"/>
  <c r="V877" i="3"/>
  <c r="W877" i="3"/>
  <c r="X877" i="3"/>
  <c r="Y877" i="3"/>
  <c r="T816" i="3"/>
  <c r="U816" i="3"/>
  <c r="V816" i="3"/>
  <c r="W816" i="3"/>
  <c r="X816" i="3"/>
  <c r="Y816" i="3"/>
  <c r="T294" i="3"/>
  <c r="U294" i="3"/>
  <c r="V294" i="3"/>
  <c r="W294" i="3"/>
  <c r="X294" i="3"/>
  <c r="Y294" i="3"/>
  <c r="T127" i="3"/>
  <c r="U127" i="3"/>
  <c r="V127" i="3"/>
  <c r="W127" i="3"/>
  <c r="X127" i="3"/>
  <c r="Y127" i="3"/>
  <c r="T139" i="3"/>
  <c r="U139" i="3"/>
  <c r="V139" i="3"/>
  <c r="W139" i="3"/>
  <c r="X139" i="3"/>
  <c r="Y139" i="3"/>
  <c r="T100" i="3"/>
  <c r="U100" i="3"/>
  <c r="V100" i="3"/>
  <c r="W100" i="3"/>
  <c r="X100" i="3"/>
  <c r="Y100" i="3"/>
  <c r="T230" i="3"/>
  <c r="U230" i="3"/>
  <c r="V230" i="3"/>
  <c r="W230" i="3"/>
  <c r="X230" i="3"/>
  <c r="Y230" i="3"/>
  <c r="T676" i="3"/>
  <c r="U676" i="3"/>
  <c r="V676" i="3"/>
  <c r="W676" i="3"/>
  <c r="X676" i="3"/>
  <c r="Y676" i="3"/>
  <c r="T132" i="3"/>
  <c r="U132" i="3"/>
  <c r="V132" i="3"/>
  <c r="W132" i="3"/>
  <c r="X132" i="3"/>
  <c r="Y132" i="3"/>
  <c r="T239" i="3"/>
  <c r="U239" i="3"/>
  <c r="V239" i="3"/>
  <c r="W239" i="3"/>
  <c r="X239" i="3"/>
  <c r="Y239" i="3"/>
  <c r="T272" i="3"/>
  <c r="U272" i="3"/>
  <c r="V272" i="3"/>
  <c r="W272" i="3"/>
  <c r="X272" i="3"/>
  <c r="Y272" i="3"/>
  <c r="T677" i="3"/>
  <c r="U677" i="3"/>
  <c r="V677" i="3"/>
  <c r="W677" i="3"/>
  <c r="X677" i="3"/>
  <c r="Y677" i="3"/>
  <c r="T783" i="3"/>
  <c r="U783" i="3"/>
  <c r="V783" i="3"/>
  <c r="W783" i="3"/>
  <c r="X783" i="3"/>
  <c r="Y783" i="3"/>
  <c r="T141" i="3"/>
  <c r="U141" i="3"/>
  <c r="V141" i="3"/>
  <c r="W141" i="3"/>
  <c r="X141" i="3"/>
  <c r="Y141" i="3"/>
  <c r="T617" i="3"/>
  <c r="U617" i="3"/>
  <c r="V617" i="3"/>
  <c r="W617" i="3"/>
  <c r="X617" i="3"/>
  <c r="Y617" i="3"/>
  <c r="T759" i="3"/>
  <c r="U759" i="3"/>
  <c r="V759" i="3"/>
  <c r="W759" i="3"/>
  <c r="X759" i="3"/>
  <c r="Y759" i="3"/>
  <c r="T927" i="3"/>
  <c r="U927" i="3"/>
  <c r="V927" i="3"/>
  <c r="W927" i="3"/>
  <c r="X927" i="3"/>
  <c r="Y927" i="3"/>
  <c r="T162" i="3"/>
  <c r="U162" i="3"/>
  <c r="V162" i="3"/>
  <c r="W162" i="3"/>
  <c r="X162" i="3"/>
  <c r="Y162" i="3"/>
  <c r="T412" i="3"/>
  <c r="U412" i="3"/>
  <c r="V412" i="3"/>
  <c r="W412" i="3"/>
  <c r="X412" i="3"/>
  <c r="Y412" i="3"/>
  <c r="T881" i="3"/>
  <c r="U881" i="3"/>
  <c r="V881" i="3"/>
  <c r="W881" i="3"/>
  <c r="X881" i="3"/>
  <c r="Y881" i="3"/>
  <c r="T734" i="3"/>
  <c r="U734" i="3"/>
  <c r="V734" i="3"/>
  <c r="W734" i="3"/>
  <c r="X734" i="3"/>
  <c r="Y734" i="3"/>
  <c r="T72" i="3"/>
  <c r="U72" i="3"/>
  <c r="V72" i="3"/>
  <c r="W72" i="3"/>
  <c r="X72" i="3"/>
  <c r="Y72" i="3"/>
  <c r="T335" i="3"/>
  <c r="U335" i="3"/>
  <c r="V335" i="3"/>
  <c r="W335" i="3"/>
  <c r="X335" i="3"/>
  <c r="Y335" i="3"/>
  <c r="T588" i="3"/>
  <c r="U588" i="3"/>
  <c r="V588" i="3"/>
  <c r="W588" i="3"/>
  <c r="X588" i="3"/>
  <c r="Y588" i="3"/>
  <c r="T87" i="3"/>
  <c r="U87" i="3"/>
  <c r="V87" i="3"/>
  <c r="W87" i="3"/>
  <c r="X87" i="3"/>
  <c r="Y87" i="3"/>
  <c r="T373" i="3"/>
  <c r="U373" i="3"/>
  <c r="V373" i="3"/>
  <c r="W373" i="3"/>
  <c r="X373" i="3"/>
  <c r="Y373" i="3"/>
  <c r="T376" i="3"/>
  <c r="U376" i="3"/>
  <c r="V376" i="3"/>
  <c r="W376" i="3"/>
  <c r="X376" i="3"/>
  <c r="Y376" i="3"/>
  <c r="T937" i="3"/>
  <c r="U937" i="3"/>
  <c r="V937" i="3"/>
  <c r="W937" i="3"/>
  <c r="X937" i="3"/>
  <c r="Y937" i="3"/>
  <c r="T876" i="3"/>
  <c r="U876" i="3"/>
  <c r="V876" i="3"/>
  <c r="W876" i="3"/>
  <c r="X876" i="3"/>
  <c r="Y876" i="3"/>
  <c r="T796" i="3"/>
  <c r="U796" i="3"/>
  <c r="V796" i="3"/>
  <c r="W796" i="3"/>
  <c r="X796" i="3"/>
  <c r="Y796" i="3"/>
  <c r="T401" i="3"/>
  <c r="U401" i="3"/>
  <c r="V401" i="3"/>
  <c r="W401" i="3"/>
  <c r="X401" i="3"/>
  <c r="Y401" i="3"/>
  <c r="T917" i="3"/>
  <c r="U917" i="3"/>
  <c r="V917" i="3"/>
  <c r="W917" i="3"/>
  <c r="X917" i="3"/>
  <c r="Y917" i="3"/>
  <c r="T290" i="3"/>
  <c r="U290" i="3"/>
  <c r="V290" i="3"/>
  <c r="W290" i="3"/>
  <c r="X290" i="3"/>
  <c r="Y290" i="3"/>
  <c r="T334" i="3"/>
  <c r="U334" i="3"/>
  <c r="V334" i="3"/>
  <c r="W334" i="3"/>
  <c r="X334" i="3"/>
  <c r="Y334" i="3"/>
  <c r="T297" i="3"/>
  <c r="U297" i="3"/>
  <c r="V297" i="3"/>
  <c r="W297" i="3"/>
  <c r="X297" i="3"/>
  <c r="Y297" i="3"/>
  <c r="T39" i="3"/>
  <c r="U39" i="3"/>
  <c r="V39" i="3"/>
  <c r="W39" i="3"/>
  <c r="X39" i="3"/>
  <c r="Y39" i="3"/>
  <c r="T758" i="3"/>
  <c r="U758" i="3"/>
  <c r="V758" i="3"/>
  <c r="W758" i="3"/>
  <c r="X758" i="3"/>
  <c r="Y758" i="3"/>
  <c r="T97" i="3"/>
  <c r="U97" i="3"/>
  <c r="V97" i="3"/>
  <c r="W97" i="3"/>
  <c r="X97" i="3"/>
  <c r="Y97" i="3"/>
  <c r="T488" i="3"/>
  <c r="U488" i="3"/>
  <c r="V488" i="3"/>
  <c r="W488" i="3"/>
  <c r="X488" i="3"/>
  <c r="Y488" i="3"/>
  <c r="T64" i="3"/>
  <c r="U64" i="3"/>
  <c r="V64" i="3"/>
  <c r="W64" i="3"/>
  <c r="X64" i="3"/>
  <c r="Y64" i="3"/>
  <c r="T510" i="3"/>
  <c r="U510" i="3"/>
  <c r="V510" i="3"/>
  <c r="W510" i="3"/>
  <c r="X510" i="3"/>
  <c r="Y510" i="3"/>
  <c r="T449" i="3"/>
  <c r="U449" i="3"/>
  <c r="V449" i="3"/>
  <c r="W449" i="3"/>
  <c r="X449" i="3"/>
  <c r="Y449" i="3"/>
  <c r="T549" i="3"/>
  <c r="U549" i="3"/>
  <c r="V549" i="3"/>
  <c r="W549" i="3"/>
  <c r="X549" i="3"/>
  <c r="Y549" i="3"/>
  <c r="T695" i="3"/>
  <c r="U695" i="3"/>
  <c r="V695" i="3"/>
  <c r="W695" i="3"/>
  <c r="X695" i="3"/>
  <c r="Y695" i="3"/>
  <c r="T889" i="3"/>
  <c r="U889" i="3"/>
  <c r="V889" i="3"/>
  <c r="W889" i="3"/>
  <c r="X889" i="3"/>
  <c r="Y889" i="3"/>
  <c r="T737" i="3"/>
  <c r="U737" i="3"/>
  <c r="V737" i="3"/>
  <c r="W737" i="3"/>
  <c r="X737" i="3"/>
  <c r="Y737" i="3"/>
  <c r="T218" i="3"/>
  <c r="U218" i="3"/>
  <c r="V218" i="3"/>
  <c r="W218" i="3"/>
  <c r="X218" i="3"/>
  <c r="Y218" i="3"/>
  <c r="T187" i="3"/>
  <c r="U187" i="3"/>
  <c r="V187" i="3"/>
  <c r="W187" i="3"/>
  <c r="X187" i="3"/>
  <c r="Y187" i="3"/>
  <c r="T797" i="3"/>
  <c r="U797" i="3"/>
  <c r="V797" i="3"/>
  <c r="W797" i="3"/>
  <c r="X797" i="3"/>
  <c r="Y797" i="3"/>
  <c r="T834" i="3"/>
  <c r="U834" i="3"/>
  <c r="V834" i="3"/>
  <c r="W834" i="3"/>
  <c r="X834" i="3"/>
  <c r="Y834" i="3"/>
  <c r="T193" i="3"/>
  <c r="U193" i="3"/>
  <c r="V193" i="3"/>
  <c r="W193" i="3"/>
  <c r="X193" i="3"/>
  <c r="Y193" i="3"/>
  <c r="T45" i="3"/>
  <c r="U45" i="3"/>
  <c r="V45" i="3"/>
  <c r="W45" i="3"/>
  <c r="X45" i="3"/>
  <c r="Y45" i="3"/>
  <c r="T761" i="3"/>
  <c r="U761" i="3"/>
  <c r="V761" i="3"/>
  <c r="W761" i="3"/>
  <c r="X761" i="3"/>
  <c r="Y761" i="3"/>
  <c r="T354" i="3"/>
  <c r="U354" i="3"/>
  <c r="V354" i="3"/>
  <c r="W354" i="3"/>
  <c r="X354" i="3"/>
  <c r="Y354" i="3"/>
  <c r="T638" i="3"/>
  <c r="U638" i="3"/>
  <c r="V638" i="3"/>
  <c r="W638" i="3"/>
  <c r="X638" i="3"/>
  <c r="Y638" i="3"/>
  <c r="T962" i="3"/>
  <c r="U962" i="3"/>
  <c r="V962" i="3"/>
  <c r="W962" i="3"/>
  <c r="X962" i="3"/>
  <c r="Y962" i="3"/>
  <c r="T415" i="3"/>
  <c r="U415" i="3"/>
  <c r="V415" i="3"/>
  <c r="W415" i="3"/>
  <c r="X415" i="3"/>
  <c r="Y415" i="3"/>
  <c r="T939" i="3"/>
  <c r="U939" i="3"/>
  <c r="V939" i="3"/>
  <c r="W939" i="3"/>
  <c r="X939" i="3"/>
  <c r="Y939" i="3"/>
  <c r="T481" i="3"/>
  <c r="U481" i="3"/>
  <c r="V481" i="3"/>
  <c r="W481" i="3"/>
  <c r="X481" i="3"/>
  <c r="Y481" i="3"/>
  <c r="T657" i="3"/>
  <c r="U657" i="3"/>
  <c r="V657" i="3"/>
  <c r="W657" i="3"/>
  <c r="X657" i="3"/>
  <c r="Y657" i="3"/>
  <c r="T580" i="3"/>
  <c r="U580" i="3"/>
  <c r="V580" i="3"/>
  <c r="W580" i="3"/>
  <c r="X580" i="3"/>
  <c r="Y580" i="3"/>
  <c r="T581" i="3"/>
  <c r="U581" i="3"/>
  <c r="V581" i="3"/>
  <c r="W581" i="3"/>
  <c r="X581" i="3"/>
  <c r="Y581" i="3"/>
  <c r="T34" i="3"/>
  <c r="U34" i="3"/>
  <c r="V34" i="3"/>
  <c r="W34" i="3"/>
  <c r="X34" i="3"/>
  <c r="Y34" i="3"/>
  <c r="T18" i="3"/>
  <c r="U18" i="3"/>
  <c r="V18" i="3"/>
  <c r="W18" i="3"/>
  <c r="X18" i="3"/>
  <c r="Y18" i="3"/>
  <c r="T572" i="3"/>
  <c r="U572" i="3"/>
  <c r="V572" i="3"/>
  <c r="W572" i="3"/>
  <c r="X572" i="3"/>
  <c r="Y572" i="3"/>
  <c r="T494" i="3"/>
  <c r="U494" i="3"/>
  <c r="V494" i="3"/>
  <c r="W494" i="3"/>
  <c r="X494" i="3"/>
  <c r="Y494" i="3"/>
  <c r="T606" i="3"/>
  <c r="U606" i="3"/>
  <c r="V606" i="3"/>
  <c r="W606" i="3"/>
  <c r="X606" i="3"/>
  <c r="Y606" i="3"/>
  <c r="T663" i="3"/>
  <c r="U663" i="3"/>
  <c r="V663" i="3"/>
  <c r="W663" i="3"/>
  <c r="X663" i="3"/>
  <c r="Y663" i="3"/>
  <c r="T694" i="3"/>
  <c r="U694" i="3"/>
  <c r="V694" i="3"/>
  <c r="W694" i="3"/>
  <c r="X694" i="3"/>
  <c r="Y694" i="3"/>
  <c r="T61" i="3"/>
  <c r="U61" i="3"/>
  <c r="V61" i="3"/>
  <c r="W61" i="3"/>
  <c r="X61" i="3"/>
  <c r="Y61" i="3"/>
  <c r="T212" i="3"/>
  <c r="U212" i="3"/>
  <c r="V212" i="3"/>
  <c r="W212" i="3"/>
  <c r="X212" i="3"/>
  <c r="Y212" i="3"/>
  <c r="T787" i="3"/>
  <c r="U787" i="3"/>
  <c r="V787" i="3"/>
  <c r="W787" i="3"/>
  <c r="X787" i="3"/>
  <c r="Y787" i="3"/>
  <c r="T808" i="3"/>
  <c r="U808" i="3"/>
  <c r="V808" i="3"/>
  <c r="W808" i="3"/>
  <c r="X808" i="3"/>
  <c r="Y808" i="3"/>
  <c r="T506" i="3"/>
  <c r="U506" i="3"/>
  <c r="V506" i="3"/>
  <c r="W506" i="3"/>
  <c r="X506" i="3"/>
  <c r="Y506" i="3"/>
  <c r="T342" i="3"/>
  <c r="U342" i="3"/>
  <c r="V342" i="3"/>
  <c r="W342" i="3"/>
  <c r="X342" i="3"/>
  <c r="Y342" i="3"/>
  <c r="T337" i="3"/>
  <c r="U337" i="3"/>
  <c r="V337" i="3"/>
  <c r="W337" i="3"/>
  <c r="X337" i="3"/>
  <c r="Y337" i="3"/>
  <c r="T527" i="3"/>
  <c r="U527" i="3"/>
  <c r="V527" i="3"/>
  <c r="W527" i="3"/>
  <c r="X527" i="3"/>
  <c r="Y527" i="3"/>
  <c r="T406" i="3"/>
  <c r="U406" i="3"/>
  <c r="V406" i="3"/>
  <c r="W406" i="3"/>
  <c r="X406" i="3"/>
  <c r="Y406" i="3"/>
  <c r="T206" i="3"/>
  <c r="U206" i="3"/>
  <c r="V206" i="3"/>
  <c r="W206" i="3"/>
  <c r="X206" i="3"/>
  <c r="Y206" i="3"/>
  <c r="T248" i="3"/>
  <c r="U248" i="3"/>
  <c r="V248" i="3"/>
  <c r="W248" i="3"/>
  <c r="X248" i="3"/>
  <c r="Y248" i="3"/>
  <c r="T890" i="3"/>
  <c r="U890" i="3"/>
  <c r="V890" i="3"/>
  <c r="W890" i="3"/>
  <c r="X890" i="3"/>
  <c r="Y890" i="3"/>
  <c r="T453" i="3"/>
  <c r="U453" i="3"/>
  <c r="V453" i="3"/>
  <c r="W453" i="3"/>
  <c r="X453" i="3"/>
  <c r="Y453" i="3"/>
  <c r="T880" i="3"/>
  <c r="U880" i="3"/>
  <c r="V880" i="3"/>
  <c r="W880" i="3"/>
  <c r="X880" i="3"/>
  <c r="Y880" i="3"/>
  <c r="T823" i="3"/>
  <c r="U823" i="3"/>
  <c r="V823" i="3"/>
  <c r="W823" i="3"/>
  <c r="X823" i="3"/>
  <c r="Y823" i="3"/>
  <c r="T944" i="3"/>
  <c r="U944" i="3"/>
  <c r="V944" i="3"/>
  <c r="W944" i="3"/>
  <c r="X944" i="3"/>
  <c r="Y944" i="3"/>
  <c r="T778" i="3"/>
  <c r="U778" i="3"/>
  <c r="V778" i="3"/>
  <c r="W778" i="3"/>
  <c r="X778" i="3"/>
  <c r="Y778" i="3"/>
  <c r="T355" i="3"/>
  <c r="U355" i="3"/>
  <c r="V355" i="3"/>
  <c r="W355" i="3"/>
  <c r="X355" i="3"/>
  <c r="Y355" i="3"/>
  <c r="T369" i="3"/>
  <c r="U369" i="3"/>
  <c r="V369" i="3"/>
  <c r="W369" i="3"/>
  <c r="X369" i="3"/>
  <c r="Y369" i="3"/>
  <c r="T269" i="3"/>
  <c r="U269" i="3"/>
  <c r="V269" i="3"/>
  <c r="W269" i="3"/>
  <c r="X269" i="3"/>
  <c r="Y269" i="3"/>
  <c r="T649" i="3"/>
  <c r="U649" i="3"/>
  <c r="V649" i="3"/>
  <c r="W649" i="3"/>
  <c r="X649" i="3"/>
  <c r="Y649" i="3"/>
  <c r="T862" i="3"/>
  <c r="U862" i="3"/>
  <c r="V862" i="3"/>
  <c r="W862" i="3"/>
  <c r="X862" i="3"/>
  <c r="Y862" i="3"/>
  <c r="T155" i="3"/>
  <c r="U155" i="3"/>
  <c r="V155" i="3"/>
  <c r="W155" i="3"/>
  <c r="X155" i="3"/>
  <c r="Y155" i="3"/>
  <c r="T674" i="3"/>
  <c r="U674" i="3"/>
  <c r="V674" i="3"/>
  <c r="W674" i="3"/>
  <c r="X674" i="3"/>
  <c r="Y674" i="3"/>
  <c r="T399" i="3"/>
  <c r="U399" i="3"/>
  <c r="V399" i="3"/>
  <c r="W399" i="3"/>
  <c r="X399" i="3"/>
  <c r="Y399" i="3"/>
  <c r="T143" i="3"/>
  <c r="U143" i="3"/>
  <c r="V143" i="3"/>
  <c r="W143" i="3"/>
  <c r="X143" i="3"/>
  <c r="Y143" i="3"/>
  <c r="T685" i="3"/>
  <c r="U685" i="3"/>
  <c r="V685" i="3"/>
  <c r="W685" i="3"/>
  <c r="X685" i="3"/>
  <c r="Y685" i="3"/>
  <c r="T44" i="3"/>
  <c r="U44" i="3"/>
  <c r="V44" i="3"/>
  <c r="W44" i="3"/>
  <c r="X44" i="3"/>
  <c r="Y44" i="3"/>
  <c r="T489" i="3"/>
  <c r="U489" i="3"/>
  <c r="V489" i="3"/>
  <c r="W489" i="3"/>
  <c r="X489" i="3"/>
  <c r="Y489" i="3"/>
  <c r="T530" i="3"/>
  <c r="U530" i="3"/>
  <c r="V530" i="3"/>
  <c r="W530" i="3"/>
  <c r="X530" i="3"/>
  <c r="Y530" i="3"/>
  <c r="T191" i="3"/>
  <c r="U191" i="3"/>
  <c r="V191" i="3"/>
  <c r="W191" i="3"/>
  <c r="X191" i="3"/>
  <c r="Y191" i="3"/>
  <c r="T611" i="3"/>
  <c r="U611" i="3"/>
  <c r="V611" i="3"/>
  <c r="W611" i="3"/>
  <c r="X611" i="3"/>
  <c r="Y611" i="3"/>
  <c r="T365" i="3"/>
  <c r="U365" i="3"/>
  <c r="V365" i="3"/>
  <c r="W365" i="3"/>
  <c r="X365" i="3"/>
  <c r="Y365" i="3"/>
  <c r="T517" i="3"/>
  <c r="U517" i="3"/>
  <c r="V517" i="3"/>
  <c r="W517" i="3"/>
  <c r="X517" i="3"/>
  <c r="Y517" i="3"/>
  <c r="T945" i="3"/>
  <c r="U945" i="3"/>
  <c r="V945" i="3"/>
  <c r="W945" i="3"/>
  <c r="X945" i="3"/>
  <c r="Y945" i="3"/>
  <c r="T429" i="3"/>
  <c r="U429" i="3"/>
  <c r="V429" i="3"/>
  <c r="W429" i="3"/>
  <c r="X429" i="3"/>
  <c r="Y429" i="3"/>
  <c r="T137" i="3"/>
  <c r="U137" i="3"/>
  <c r="V137" i="3"/>
  <c r="W137" i="3"/>
  <c r="X137" i="3"/>
  <c r="Y137" i="3"/>
  <c r="T609" i="3"/>
  <c r="U609" i="3"/>
  <c r="V609" i="3"/>
  <c r="W609" i="3"/>
  <c r="X609" i="3"/>
  <c r="Y609" i="3"/>
  <c r="T554" i="3"/>
  <c r="U554" i="3"/>
  <c r="V554" i="3"/>
  <c r="W554" i="3"/>
  <c r="X554" i="3"/>
  <c r="Y554" i="3"/>
  <c r="T711" i="3"/>
  <c r="U711" i="3"/>
  <c r="V711" i="3"/>
  <c r="W711" i="3"/>
  <c r="X711" i="3"/>
  <c r="Y711" i="3"/>
  <c r="T471" i="3"/>
  <c r="U471" i="3"/>
  <c r="V471" i="3"/>
  <c r="W471" i="3"/>
  <c r="X471" i="3"/>
  <c r="Y471" i="3"/>
  <c r="T798" i="3"/>
  <c r="U798" i="3"/>
  <c r="V798" i="3"/>
  <c r="W798" i="3"/>
  <c r="X798" i="3"/>
  <c r="Y798" i="3"/>
  <c r="T502" i="3"/>
  <c r="U502" i="3"/>
  <c r="V502" i="3"/>
  <c r="W502" i="3"/>
  <c r="X502" i="3"/>
  <c r="Y502" i="3"/>
  <c r="T188" i="3"/>
  <c r="U188" i="3"/>
  <c r="V188" i="3"/>
  <c r="W188" i="3"/>
  <c r="X188" i="3"/>
  <c r="Y188" i="3"/>
  <c r="T733" i="3"/>
  <c r="U733" i="3"/>
  <c r="V733" i="3"/>
  <c r="W733" i="3"/>
  <c r="X733" i="3"/>
  <c r="Y733" i="3"/>
  <c r="T331" i="3"/>
  <c r="U331" i="3"/>
  <c r="V331" i="3"/>
  <c r="W331" i="3"/>
  <c r="X331" i="3"/>
  <c r="Y331" i="3"/>
  <c r="T896" i="3"/>
  <c r="U896" i="3"/>
  <c r="V896" i="3"/>
  <c r="W896" i="3"/>
  <c r="X896" i="3"/>
  <c r="Y896" i="3"/>
  <c r="T681" i="3"/>
  <c r="U681" i="3"/>
  <c r="V681" i="3"/>
  <c r="W681" i="3"/>
  <c r="X681" i="3"/>
  <c r="Y681" i="3"/>
  <c r="T738" i="3"/>
  <c r="U738" i="3"/>
  <c r="V738" i="3"/>
  <c r="W738" i="3"/>
  <c r="X738" i="3"/>
  <c r="Y738" i="3"/>
  <c r="T201" i="3"/>
  <c r="U201" i="3"/>
  <c r="V201" i="3"/>
  <c r="W201" i="3"/>
  <c r="X201" i="3"/>
  <c r="Y201" i="3"/>
  <c r="T418" i="3"/>
  <c r="U418" i="3"/>
  <c r="V418" i="3"/>
  <c r="W418" i="3"/>
  <c r="X418" i="3"/>
  <c r="Y418" i="3"/>
  <c r="T426" i="3"/>
  <c r="U426" i="3"/>
  <c r="V426" i="3"/>
  <c r="W426" i="3"/>
  <c r="X426" i="3"/>
  <c r="Y426" i="3"/>
  <c r="T423" i="3"/>
  <c r="U423" i="3"/>
  <c r="V423" i="3"/>
  <c r="W423" i="3"/>
  <c r="X423" i="3"/>
  <c r="Y423" i="3"/>
  <c r="T24" i="3"/>
  <c r="U24" i="3"/>
  <c r="V24" i="3"/>
  <c r="W24" i="3"/>
  <c r="X24" i="3"/>
  <c r="Y24" i="3"/>
  <c r="T125" i="3"/>
  <c r="U125" i="3"/>
  <c r="V125" i="3"/>
  <c r="W125" i="3"/>
  <c r="X125" i="3"/>
  <c r="Y125" i="3"/>
  <c r="T146" i="3"/>
  <c r="U146" i="3"/>
  <c r="V146" i="3"/>
  <c r="W146" i="3"/>
  <c r="X146" i="3"/>
  <c r="Y146" i="3"/>
  <c r="T211" i="3"/>
  <c r="U211" i="3"/>
  <c r="V211" i="3"/>
  <c r="W211" i="3"/>
  <c r="X211" i="3"/>
  <c r="Y211" i="3"/>
  <c r="T121" i="3"/>
  <c r="U121" i="3"/>
  <c r="V121" i="3"/>
  <c r="W121" i="3"/>
  <c r="X121" i="3"/>
  <c r="Y121" i="3"/>
  <c r="T651" i="3"/>
  <c r="U651" i="3"/>
  <c r="V651" i="3"/>
  <c r="W651" i="3"/>
  <c r="X651" i="3"/>
  <c r="Y651" i="3"/>
  <c r="T648" i="3"/>
  <c r="U648" i="3"/>
  <c r="V648" i="3"/>
  <c r="W648" i="3"/>
  <c r="X648" i="3"/>
  <c r="Y648" i="3"/>
  <c r="T569" i="3"/>
  <c r="U569" i="3"/>
  <c r="V569" i="3"/>
  <c r="W569" i="3"/>
  <c r="X569" i="3"/>
  <c r="Y569" i="3"/>
  <c r="T171" i="3"/>
  <c r="U171" i="3"/>
  <c r="V171" i="3"/>
  <c r="W171" i="3"/>
  <c r="X171" i="3"/>
  <c r="Y171" i="3"/>
  <c r="T833" i="3"/>
  <c r="U833" i="3"/>
  <c r="V833" i="3"/>
  <c r="W833" i="3"/>
  <c r="X833" i="3"/>
  <c r="Y833" i="3"/>
  <c r="T775" i="3"/>
  <c r="U775" i="3"/>
  <c r="V775" i="3"/>
  <c r="W775" i="3"/>
  <c r="X775" i="3"/>
  <c r="Y775" i="3"/>
  <c r="T906" i="3"/>
  <c r="U906" i="3"/>
  <c r="V906" i="3"/>
  <c r="W906" i="3"/>
  <c r="X906" i="3"/>
  <c r="Y906" i="3"/>
  <c r="T724" i="3"/>
  <c r="U724" i="3"/>
  <c r="V724" i="3"/>
  <c r="W724" i="3"/>
  <c r="X724" i="3"/>
  <c r="Y724" i="3"/>
  <c r="T755" i="3"/>
  <c r="U755" i="3"/>
  <c r="V755" i="3"/>
  <c r="W755" i="3"/>
  <c r="X755" i="3"/>
  <c r="Y755" i="3"/>
  <c r="T203" i="3"/>
  <c r="U203" i="3"/>
  <c r="V203" i="3"/>
  <c r="W203" i="3"/>
  <c r="X203" i="3"/>
  <c r="Y203" i="3"/>
  <c r="T119" i="3"/>
  <c r="U119" i="3"/>
  <c r="V119" i="3"/>
  <c r="W119" i="3"/>
  <c r="X119" i="3"/>
  <c r="Y119" i="3"/>
  <c r="T716" i="3"/>
  <c r="U716" i="3"/>
  <c r="V716" i="3"/>
  <c r="W716" i="3"/>
  <c r="X716" i="3"/>
  <c r="Y716" i="3"/>
  <c r="T829" i="3"/>
  <c r="U829" i="3"/>
  <c r="V829" i="3"/>
  <c r="W829" i="3"/>
  <c r="X829" i="3"/>
  <c r="Y829" i="3"/>
  <c r="T435" i="3"/>
  <c r="U435" i="3"/>
  <c r="V435" i="3"/>
  <c r="W435" i="3"/>
  <c r="X435" i="3"/>
  <c r="Y435" i="3"/>
  <c r="T278" i="3"/>
  <c r="U278" i="3"/>
  <c r="V278" i="3"/>
  <c r="W278" i="3"/>
  <c r="X278" i="3"/>
  <c r="Y278" i="3"/>
  <c r="T421" i="3"/>
  <c r="U421" i="3"/>
  <c r="V421" i="3"/>
  <c r="W421" i="3"/>
  <c r="X421" i="3"/>
  <c r="Y421" i="3"/>
  <c r="T948" i="3"/>
  <c r="U948" i="3"/>
  <c r="V948" i="3"/>
  <c r="W948" i="3"/>
  <c r="X948" i="3"/>
  <c r="Y948" i="3"/>
  <c r="T309" i="3"/>
  <c r="U309" i="3"/>
  <c r="V309" i="3"/>
  <c r="W309" i="3"/>
  <c r="X309" i="3"/>
  <c r="Y309" i="3"/>
  <c r="T916" i="3"/>
  <c r="U916" i="3"/>
  <c r="V916" i="3"/>
  <c r="W916" i="3"/>
  <c r="X916" i="3"/>
  <c r="Y916" i="3"/>
  <c r="T888" i="3"/>
  <c r="U888" i="3"/>
  <c r="V888" i="3"/>
  <c r="W888" i="3"/>
  <c r="X888" i="3"/>
  <c r="Y888" i="3"/>
  <c r="T390" i="3"/>
  <c r="U390" i="3"/>
  <c r="V390" i="3"/>
  <c r="W390" i="3"/>
  <c r="X390" i="3"/>
  <c r="Y390" i="3"/>
  <c r="T756" i="3"/>
  <c r="U756" i="3"/>
  <c r="V756" i="3"/>
  <c r="W756" i="3"/>
  <c r="X756" i="3"/>
  <c r="Y756" i="3"/>
  <c r="T528" i="3"/>
  <c r="U528" i="3"/>
  <c r="V528" i="3"/>
  <c r="W528" i="3"/>
  <c r="X528" i="3"/>
  <c r="Y528" i="3"/>
  <c r="T381" i="3"/>
  <c r="U381" i="3"/>
  <c r="V381" i="3"/>
  <c r="W381" i="3"/>
  <c r="X381" i="3"/>
  <c r="Y381" i="3"/>
  <c r="T641" i="3"/>
  <c r="U641" i="3"/>
  <c r="V641" i="3"/>
  <c r="W641" i="3"/>
  <c r="X641" i="3"/>
  <c r="Y641" i="3"/>
  <c r="T314" i="3"/>
  <c r="U314" i="3"/>
  <c r="V314" i="3"/>
  <c r="W314" i="3"/>
  <c r="X314" i="3"/>
  <c r="Y314" i="3"/>
  <c r="T324" i="3"/>
  <c r="U324" i="3"/>
  <c r="V324" i="3"/>
  <c r="W324" i="3"/>
  <c r="X324" i="3"/>
  <c r="Y324" i="3"/>
  <c r="T709" i="3"/>
  <c r="U709" i="3"/>
  <c r="V709" i="3"/>
  <c r="W709" i="3"/>
  <c r="X709" i="3"/>
  <c r="Y709" i="3"/>
  <c r="T432" i="3"/>
  <c r="U432" i="3"/>
  <c r="V432" i="3"/>
  <c r="W432" i="3"/>
  <c r="X432" i="3"/>
  <c r="Y432" i="3"/>
  <c r="T659" i="3"/>
  <c r="U659" i="3"/>
  <c r="V659" i="3"/>
  <c r="W659" i="3"/>
  <c r="X659" i="3"/>
  <c r="Y659" i="3"/>
  <c r="T115" i="3"/>
  <c r="U115" i="3"/>
  <c r="V115" i="3"/>
  <c r="W115" i="3"/>
  <c r="X115" i="3"/>
  <c r="Y115" i="3"/>
  <c r="T495" i="3"/>
  <c r="U495" i="3"/>
  <c r="V495" i="3"/>
  <c r="W495" i="3"/>
  <c r="X495" i="3"/>
  <c r="Y495" i="3"/>
  <c r="T397" i="3"/>
  <c r="U397" i="3"/>
  <c r="V397" i="3"/>
  <c r="W397" i="3"/>
  <c r="X397" i="3"/>
  <c r="Y397" i="3"/>
  <c r="T184" i="3"/>
  <c r="U184" i="3"/>
  <c r="V184" i="3"/>
  <c r="W184" i="3"/>
  <c r="X184" i="3"/>
  <c r="Y184" i="3"/>
  <c r="T514" i="3"/>
  <c r="U514" i="3"/>
  <c r="V514" i="3"/>
  <c r="W514" i="3"/>
  <c r="X514" i="3"/>
  <c r="Y514" i="3"/>
  <c r="S1" i="3"/>
  <c r="Q979" i="3"/>
  <c r="P979" i="3"/>
  <c r="O979" i="3"/>
  <c r="Q978" i="3"/>
  <c r="P978" i="3"/>
  <c r="O978" i="3"/>
  <c r="Q977" i="3"/>
  <c r="P977" i="3"/>
  <c r="O977" i="3"/>
  <c r="Q976" i="3"/>
  <c r="P976" i="3"/>
  <c r="O976" i="3"/>
  <c r="Q975" i="3"/>
  <c r="P975" i="3"/>
  <c r="O975" i="3"/>
  <c r="Q974" i="3"/>
  <c r="P974" i="3"/>
  <c r="O974" i="3"/>
  <c r="Q973" i="3"/>
  <c r="P973" i="3"/>
  <c r="O973" i="3"/>
  <c r="Q972" i="3"/>
  <c r="P972" i="3"/>
  <c r="O972" i="3"/>
  <c r="Q971" i="3"/>
  <c r="P971" i="3"/>
  <c r="O971" i="3"/>
  <c r="Q970" i="3"/>
  <c r="P970" i="3"/>
  <c r="O970" i="3"/>
  <c r="Q969" i="3"/>
  <c r="P969" i="3"/>
  <c r="O969" i="3"/>
  <c r="Q968" i="3"/>
  <c r="P968" i="3"/>
  <c r="O968" i="3"/>
  <c r="Q967" i="3"/>
  <c r="P967" i="3"/>
  <c r="O967" i="3"/>
  <c r="Q966" i="3"/>
  <c r="P966" i="3"/>
  <c r="O966" i="3"/>
  <c r="Q965" i="3"/>
  <c r="P965" i="3"/>
  <c r="O965" i="3"/>
  <c r="Q964" i="3"/>
  <c r="P964" i="3"/>
  <c r="O964" i="3"/>
  <c r="Q963" i="3"/>
  <c r="P963" i="3"/>
  <c r="O963" i="3"/>
  <c r="Q962" i="3"/>
  <c r="P962" i="3"/>
  <c r="O962" i="3"/>
  <c r="Q961" i="3"/>
  <c r="P961" i="3"/>
  <c r="O961" i="3"/>
  <c r="Q960" i="3"/>
  <c r="P960" i="3"/>
  <c r="O960" i="3"/>
  <c r="Q959" i="3"/>
  <c r="P959" i="3"/>
  <c r="O959" i="3"/>
  <c r="Q958" i="3"/>
  <c r="P958" i="3"/>
  <c r="O958" i="3"/>
  <c r="Q957" i="3"/>
  <c r="P957" i="3"/>
  <c r="O957" i="3"/>
  <c r="Q956" i="3"/>
  <c r="P956" i="3"/>
  <c r="O956" i="3"/>
  <c r="Q955" i="3"/>
  <c r="P955" i="3"/>
  <c r="Q954" i="3"/>
  <c r="P954" i="3"/>
  <c r="O954" i="3"/>
  <c r="Q953" i="3"/>
  <c r="P953" i="3"/>
  <c r="O953" i="3"/>
  <c r="Q952" i="3"/>
  <c r="P952" i="3"/>
  <c r="O952" i="3"/>
  <c r="Q951" i="3"/>
  <c r="P951" i="3"/>
  <c r="O951" i="3"/>
  <c r="Q950" i="3"/>
  <c r="P950" i="3"/>
  <c r="O950" i="3"/>
  <c r="Q949" i="3"/>
  <c r="P949" i="3"/>
  <c r="O949" i="3"/>
  <c r="Q948" i="3"/>
  <c r="P948" i="3"/>
  <c r="O948" i="3"/>
  <c r="Q947" i="3"/>
  <c r="P947" i="3"/>
  <c r="O947" i="3"/>
  <c r="Q946" i="3"/>
  <c r="P946" i="3"/>
  <c r="O946" i="3"/>
  <c r="Q945" i="3"/>
  <c r="P945" i="3"/>
  <c r="O945" i="3"/>
  <c r="Q944" i="3"/>
  <c r="P944" i="3"/>
  <c r="O944" i="3"/>
  <c r="Q943" i="3"/>
  <c r="P943" i="3"/>
  <c r="O943" i="3"/>
  <c r="Q942" i="3"/>
  <c r="P942" i="3"/>
  <c r="Q941" i="3"/>
  <c r="P941" i="3"/>
  <c r="Q940" i="3"/>
  <c r="P940" i="3"/>
  <c r="Q939" i="3"/>
  <c r="P939" i="3"/>
  <c r="Q938" i="3"/>
  <c r="P938" i="3"/>
  <c r="Q937" i="3"/>
  <c r="P937" i="3"/>
  <c r="Q936" i="3"/>
  <c r="P936" i="3"/>
  <c r="O936" i="3"/>
  <c r="Q935" i="3"/>
  <c r="P935" i="3"/>
  <c r="O935" i="3"/>
  <c r="Q934" i="3"/>
  <c r="P934" i="3"/>
  <c r="O934" i="3"/>
  <c r="Q933" i="3"/>
  <c r="P933" i="3"/>
  <c r="Q932" i="3"/>
  <c r="P932" i="3"/>
  <c r="Q931" i="3"/>
  <c r="P931" i="3"/>
  <c r="O931" i="3"/>
  <c r="Q930" i="3"/>
  <c r="P930" i="3"/>
  <c r="O930" i="3"/>
  <c r="Q929" i="3"/>
  <c r="P929" i="3"/>
  <c r="O929" i="3"/>
  <c r="Q928" i="3"/>
  <c r="P928" i="3"/>
  <c r="O928" i="3"/>
  <c r="Q927" i="3"/>
  <c r="P927" i="3"/>
  <c r="O927" i="3"/>
  <c r="Q926" i="3"/>
  <c r="P926" i="3"/>
  <c r="O926" i="3"/>
  <c r="Q925" i="3"/>
  <c r="P925" i="3"/>
  <c r="O925" i="3"/>
  <c r="Q924" i="3"/>
  <c r="P924" i="3"/>
  <c r="O924" i="3"/>
  <c r="Q923" i="3"/>
  <c r="P923" i="3"/>
  <c r="O923" i="3"/>
  <c r="Q922" i="3"/>
  <c r="P922" i="3"/>
  <c r="O922" i="3"/>
  <c r="Q921" i="3"/>
  <c r="P921" i="3"/>
  <c r="O921" i="3"/>
  <c r="Q920" i="3"/>
  <c r="P920" i="3"/>
  <c r="O920" i="3"/>
  <c r="Q919" i="3"/>
  <c r="P919" i="3"/>
  <c r="O919" i="3"/>
  <c r="Q918" i="3"/>
  <c r="P918" i="3"/>
  <c r="O918" i="3"/>
  <c r="Q917" i="3"/>
  <c r="P917" i="3"/>
  <c r="O917" i="3"/>
  <c r="Q916" i="3"/>
  <c r="P916" i="3"/>
  <c r="O916" i="3"/>
  <c r="Q915" i="3"/>
  <c r="P915" i="3"/>
  <c r="O915" i="3"/>
  <c r="Q914" i="3"/>
  <c r="P914" i="3"/>
  <c r="O914" i="3"/>
  <c r="Q913" i="3"/>
  <c r="P913" i="3"/>
  <c r="O913" i="3"/>
  <c r="Q912" i="3"/>
  <c r="P912" i="3"/>
  <c r="O912" i="3"/>
  <c r="Q911" i="3"/>
  <c r="P911" i="3"/>
  <c r="O911" i="3"/>
  <c r="Q910" i="3"/>
  <c r="P910" i="3"/>
  <c r="O910" i="3"/>
  <c r="Q909" i="3"/>
  <c r="P909" i="3"/>
  <c r="O909" i="3"/>
  <c r="Q908" i="3"/>
  <c r="P908" i="3"/>
  <c r="O908" i="3"/>
  <c r="Q907" i="3"/>
  <c r="P907" i="3"/>
  <c r="O907" i="3"/>
  <c r="Q906" i="3"/>
  <c r="P906" i="3"/>
  <c r="O906" i="3"/>
  <c r="Q905" i="3"/>
  <c r="P905" i="3"/>
  <c r="O905" i="3"/>
  <c r="Q904" i="3"/>
  <c r="P904" i="3"/>
  <c r="O904" i="3"/>
  <c r="Q903" i="3"/>
  <c r="P903" i="3"/>
  <c r="O903" i="3"/>
  <c r="Q902" i="3"/>
  <c r="P902" i="3"/>
  <c r="O902" i="3"/>
  <c r="Q901" i="3"/>
  <c r="P901" i="3"/>
  <c r="O901" i="3"/>
  <c r="Q900" i="3"/>
  <c r="P900" i="3"/>
  <c r="O900" i="3"/>
  <c r="Q899" i="3"/>
  <c r="P899" i="3"/>
  <c r="O899" i="3"/>
  <c r="Q898" i="3"/>
  <c r="P898" i="3"/>
  <c r="O898" i="3"/>
  <c r="Q897" i="3"/>
  <c r="P897" i="3"/>
  <c r="O897" i="3"/>
  <c r="Q896" i="3"/>
  <c r="P896" i="3"/>
  <c r="O896" i="3"/>
  <c r="Q895" i="3"/>
  <c r="P895" i="3"/>
  <c r="O895" i="3"/>
  <c r="Q894" i="3"/>
  <c r="P894" i="3"/>
  <c r="O894" i="3"/>
  <c r="Q893" i="3"/>
  <c r="P893" i="3"/>
  <c r="O893" i="3"/>
  <c r="Q892" i="3"/>
  <c r="P892" i="3"/>
  <c r="O892" i="3"/>
  <c r="Q891" i="3"/>
  <c r="P891" i="3"/>
  <c r="O891" i="3"/>
  <c r="Q890" i="3"/>
  <c r="P890" i="3"/>
  <c r="O890" i="3"/>
  <c r="Q889" i="3"/>
  <c r="P889" i="3"/>
  <c r="O889" i="3"/>
  <c r="Q888" i="3"/>
  <c r="P888" i="3"/>
  <c r="O888" i="3"/>
  <c r="Q887" i="3"/>
  <c r="P887" i="3"/>
  <c r="O887" i="3"/>
  <c r="Q886" i="3"/>
  <c r="P886" i="3"/>
  <c r="O886" i="3"/>
  <c r="Q885" i="3"/>
  <c r="P885" i="3"/>
  <c r="O885" i="3"/>
  <c r="Q884" i="3"/>
  <c r="P884" i="3"/>
  <c r="O884" i="3"/>
  <c r="Q883" i="3"/>
  <c r="P883" i="3"/>
  <c r="O883" i="3"/>
  <c r="Q882" i="3"/>
  <c r="P882" i="3"/>
  <c r="O882" i="3"/>
  <c r="Q881" i="3"/>
  <c r="P881" i="3"/>
  <c r="O881" i="3"/>
  <c r="Q880" i="3"/>
  <c r="P880" i="3"/>
  <c r="O880" i="3"/>
  <c r="Q879" i="3"/>
  <c r="P879" i="3"/>
  <c r="O879" i="3"/>
  <c r="Q878" i="3"/>
  <c r="P878" i="3"/>
  <c r="O878" i="3"/>
  <c r="Q877" i="3"/>
  <c r="P877" i="3"/>
  <c r="O877" i="3"/>
  <c r="Q876" i="3"/>
  <c r="P876" i="3"/>
  <c r="O876" i="3"/>
  <c r="Q875" i="3"/>
  <c r="P875" i="3"/>
  <c r="O875" i="3"/>
  <c r="Q874" i="3"/>
  <c r="P874" i="3"/>
  <c r="O874" i="3"/>
  <c r="Q873" i="3"/>
  <c r="P873" i="3"/>
  <c r="O873" i="3"/>
  <c r="Q872" i="3"/>
  <c r="P872" i="3"/>
  <c r="O872" i="3"/>
  <c r="Q871" i="3"/>
  <c r="P871" i="3"/>
  <c r="O871" i="3"/>
  <c r="Q870" i="3"/>
  <c r="P870" i="3"/>
  <c r="O870" i="3"/>
  <c r="Q869" i="3"/>
  <c r="P869" i="3"/>
  <c r="O869" i="3"/>
  <c r="Q868" i="3"/>
  <c r="P868" i="3"/>
  <c r="O868" i="3"/>
  <c r="Q867" i="3"/>
  <c r="P867" i="3"/>
  <c r="O867" i="3"/>
  <c r="Q866" i="3"/>
  <c r="P866" i="3"/>
  <c r="O866" i="3"/>
  <c r="Q865" i="3"/>
  <c r="P865" i="3"/>
  <c r="O865" i="3"/>
  <c r="Q864" i="3"/>
  <c r="P864" i="3"/>
  <c r="O864" i="3"/>
  <c r="Q863" i="3"/>
  <c r="P863" i="3"/>
  <c r="O863" i="3"/>
  <c r="Q862" i="3"/>
  <c r="P862" i="3"/>
  <c r="O862" i="3"/>
  <c r="Q861" i="3"/>
  <c r="P861" i="3"/>
  <c r="O861" i="3"/>
  <c r="Q860" i="3"/>
  <c r="P860" i="3"/>
  <c r="O860" i="3"/>
  <c r="Q859" i="3"/>
  <c r="P859" i="3"/>
  <c r="O859" i="3"/>
  <c r="Q858" i="3"/>
  <c r="P858" i="3"/>
  <c r="O858" i="3"/>
  <c r="Q857" i="3"/>
  <c r="P857" i="3"/>
  <c r="O857" i="3"/>
  <c r="Q856" i="3"/>
  <c r="P856" i="3"/>
  <c r="O856" i="3"/>
  <c r="Q855" i="3"/>
  <c r="P855" i="3"/>
  <c r="O855" i="3"/>
  <c r="Q854" i="3"/>
  <c r="P854" i="3"/>
  <c r="O854" i="3"/>
  <c r="Q853" i="3"/>
  <c r="P853" i="3"/>
  <c r="O853" i="3"/>
  <c r="Q852" i="3"/>
  <c r="P852" i="3"/>
  <c r="O852" i="3"/>
  <c r="Q851" i="3"/>
  <c r="P851" i="3"/>
  <c r="O851" i="3"/>
  <c r="Q850" i="3"/>
  <c r="P850" i="3"/>
  <c r="O850" i="3"/>
  <c r="Q849" i="3"/>
  <c r="P849" i="3"/>
  <c r="O849" i="3"/>
  <c r="Q848" i="3"/>
  <c r="P848" i="3"/>
  <c r="O848" i="3"/>
  <c r="Q847" i="3"/>
  <c r="P847" i="3"/>
  <c r="O847" i="3"/>
  <c r="Q846" i="3"/>
  <c r="P846" i="3"/>
  <c r="O846" i="3"/>
  <c r="Q845" i="3"/>
  <c r="P845" i="3"/>
  <c r="O845" i="3"/>
  <c r="Q844" i="3"/>
  <c r="P844" i="3"/>
  <c r="O844" i="3"/>
  <c r="Q843" i="3"/>
  <c r="P843" i="3"/>
  <c r="O843" i="3"/>
  <c r="Q842" i="3"/>
  <c r="P842" i="3"/>
  <c r="O842" i="3"/>
  <c r="Q841" i="3"/>
  <c r="P841" i="3"/>
  <c r="O841" i="3"/>
  <c r="Q840" i="3"/>
  <c r="P840" i="3"/>
  <c r="O840" i="3"/>
  <c r="Q839" i="3"/>
  <c r="P839" i="3"/>
  <c r="O839" i="3"/>
  <c r="Q838" i="3"/>
  <c r="P838" i="3"/>
  <c r="O838" i="3"/>
  <c r="Q837" i="3"/>
  <c r="P837" i="3"/>
  <c r="O837" i="3"/>
  <c r="Q836" i="3"/>
  <c r="P836" i="3"/>
  <c r="O836" i="3"/>
  <c r="Q835" i="3"/>
  <c r="P835" i="3"/>
  <c r="O835" i="3"/>
  <c r="Q834" i="3"/>
  <c r="P834" i="3"/>
  <c r="O834" i="3"/>
  <c r="Q833" i="3"/>
  <c r="P833" i="3"/>
  <c r="O833" i="3"/>
  <c r="Q832" i="3"/>
  <c r="P832" i="3"/>
  <c r="O832" i="3"/>
  <c r="Q831" i="3"/>
  <c r="P831" i="3"/>
  <c r="O831" i="3"/>
  <c r="Q830" i="3"/>
  <c r="P830" i="3"/>
  <c r="O830" i="3"/>
  <c r="Q829" i="3"/>
  <c r="P829" i="3"/>
  <c r="O829" i="3"/>
  <c r="Q828" i="3"/>
  <c r="P828" i="3"/>
  <c r="O828" i="3"/>
  <c r="Q827" i="3"/>
  <c r="P827" i="3"/>
  <c r="O827" i="3"/>
  <c r="Q826" i="3"/>
  <c r="P826" i="3"/>
  <c r="O826" i="3"/>
  <c r="Q825" i="3"/>
  <c r="P825" i="3"/>
  <c r="O825" i="3"/>
  <c r="Q824" i="3"/>
  <c r="P824" i="3"/>
  <c r="O824" i="3"/>
  <c r="Q823" i="3"/>
  <c r="P823" i="3"/>
  <c r="O823" i="3"/>
  <c r="Q822" i="3"/>
  <c r="P822" i="3"/>
  <c r="O822" i="3"/>
  <c r="Q821" i="3"/>
  <c r="P821" i="3"/>
  <c r="O821" i="3"/>
  <c r="Q820" i="3"/>
  <c r="P820" i="3"/>
  <c r="O820" i="3"/>
  <c r="Q819" i="3"/>
  <c r="P819" i="3"/>
  <c r="O819" i="3"/>
  <c r="Q818" i="3"/>
  <c r="P818" i="3"/>
  <c r="O818" i="3"/>
  <c r="Q817" i="3"/>
  <c r="P817" i="3"/>
  <c r="O817" i="3"/>
  <c r="Q816" i="3"/>
  <c r="P816" i="3"/>
  <c r="O816" i="3"/>
  <c r="Q815" i="3"/>
  <c r="P815" i="3"/>
  <c r="O815" i="3"/>
  <c r="Q814" i="3"/>
  <c r="P814" i="3"/>
  <c r="O814" i="3"/>
  <c r="Q813" i="3"/>
  <c r="P813" i="3"/>
  <c r="O813" i="3"/>
  <c r="Q812" i="3"/>
  <c r="P812" i="3"/>
  <c r="O812" i="3"/>
  <c r="Q811" i="3"/>
  <c r="P811" i="3"/>
  <c r="O811" i="3"/>
  <c r="Q810" i="3"/>
  <c r="P810" i="3"/>
  <c r="O810" i="3"/>
  <c r="Q809" i="3"/>
  <c r="P809" i="3"/>
  <c r="O809" i="3"/>
  <c r="Q808" i="3"/>
  <c r="P808" i="3"/>
  <c r="O808" i="3"/>
  <c r="Q807" i="3"/>
  <c r="P807" i="3"/>
  <c r="O807" i="3"/>
  <c r="Q806" i="3"/>
  <c r="P806" i="3"/>
  <c r="O806" i="3"/>
  <c r="Q805" i="3"/>
  <c r="P805" i="3"/>
  <c r="O805" i="3"/>
  <c r="Q804" i="3"/>
  <c r="P804" i="3"/>
  <c r="O804" i="3"/>
  <c r="Q803" i="3"/>
  <c r="P803" i="3"/>
  <c r="O803" i="3"/>
  <c r="Q802" i="3"/>
  <c r="P802" i="3"/>
  <c r="O802" i="3"/>
  <c r="Q801" i="3"/>
  <c r="P801" i="3"/>
  <c r="O801" i="3"/>
  <c r="Q800" i="3"/>
  <c r="P800" i="3"/>
  <c r="O800" i="3"/>
  <c r="Q799" i="3"/>
  <c r="P799" i="3"/>
  <c r="O799" i="3"/>
  <c r="Q798" i="3"/>
  <c r="P798" i="3"/>
  <c r="O798" i="3"/>
  <c r="Q797" i="3"/>
  <c r="P797" i="3"/>
  <c r="O797" i="3"/>
  <c r="Q796" i="3"/>
  <c r="P796" i="3"/>
  <c r="O796" i="3"/>
  <c r="Q795" i="3"/>
  <c r="P795" i="3"/>
  <c r="O795" i="3"/>
  <c r="Q794" i="3"/>
  <c r="P794" i="3"/>
  <c r="O794" i="3"/>
  <c r="Q793" i="3"/>
  <c r="P793" i="3"/>
  <c r="O793" i="3"/>
  <c r="Q792" i="3"/>
  <c r="P792" i="3"/>
  <c r="O792" i="3"/>
  <c r="Q791" i="3"/>
  <c r="P791" i="3"/>
  <c r="O791" i="3"/>
  <c r="Q790" i="3"/>
  <c r="P790" i="3"/>
  <c r="O790" i="3"/>
  <c r="Q789" i="3"/>
  <c r="P789" i="3"/>
  <c r="O789" i="3"/>
  <c r="Q788" i="3"/>
  <c r="P788" i="3"/>
  <c r="O788" i="3"/>
  <c r="Q787" i="3"/>
  <c r="P787" i="3"/>
  <c r="O787" i="3"/>
  <c r="Q786" i="3"/>
  <c r="P786" i="3"/>
  <c r="O786" i="3"/>
  <c r="Q785" i="3"/>
  <c r="P785" i="3"/>
  <c r="O785" i="3"/>
  <c r="Q784" i="3"/>
  <c r="P784" i="3"/>
  <c r="O784" i="3"/>
  <c r="Q783" i="3"/>
  <c r="P783" i="3"/>
  <c r="O783" i="3"/>
  <c r="Q782" i="3"/>
  <c r="P782" i="3"/>
  <c r="O782" i="3"/>
  <c r="Q781" i="3"/>
  <c r="P781" i="3"/>
  <c r="O781" i="3"/>
  <c r="Q780" i="3"/>
  <c r="P780" i="3"/>
  <c r="O780" i="3"/>
  <c r="Q779" i="3"/>
  <c r="P779" i="3"/>
  <c r="O779" i="3"/>
  <c r="Q778" i="3"/>
  <c r="P778" i="3"/>
  <c r="O778" i="3"/>
  <c r="Q777" i="3"/>
  <c r="P777" i="3"/>
  <c r="O777" i="3"/>
  <c r="Q776" i="3"/>
  <c r="P776" i="3"/>
  <c r="O776" i="3"/>
  <c r="Q775" i="3"/>
  <c r="P775" i="3"/>
  <c r="O775" i="3"/>
  <c r="Q774" i="3"/>
  <c r="P774" i="3"/>
  <c r="O774" i="3"/>
  <c r="Q773" i="3"/>
  <c r="P773" i="3"/>
  <c r="O773" i="3"/>
  <c r="Q772" i="3"/>
  <c r="P772" i="3"/>
  <c r="O772" i="3"/>
  <c r="Q771" i="3"/>
  <c r="P771" i="3"/>
  <c r="O771" i="3"/>
  <c r="Q770" i="3"/>
  <c r="P770" i="3"/>
  <c r="O770" i="3"/>
  <c r="Q769" i="3"/>
  <c r="P769" i="3"/>
  <c r="O769" i="3"/>
  <c r="Q768" i="3"/>
  <c r="P768" i="3"/>
  <c r="O768" i="3"/>
  <c r="Q767" i="3"/>
  <c r="P767" i="3"/>
  <c r="O767" i="3"/>
  <c r="Q766" i="3"/>
  <c r="P766" i="3"/>
  <c r="O766" i="3"/>
  <c r="Q765" i="3"/>
  <c r="P765" i="3"/>
  <c r="O765" i="3"/>
  <c r="Q764" i="3"/>
  <c r="P764" i="3"/>
  <c r="O764" i="3"/>
  <c r="Q763" i="3"/>
  <c r="P763" i="3"/>
  <c r="O763" i="3"/>
  <c r="Q762" i="3"/>
  <c r="P762" i="3"/>
  <c r="O762" i="3"/>
  <c r="Q761" i="3"/>
  <c r="P761" i="3"/>
  <c r="O761" i="3"/>
  <c r="Q760" i="3"/>
  <c r="P760" i="3"/>
  <c r="O760" i="3"/>
  <c r="Q759" i="3"/>
  <c r="P759" i="3"/>
  <c r="O759" i="3"/>
  <c r="Q758" i="3"/>
  <c r="P758" i="3"/>
  <c r="O758" i="3"/>
  <c r="Q757" i="3"/>
  <c r="P757" i="3"/>
  <c r="O757" i="3"/>
  <c r="Q756" i="3"/>
  <c r="P756" i="3"/>
  <c r="O756" i="3"/>
  <c r="Q755" i="3"/>
  <c r="P755" i="3"/>
  <c r="O755" i="3"/>
  <c r="Q754" i="3"/>
  <c r="P754" i="3"/>
  <c r="O754" i="3"/>
  <c r="Q753" i="3"/>
  <c r="P753" i="3"/>
  <c r="O753" i="3"/>
  <c r="Q752" i="3"/>
  <c r="P752" i="3"/>
  <c r="O752" i="3"/>
  <c r="Q751" i="3"/>
  <c r="P751" i="3"/>
  <c r="O751" i="3"/>
  <c r="Q750" i="3"/>
  <c r="P750" i="3"/>
  <c r="O750" i="3"/>
  <c r="Q749" i="3"/>
  <c r="P749" i="3"/>
  <c r="O749" i="3"/>
  <c r="Q748" i="3"/>
  <c r="P748" i="3"/>
  <c r="O748" i="3"/>
  <c r="Q747" i="3"/>
  <c r="P747" i="3"/>
  <c r="O747" i="3"/>
  <c r="Q746" i="3"/>
  <c r="P746" i="3"/>
  <c r="O746" i="3"/>
  <c r="Q745" i="3"/>
  <c r="P745" i="3"/>
  <c r="O745" i="3"/>
  <c r="Q744" i="3"/>
  <c r="P744" i="3"/>
  <c r="O744" i="3"/>
  <c r="Q743" i="3"/>
  <c r="P743" i="3"/>
  <c r="O743" i="3"/>
  <c r="Q742" i="3"/>
  <c r="P742" i="3"/>
  <c r="O742" i="3"/>
  <c r="Q741" i="3"/>
  <c r="P741" i="3"/>
  <c r="O741" i="3"/>
  <c r="Q740" i="3"/>
  <c r="P740" i="3"/>
  <c r="O740" i="3"/>
  <c r="Q739" i="3"/>
  <c r="P739" i="3"/>
  <c r="O739" i="3"/>
  <c r="Q738" i="3"/>
  <c r="P738" i="3"/>
  <c r="O738" i="3"/>
  <c r="Q737" i="3"/>
  <c r="P737" i="3"/>
  <c r="O737" i="3"/>
  <c r="Q736" i="3"/>
  <c r="P736" i="3"/>
  <c r="O736" i="3"/>
  <c r="Q735" i="3"/>
  <c r="P735" i="3"/>
  <c r="O735" i="3"/>
  <c r="Q734" i="3"/>
  <c r="P734" i="3"/>
  <c r="O734" i="3"/>
  <c r="Q733" i="3"/>
  <c r="P733" i="3"/>
  <c r="O733" i="3"/>
  <c r="Q732" i="3"/>
  <c r="P732" i="3"/>
  <c r="O732" i="3"/>
  <c r="Q731" i="3"/>
  <c r="P731" i="3"/>
  <c r="O731" i="3"/>
  <c r="Q730" i="3"/>
  <c r="P730" i="3"/>
  <c r="O730" i="3"/>
  <c r="Q729" i="3"/>
  <c r="P729" i="3"/>
  <c r="O729" i="3"/>
  <c r="Q728" i="3"/>
  <c r="P728" i="3"/>
  <c r="O728" i="3"/>
  <c r="Q727" i="3"/>
  <c r="P727" i="3"/>
  <c r="O727" i="3"/>
  <c r="Q726" i="3"/>
  <c r="P726" i="3"/>
  <c r="O726" i="3"/>
  <c r="Q725" i="3"/>
  <c r="P725" i="3"/>
  <c r="O725" i="3"/>
  <c r="Q724" i="3"/>
  <c r="P724" i="3"/>
  <c r="O724" i="3"/>
  <c r="Q723" i="3"/>
  <c r="P723" i="3"/>
  <c r="O723" i="3"/>
  <c r="Q722" i="3"/>
  <c r="P722" i="3"/>
  <c r="O722" i="3"/>
  <c r="Q721" i="3"/>
  <c r="P721" i="3"/>
  <c r="O721" i="3"/>
  <c r="Q720" i="3"/>
  <c r="P720" i="3"/>
  <c r="O720" i="3"/>
  <c r="Q719" i="3"/>
  <c r="P719" i="3"/>
  <c r="O719" i="3"/>
  <c r="Q718" i="3"/>
  <c r="P718" i="3"/>
  <c r="O718" i="3"/>
  <c r="Q717" i="3"/>
  <c r="P717" i="3"/>
  <c r="O717" i="3"/>
  <c r="Q716" i="3"/>
  <c r="P716" i="3"/>
  <c r="O716" i="3"/>
  <c r="Q715" i="3"/>
  <c r="P715" i="3"/>
  <c r="O715" i="3"/>
  <c r="Q714" i="3"/>
  <c r="P714" i="3"/>
  <c r="O714" i="3"/>
  <c r="Q713" i="3"/>
  <c r="P713" i="3"/>
  <c r="O713" i="3"/>
  <c r="Q712" i="3"/>
  <c r="P712" i="3"/>
  <c r="O712" i="3"/>
  <c r="Q711" i="3"/>
  <c r="P711" i="3"/>
  <c r="O711" i="3"/>
  <c r="Q710" i="3"/>
  <c r="P710" i="3"/>
  <c r="O710" i="3"/>
  <c r="Q709" i="3"/>
  <c r="P709" i="3"/>
  <c r="O709" i="3"/>
  <c r="Q708" i="3"/>
  <c r="P708" i="3"/>
  <c r="O708" i="3"/>
  <c r="Q707" i="3"/>
  <c r="P707" i="3"/>
  <c r="O707" i="3"/>
  <c r="Q706" i="3"/>
  <c r="P706" i="3"/>
  <c r="O706" i="3"/>
  <c r="Q705" i="3"/>
  <c r="P705" i="3"/>
  <c r="O705" i="3"/>
  <c r="Q704" i="3"/>
  <c r="P704" i="3"/>
  <c r="O704" i="3"/>
  <c r="Q703" i="3"/>
  <c r="P703" i="3"/>
  <c r="O703" i="3"/>
  <c r="Q702" i="3"/>
  <c r="P702" i="3"/>
  <c r="O702" i="3"/>
  <c r="Q701" i="3"/>
  <c r="P701" i="3"/>
  <c r="O701" i="3"/>
  <c r="Q700" i="3"/>
  <c r="P700" i="3"/>
  <c r="O700" i="3"/>
  <c r="Q699" i="3"/>
  <c r="P699" i="3"/>
  <c r="O699" i="3"/>
  <c r="Q698" i="3"/>
  <c r="P698" i="3"/>
  <c r="O698" i="3"/>
  <c r="Q697" i="3"/>
  <c r="P697" i="3"/>
  <c r="O697" i="3"/>
  <c r="Q696" i="3"/>
  <c r="P696" i="3"/>
  <c r="O696" i="3"/>
  <c r="Q695" i="3"/>
  <c r="P695" i="3"/>
  <c r="O695" i="3"/>
  <c r="Q694" i="3"/>
  <c r="P694" i="3"/>
  <c r="O694" i="3"/>
  <c r="Q693" i="3"/>
  <c r="P693" i="3"/>
  <c r="O693" i="3"/>
  <c r="Q692" i="3"/>
  <c r="P692" i="3"/>
  <c r="O692" i="3"/>
  <c r="Q691" i="3"/>
  <c r="P691" i="3"/>
  <c r="O691" i="3"/>
  <c r="Q690" i="3"/>
  <c r="P690" i="3"/>
  <c r="O690" i="3"/>
  <c r="Q689" i="3"/>
  <c r="P689" i="3"/>
  <c r="O689" i="3"/>
  <c r="Q688" i="3"/>
  <c r="P688" i="3"/>
  <c r="O688" i="3"/>
  <c r="Q687" i="3"/>
  <c r="P687" i="3"/>
  <c r="O687" i="3"/>
  <c r="Q686" i="3"/>
  <c r="P686" i="3"/>
  <c r="O686" i="3"/>
  <c r="Q685" i="3"/>
  <c r="P685" i="3"/>
  <c r="O685" i="3"/>
  <c r="Q684" i="3"/>
  <c r="P684" i="3"/>
  <c r="O684" i="3"/>
  <c r="Q683" i="3"/>
  <c r="P683" i="3"/>
  <c r="O683" i="3"/>
  <c r="Q682" i="3"/>
  <c r="P682" i="3"/>
  <c r="O682" i="3"/>
  <c r="Q681" i="3"/>
  <c r="P681" i="3"/>
  <c r="O681" i="3"/>
  <c r="Q680" i="3"/>
  <c r="P680" i="3"/>
  <c r="O680" i="3"/>
  <c r="Q679" i="3"/>
  <c r="P679" i="3"/>
  <c r="O679" i="3"/>
  <c r="Q678" i="3"/>
  <c r="P678" i="3"/>
  <c r="O678" i="3"/>
  <c r="Q677" i="3"/>
  <c r="P677" i="3"/>
  <c r="O677" i="3"/>
  <c r="Q676" i="3"/>
  <c r="P676" i="3"/>
  <c r="O676" i="3"/>
  <c r="Q675" i="3"/>
  <c r="P675" i="3"/>
  <c r="O675" i="3"/>
  <c r="Q674" i="3"/>
  <c r="P674" i="3"/>
  <c r="O674" i="3"/>
  <c r="Q673" i="3"/>
  <c r="P673" i="3"/>
  <c r="O673" i="3"/>
  <c r="Q672" i="3"/>
  <c r="P672" i="3"/>
  <c r="O672" i="3"/>
  <c r="Q671" i="3"/>
  <c r="P671" i="3"/>
  <c r="O671" i="3"/>
  <c r="Q670" i="3"/>
  <c r="P670" i="3"/>
  <c r="O670" i="3"/>
  <c r="Q669" i="3"/>
  <c r="P669" i="3"/>
  <c r="O669" i="3"/>
  <c r="Q668" i="3"/>
  <c r="P668" i="3"/>
  <c r="O668" i="3"/>
  <c r="Q667" i="3"/>
  <c r="P667" i="3"/>
  <c r="O667" i="3"/>
  <c r="Q666" i="3"/>
  <c r="P666" i="3"/>
  <c r="O666" i="3"/>
  <c r="Q665" i="3"/>
  <c r="P665" i="3"/>
  <c r="O665" i="3"/>
  <c r="Q664" i="3"/>
  <c r="P664" i="3"/>
  <c r="Q663" i="3"/>
  <c r="P663" i="3"/>
  <c r="Q662" i="3"/>
  <c r="P662" i="3"/>
  <c r="O662" i="3"/>
  <c r="Q661" i="3"/>
  <c r="P661" i="3"/>
  <c r="O661" i="3"/>
  <c r="Q660" i="3"/>
  <c r="P660" i="3"/>
  <c r="Q659" i="3"/>
  <c r="P659" i="3"/>
  <c r="O659" i="3"/>
  <c r="Q658" i="3"/>
  <c r="P658" i="3"/>
  <c r="O658" i="3"/>
  <c r="Q657" i="3"/>
  <c r="P657" i="3"/>
  <c r="O657" i="3"/>
  <c r="Q656" i="3"/>
  <c r="P656" i="3"/>
  <c r="O656" i="3"/>
  <c r="Q655" i="3"/>
  <c r="P655" i="3"/>
  <c r="O655" i="3"/>
  <c r="Q654" i="3"/>
  <c r="P654" i="3"/>
  <c r="O654" i="3"/>
  <c r="Q653" i="3"/>
  <c r="P653" i="3"/>
  <c r="O653" i="3"/>
  <c r="Q652" i="3"/>
  <c r="P652" i="3"/>
  <c r="O652" i="3"/>
  <c r="Q651" i="3"/>
  <c r="P651" i="3"/>
  <c r="O651" i="3"/>
  <c r="Q650" i="3"/>
  <c r="P650" i="3"/>
  <c r="O650" i="3"/>
  <c r="Q649" i="3"/>
  <c r="P649" i="3"/>
  <c r="O649" i="3"/>
  <c r="Q648" i="3"/>
  <c r="P648" i="3"/>
  <c r="O648" i="3"/>
  <c r="Q647" i="3"/>
  <c r="P647" i="3"/>
  <c r="O647" i="3"/>
  <c r="Q646" i="3"/>
  <c r="P646" i="3"/>
  <c r="O646" i="3"/>
  <c r="Q645" i="3"/>
  <c r="P645" i="3"/>
  <c r="O645" i="3"/>
  <c r="Q644" i="3"/>
  <c r="P644" i="3"/>
  <c r="O644" i="3"/>
  <c r="Q643" i="3"/>
  <c r="P643" i="3"/>
  <c r="O643" i="3"/>
  <c r="Q642" i="3"/>
  <c r="P642" i="3"/>
  <c r="O642" i="3"/>
  <c r="Q641" i="3"/>
  <c r="P641" i="3"/>
  <c r="O641" i="3"/>
  <c r="Q640" i="3"/>
  <c r="P640" i="3"/>
  <c r="O640" i="3"/>
  <c r="Q639" i="3"/>
  <c r="P639" i="3"/>
  <c r="O639" i="3"/>
  <c r="Q638" i="3"/>
  <c r="P638" i="3"/>
  <c r="O638" i="3"/>
  <c r="Q637" i="3"/>
  <c r="P637" i="3"/>
  <c r="O637" i="3"/>
  <c r="Q636" i="3"/>
  <c r="P636" i="3"/>
  <c r="O636" i="3"/>
  <c r="Q635" i="3"/>
  <c r="P635" i="3"/>
  <c r="O635" i="3"/>
  <c r="Q634" i="3"/>
  <c r="P634" i="3"/>
  <c r="O634" i="3"/>
  <c r="Q633" i="3"/>
  <c r="P633" i="3"/>
  <c r="O633" i="3"/>
  <c r="Q632" i="3"/>
  <c r="P632" i="3"/>
  <c r="O632" i="3"/>
  <c r="Q631" i="3"/>
  <c r="P631" i="3"/>
  <c r="O631" i="3"/>
  <c r="Q630" i="3"/>
  <c r="P630" i="3"/>
  <c r="O630" i="3"/>
  <c r="Q629" i="3"/>
  <c r="P629" i="3"/>
  <c r="O629" i="3"/>
  <c r="Q628" i="3"/>
  <c r="P628" i="3"/>
  <c r="Q627" i="3"/>
  <c r="P627" i="3"/>
  <c r="O627" i="3"/>
  <c r="Q626" i="3"/>
  <c r="P626" i="3"/>
  <c r="O626" i="3"/>
  <c r="Q625" i="3"/>
  <c r="P625" i="3"/>
  <c r="O625" i="3"/>
  <c r="Q624" i="3"/>
  <c r="P624" i="3"/>
  <c r="O624" i="3"/>
  <c r="Q623" i="3"/>
  <c r="P623" i="3"/>
  <c r="O623" i="3"/>
  <c r="Q622" i="3"/>
  <c r="P622" i="3"/>
  <c r="O622" i="3"/>
  <c r="Q621" i="3"/>
  <c r="P621" i="3"/>
  <c r="O621" i="3"/>
  <c r="Q620" i="3"/>
  <c r="P620" i="3"/>
  <c r="O620" i="3"/>
  <c r="Q619" i="3"/>
  <c r="P619" i="3"/>
  <c r="O619" i="3"/>
  <c r="Q618" i="3"/>
  <c r="P618" i="3"/>
  <c r="O618" i="3"/>
  <c r="Q617" i="3"/>
  <c r="P617" i="3"/>
  <c r="O617" i="3"/>
  <c r="Q616" i="3"/>
  <c r="P616" i="3"/>
  <c r="O616" i="3"/>
  <c r="Q615" i="3"/>
  <c r="P615" i="3"/>
  <c r="O615" i="3"/>
  <c r="Q614" i="3"/>
  <c r="P614" i="3"/>
  <c r="O614" i="3"/>
  <c r="Q613" i="3"/>
  <c r="P613" i="3"/>
  <c r="O613" i="3"/>
  <c r="Q612" i="3"/>
  <c r="P612" i="3"/>
  <c r="O612" i="3"/>
  <c r="Q611" i="3"/>
  <c r="P611" i="3"/>
  <c r="O611" i="3"/>
  <c r="Q610" i="3"/>
  <c r="P610" i="3"/>
  <c r="O610" i="3"/>
  <c r="Q609" i="3"/>
  <c r="P609" i="3"/>
  <c r="O609" i="3"/>
  <c r="Q608" i="3"/>
  <c r="P608" i="3"/>
  <c r="O608" i="3"/>
  <c r="Q607" i="3"/>
  <c r="P607" i="3"/>
  <c r="O607" i="3"/>
  <c r="Q606" i="3"/>
  <c r="P606" i="3"/>
  <c r="O606" i="3"/>
  <c r="Q605" i="3"/>
  <c r="P605" i="3"/>
  <c r="O605" i="3"/>
  <c r="Q604" i="3"/>
  <c r="P604" i="3"/>
  <c r="O604" i="3"/>
  <c r="Q603" i="3"/>
  <c r="P603" i="3"/>
  <c r="O603" i="3"/>
  <c r="Q602" i="3"/>
  <c r="P602" i="3"/>
  <c r="O602" i="3"/>
  <c r="Q601" i="3"/>
  <c r="P601" i="3"/>
  <c r="O601" i="3"/>
  <c r="Q600" i="3"/>
  <c r="P600" i="3"/>
  <c r="O600" i="3"/>
  <c r="Q599" i="3"/>
  <c r="P599" i="3"/>
  <c r="O599" i="3"/>
  <c r="Q598" i="3"/>
  <c r="P598" i="3"/>
  <c r="O598" i="3"/>
  <c r="Q597" i="3"/>
  <c r="P597" i="3"/>
  <c r="O597" i="3"/>
  <c r="Q596" i="3"/>
  <c r="P596" i="3"/>
  <c r="O596" i="3"/>
  <c r="Q595" i="3"/>
  <c r="P595" i="3"/>
  <c r="O595" i="3"/>
  <c r="Q594" i="3"/>
  <c r="P594" i="3"/>
  <c r="O594" i="3"/>
  <c r="Q593" i="3"/>
  <c r="P593" i="3"/>
  <c r="O593" i="3"/>
  <c r="Q592" i="3"/>
  <c r="P592" i="3"/>
  <c r="O592" i="3"/>
  <c r="Q591" i="3"/>
  <c r="P591" i="3"/>
  <c r="O591" i="3"/>
  <c r="Q590" i="3"/>
  <c r="P590" i="3"/>
  <c r="O590" i="3"/>
  <c r="Q589" i="3"/>
  <c r="P589" i="3"/>
  <c r="O589" i="3"/>
  <c r="Q588" i="3"/>
  <c r="P588" i="3"/>
  <c r="O588" i="3"/>
  <c r="Q587" i="3"/>
  <c r="P587" i="3"/>
  <c r="O587" i="3"/>
  <c r="Q586" i="3"/>
  <c r="P586" i="3"/>
  <c r="O586" i="3"/>
  <c r="Q585" i="3"/>
  <c r="P585" i="3"/>
  <c r="O585" i="3"/>
  <c r="Q584" i="3"/>
  <c r="P584" i="3"/>
  <c r="O584" i="3"/>
  <c r="Q583" i="3"/>
  <c r="P583" i="3"/>
  <c r="O583" i="3"/>
  <c r="Q582" i="3"/>
  <c r="P582" i="3"/>
  <c r="O582" i="3"/>
  <c r="Q581" i="3"/>
  <c r="P581" i="3"/>
  <c r="O581" i="3"/>
  <c r="Q580" i="3"/>
  <c r="P580" i="3"/>
  <c r="O580" i="3"/>
  <c r="Q579" i="3"/>
  <c r="P579" i="3"/>
  <c r="O579" i="3"/>
  <c r="Q578" i="3"/>
  <c r="P578" i="3"/>
  <c r="O578" i="3"/>
  <c r="Q577" i="3"/>
  <c r="P577" i="3"/>
  <c r="O577" i="3"/>
  <c r="Q576" i="3"/>
  <c r="P576" i="3"/>
  <c r="O576" i="3"/>
  <c r="Q575" i="3"/>
  <c r="P575" i="3"/>
  <c r="O575" i="3"/>
  <c r="Q574" i="3"/>
  <c r="P574" i="3"/>
  <c r="O574" i="3"/>
  <c r="Q573" i="3"/>
  <c r="P573" i="3"/>
  <c r="O573" i="3"/>
  <c r="Q572" i="3"/>
  <c r="P572" i="3"/>
  <c r="O572" i="3"/>
  <c r="Q571" i="3"/>
  <c r="P571" i="3"/>
  <c r="O571" i="3"/>
  <c r="Q570" i="3"/>
  <c r="P570" i="3"/>
  <c r="O570" i="3"/>
  <c r="Q569" i="3"/>
  <c r="P569" i="3"/>
  <c r="O569" i="3"/>
  <c r="Q568" i="3"/>
  <c r="P568" i="3"/>
  <c r="O568" i="3"/>
  <c r="Q567" i="3"/>
  <c r="P567" i="3"/>
  <c r="O567" i="3"/>
  <c r="Q566" i="3"/>
  <c r="P566" i="3"/>
  <c r="O566" i="3"/>
  <c r="Q565" i="3"/>
  <c r="P565" i="3"/>
  <c r="O565" i="3"/>
  <c r="Q564" i="3"/>
  <c r="P564" i="3"/>
  <c r="O564" i="3"/>
  <c r="Q563" i="3"/>
  <c r="P563" i="3"/>
  <c r="O563" i="3"/>
  <c r="Q562" i="3"/>
  <c r="P562" i="3"/>
  <c r="O562" i="3"/>
  <c r="Q561" i="3"/>
  <c r="P561" i="3"/>
  <c r="O561" i="3"/>
  <c r="Q560" i="3"/>
  <c r="P560" i="3"/>
  <c r="O560" i="3"/>
  <c r="Q559" i="3"/>
  <c r="P559" i="3"/>
  <c r="O559" i="3"/>
  <c r="Q558" i="3"/>
  <c r="P558" i="3"/>
  <c r="O558" i="3"/>
  <c r="Q557" i="3"/>
  <c r="P557" i="3"/>
  <c r="O557" i="3"/>
  <c r="Q556" i="3"/>
  <c r="P556" i="3"/>
  <c r="O556" i="3"/>
  <c r="Q555" i="3"/>
  <c r="P555" i="3"/>
  <c r="O555" i="3"/>
  <c r="Q554" i="3"/>
  <c r="P554" i="3"/>
  <c r="O554" i="3"/>
  <c r="Q553" i="3"/>
  <c r="P553" i="3"/>
  <c r="O553" i="3"/>
  <c r="Q552" i="3"/>
  <c r="P552" i="3"/>
  <c r="O552" i="3"/>
  <c r="Q551" i="3"/>
  <c r="P551" i="3"/>
  <c r="O551" i="3"/>
  <c r="Q550" i="3"/>
  <c r="P550" i="3"/>
  <c r="O550" i="3"/>
  <c r="Q549" i="3"/>
  <c r="P549" i="3"/>
  <c r="O549" i="3"/>
  <c r="Q548" i="3"/>
  <c r="P548" i="3"/>
  <c r="O548" i="3"/>
  <c r="Q547" i="3"/>
  <c r="P547" i="3"/>
  <c r="O547" i="3"/>
  <c r="Q546" i="3"/>
  <c r="P546" i="3"/>
  <c r="O546" i="3"/>
  <c r="Q545" i="3"/>
  <c r="P545" i="3"/>
  <c r="O545" i="3"/>
  <c r="Q544" i="3"/>
  <c r="P544" i="3"/>
  <c r="O544" i="3"/>
  <c r="Q543" i="3"/>
  <c r="P543" i="3"/>
  <c r="O543" i="3"/>
  <c r="Q542" i="3"/>
  <c r="P542" i="3"/>
  <c r="O542" i="3"/>
  <c r="Q541" i="3"/>
  <c r="P541" i="3"/>
  <c r="O541" i="3"/>
  <c r="Q540" i="3"/>
  <c r="P540" i="3"/>
  <c r="O540" i="3"/>
  <c r="Q539" i="3"/>
  <c r="P539" i="3"/>
  <c r="O539" i="3"/>
  <c r="Q538" i="3"/>
  <c r="P538" i="3"/>
  <c r="O538" i="3"/>
  <c r="Q537" i="3"/>
  <c r="P537" i="3"/>
  <c r="O537" i="3"/>
  <c r="Q536" i="3"/>
  <c r="P536" i="3"/>
  <c r="O536" i="3"/>
  <c r="Q535" i="3"/>
  <c r="P535" i="3"/>
  <c r="O535" i="3"/>
  <c r="Q534" i="3"/>
  <c r="P534" i="3"/>
  <c r="O534" i="3"/>
  <c r="Q533" i="3"/>
  <c r="P533" i="3"/>
  <c r="O533" i="3"/>
  <c r="Q532" i="3"/>
  <c r="P532" i="3"/>
  <c r="O532" i="3"/>
  <c r="Q531" i="3"/>
  <c r="P531" i="3"/>
  <c r="O531" i="3"/>
  <c r="Q530" i="3"/>
  <c r="P530" i="3"/>
  <c r="O530" i="3"/>
  <c r="Q529" i="3"/>
  <c r="P529" i="3"/>
  <c r="O529" i="3"/>
  <c r="Q528" i="3"/>
  <c r="P528" i="3"/>
  <c r="O528" i="3"/>
  <c r="Q527" i="3"/>
  <c r="P527" i="3"/>
  <c r="O527" i="3"/>
  <c r="Q526" i="3"/>
  <c r="P526" i="3"/>
  <c r="O526" i="3"/>
  <c r="Q525" i="3"/>
  <c r="P525" i="3"/>
  <c r="O525" i="3"/>
  <c r="Q524" i="3"/>
  <c r="P524" i="3"/>
  <c r="O524" i="3"/>
  <c r="Q523" i="3"/>
  <c r="P523" i="3"/>
  <c r="O523" i="3"/>
  <c r="Q522" i="3"/>
  <c r="P522" i="3"/>
  <c r="O522" i="3"/>
  <c r="Q521" i="3"/>
  <c r="P521" i="3"/>
  <c r="O521" i="3"/>
  <c r="Q520" i="3"/>
  <c r="P520" i="3"/>
  <c r="O520" i="3"/>
  <c r="Q519" i="3"/>
  <c r="P519" i="3"/>
  <c r="O519" i="3"/>
  <c r="Q518" i="3"/>
  <c r="P518" i="3"/>
  <c r="O518" i="3"/>
  <c r="Q517" i="3"/>
  <c r="P517" i="3"/>
  <c r="O517" i="3"/>
  <c r="Q516" i="3"/>
  <c r="P516" i="3"/>
  <c r="O516" i="3"/>
  <c r="Q515" i="3"/>
  <c r="P515" i="3"/>
  <c r="O515" i="3"/>
  <c r="Q514" i="3"/>
  <c r="P514" i="3"/>
  <c r="O514" i="3"/>
  <c r="Q513" i="3"/>
  <c r="P513" i="3"/>
  <c r="O513" i="3"/>
  <c r="Q512" i="3"/>
  <c r="P512" i="3"/>
  <c r="O512" i="3"/>
  <c r="Q511" i="3"/>
  <c r="P511" i="3"/>
  <c r="O511" i="3"/>
  <c r="Q510" i="3"/>
  <c r="P510" i="3"/>
  <c r="O510" i="3"/>
  <c r="Q509" i="3"/>
  <c r="P509" i="3"/>
  <c r="O509" i="3"/>
  <c r="Q508" i="3"/>
  <c r="P508" i="3"/>
  <c r="O508" i="3"/>
  <c r="Q507" i="3"/>
  <c r="P507" i="3"/>
  <c r="O507" i="3"/>
  <c r="Q506" i="3"/>
  <c r="P506" i="3"/>
  <c r="O506" i="3"/>
  <c r="Q505" i="3"/>
  <c r="P505" i="3"/>
  <c r="O505" i="3"/>
  <c r="Q504" i="3"/>
  <c r="P504" i="3"/>
  <c r="O504" i="3"/>
  <c r="Q503" i="3"/>
  <c r="P503" i="3"/>
  <c r="O503" i="3"/>
  <c r="Q502" i="3"/>
  <c r="P502" i="3"/>
  <c r="O502" i="3"/>
  <c r="Q501" i="3"/>
  <c r="P501" i="3"/>
  <c r="O501" i="3"/>
  <c r="Q500" i="3"/>
  <c r="P500" i="3"/>
  <c r="O500" i="3"/>
  <c r="Q499" i="3"/>
  <c r="P499" i="3"/>
  <c r="O499" i="3"/>
  <c r="Q498" i="3"/>
  <c r="P498" i="3"/>
  <c r="O498" i="3"/>
  <c r="Q497" i="3"/>
  <c r="P497" i="3"/>
  <c r="O497" i="3"/>
  <c r="Q496" i="3"/>
  <c r="P496" i="3"/>
  <c r="O496" i="3"/>
  <c r="Q495" i="3"/>
  <c r="P495" i="3"/>
  <c r="O495" i="3"/>
  <c r="Q494" i="3"/>
  <c r="P494" i="3"/>
  <c r="O494" i="3"/>
  <c r="Q493" i="3"/>
  <c r="P493" i="3"/>
  <c r="O493" i="3"/>
  <c r="Q492" i="3"/>
  <c r="P492" i="3"/>
  <c r="O492" i="3"/>
  <c r="Q491" i="3"/>
  <c r="P491" i="3"/>
  <c r="O491" i="3"/>
  <c r="Q490" i="3"/>
  <c r="P490" i="3"/>
  <c r="O490" i="3"/>
  <c r="Q489" i="3"/>
  <c r="P489" i="3"/>
  <c r="O489" i="3"/>
  <c r="Q488" i="3"/>
  <c r="P488" i="3"/>
  <c r="O488" i="3"/>
  <c r="Q487" i="3"/>
  <c r="P487" i="3"/>
  <c r="O487" i="3"/>
  <c r="Q486" i="3"/>
  <c r="P486" i="3"/>
  <c r="O486" i="3"/>
  <c r="Q485" i="3"/>
  <c r="P485" i="3"/>
  <c r="O485" i="3"/>
  <c r="Q484" i="3"/>
  <c r="P484" i="3"/>
  <c r="O484" i="3"/>
  <c r="Q483" i="3"/>
  <c r="P483" i="3"/>
  <c r="O483" i="3"/>
  <c r="Q482" i="3"/>
  <c r="P482" i="3"/>
  <c r="O482" i="3"/>
  <c r="Q481" i="3"/>
  <c r="P481" i="3"/>
  <c r="O481" i="3"/>
  <c r="Q480" i="3"/>
  <c r="P480" i="3"/>
  <c r="O480" i="3"/>
  <c r="Q479" i="3"/>
  <c r="P479" i="3"/>
  <c r="O479" i="3"/>
  <c r="Q478" i="3"/>
  <c r="P478" i="3"/>
  <c r="O478" i="3"/>
  <c r="Q477" i="3"/>
  <c r="P477" i="3"/>
  <c r="O477" i="3"/>
  <c r="Q476" i="3"/>
  <c r="P476" i="3"/>
  <c r="O476" i="3"/>
  <c r="Q475" i="3"/>
  <c r="P475" i="3"/>
  <c r="O475" i="3"/>
  <c r="Q474" i="3"/>
  <c r="P474" i="3"/>
  <c r="O474" i="3"/>
  <c r="Q473" i="3"/>
  <c r="P473" i="3"/>
  <c r="O473" i="3"/>
  <c r="Q472" i="3"/>
  <c r="P472" i="3"/>
  <c r="O472" i="3"/>
  <c r="Q471" i="3"/>
  <c r="P471" i="3"/>
  <c r="O471" i="3"/>
  <c r="Q470" i="3"/>
  <c r="P470" i="3"/>
  <c r="O470" i="3"/>
  <c r="Q469" i="3"/>
  <c r="P469" i="3"/>
  <c r="O469" i="3"/>
  <c r="Q468" i="3"/>
  <c r="P468" i="3"/>
  <c r="O468" i="3"/>
  <c r="Q467" i="3"/>
  <c r="P467" i="3"/>
  <c r="O467" i="3"/>
  <c r="Q466" i="3"/>
  <c r="P466" i="3"/>
  <c r="O466" i="3"/>
  <c r="Q465" i="3"/>
  <c r="P465" i="3"/>
  <c r="O465" i="3"/>
  <c r="Q464" i="3"/>
  <c r="P464" i="3"/>
  <c r="O464" i="3"/>
  <c r="Q463" i="3"/>
  <c r="P463" i="3"/>
  <c r="O463" i="3"/>
  <c r="Q462" i="3"/>
  <c r="P462" i="3"/>
  <c r="O462" i="3"/>
  <c r="Q461" i="3"/>
  <c r="P461" i="3"/>
  <c r="O461" i="3"/>
  <c r="Q460" i="3"/>
  <c r="P460" i="3"/>
  <c r="O460" i="3"/>
  <c r="Q459" i="3"/>
  <c r="P459" i="3"/>
  <c r="O459" i="3"/>
  <c r="Q458" i="3"/>
  <c r="P458" i="3"/>
  <c r="O458" i="3"/>
  <c r="Q457" i="3"/>
  <c r="P457" i="3"/>
  <c r="O457" i="3"/>
  <c r="Q456" i="3"/>
  <c r="P456" i="3"/>
  <c r="O456" i="3"/>
  <c r="Q455" i="3"/>
  <c r="P455" i="3"/>
  <c r="O455" i="3"/>
  <c r="Q454" i="3"/>
  <c r="P454" i="3"/>
  <c r="O454" i="3"/>
  <c r="Q453" i="3"/>
  <c r="P453" i="3"/>
  <c r="O453" i="3"/>
  <c r="Q452" i="3"/>
  <c r="P452" i="3"/>
  <c r="O452" i="3"/>
  <c r="Q451" i="3"/>
  <c r="P451" i="3"/>
  <c r="O451" i="3"/>
  <c r="Q450" i="3"/>
  <c r="P450" i="3"/>
  <c r="O450" i="3"/>
  <c r="Q449" i="3"/>
  <c r="P449" i="3"/>
  <c r="O449" i="3"/>
  <c r="Q448" i="3"/>
  <c r="P448" i="3"/>
  <c r="O448" i="3"/>
  <c r="Q447" i="3"/>
  <c r="P447" i="3"/>
  <c r="O447" i="3"/>
  <c r="Q446" i="3"/>
  <c r="P446" i="3"/>
  <c r="O446" i="3"/>
  <c r="Q445" i="3"/>
  <c r="P445" i="3"/>
  <c r="O445" i="3"/>
  <c r="Q444" i="3"/>
  <c r="P444" i="3"/>
  <c r="O444" i="3"/>
  <c r="Q443" i="3"/>
  <c r="P443" i="3"/>
  <c r="O443" i="3"/>
  <c r="Q442" i="3"/>
  <c r="P442" i="3"/>
  <c r="O442" i="3"/>
  <c r="Q441" i="3"/>
  <c r="P441" i="3"/>
  <c r="O441" i="3"/>
  <c r="Q440" i="3"/>
  <c r="P440" i="3"/>
  <c r="O440" i="3"/>
  <c r="Q439" i="3"/>
  <c r="P439" i="3"/>
  <c r="O439" i="3"/>
  <c r="Q438" i="3"/>
  <c r="P438" i="3"/>
  <c r="O438" i="3"/>
  <c r="Q437" i="3"/>
  <c r="P437" i="3"/>
  <c r="O437" i="3"/>
  <c r="Q436" i="3"/>
  <c r="P436" i="3"/>
  <c r="O436" i="3"/>
  <c r="Q435" i="3"/>
  <c r="P435" i="3"/>
  <c r="O435" i="3"/>
  <c r="Q434" i="3"/>
  <c r="P434" i="3"/>
  <c r="O434" i="3"/>
  <c r="Q433" i="3"/>
  <c r="P433" i="3"/>
  <c r="O433" i="3"/>
  <c r="Q432" i="3"/>
  <c r="P432" i="3"/>
  <c r="O432" i="3"/>
  <c r="Q431" i="3"/>
  <c r="P431" i="3"/>
  <c r="O431" i="3"/>
  <c r="Q430" i="3"/>
  <c r="P430" i="3"/>
  <c r="O430" i="3"/>
  <c r="Q429" i="3"/>
  <c r="P429" i="3"/>
  <c r="O429" i="3"/>
  <c r="Q428" i="3"/>
  <c r="P428" i="3"/>
  <c r="O428" i="3"/>
  <c r="Q427" i="3"/>
  <c r="P427" i="3"/>
  <c r="O427" i="3"/>
  <c r="Q426" i="3"/>
  <c r="P426" i="3"/>
  <c r="O426" i="3"/>
  <c r="Q425" i="3"/>
  <c r="P425" i="3"/>
  <c r="O425" i="3"/>
  <c r="Q424" i="3"/>
  <c r="P424" i="3"/>
  <c r="O424" i="3"/>
  <c r="Q423" i="3"/>
  <c r="P423" i="3"/>
  <c r="O423" i="3"/>
  <c r="Q422" i="3"/>
  <c r="P422" i="3"/>
  <c r="O422" i="3"/>
  <c r="Q421" i="3"/>
  <c r="P421" i="3"/>
  <c r="O421" i="3"/>
  <c r="Q420" i="3"/>
  <c r="P420" i="3"/>
  <c r="O420" i="3"/>
  <c r="Q419" i="3"/>
  <c r="P419" i="3"/>
  <c r="O419" i="3"/>
  <c r="Q418" i="3"/>
  <c r="P418" i="3"/>
  <c r="O418" i="3"/>
  <c r="Q417" i="3"/>
  <c r="P417" i="3"/>
  <c r="O417" i="3"/>
  <c r="Q416" i="3"/>
  <c r="P416" i="3"/>
  <c r="O416" i="3"/>
  <c r="Q415" i="3"/>
  <c r="P415" i="3"/>
  <c r="O415" i="3"/>
  <c r="Q414" i="3"/>
  <c r="P414" i="3"/>
  <c r="O414" i="3"/>
  <c r="Q413" i="3"/>
  <c r="P413" i="3"/>
  <c r="O413" i="3"/>
  <c r="Q412" i="3"/>
  <c r="P412" i="3"/>
  <c r="O412" i="3"/>
  <c r="Q411" i="3"/>
  <c r="P411" i="3"/>
  <c r="O411" i="3"/>
  <c r="Q410" i="3"/>
  <c r="P410" i="3"/>
  <c r="O410" i="3"/>
  <c r="Q409" i="3"/>
  <c r="P409" i="3"/>
  <c r="O409" i="3"/>
  <c r="Q408" i="3"/>
  <c r="P408" i="3"/>
  <c r="O408" i="3"/>
  <c r="Q407" i="3"/>
  <c r="P407" i="3"/>
  <c r="O407" i="3"/>
  <c r="Q406" i="3"/>
  <c r="P406" i="3"/>
  <c r="O406" i="3"/>
  <c r="Q405" i="3"/>
  <c r="P405" i="3"/>
  <c r="O405" i="3"/>
  <c r="Q404" i="3"/>
  <c r="P404" i="3"/>
  <c r="O404" i="3"/>
  <c r="Q403" i="3"/>
  <c r="P403" i="3"/>
  <c r="O403" i="3"/>
  <c r="Q402" i="3"/>
  <c r="P402" i="3"/>
  <c r="O402" i="3"/>
  <c r="Q401" i="3"/>
  <c r="P401" i="3"/>
  <c r="O401" i="3"/>
  <c r="Q400" i="3"/>
  <c r="P400" i="3"/>
  <c r="O400" i="3"/>
  <c r="Q399" i="3"/>
  <c r="P399" i="3"/>
  <c r="O399" i="3"/>
  <c r="Q398" i="3"/>
  <c r="P398" i="3"/>
  <c r="O398" i="3"/>
  <c r="Q397" i="3"/>
  <c r="P397" i="3"/>
  <c r="O397" i="3"/>
  <c r="Q396" i="3"/>
  <c r="P396" i="3"/>
  <c r="O396" i="3"/>
  <c r="Q395" i="3"/>
  <c r="P395" i="3"/>
  <c r="O395" i="3"/>
  <c r="Q394" i="3"/>
  <c r="P394" i="3"/>
  <c r="O394" i="3"/>
  <c r="Q393" i="3"/>
  <c r="P393" i="3"/>
  <c r="O393" i="3"/>
  <c r="Q392" i="3"/>
  <c r="P392" i="3"/>
  <c r="O392" i="3"/>
  <c r="Q391" i="3"/>
  <c r="P391" i="3"/>
  <c r="O391" i="3"/>
  <c r="Q390" i="3"/>
  <c r="P390" i="3"/>
  <c r="O390" i="3"/>
  <c r="Q389" i="3"/>
  <c r="P389" i="3"/>
  <c r="O389" i="3"/>
  <c r="Q388" i="3"/>
  <c r="P388" i="3"/>
  <c r="O388" i="3"/>
  <c r="Q387" i="3"/>
  <c r="P387" i="3"/>
  <c r="O387" i="3"/>
  <c r="Q386" i="3"/>
  <c r="P386" i="3"/>
  <c r="O386" i="3"/>
  <c r="Q385" i="3"/>
  <c r="P385" i="3"/>
  <c r="O385" i="3"/>
  <c r="Q384" i="3"/>
  <c r="P384" i="3"/>
  <c r="O384" i="3"/>
  <c r="Q383" i="3"/>
  <c r="P383" i="3"/>
  <c r="O383" i="3"/>
  <c r="Q382" i="3"/>
  <c r="P382" i="3"/>
  <c r="O382" i="3"/>
  <c r="Q381" i="3"/>
  <c r="P381" i="3"/>
  <c r="O381" i="3"/>
  <c r="Q380" i="3"/>
  <c r="P380" i="3"/>
  <c r="O380" i="3"/>
  <c r="Q379" i="3"/>
  <c r="P379" i="3"/>
  <c r="O379" i="3"/>
  <c r="Q378" i="3"/>
  <c r="P378" i="3"/>
  <c r="O378" i="3"/>
  <c r="Q377" i="3"/>
  <c r="P377" i="3"/>
  <c r="O377" i="3"/>
  <c r="Q376" i="3"/>
  <c r="P376" i="3"/>
  <c r="O376" i="3"/>
  <c r="Q375" i="3"/>
  <c r="P375" i="3"/>
  <c r="O375" i="3"/>
  <c r="Q374" i="3"/>
  <c r="P374" i="3"/>
  <c r="O374" i="3"/>
  <c r="Q373" i="3"/>
  <c r="P373" i="3"/>
  <c r="O373" i="3"/>
  <c r="Q372" i="3"/>
  <c r="P372" i="3"/>
  <c r="O372" i="3"/>
  <c r="Q371" i="3"/>
  <c r="P371" i="3"/>
  <c r="O371" i="3"/>
  <c r="Q370" i="3"/>
  <c r="P370" i="3"/>
  <c r="O370" i="3"/>
  <c r="Q369" i="3"/>
  <c r="P369" i="3"/>
  <c r="O369" i="3"/>
  <c r="Q368" i="3"/>
  <c r="P368" i="3"/>
  <c r="O368" i="3"/>
  <c r="Q367" i="3"/>
  <c r="P367" i="3"/>
  <c r="O367" i="3"/>
  <c r="Q366" i="3"/>
  <c r="P366" i="3"/>
  <c r="O366" i="3"/>
  <c r="Q365" i="3"/>
  <c r="P365" i="3"/>
  <c r="O365" i="3"/>
  <c r="Q364" i="3"/>
  <c r="P364" i="3"/>
  <c r="O364" i="3"/>
  <c r="Q363" i="3"/>
  <c r="P363" i="3"/>
  <c r="O363" i="3"/>
  <c r="Q362" i="3"/>
  <c r="P362" i="3"/>
  <c r="O362" i="3"/>
  <c r="Q361" i="3"/>
  <c r="P361" i="3"/>
  <c r="O361" i="3"/>
  <c r="Q360" i="3"/>
  <c r="P360" i="3"/>
  <c r="O360" i="3"/>
  <c r="Q359" i="3"/>
  <c r="P359" i="3"/>
  <c r="O359" i="3"/>
  <c r="Q358" i="3"/>
  <c r="P358" i="3"/>
  <c r="O358" i="3"/>
  <c r="Q357" i="3"/>
  <c r="P357" i="3"/>
  <c r="O357" i="3"/>
  <c r="Q356" i="3"/>
  <c r="P356" i="3"/>
  <c r="O356" i="3"/>
  <c r="Q355" i="3"/>
  <c r="P355" i="3"/>
  <c r="O355" i="3"/>
  <c r="Q354" i="3"/>
  <c r="P354" i="3"/>
  <c r="O354" i="3"/>
  <c r="Q353" i="3"/>
  <c r="P353" i="3"/>
  <c r="O353" i="3"/>
  <c r="Q352" i="3"/>
  <c r="P352" i="3"/>
  <c r="O352" i="3"/>
  <c r="Q351" i="3"/>
  <c r="P351" i="3"/>
  <c r="O351" i="3"/>
  <c r="Q350" i="3"/>
  <c r="P350" i="3"/>
  <c r="O350" i="3"/>
  <c r="Q349" i="3"/>
  <c r="P349" i="3"/>
  <c r="O349" i="3"/>
  <c r="Q348" i="3"/>
  <c r="P348" i="3"/>
  <c r="O348" i="3"/>
  <c r="Q347" i="3"/>
  <c r="P347" i="3"/>
  <c r="O347" i="3"/>
  <c r="Q346" i="3"/>
  <c r="P346" i="3"/>
  <c r="O346" i="3"/>
  <c r="Q345" i="3"/>
  <c r="P345" i="3"/>
  <c r="O345" i="3"/>
  <c r="Q344" i="3"/>
  <c r="P344" i="3"/>
  <c r="O344" i="3"/>
  <c r="Q343" i="3"/>
  <c r="P343" i="3"/>
  <c r="O343" i="3"/>
  <c r="Q342" i="3"/>
  <c r="P342" i="3"/>
  <c r="O342" i="3"/>
  <c r="Q341" i="3"/>
  <c r="P341" i="3"/>
  <c r="O341" i="3"/>
  <c r="Q340" i="3"/>
  <c r="P340" i="3"/>
  <c r="O340" i="3"/>
  <c r="Q339" i="3"/>
  <c r="P339" i="3"/>
  <c r="O339" i="3"/>
  <c r="Q338" i="3"/>
  <c r="P338" i="3"/>
  <c r="O338" i="3"/>
  <c r="Q337" i="3"/>
  <c r="P337" i="3"/>
  <c r="O337" i="3"/>
  <c r="Q336" i="3"/>
  <c r="P336" i="3"/>
  <c r="O336" i="3"/>
  <c r="Q335" i="3"/>
  <c r="P335" i="3"/>
  <c r="O335" i="3"/>
  <c r="Q334" i="3"/>
  <c r="P334" i="3"/>
  <c r="O334" i="3"/>
  <c r="Q333" i="3"/>
  <c r="P333" i="3"/>
  <c r="O333" i="3"/>
  <c r="Q332" i="3"/>
  <c r="P332" i="3"/>
  <c r="O332" i="3"/>
  <c r="Q331" i="3"/>
  <c r="P331" i="3"/>
  <c r="O331" i="3"/>
  <c r="Q330" i="3"/>
  <c r="P330" i="3"/>
  <c r="O330" i="3"/>
  <c r="Q329" i="3"/>
  <c r="P329" i="3"/>
  <c r="O329" i="3"/>
  <c r="Q328" i="3"/>
  <c r="P328" i="3"/>
  <c r="O328" i="3"/>
  <c r="Q327" i="3"/>
  <c r="P327" i="3"/>
  <c r="O327" i="3"/>
  <c r="Q326" i="3"/>
  <c r="P326" i="3"/>
  <c r="O326" i="3"/>
  <c r="Q325" i="3"/>
  <c r="P325" i="3"/>
  <c r="O325" i="3"/>
  <c r="Q324" i="3"/>
  <c r="P324" i="3"/>
  <c r="O324" i="3"/>
  <c r="Q323" i="3"/>
  <c r="P323" i="3"/>
  <c r="Q322" i="3"/>
  <c r="P322" i="3"/>
  <c r="O322" i="3"/>
  <c r="Q321" i="3"/>
  <c r="P321" i="3"/>
  <c r="O321" i="3"/>
  <c r="Q320" i="3"/>
  <c r="P320" i="3"/>
  <c r="O320" i="3"/>
  <c r="Q319" i="3"/>
  <c r="P319" i="3"/>
  <c r="O319" i="3"/>
  <c r="Q318" i="3"/>
  <c r="P318" i="3"/>
  <c r="O318" i="3"/>
  <c r="Q317" i="3"/>
  <c r="P317" i="3"/>
  <c r="O317" i="3"/>
  <c r="Q316" i="3"/>
  <c r="P316" i="3"/>
  <c r="O316" i="3"/>
  <c r="Q315" i="3"/>
  <c r="P315" i="3"/>
  <c r="O315" i="3"/>
  <c r="Q314" i="3"/>
  <c r="P314" i="3"/>
  <c r="O314" i="3"/>
  <c r="Q313" i="3"/>
  <c r="P313" i="3"/>
  <c r="O313" i="3"/>
  <c r="Q312" i="3"/>
  <c r="P312" i="3"/>
  <c r="O312" i="3"/>
  <c r="Q311" i="3"/>
  <c r="P311" i="3"/>
  <c r="O311" i="3"/>
  <c r="Q310" i="3"/>
  <c r="P310" i="3"/>
  <c r="O310" i="3"/>
  <c r="Q309" i="3"/>
  <c r="P309" i="3"/>
  <c r="O309" i="3"/>
  <c r="Q308" i="3"/>
  <c r="P308" i="3"/>
  <c r="O308" i="3"/>
  <c r="Q307" i="3"/>
  <c r="P307" i="3"/>
  <c r="O307" i="3"/>
  <c r="Q306" i="3"/>
  <c r="P306" i="3"/>
  <c r="O306" i="3"/>
  <c r="Q305" i="3"/>
  <c r="P305" i="3"/>
  <c r="O305" i="3"/>
  <c r="Q304" i="3"/>
  <c r="P304" i="3"/>
  <c r="O304" i="3"/>
  <c r="Q303" i="3"/>
  <c r="P303" i="3"/>
  <c r="O303" i="3"/>
  <c r="Q302" i="3"/>
  <c r="P302" i="3"/>
  <c r="O302" i="3"/>
  <c r="Q301" i="3"/>
  <c r="P301" i="3"/>
  <c r="O301" i="3"/>
  <c r="Q300" i="3"/>
  <c r="P300" i="3"/>
  <c r="O300" i="3"/>
  <c r="Q299" i="3"/>
  <c r="P299" i="3"/>
  <c r="O299" i="3"/>
  <c r="Q298" i="3"/>
  <c r="P298" i="3"/>
  <c r="O298" i="3"/>
  <c r="Q297" i="3"/>
  <c r="P297" i="3"/>
  <c r="O297" i="3"/>
  <c r="Q296" i="3"/>
  <c r="P296" i="3"/>
  <c r="O296" i="3"/>
  <c r="Q295" i="3"/>
  <c r="P295" i="3"/>
  <c r="O295" i="3"/>
  <c r="Q294" i="3"/>
  <c r="P294" i="3"/>
  <c r="O294" i="3"/>
  <c r="Q293" i="3"/>
  <c r="P293" i="3"/>
  <c r="O293" i="3"/>
  <c r="Q292" i="3"/>
  <c r="P292" i="3"/>
  <c r="O292" i="3"/>
  <c r="Q291" i="3"/>
  <c r="P291" i="3"/>
  <c r="O291" i="3"/>
  <c r="Q290" i="3"/>
  <c r="P290" i="3"/>
  <c r="O290" i="3"/>
  <c r="Q289" i="3"/>
  <c r="P289" i="3"/>
  <c r="O289" i="3"/>
  <c r="Q288" i="3"/>
  <c r="P288" i="3"/>
  <c r="O288" i="3"/>
  <c r="Q287" i="3"/>
  <c r="P287" i="3"/>
  <c r="O287" i="3"/>
  <c r="Q286" i="3"/>
  <c r="P286" i="3"/>
  <c r="O286" i="3"/>
  <c r="Q285" i="3"/>
  <c r="P285" i="3"/>
  <c r="O285" i="3"/>
  <c r="Q284" i="3"/>
  <c r="P284" i="3"/>
  <c r="O284" i="3"/>
  <c r="Q283" i="3"/>
  <c r="P283" i="3"/>
  <c r="O283" i="3"/>
  <c r="Q282" i="3"/>
  <c r="P282" i="3"/>
  <c r="Q281" i="3"/>
  <c r="P281" i="3"/>
  <c r="O281" i="3"/>
  <c r="Q280" i="3"/>
  <c r="P280" i="3"/>
  <c r="O280" i="3"/>
  <c r="Q279" i="3"/>
  <c r="P279" i="3"/>
  <c r="O279" i="3"/>
  <c r="Q278" i="3"/>
  <c r="P278" i="3"/>
  <c r="O278" i="3"/>
  <c r="Q277" i="3"/>
  <c r="P277" i="3"/>
  <c r="O277" i="3"/>
  <c r="Q276" i="3"/>
  <c r="P276" i="3"/>
  <c r="O276" i="3"/>
  <c r="Q275" i="3"/>
  <c r="P275" i="3"/>
  <c r="O275" i="3"/>
  <c r="Q274" i="3"/>
  <c r="P274" i="3"/>
  <c r="O274" i="3"/>
  <c r="Q273" i="3"/>
  <c r="P273" i="3"/>
  <c r="O273" i="3"/>
  <c r="Q272" i="3"/>
  <c r="P272" i="3"/>
  <c r="O272" i="3"/>
  <c r="Q271" i="3"/>
  <c r="P271" i="3"/>
  <c r="O271" i="3"/>
  <c r="Q270" i="3"/>
  <c r="P270" i="3"/>
  <c r="O270" i="3"/>
  <c r="Q269" i="3"/>
  <c r="P269" i="3"/>
  <c r="O269" i="3"/>
  <c r="Q268" i="3"/>
  <c r="P268" i="3"/>
  <c r="O268" i="3"/>
  <c r="Q267" i="3"/>
  <c r="P267" i="3"/>
  <c r="O267" i="3"/>
  <c r="Q266" i="3"/>
  <c r="P266" i="3"/>
  <c r="O266" i="3"/>
  <c r="Q265" i="3"/>
  <c r="P265" i="3"/>
  <c r="O265" i="3"/>
  <c r="Q264" i="3"/>
  <c r="P264" i="3"/>
  <c r="O264" i="3"/>
  <c r="Q263" i="3"/>
  <c r="P263" i="3"/>
  <c r="O263" i="3"/>
  <c r="Q262" i="3"/>
  <c r="P262" i="3"/>
  <c r="O262" i="3"/>
  <c r="Q261" i="3"/>
  <c r="P261" i="3"/>
  <c r="O261" i="3"/>
  <c r="Q260" i="3"/>
  <c r="P260" i="3"/>
  <c r="O260" i="3"/>
  <c r="Q259" i="3"/>
  <c r="P259" i="3"/>
  <c r="O259" i="3"/>
  <c r="Q258" i="3"/>
  <c r="P258" i="3"/>
  <c r="O258" i="3"/>
  <c r="Q257" i="3"/>
  <c r="P257" i="3"/>
  <c r="O257" i="3"/>
  <c r="Q256" i="3"/>
  <c r="P256" i="3"/>
  <c r="O256" i="3"/>
  <c r="Q255" i="3"/>
  <c r="P255" i="3"/>
  <c r="O255" i="3"/>
  <c r="Q254" i="3"/>
  <c r="P254" i="3"/>
  <c r="O254" i="3"/>
  <c r="Q253" i="3"/>
  <c r="P253" i="3"/>
  <c r="O253" i="3"/>
  <c r="Q252" i="3"/>
  <c r="P252" i="3"/>
  <c r="O252" i="3"/>
  <c r="Q251" i="3"/>
  <c r="P251" i="3"/>
  <c r="O251" i="3"/>
  <c r="Q250" i="3"/>
  <c r="P250" i="3"/>
  <c r="O250" i="3"/>
  <c r="Q249" i="3"/>
  <c r="P249" i="3"/>
  <c r="O249" i="3"/>
  <c r="Q248" i="3"/>
  <c r="P248" i="3"/>
  <c r="O248" i="3"/>
  <c r="Q247" i="3"/>
  <c r="P247" i="3"/>
  <c r="O247" i="3"/>
  <c r="Q246" i="3"/>
  <c r="P246" i="3"/>
  <c r="O246" i="3"/>
  <c r="Q245" i="3"/>
  <c r="P245" i="3"/>
  <c r="O245" i="3"/>
  <c r="Q244" i="3"/>
  <c r="P244" i="3"/>
  <c r="O244" i="3"/>
  <c r="Q243" i="3"/>
  <c r="P243" i="3"/>
  <c r="O243" i="3"/>
  <c r="Q242" i="3"/>
  <c r="P242" i="3"/>
  <c r="O242" i="3"/>
  <c r="Q241" i="3"/>
  <c r="P241" i="3"/>
  <c r="O241" i="3"/>
  <c r="Q240" i="3"/>
  <c r="P240" i="3"/>
  <c r="O240" i="3"/>
  <c r="Q239" i="3"/>
  <c r="P239" i="3"/>
  <c r="O239" i="3"/>
  <c r="Q238" i="3"/>
  <c r="P238" i="3"/>
  <c r="O238" i="3"/>
  <c r="Q237" i="3"/>
  <c r="P237" i="3"/>
  <c r="O237" i="3"/>
  <c r="Q236" i="3"/>
  <c r="P236" i="3"/>
  <c r="O236" i="3"/>
  <c r="Q235" i="3"/>
  <c r="P235" i="3"/>
  <c r="O235" i="3"/>
  <c r="Q234" i="3"/>
  <c r="P234" i="3"/>
  <c r="O234" i="3"/>
  <c r="Q233" i="3"/>
  <c r="P233" i="3"/>
  <c r="O233" i="3"/>
  <c r="Q232" i="3"/>
  <c r="P232" i="3"/>
  <c r="O232" i="3"/>
  <c r="Q231" i="3"/>
  <c r="P231" i="3"/>
  <c r="O231" i="3"/>
  <c r="Q230" i="3"/>
  <c r="P230" i="3"/>
  <c r="O230" i="3"/>
  <c r="Q229" i="3"/>
  <c r="P229" i="3"/>
  <c r="O229" i="3"/>
  <c r="Q228" i="3"/>
  <c r="P228" i="3"/>
  <c r="O228" i="3"/>
  <c r="Q227" i="3"/>
  <c r="P227" i="3"/>
  <c r="O227" i="3"/>
  <c r="Q226" i="3"/>
  <c r="P226" i="3"/>
  <c r="O226" i="3"/>
  <c r="Q225" i="3"/>
  <c r="P225" i="3"/>
  <c r="O225" i="3"/>
  <c r="Q224" i="3"/>
  <c r="P224" i="3"/>
  <c r="O224" i="3"/>
  <c r="Q223" i="3"/>
  <c r="P223" i="3"/>
  <c r="O223" i="3"/>
  <c r="Q222" i="3"/>
  <c r="P222" i="3"/>
  <c r="O222" i="3"/>
  <c r="Q221" i="3"/>
  <c r="P221" i="3"/>
  <c r="O221" i="3"/>
  <c r="Q220" i="3"/>
  <c r="P220" i="3"/>
  <c r="O220" i="3"/>
  <c r="Q219" i="3"/>
  <c r="P219" i="3"/>
  <c r="O219" i="3"/>
  <c r="Q218" i="3"/>
  <c r="P218" i="3"/>
  <c r="O218" i="3"/>
  <c r="Q217" i="3"/>
  <c r="P217" i="3"/>
  <c r="O217" i="3"/>
  <c r="Q216" i="3"/>
  <c r="P216" i="3"/>
  <c r="O216" i="3"/>
  <c r="Q215" i="3"/>
  <c r="P215" i="3"/>
  <c r="O215" i="3"/>
  <c r="Q214" i="3"/>
  <c r="P214" i="3"/>
  <c r="O214" i="3"/>
  <c r="Q213" i="3"/>
  <c r="P213" i="3"/>
  <c r="O213" i="3"/>
  <c r="Q212" i="3"/>
  <c r="P212" i="3"/>
  <c r="O212" i="3"/>
  <c r="Q211" i="3"/>
  <c r="P211" i="3"/>
  <c r="O211" i="3"/>
  <c r="Q210" i="3"/>
  <c r="P210" i="3"/>
  <c r="O210" i="3"/>
  <c r="Q209" i="3"/>
  <c r="P209" i="3"/>
  <c r="O209" i="3"/>
  <c r="Q208" i="3"/>
  <c r="P208" i="3"/>
  <c r="O208" i="3"/>
  <c r="Q207" i="3"/>
  <c r="P207" i="3"/>
  <c r="O207" i="3"/>
  <c r="Q206" i="3"/>
  <c r="P206" i="3"/>
  <c r="O206" i="3"/>
  <c r="Q205" i="3"/>
  <c r="P205" i="3"/>
  <c r="O205" i="3"/>
  <c r="Q204" i="3"/>
  <c r="P204" i="3"/>
  <c r="O204" i="3"/>
  <c r="Q203" i="3"/>
  <c r="P203" i="3"/>
  <c r="O203" i="3"/>
  <c r="Q202" i="3"/>
  <c r="P202" i="3"/>
  <c r="O202" i="3"/>
  <c r="Q201" i="3"/>
  <c r="P201" i="3"/>
  <c r="O201" i="3"/>
  <c r="Q200" i="3"/>
  <c r="P200" i="3"/>
  <c r="O200" i="3"/>
  <c r="Q199" i="3"/>
  <c r="P199" i="3"/>
  <c r="O199" i="3"/>
  <c r="Q198" i="3"/>
  <c r="P198" i="3"/>
  <c r="O198" i="3"/>
  <c r="Q197" i="3"/>
  <c r="P197" i="3"/>
  <c r="O197" i="3"/>
  <c r="Q196" i="3"/>
  <c r="P196" i="3"/>
  <c r="O196" i="3"/>
  <c r="Q195" i="3"/>
  <c r="P195" i="3"/>
  <c r="O195" i="3"/>
  <c r="Q194" i="3"/>
  <c r="P194" i="3"/>
  <c r="O194" i="3"/>
  <c r="Q193" i="3"/>
  <c r="P193" i="3"/>
  <c r="O193" i="3"/>
  <c r="Q192" i="3"/>
  <c r="P192" i="3"/>
  <c r="O192" i="3"/>
  <c r="Q191" i="3"/>
  <c r="P191" i="3"/>
  <c r="O191" i="3"/>
  <c r="Q190" i="3"/>
  <c r="P190" i="3"/>
  <c r="O190" i="3"/>
  <c r="Q189" i="3"/>
  <c r="P189" i="3"/>
  <c r="O189" i="3"/>
  <c r="Q188" i="3"/>
  <c r="P188" i="3"/>
  <c r="O188" i="3"/>
  <c r="Q187" i="3"/>
  <c r="P187" i="3"/>
  <c r="O187" i="3"/>
  <c r="Q186" i="3"/>
  <c r="P186" i="3"/>
  <c r="O186" i="3"/>
  <c r="Q185" i="3"/>
  <c r="P185" i="3"/>
  <c r="O185" i="3"/>
  <c r="Q184" i="3"/>
  <c r="P184" i="3"/>
  <c r="O184" i="3"/>
  <c r="Q183" i="3"/>
  <c r="P183" i="3"/>
  <c r="O183" i="3"/>
  <c r="Q182" i="3"/>
  <c r="P182" i="3"/>
  <c r="O182" i="3"/>
  <c r="Q181" i="3"/>
  <c r="P181" i="3"/>
  <c r="O181" i="3"/>
  <c r="Q180" i="3"/>
  <c r="P180" i="3"/>
  <c r="O180" i="3"/>
  <c r="Q179" i="3"/>
  <c r="P179" i="3"/>
  <c r="O179" i="3"/>
  <c r="Q178" i="3"/>
  <c r="P178" i="3"/>
  <c r="O178" i="3"/>
  <c r="Q177" i="3"/>
  <c r="P177" i="3"/>
  <c r="O177" i="3"/>
  <c r="Q176" i="3"/>
  <c r="P176" i="3"/>
  <c r="O176" i="3"/>
  <c r="Q175" i="3"/>
  <c r="P175" i="3"/>
  <c r="O175" i="3"/>
  <c r="Q174" i="3"/>
  <c r="P174" i="3"/>
  <c r="O174" i="3"/>
  <c r="Q173" i="3"/>
  <c r="P173" i="3"/>
  <c r="O173" i="3"/>
  <c r="Q172" i="3"/>
  <c r="P172" i="3"/>
  <c r="O172" i="3"/>
  <c r="Q171" i="3"/>
  <c r="P171" i="3"/>
  <c r="O171" i="3"/>
  <c r="Q170" i="3"/>
  <c r="P170" i="3"/>
  <c r="O170" i="3"/>
  <c r="Q169" i="3"/>
  <c r="P169" i="3"/>
  <c r="O169" i="3"/>
  <c r="Q168" i="3"/>
  <c r="P168" i="3"/>
  <c r="O168" i="3"/>
  <c r="Q167" i="3"/>
  <c r="P167" i="3"/>
  <c r="O167" i="3"/>
  <c r="Q166" i="3"/>
  <c r="P166" i="3"/>
  <c r="O166" i="3"/>
  <c r="Q165" i="3"/>
  <c r="P165" i="3"/>
  <c r="O165" i="3"/>
  <c r="Q164" i="3"/>
  <c r="P164" i="3"/>
  <c r="O164" i="3"/>
  <c r="Q163" i="3"/>
  <c r="P163" i="3"/>
  <c r="O163" i="3"/>
  <c r="Q162" i="3"/>
  <c r="P162" i="3"/>
  <c r="O162" i="3"/>
  <c r="Q161" i="3"/>
  <c r="P161" i="3"/>
  <c r="O161" i="3"/>
  <c r="Q160" i="3"/>
  <c r="P160" i="3"/>
  <c r="O160" i="3"/>
  <c r="Q159" i="3"/>
  <c r="P159" i="3"/>
  <c r="O159" i="3"/>
  <c r="Q158" i="3"/>
  <c r="P158" i="3"/>
  <c r="O158" i="3"/>
  <c r="Q157" i="3"/>
  <c r="P157" i="3"/>
  <c r="O157" i="3"/>
  <c r="Q156" i="3"/>
  <c r="P156" i="3"/>
  <c r="O156" i="3"/>
  <c r="Q155" i="3"/>
  <c r="P155" i="3"/>
  <c r="O155" i="3"/>
  <c r="Q154" i="3"/>
  <c r="P154" i="3"/>
  <c r="O154" i="3"/>
  <c r="Q153" i="3"/>
  <c r="P153" i="3"/>
  <c r="O153" i="3"/>
  <c r="Q152" i="3"/>
  <c r="P152" i="3"/>
  <c r="O152" i="3"/>
  <c r="Q151" i="3"/>
  <c r="P151" i="3"/>
  <c r="O151" i="3"/>
  <c r="Q150" i="3"/>
  <c r="P150" i="3"/>
  <c r="O150" i="3"/>
  <c r="Q149" i="3"/>
  <c r="P149" i="3"/>
  <c r="O149" i="3"/>
  <c r="Q148" i="3"/>
  <c r="P148" i="3"/>
  <c r="O148" i="3"/>
  <c r="Q147" i="3"/>
  <c r="P147" i="3"/>
  <c r="O147" i="3"/>
  <c r="Q146" i="3"/>
  <c r="P146" i="3"/>
  <c r="O146" i="3"/>
  <c r="Q145" i="3"/>
  <c r="P145" i="3"/>
  <c r="O145" i="3"/>
  <c r="Q144" i="3"/>
  <c r="P144" i="3"/>
  <c r="O144" i="3"/>
  <c r="Q143" i="3"/>
  <c r="P143" i="3"/>
  <c r="O143" i="3"/>
  <c r="Q142" i="3"/>
  <c r="P142" i="3"/>
  <c r="O142" i="3"/>
  <c r="Q141" i="3"/>
  <c r="P141" i="3"/>
  <c r="O141" i="3"/>
  <c r="Q140" i="3"/>
  <c r="P140" i="3"/>
  <c r="O140" i="3"/>
  <c r="Q139" i="3"/>
  <c r="P139" i="3"/>
  <c r="O139" i="3"/>
  <c r="Q138" i="3"/>
  <c r="P138" i="3"/>
  <c r="O138" i="3"/>
  <c r="Q137" i="3"/>
  <c r="P137" i="3"/>
  <c r="O137" i="3"/>
  <c r="Q136" i="3"/>
  <c r="P136" i="3"/>
  <c r="O136" i="3"/>
  <c r="Q135" i="3"/>
  <c r="P135" i="3"/>
  <c r="O135" i="3"/>
  <c r="Q134" i="3"/>
  <c r="P134" i="3"/>
  <c r="O134" i="3"/>
  <c r="Q133" i="3"/>
  <c r="P133" i="3"/>
  <c r="O133" i="3"/>
  <c r="Q132" i="3"/>
  <c r="P132" i="3"/>
  <c r="O132" i="3"/>
  <c r="Q131" i="3"/>
  <c r="P131" i="3"/>
  <c r="O131" i="3"/>
  <c r="Q130" i="3"/>
  <c r="P130" i="3"/>
  <c r="O130" i="3"/>
  <c r="Q129" i="3"/>
  <c r="P129" i="3"/>
  <c r="O129" i="3"/>
  <c r="Q128" i="3"/>
  <c r="P128" i="3"/>
  <c r="O128" i="3"/>
  <c r="Q127" i="3"/>
  <c r="P127" i="3"/>
  <c r="O127" i="3"/>
  <c r="Q126" i="3"/>
  <c r="P126" i="3"/>
  <c r="O126" i="3"/>
  <c r="Q125" i="3"/>
  <c r="P125" i="3"/>
  <c r="O125" i="3"/>
  <c r="Q124" i="3"/>
  <c r="P124" i="3"/>
  <c r="O124" i="3"/>
  <c r="Q123" i="3"/>
  <c r="P123" i="3"/>
  <c r="O123" i="3"/>
  <c r="Q122" i="3"/>
  <c r="P122" i="3"/>
  <c r="O122" i="3"/>
  <c r="Q121" i="3"/>
  <c r="P121" i="3"/>
  <c r="O121" i="3"/>
  <c r="Q120" i="3"/>
  <c r="P120" i="3"/>
  <c r="O120" i="3"/>
  <c r="Q119" i="3"/>
  <c r="P119" i="3"/>
  <c r="O119" i="3"/>
  <c r="Q118" i="3"/>
  <c r="P118" i="3"/>
  <c r="O118" i="3"/>
  <c r="Q117" i="3"/>
  <c r="P117" i="3"/>
  <c r="O117" i="3"/>
  <c r="Q116" i="3"/>
  <c r="P116" i="3"/>
  <c r="O116" i="3"/>
  <c r="Q115" i="3"/>
  <c r="P115" i="3"/>
  <c r="O115" i="3"/>
  <c r="Q114" i="3"/>
  <c r="P114" i="3"/>
  <c r="O114" i="3"/>
  <c r="Q113" i="3"/>
  <c r="P113" i="3"/>
  <c r="O113" i="3"/>
  <c r="Q112" i="3"/>
  <c r="P112" i="3"/>
  <c r="O112" i="3"/>
  <c r="Q111" i="3"/>
  <c r="P111" i="3"/>
  <c r="O111" i="3"/>
  <c r="Q110" i="3"/>
  <c r="P110" i="3"/>
  <c r="O110" i="3"/>
  <c r="Q109" i="3"/>
  <c r="P109" i="3"/>
  <c r="O109" i="3"/>
  <c r="Q108" i="3"/>
  <c r="P108" i="3"/>
  <c r="O108" i="3"/>
  <c r="Q107" i="3"/>
  <c r="P107" i="3"/>
  <c r="O107" i="3"/>
  <c r="Q106" i="3"/>
  <c r="P106" i="3"/>
  <c r="O106" i="3"/>
  <c r="Q105" i="3"/>
  <c r="P105" i="3"/>
  <c r="O105" i="3"/>
  <c r="Q104" i="3"/>
  <c r="P104" i="3"/>
  <c r="O10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Q4" i="3"/>
  <c r="P4" i="3"/>
  <c r="O4" i="3"/>
  <c r="Q823" i="2"/>
  <c r="P823" i="2"/>
  <c r="O823" i="2"/>
  <c r="Q822" i="2"/>
  <c r="P822" i="2"/>
  <c r="O822" i="2"/>
  <c r="Q821" i="2"/>
  <c r="P821" i="2"/>
  <c r="O821" i="2"/>
  <c r="Q820" i="2"/>
  <c r="P820" i="2"/>
  <c r="O820" i="2"/>
  <c r="Q819" i="2"/>
  <c r="P819" i="2"/>
  <c r="O819" i="2"/>
  <c r="Q818" i="2"/>
  <c r="P818" i="2"/>
  <c r="O818" i="2"/>
  <c r="Q817" i="2"/>
  <c r="P817" i="2"/>
  <c r="O817" i="2"/>
  <c r="Q816" i="2"/>
  <c r="P816" i="2"/>
  <c r="O816" i="2"/>
  <c r="Q815" i="2"/>
  <c r="P815" i="2"/>
  <c r="O815" i="2"/>
  <c r="Q814" i="2"/>
  <c r="P814" i="2"/>
  <c r="O814" i="2"/>
  <c r="Q813" i="2"/>
  <c r="P813" i="2"/>
  <c r="O813" i="2"/>
  <c r="Q812" i="2"/>
  <c r="P812" i="2"/>
  <c r="O812" i="2"/>
  <c r="Q811" i="2"/>
  <c r="P811" i="2"/>
  <c r="O811" i="2"/>
  <c r="Q810" i="2"/>
  <c r="P810" i="2"/>
  <c r="O810" i="2"/>
  <c r="Q345" i="2"/>
  <c r="P345" i="2"/>
  <c r="O345" i="2"/>
  <c r="Q344" i="2"/>
  <c r="P344" i="2"/>
  <c r="O344" i="2"/>
  <c r="Q343" i="2"/>
  <c r="P343" i="2"/>
  <c r="O343" i="2"/>
  <c r="Q342" i="2"/>
  <c r="P342" i="2"/>
  <c r="O342" i="2"/>
  <c r="Q341" i="2"/>
  <c r="P341" i="2"/>
  <c r="O341" i="2"/>
  <c r="Q340" i="2"/>
  <c r="P340" i="2"/>
  <c r="O340" i="2"/>
  <c r="Q339" i="2"/>
  <c r="P339" i="2"/>
  <c r="O339" i="2"/>
  <c r="Q338" i="2"/>
  <c r="P338" i="2"/>
  <c r="O338" i="2"/>
  <c r="Q337" i="2"/>
  <c r="P337" i="2"/>
  <c r="O337" i="2"/>
  <c r="Q336" i="2"/>
  <c r="P336" i="2"/>
  <c r="O336" i="2"/>
  <c r="Q335" i="2"/>
  <c r="P335" i="2"/>
  <c r="O335" i="2"/>
  <c r="Q334" i="2"/>
  <c r="P334" i="2"/>
  <c r="O334" i="2"/>
  <c r="Q333" i="2"/>
  <c r="P333" i="2"/>
  <c r="O333" i="2"/>
  <c r="Q332" i="2"/>
  <c r="P332" i="2"/>
  <c r="O332" i="2"/>
  <c r="Q331" i="2"/>
  <c r="P331" i="2"/>
  <c r="O331" i="2"/>
  <c r="Q330" i="2"/>
  <c r="P330" i="2"/>
  <c r="O330" i="2"/>
  <c r="Q329" i="2"/>
  <c r="P329" i="2"/>
  <c r="O329" i="2"/>
  <c r="Q328" i="2"/>
  <c r="P328" i="2"/>
  <c r="O328" i="2"/>
  <c r="Q327" i="2"/>
  <c r="P327" i="2"/>
  <c r="O327" i="2"/>
  <c r="Q326" i="2"/>
  <c r="P326" i="2"/>
  <c r="O326" i="2"/>
  <c r="Q325" i="2"/>
  <c r="P325" i="2"/>
  <c r="O325" i="2"/>
  <c r="Q324" i="2"/>
  <c r="P324" i="2"/>
  <c r="O324" i="2"/>
  <c r="Q323" i="2"/>
  <c r="P323" i="2"/>
  <c r="O323" i="2"/>
  <c r="Q322" i="2"/>
  <c r="P322" i="2"/>
  <c r="O322" i="2"/>
  <c r="Q321" i="2"/>
  <c r="P321" i="2"/>
  <c r="Q320" i="2"/>
  <c r="P320" i="2"/>
  <c r="O320" i="2"/>
  <c r="Q319" i="2"/>
  <c r="P319" i="2"/>
  <c r="O319" i="2"/>
  <c r="Q318" i="2"/>
  <c r="P318" i="2"/>
  <c r="O318" i="2"/>
  <c r="Q317" i="2"/>
  <c r="P317" i="2"/>
  <c r="O317" i="2"/>
  <c r="Q316" i="2"/>
  <c r="P316" i="2"/>
  <c r="O316" i="2"/>
  <c r="Q315" i="2"/>
  <c r="P315" i="2"/>
  <c r="O315" i="2"/>
  <c r="Q314" i="2"/>
  <c r="P314" i="2"/>
  <c r="O314" i="2"/>
  <c r="Q313" i="2"/>
  <c r="P313" i="2"/>
  <c r="O313" i="2"/>
  <c r="Q312" i="2"/>
  <c r="P312" i="2"/>
  <c r="O312" i="2"/>
  <c r="Q311" i="2"/>
  <c r="P311" i="2"/>
  <c r="O311" i="2"/>
  <c r="Q310" i="2"/>
  <c r="P310" i="2"/>
  <c r="O310" i="2"/>
  <c r="Q309" i="2"/>
  <c r="P309" i="2"/>
  <c r="O309" i="2"/>
  <c r="Q308" i="2"/>
  <c r="P308" i="2"/>
  <c r="O308" i="2"/>
  <c r="Q307" i="2"/>
  <c r="P307" i="2"/>
  <c r="O307" i="2"/>
  <c r="Q306" i="2"/>
  <c r="P306" i="2"/>
  <c r="O306" i="2"/>
  <c r="Q305" i="2"/>
  <c r="P305" i="2"/>
  <c r="O305" i="2"/>
  <c r="Q304" i="2"/>
  <c r="P304" i="2"/>
  <c r="O304" i="2"/>
  <c r="Q303" i="2"/>
  <c r="P303" i="2"/>
  <c r="O303" i="2"/>
  <c r="Q302" i="2"/>
  <c r="P302" i="2"/>
  <c r="O302" i="2"/>
  <c r="Q301" i="2"/>
  <c r="P301" i="2"/>
  <c r="O301" i="2"/>
  <c r="Q300" i="2"/>
  <c r="P300" i="2"/>
  <c r="O300" i="2"/>
  <c r="Q299" i="2"/>
  <c r="P299" i="2"/>
  <c r="O299" i="2"/>
  <c r="Q298" i="2"/>
  <c r="P298" i="2"/>
  <c r="O298" i="2"/>
  <c r="Q297" i="2"/>
  <c r="P297" i="2"/>
  <c r="O297" i="2"/>
  <c r="Q296" i="2"/>
  <c r="P296" i="2"/>
  <c r="O296" i="2"/>
  <c r="Q295" i="2"/>
  <c r="P295" i="2"/>
  <c r="O295" i="2"/>
  <c r="Q294" i="2"/>
  <c r="P294" i="2"/>
  <c r="O294" i="2"/>
  <c r="Q293" i="2"/>
  <c r="P293" i="2"/>
  <c r="O293" i="2"/>
  <c r="Q292" i="2"/>
  <c r="P292" i="2"/>
  <c r="O292" i="2"/>
  <c r="Q291" i="2"/>
  <c r="P291" i="2"/>
  <c r="O291" i="2"/>
  <c r="Q290" i="2"/>
  <c r="P290" i="2"/>
  <c r="O290" i="2"/>
  <c r="Q289" i="2"/>
  <c r="P289" i="2"/>
  <c r="O289" i="2"/>
  <c r="Q288" i="2"/>
  <c r="P288" i="2"/>
  <c r="O288" i="2"/>
  <c r="Q287" i="2"/>
  <c r="P287" i="2"/>
  <c r="O287" i="2"/>
  <c r="Q286" i="2"/>
  <c r="P286" i="2"/>
  <c r="O286" i="2"/>
  <c r="Q285" i="2"/>
  <c r="P285" i="2"/>
  <c r="O285" i="2"/>
  <c r="Q284" i="2"/>
  <c r="P284" i="2"/>
  <c r="O284" i="2"/>
  <c r="Q283" i="2"/>
  <c r="P283" i="2"/>
  <c r="O283" i="2"/>
  <c r="Q282" i="2"/>
  <c r="P282" i="2"/>
  <c r="O282" i="2"/>
  <c r="Q281" i="2"/>
  <c r="P281" i="2"/>
  <c r="O281" i="2"/>
  <c r="Q280" i="2"/>
  <c r="P280" i="2"/>
  <c r="Q279" i="2"/>
  <c r="P279" i="2"/>
  <c r="O279" i="2"/>
  <c r="Q278" i="2"/>
  <c r="P278" i="2"/>
  <c r="O278" i="2"/>
  <c r="Q277" i="2"/>
  <c r="P277" i="2"/>
  <c r="O277" i="2"/>
  <c r="Q276" i="2"/>
  <c r="P276" i="2"/>
  <c r="O276" i="2"/>
  <c r="Q275" i="2"/>
  <c r="P275" i="2"/>
  <c r="O275" i="2"/>
  <c r="Q274" i="2"/>
  <c r="P274" i="2"/>
  <c r="O274" i="2"/>
  <c r="Q273" i="2"/>
  <c r="P273" i="2"/>
  <c r="O273" i="2"/>
  <c r="Q272" i="2"/>
  <c r="P272" i="2"/>
  <c r="O272" i="2"/>
  <c r="Q271" i="2"/>
  <c r="P271" i="2"/>
  <c r="O271" i="2"/>
  <c r="Q270" i="2"/>
  <c r="P270" i="2"/>
  <c r="O270" i="2"/>
  <c r="Q269" i="2"/>
  <c r="P269" i="2"/>
  <c r="O269" i="2"/>
  <c r="Q268" i="2"/>
  <c r="P268" i="2"/>
  <c r="O268" i="2"/>
  <c r="Q267" i="2"/>
  <c r="P267" i="2"/>
  <c r="O267" i="2"/>
  <c r="Q266" i="2"/>
  <c r="P266" i="2"/>
  <c r="O266" i="2"/>
  <c r="Q265" i="2"/>
  <c r="P265" i="2"/>
  <c r="O265" i="2"/>
  <c r="Q264" i="2"/>
  <c r="P264" i="2"/>
  <c r="O264" i="2"/>
  <c r="Q263" i="2"/>
  <c r="P263" i="2"/>
  <c r="O263" i="2"/>
  <c r="Q262" i="2"/>
  <c r="P262" i="2"/>
  <c r="O262" i="2"/>
  <c r="Q261" i="2"/>
  <c r="P261" i="2"/>
  <c r="O261" i="2"/>
  <c r="Q260" i="2"/>
  <c r="P260" i="2"/>
  <c r="O260" i="2"/>
  <c r="Q259" i="2"/>
  <c r="P259" i="2"/>
  <c r="O259" i="2"/>
  <c r="Q258" i="2"/>
  <c r="P258" i="2"/>
  <c r="O258" i="2"/>
  <c r="Q257" i="2"/>
  <c r="P257" i="2"/>
  <c r="O257" i="2"/>
  <c r="Q256" i="2"/>
  <c r="P256" i="2"/>
  <c r="O256" i="2"/>
  <c r="Q977" i="2"/>
  <c r="P977" i="2"/>
  <c r="O977" i="2"/>
  <c r="Q976" i="2"/>
  <c r="P976" i="2"/>
  <c r="O976" i="2"/>
  <c r="Q975" i="2"/>
  <c r="P975" i="2"/>
  <c r="O975" i="2"/>
  <c r="Q974" i="2"/>
  <c r="P974" i="2"/>
  <c r="O974" i="2"/>
  <c r="Q973" i="2"/>
  <c r="P973" i="2"/>
  <c r="O973" i="2"/>
  <c r="Q972" i="2"/>
  <c r="P972" i="2"/>
  <c r="O972" i="2"/>
  <c r="Q971" i="2"/>
  <c r="P971" i="2"/>
  <c r="O971" i="2"/>
  <c r="Q970" i="2"/>
  <c r="P970" i="2"/>
  <c r="O970" i="2"/>
  <c r="Q969" i="2"/>
  <c r="P969" i="2"/>
  <c r="O969" i="2"/>
  <c r="Q968" i="2"/>
  <c r="P968" i="2"/>
  <c r="O968" i="2"/>
  <c r="Q967" i="2"/>
  <c r="P967" i="2"/>
  <c r="O967" i="2"/>
  <c r="Q966" i="2"/>
  <c r="P966" i="2"/>
  <c r="O966" i="2"/>
  <c r="Q965" i="2"/>
  <c r="P965" i="2"/>
  <c r="O965" i="2"/>
  <c r="Q964" i="2"/>
  <c r="P964" i="2"/>
  <c r="O964" i="2"/>
  <c r="Q963" i="2"/>
  <c r="P963" i="2"/>
  <c r="O963" i="2"/>
  <c r="Q962" i="2"/>
  <c r="P962" i="2"/>
  <c r="O962" i="2"/>
  <c r="Q961" i="2"/>
  <c r="P961" i="2"/>
  <c r="O961" i="2"/>
  <c r="Q960" i="2"/>
  <c r="P960" i="2"/>
  <c r="O960" i="2"/>
  <c r="Q959" i="2"/>
  <c r="P959" i="2"/>
  <c r="O959" i="2"/>
  <c r="Q958" i="2"/>
  <c r="P958" i="2"/>
  <c r="O958" i="2"/>
  <c r="Q957" i="2"/>
  <c r="P957" i="2"/>
  <c r="O957" i="2"/>
  <c r="Q956" i="2"/>
  <c r="P956" i="2"/>
  <c r="O956" i="2"/>
  <c r="Q955" i="2"/>
  <c r="P955" i="2"/>
  <c r="O955" i="2"/>
  <c r="Q954" i="2"/>
  <c r="P954" i="2"/>
  <c r="O954" i="2"/>
  <c r="Q953" i="2"/>
  <c r="P953" i="2"/>
  <c r="Q952" i="2"/>
  <c r="P952" i="2"/>
  <c r="O952" i="2"/>
  <c r="Q951" i="2"/>
  <c r="P951" i="2"/>
  <c r="O951" i="2"/>
  <c r="Q950" i="2"/>
  <c r="P950" i="2"/>
  <c r="O950" i="2"/>
  <c r="Q949" i="2"/>
  <c r="P949" i="2"/>
  <c r="O949" i="2"/>
  <c r="Q948" i="2"/>
  <c r="P948" i="2"/>
  <c r="O948" i="2"/>
  <c r="Q947" i="2"/>
  <c r="P947" i="2"/>
  <c r="O947" i="2"/>
  <c r="Q946" i="2"/>
  <c r="P946" i="2"/>
  <c r="O946" i="2"/>
  <c r="Q945" i="2"/>
  <c r="P945" i="2"/>
  <c r="O945" i="2"/>
  <c r="Q944" i="2"/>
  <c r="P944" i="2"/>
  <c r="O944" i="2"/>
  <c r="Q943" i="2"/>
  <c r="P943" i="2"/>
  <c r="O943" i="2"/>
  <c r="Q942" i="2"/>
  <c r="P942" i="2"/>
  <c r="O942" i="2"/>
  <c r="Q941" i="2"/>
  <c r="P941" i="2"/>
  <c r="O941" i="2"/>
  <c r="Q940" i="2"/>
  <c r="P940" i="2"/>
  <c r="Q939" i="2"/>
  <c r="P939" i="2"/>
  <c r="Q938" i="2"/>
  <c r="P938" i="2"/>
  <c r="Q937" i="2"/>
  <c r="P937" i="2"/>
  <c r="Q936" i="2"/>
  <c r="P936" i="2"/>
  <c r="Q935" i="2"/>
  <c r="P935" i="2"/>
  <c r="Q934" i="2"/>
  <c r="P934" i="2"/>
  <c r="O934" i="2"/>
  <c r="Q933" i="2"/>
  <c r="P933" i="2"/>
  <c r="O933" i="2"/>
  <c r="Q932" i="2"/>
  <c r="P932" i="2"/>
  <c r="O932" i="2"/>
  <c r="Q931" i="2"/>
  <c r="P931" i="2"/>
  <c r="Q930" i="2"/>
  <c r="P930" i="2"/>
  <c r="Q929" i="2"/>
  <c r="P929" i="2"/>
  <c r="O929" i="2"/>
  <c r="Q928" i="2"/>
  <c r="P928" i="2"/>
  <c r="O928" i="2"/>
  <c r="Q927" i="2"/>
  <c r="P927" i="2"/>
  <c r="O927" i="2"/>
  <c r="Q926" i="2"/>
  <c r="P926" i="2"/>
  <c r="O926" i="2"/>
  <c r="Q925" i="2"/>
  <c r="P925" i="2"/>
  <c r="O925" i="2"/>
  <c r="Q924" i="2"/>
  <c r="P924" i="2"/>
  <c r="O924" i="2"/>
  <c r="Q923" i="2"/>
  <c r="P923" i="2"/>
  <c r="O923" i="2"/>
  <c r="Q922" i="2"/>
  <c r="P922" i="2"/>
  <c r="O922" i="2"/>
  <c r="Q921" i="2"/>
  <c r="P921" i="2"/>
  <c r="O921" i="2"/>
  <c r="Q920" i="2"/>
  <c r="P920" i="2"/>
  <c r="O920" i="2"/>
  <c r="Q919" i="2"/>
  <c r="P919" i="2"/>
  <c r="O919" i="2"/>
  <c r="Q918" i="2"/>
  <c r="P918" i="2"/>
  <c r="O918" i="2"/>
  <c r="Q160" i="2"/>
  <c r="P160" i="2"/>
  <c r="O160" i="2"/>
  <c r="Q159" i="2"/>
  <c r="P159" i="2"/>
  <c r="O159" i="2"/>
  <c r="Q158" i="2"/>
  <c r="P158" i="2"/>
  <c r="O158" i="2"/>
  <c r="Q157" i="2"/>
  <c r="P157" i="2"/>
  <c r="O157" i="2"/>
  <c r="Q156" i="2"/>
  <c r="P156" i="2"/>
  <c r="O156" i="2"/>
  <c r="Q155" i="2"/>
  <c r="P155" i="2"/>
  <c r="O155" i="2"/>
  <c r="Q154" i="2"/>
  <c r="P154" i="2"/>
  <c r="O154" i="2"/>
  <c r="Q153" i="2"/>
  <c r="P153" i="2"/>
  <c r="O153" i="2"/>
  <c r="Q152" i="2"/>
  <c r="P152" i="2"/>
  <c r="O152" i="2"/>
  <c r="Q151" i="2"/>
  <c r="P151" i="2"/>
  <c r="O151" i="2"/>
  <c r="Q150" i="2"/>
  <c r="P150" i="2"/>
  <c r="O150" i="2"/>
  <c r="Q149" i="2"/>
  <c r="P149" i="2"/>
  <c r="O149" i="2"/>
  <c r="Q148" i="2"/>
  <c r="P148" i="2"/>
  <c r="O148" i="2"/>
  <c r="Q147" i="2"/>
  <c r="P147" i="2"/>
  <c r="O147" i="2"/>
  <c r="Q146" i="2"/>
  <c r="P146" i="2"/>
  <c r="O146" i="2"/>
  <c r="Q145" i="2"/>
  <c r="P145" i="2"/>
  <c r="O145" i="2"/>
  <c r="Q144" i="2"/>
  <c r="P144" i="2"/>
  <c r="O144" i="2"/>
  <c r="Q143" i="2"/>
  <c r="P143" i="2"/>
  <c r="O143" i="2"/>
  <c r="Q142" i="2"/>
  <c r="P142" i="2"/>
  <c r="O142" i="2"/>
  <c r="Q141" i="2"/>
  <c r="P141" i="2"/>
  <c r="O141" i="2"/>
  <c r="Q140" i="2"/>
  <c r="P140" i="2"/>
  <c r="O140" i="2"/>
  <c r="Q139" i="2"/>
  <c r="P139" i="2"/>
  <c r="O139" i="2"/>
  <c r="Q138" i="2"/>
  <c r="P138" i="2"/>
  <c r="O138" i="2"/>
  <c r="Q137" i="2"/>
  <c r="P137" i="2"/>
  <c r="O137" i="2"/>
  <c r="Q136" i="2"/>
  <c r="P136" i="2"/>
  <c r="O136" i="2"/>
  <c r="Q135" i="2"/>
  <c r="P135" i="2"/>
  <c r="O135" i="2"/>
  <c r="Q134" i="2"/>
  <c r="P134" i="2"/>
  <c r="O134" i="2"/>
  <c r="Q133" i="2"/>
  <c r="P133" i="2"/>
  <c r="O133" i="2"/>
  <c r="Q132" i="2"/>
  <c r="P132" i="2"/>
  <c r="O132" i="2"/>
  <c r="Q131" i="2"/>
  <c r="P131" i="2"/>
  <c r="O131" i="2"/>
  <c r="Q130" i="2"/>
  <c r="P130" i="2"/>
  <c r="O130" i="2"/>
  <c r="Q129" i="2"/>
  <c r="P129" i="2"/>
  <c r="O129" i="2"/>
  <c r="Q128" i="2"/>
  <c r="P128" i="2"/>
  <c r="O128" i="2"/>
  <c r="Q127" i="2"/>
  <c r="P127" i="2"/>
  <c r="O127" i="2"/>
  <c r="Q126" i="2"/>
  <c r="P126" i="2"/>
  <c r="O126" i="2"/>
  <c r="Q125" i="2"/>
  <c r="P125" i="2"/>
  <c r="O125" i="2"/>
  <c r="Q124" i="2"/>
  <c r="P124" i="2"/>
  <c r="O124" i="2"/>
  <c r="Q123" i="2"/>
  <c r="P123" i="2"/>
  <c r="O123" i="2"/>
  <c r="Q122" i="2"/>
  <c r="P122" i="2"/>
  <c r="O122" i="2"/>
  <c r="Q121" i="2"/>
  <c r="P121" i="2"/>
  <c r="O121" i="2"/>
  <c r="Q120" i="2"/>
  <c r="P120" i="2"/>
  <c r="O120" i="2"/>
  <c r="Q119" i="2"/>
  <c r="P119" i="2"/>
  <c r="O119" i="2"/>
  <c r="Q118" i="2"/>
  <c r="P118" i="2"/>
  <c r="O118" i="2"/>
  <c r="Q117" i="2"/>
  <c r="P117" i="2"/>
  <c r="O117" i="2"/>
  <c r="Q116" i="2"/>
  <c r="P116" i="2"/>
  <c r="O116" i="2"/>
  <c r="Q115" i="2"/>
  <c r="P115" i="2"/>
  <c r="O115" i="2"/>
  <c r="Q114" i="2"/>
  <c r="P114" i="2"/>
  <c r="O114" i="2"/>
  <c r="Q113" i="2"/>
  <c r="P113" i="2"/>
  <c r="O113" i="2"/>
  <c r="Q112" i="2"/>
  <c r="P112" i="2"/>
  <c r="O112" i="2"/>
  <c r="Q663" i="2"/>
  <c r="P663" i="2"/>
  <c r="O663" i="2"/>
  <c r="Q662" i="2"/>
  <c r="P662" i="2"/>
  <c r="Q661" i="2"/>
  <c r="P661" i="2"/>
  <c r="Q660" i="2"/>
  <c r="P660" i="2"/>
  <c r="O660" i="2"/>
  <c r="Q659" i="2"/>
  <c r="P659" i="2"/>
  <c r="O659" i="2"/>
  <c r="Q658" i="2"/>
  <c r="P658" i="2"/>
  <c r="Q657" i="2"/>
  <c r="P657" i="2"/>
  <c r="O657" i="2"/>
  <c r="Q656" i="2"/>
  <c r="P656" i="2"/>
  <c r="O656" i="2"/>
  <c r="Q655" i="2"/>
  <c r="P655" i="2"/>
  <c r="O655" i="2"/>
  <c r="Q654" i="2"/>
  <c r="P654" i="2"/>
  <c r="O654" i="2"/>
  <c r="Q653" i="2"/>
  <c r="P653" i="2"/>
  <c r="O653" i="2"/>
  <c r="Q652" i="2"/>
  <c r="P652" i="2"/>
  <c r="O652" i="2"/>
  <c r="Q651" i="2"/>
  <c r="P651" i="2"/>
  <c r="O651" i="2"/>
  <c r="Q650" i="2"/>
  <c r="P650" i="2"/>
  <c r="O650" i="2"/>
  <c r="Q649" i="2"/>
  <c r="P649" i="2"/>
  <c r="O649" i="2"/>
  <c r="Q648" i="2"/>
  <c r="P648" i="2"/>
  <c r="O648" i="2"/>
  <c r="Q647" i="2"/>
  <c r="P647" i="2"/>
  <c r="O647" i="2"/>
  <c r="Q646" i="2"/>
  <c r="P646" i="2"/>
  <c r="O646" i="2"/>
  <c r="Q645" i="2"/>
  <c r="P645" i="2"/>
  <c r="O645" i="2"/>
  <c r="Q644" i="2"/>
  <c r="P644" i="2"/>
  <c r="O644" i="2"/>
  <c r="Q643" i="2"/>
  <c r="P643" i="2"/>
  <c r="O643" i="2"/>
  <c r="Q642" i="2"/>
  <c r="P642" i="2"/>
  <c r="O642" i="2"/>
  <c r="Q641" i="2"/>
  <c r="P641" i="2"/>
  <c r="O641" i="2"/>
  <c r="Q640" i="2"/>
  <c r="P640" i="2"/>
  <c r="O640" i="2"/>
  <c r="Q639" i="2"/>
  <c r="P639" i="2"/>
  <c r="O639" i="2"/>
  <c r="Q638" i="2"/>
  <c r="P638" i="2"/>
  <c r="O638" i="2"/>
  <c r="Q637" i="2"/>
  <c r="P637" i="2"/>
  <c r="O637" i="2"/>
  <c r="Q636" i="2"/>
  <c r="P636" i="2"/>
  <c r="O636" i="2"/>
  <c r="Q635" i="2"/>
  <c r="P635" i="2"/>
  <c r="O635" i="2"/>
  <c r="Q634" i="2"/>
  <c r="P634" i="2"/>
  <c r="O634" i="2"/>
  <c r="Q633" i="2"/>
  <c r="P633" i="2"/>
  <c r="O633" i="2"/>
  <c r="Q632" i="2"/>
  <c r="P632" i="2"/>
  <c r="O632" i="2"/>
  <c r="Q631" i="2"/>
  <c r="P631" i="2"/>
  <c r="O631" i="2"/>
  <c r="Q630" i="2"/>
  <c r="P630" i="2"/>
  <c r="O630" i="2"/>
  <c r="Q629" i="2"/>
  <c r="P629" i="2"/>
  <c r="O629" i="2"/>
  <c r="Q628" i="2"/>
  <c r="P628" i="2"/>
  <c r="O628" i="2"/>
  <c r="Q627" i="2"/>
  <c r="P627" i="2"/>
  <c r="O627" i="2"/>
  <c r="Q626" i="2"/>
  <c r="P626" i="2"/>
  <c r="Q625" i="2"/>
  <c r="P625" i="2"/>
  <c r="O625" i="2"/>
  <c r="Q624" i="2"/>
  <c r="P624" i="2"/>
  <c r="O624" i="2"/>
  <c r="Q111" i="2"/>
  <c r="P111" i="2"/>
  <c r="O111" i="2"/>
  <c r="Q623" i="2"/>
  <c r="P623" i="2"/>
  <c r="O623" i="2"/>
  <c r="Q809" i="2"/>
  <c r="P809" i="2"/>
  <c r="O809" i="2"/>
  <c r="Q255" i="2"/>
  <c r="P255" i="2"/>
  <c r="O255" i="2"/>
  <c r="Q254" i="2"/>
  <c r="P254" i="2"/>
  <c r="O254" i="2"/>
  <c r="Q622" i="2"/>
  <c r="P622" i="2"/>
  <c r="O622" i="2"/>
  <c r="Q808" i="2"/>
  <c r="P808" i="2"/>
  <c r="O808" i="2"/>
  <c r="Q807" i="2"/>
  <c r="P807" i="2"/>
  <c r="O807" i="2"/>
  <c r="Q253" i="2"/>
  <c r="P253" i="2"/>
  <c r="O253" i="2"/>
  <c r="Q252" i="2"/>
  <c r="P252" i="2"/>
  <c r="O252" i="2"/>
  <c r="Q251" i="2"/>
  <c r="P251" i="2"/>
  <c r="O251" i="2"/>
  <c r="Q110" i="2"/>
  <c r="P110" i="2"/>
  <c r="O110" i="2"/>
  <c r="Q109" i="2"/>
  <c r="P109" i="2"/>
  <c r="O109" i="2"/>
  <c r="Q621" i="2"/>
  <c r="P621" i="2"/>
  <c r="O621" i="2"/>
  <c r="Q620" i="2"/>
  <c r="P620" i="2"/>
  <c r="O620" i="2"/>
  <c r="Q250" i="2"/>
  <c r="P250" i="2"/>
  <c r="O250" i="2"/>
  <c r="Q108" i="2"/>
  <c r="P108" i="2"/>
  <c r="O108" i="2"/>
  <c r="Q619" i="2"/>
  <c r="P619" i="2"/>
  <c r="O619" i="2"/>
  <c r="Q618" i="2"/>
  <c r="P618" i="2"/>
  <c r="O618" i="2"/>
  <c r="Q617" i="2"/>
  <c r="P617" i="2"/>
  <c r="O617" i="2"/>
  <c r="Q616" i="2"/>
  <c r="P616" i="2"/>
  <c r="O616" i="2"/>
  <c r="Q615" i="2"/>
  <c r="P615" i="2"/>
  <c r="O615" i="2"/>
  <c r="Q107" i="2"/>
  <c r="P107" i="2"/>
  <c r="O107" i="2"/>
  <c r="Q249" i="2"/>
  <c r="P249" i="2"/>
  <c r="O249" i="2"/>
  <c r="Q106" i="2"/>
  <c r="P106" i="2"/>
  <c r="O106" i="2"/>
  <c r="Q614" i="2"/>
  <c r="P614" i="2"/>
  <c r="O614" i="2"/>
  <c r="Q613" i="2"/>
  <c r="P613" i="2"/>
  <c r="O613" i="2"/>
  <c r="Q612" i="2"/>
  <c r="P612" i="2"/>
  <c r="O612" i="2"/>
  <c r="Q611" i="2"/>
  <c r="P611" i="2"/>
  <c r="O611" i="2"/>
  <c r="Q105" i="2"/>
  <c r="P105" i="2"/>
  <c r="O105" i="2"/>
  <c r="Q104" i="2"/>
  <c r="P104" i="2"/>
  <c r="O104" i="2"/>
  <c r="Q610" i="2"/>
  <c r="P610" i="2"/>
  <c r="O610" i="2"/>
  <c r="Q248" i="2"/>
  <c r="P248" i="2"/>
  <c r="O248" i="2"/>
  <c r="Q917" i="2"/>
  <c r="P917" i="2"/>
  <c r="O917" i="2"/>
  <c r="Q103" i="2"/>
  <c r="P103" i="2"/>
  <c r="O103" i="2"/>
  <c r="Q247" i="2"/>
  <c r="P247" i="2"/>
  <c r="O247" i="2"/>
  <c r="Q102" i="2"/>
  <c r="P102" i="2"/>
  <c r="O102" i="2"/>
  <c r="Q806" i="2"/>
  <c r="P806" i="2"/>
  <c r="O806" i="2"/>
  <c r="Q246" i="2"/>
  <c r="P246" i="2"/>
  <c r="O246" i="2"/>
  <c r="Q916" i="2"/>
  <c r="P916" i="2"/>
  <c r="O916" i="2"/>
  <c r="Q101" i="2"/>
  <c r="P101" i="2"/>
  <c r="O101" i="2"/>
  <c r="Q609" i="2"/>
  <c r="P609" i="2"/>
  <c r="O609" i="2"/>
  <c r="Q100" i="2"/>
  <c r="P100" i="2"/>
  <c r="O100" i="2"/>
  <c r="Q608" i="2"/>
  <c r="P608" i="2"/>
  <c r="O608" i="2"/>
  <c r="Q607" i="2"/>
  <c r="P607" i="2"/>
  <c r="O607" i="2"/>
  <c r="Q606" i="2"/>
  <c r="P606" i="2"/>
  <c r="O606" i="2"/>
  <c r="Q805" i="2"/>
  <c r="P805" i="2"/>
  <c r="O805" i="2"/>
  <c r="Q915" i="2"/>
  <c r="P915" i="2"/>
  <c r="O915" i="2"/>
  <c r="Q99" i="2"/>
  <c r="P99" i="2"/>
  <c r="O99" i="2"/>
  <c r="Q98" i="2"/>
  <c r="P98" i="2"/>
  <c r="O98" i="2"/>
  <c r="Q245" i="2"/>
  <c r="P245" i="2"/>
  <c r="O245" i="2"/>
  <c r="Q244" i="2"/>
  <c r="P244" i="2"/>
  <c r="O244" i="2"/>
  <c r="Q97" i="2"/>
  <c r="P97" i="2"/>
  <c r="O97" i="2"/>
  <c r="Q96" i="2"/>
  <c r="P96" i="2"/>
  <c r="O96" i="2"/>
  <c r="Q95" i="2"/>
  <c r="P95" i="2"/>
  <c r="O95" i="2"/>
  <c r="Q605" i="2"/>
  <c r="P605" i="2"/>
  <c r="O605" i="2"/>
  <c r="Q604" i="2"/>
  <c r="P604" i="2"/>
  <c r="O604" i="2"/>
  <c r="Q94" i="2"/>
  <c r="P94" i="2"/>
  <c r="O94" i="2"/>
  <c r="Q603" i="2"/>
  <c r="P603" i="2"/>
  <c r="O603" i="2"/>
  <c r="Q602" i="2"/>
  <c r="P602" i="2"/>
  <c r="O602" i="2"/>
  <c r="Q601" i="2"/>
  <c r="P601" i="2"/>
  <c r="O601" i="2"/>
  <c r="Q600" i="2"/>
  <c r="P600" i="2"/>
  <c r="O600" i="2"/>
  <c r="Q599" i="2"/>
  <c r="P599" i="2"/>
  <c r="O599" i="2"/>
  <c r="Q93" i="2"/>
  <c r="P93" i="2"/>
  <c r="O93" i="2"/>
  <c r="Q243" i="2"/>
  <c r="P243" i="2"/>
  <c r="O243" i="2"/>
  <c r="Q92" i="2"/>
  <c r="P92" i="2"/>
  <c r="O92" i="2"/>
  <c r="Q598" i="2"/>
  <c r="P598" i="2"/>
  <c r="O598" i="2"/>
  <c r="Q91" i="2"/>
  <c r="P91" i="2"/>
  <c r="O91" i="2"/>
  <c r="Q914" i="2"/>
  <c r="P914" i="2"/>
  <c r="O914" i="2"/>
  <c r="Q913" i="2"/>
  <c r="P913" i="2"/>
  <c r="O913" i="2"/>
  <c r="Q912" i="2"/>
  <c r="P912" i="2"/>
  <c r="O912" i="2"/>
  <c r="Q597" i="2"/>
  <c r="P597" i="2"/>
  <c r="O597" i="2"/>
  <c r="Q804" i="2"/>
  <c r="P804" i="2"/>
  <c r="O804" i="2"/>
  <c r="Q803" i="2"/>
  <c r="P803" i="2"/>
  <c r="O803" i="2"/>
  <c r="Q911" i="2"/>
  <c r="P911" i="2"/>
  <c r="O911" i="2"/>
  <c r="Q910" i="2"/>
  <c r="P910" i="2"/>
  <c r="O910" i="2"/>
  <c r="Q90" i="2"/>
  <c r="P90" i="2"/>
  <c r="O90" i="2"/>
  <c r="Q89" i="2"/>
  <c r="P89" i="2"/>
  <c r="O89" i="2"/>
  <c r="Q596" i="2"/>
  <c r="P596" i="2"/>
  <c r="O596" i="2"/>
  <c r="Q595" i="2"/>
  <c r="P595" i="2"/>
  <c r="O595" i="2"/>
  <c r="Q88" i="2"/>
  <c r="P88" i="2"/>
  <c r="O88" i="2"/>
  <c r="Q909" i="2"/>
  <c r="P909" i="2"/>
  <c r="O909" i="2"/>
  <c r="Q908" i="2"/>
  <c r="P908" i="2"/>
  <c r="O908" i="2"/>
  <c r="Q87" i="2"/>
  <c r="P87" i="2"/>
  <c r="O87" i="2"/>
  <c r="Q594" i="2"/>
  <c r="P594" i="2"/>
  <c r="O594" i="2"/>
  <c r="Q593" i="2"/>
  <c r="P593" i="2"/>
  <c r="O593" i="2"/>
  <c r="Q86" i="2"/>
  <c r="P86" i="2"/>
  <c r="O86" i="2"/>
  <c r="Q907" i="2"/>
  <c r="P907" i="2"/>
  <c r="O907" i="2"/>
  <c r="Q242" i="2"/>
  <c r="P242" i="2"/>
  <c r="O242" i="2"/>
  <c r="Q592" i="2"/>
  <c r="P592" i="2"/>
  <c r="O592" i="2"/>
  <c r="Q591" i="2"/>
  <c r="P591" i="2"/>
  <c r="O591" i="2"/>
  <c r="Q590" i="2"/>
  <c r="P590" i="2"/>
  <c r="O590" i="2"/>
  <c r="Q241" i="2"/>
  <c r="P241" i="2"/>
  <c r="O241" i="2"/>
  <c r="Q906" i="2"/>
  <c r="P906" i="2"/>
  <c r="O906" i="2"/>
  <c r="Q905" i="2"/>
  <c r="P905" i="2"/>
  <c r="O905" i="2"/>
  <c r="Q802" i="2"/>
  <c r="P802" i="2"/>
  <c r="O802" i="2"/>
  <c r="Q240" i="2"/>
  <c r="P240" i="2"/>
  <c r="O240" i="2"/>
  <c r="Q904" i="2"/>
  <c r="P904" i="2"/>
  <c r="O904" i="2"/>
  <c r="Q903" i="2"/>
  <c r="P903" i="2"/>
  <c r="O903" i="2"/>
  <c r="Q85" i="2"/>
  <c r="P85" i="2"/>
  <c r="O85" i="2"/>
  <c r="Q589" i="2"/>
  <c r="P589" i="2"/>
  <c r="O589" i="2"/>
  <c r="Q588" i="2"/>
  <c r="P588" i="2"/>
  <c r="O588" i="2"/>
  <c r="Q587" i="2"/>
  <c r="P587" i="2"/>
  <c r="O587" i="2"/>
  <c r="Q586" i="2"/>
  <c r="P586" i="2"/>
  <c r="O586" i="2"/>
  <c r="Q585" i="2"/>
  <c r="P585" i="2"/>
  <c r="O585" i="2"/>
  <c r="Q584" i="2"/>
  <c r="P584" i="2"/>
  <c r="O584" i="2"/>
  <c r="Q239" i="2"/>
  <c r="P239" i="2"/>
  <c r="O239" i="2"/>
  <c r="Q583" i="2"/>
  <c r="P583" i="2"/>
  <c r="O583" i="2"/>
  <c r="Q238" i="2"/>
  <c r="P238" i="2"/>
  <c r="O238" i="2"/>
  <c r="Q902" i="2"/>
  <c r="P902" i="2"/>
  <c r="O902" i="2"/>
  <c r="Q582" i="2"/>
  <c r="P582" i="2"/>
  <c r="O582" i="2"/>
  <c r="Q901" i="2"/>
  <c r="P901" i="2"/>
  <c r="O901" i="2"/>
  <c r="Q900" i="2"/>
  <c r="P900" i="2"/>
  <c r="O900" i="2"/>
  <c r="Q237" i="2"/>
  <c r="P237" i="2"/>
  <c r="O237" i="2"/>
  <c r="Q84" i="2"/>
  <c r="P84" i="2"/>
  <c r="O84" i="2"/>
  <c r="Q581" i="2"/>
  <c r="P581" i="2"/>
  <c r="O581" i="2"/>
  <c r="Q580" i="2"/>
  <c r="P580" i="2"/>
  <c r="O580" i="2"/>
  <c r="Q579" i="2"/>
  <c r="P579" i="2"/>
  <c r="O579" i="2"/>
  <c r="Q578" i="2"/>
  <c r="P578" i="2"/>
  <c r="O578" i="2"/>
  <c r="Q83" i="2"/>
  <c r="P83" i="2"/>
  <c r="O83" i="2"/>
  <c r="Q577" i="2"/>
  <c r="P577" i="2"/>
  <c r="O577" i="2"/>
  <c r="Q236" i="2"/>
  <c r="P236" i="2"/>
  <c r="O236" i="2"/>
  <c r="Q801" i="2"/>
  <c r="P801" i="2"/>
  <c r="O801" i="2"/>
  <c r="Q576" i="2"/>
  <c r="P576" i="2"/>
  <c r="O576" i="2"/>
  <c r="Q575" i="2"/>
  <c r="P575" i="2"/>
  <c r="O575" i="2"/>
  <c r="Q574" i="2"/>
  <c r="P574" i="2"/>
  <c r="O574" i="2"/>
  <c r="Q573" i="2"/>
  <c r="P573" i="2"/>
  <c r="O573" i="2"/>
  <c r="Q572" i="2"/>
  <c r="P572" i="2"/>
  <c r="O572" i="2"/>
  <c r="Q571" i="2"/>
  <c r="P571" i="2"/>
  <c r="O571" i="2"/>
  <c r="Q82" i="2"/>
  <c r="P82" i="2"/>
  <c r="O82" i="2"/>
  <c r="Q570" i="2"/>
  <c r="P570" i="2"/>
  <c r="O570" i="2"/>
  <c r="Q569" i="2"/>
  <c r="P569" i="2"/>
  <c r="O569" i="2"/>
  <c r="Q235" i="2"/>
  <c r="P235" i="2"/>
  <c r="O235" i="2"/>
  <c r="Q81" i="2"/>
  <c r="P81" i="2"/>
  <c r="O81" i="2"/>
  <c r="Q568" i="2"/>
  <c r="P568" i="2"/>
  <c r="O568" i="2"/>
  <c r="Q234" i="2"/>
  <c r="P234" i="2"/>
  <c r="O234" i="2"/>
  <c r="Q567" i="2"/>
  <c r="P567" i="2"/>
  <c r="O567" i="2"/>
  <c r="Q566" i="2"/>
  <c r="P566" i="2"/>
  <c r="O566" i="2"/>
  <c r="Q565" i="2"/>
  <c r="P565" i="2"/>
  <c r="O565" i="2"/>
  <c r="Q564" i="2"/>
  <c r="P564" i="2"/>
  <c r="O564" i="2"/>
  <c r="Q80" i="2"/>
  <c r="P80" i="2"/>
  <c r="O80" i="2"/>
  <c r="Q563" i="2"/>
  <c r="P563" i="2"/>
  <c r="O563" i="2"/>
  <c r="Q562" i="2"/>
  <c r="P562" i="2"/>
  <c r="O562" i="2"/>
  <c r="Q561" i="2"/>
  <c r="P561" i="2"/>
  <c r="O561" i="2"/>
  <c r="Q560" i="2"/>
  <c r="P560" i="2"/>
  <c r="O560" i="2"/>
  <c r="Q559" i="2"/>
  <c r="P559" i="2"/>
  <c r="O559" i="2"/>
  <c r="Q558" i="2"/>
  <c r="P558" i="2"/>
  <c r="O558" i="2"/>
  <c r="Q557" i="2"/>
  <c r="P557" i="2"/>
  <c r="O557" i="2"/>
  <c r="Q556" i="2"/>
  <c r="P556" i="2"/>
  <c r="O556" i="2"/>
  <c r="Q555" i="2"/>
  <c r="P555" i="2"/>
  <c r="O555" i="2"/>
  <c r="Q554" i="2"/>
  <c r="P554" i="2"/>
  <c r="O554" i="2"/>
  <c r="Q553" i="2"/>
  <c r="P553" i="2"/>
  <c r="O553" i="2"/>
  <c r="Q800" i="2"/>
  <c r="P800" i="2"/>
  <c r="O800" i="2"/>
  <c r="Q79" i="2"/>
  <c r="P79" i="2"/>
  <c r="O79" i="2"/>
  <c r="Q78" i="2"/>
  <c r="P78" i="2"/>
  <c r="O78" i="2"/>
  <c r="Q233" i="2"/>
  <c r="P233" i="2"/>
  <c r="O233" i="2"/>
  <c r="Q77" i="2"/>
  <c r="P77" i="2"/>
  <c r="O77" i="2"/>
  <c r="Q552" i="2"/>
  <c r="P552" i="2"/>
  <c r="O552" i="2"/>
  <c r="Q551" i="2"/>
  <c r="P551" i="2"/>
  <c r="O551" i="2"/>
  <c r="Q550" i="2"/>
  <c r="P550" i="2"/>
  <c r="O550" i="2"/>
  <c r="Q549" i="2"/>
  <c r="P549" i="2"/>
  <c r="O549" i="2"/>
  <c r="Q548" i="2"/>
  <c r="P548" i="2"/>
  <c r="O548" i="2"/>
  <c r="Q547" i="2"/>
  <c r="P547" i="2"/>
  <c r="O547" i="2"/>
  <c r="Q76" i="2"/>
  <c r="P76" i="2"/>
  <c r="O76" i="2"/>
  <c r="Q75" i="2"/>
  <c r="P75" i="2"/>
  <c r="O75" i="2"/>
  <c r="Q546" i="2"/>
  <c r="P546" i="2"/>
  <c r="O546" i="2"/>
  <c r="Q545" i="2"/>
  <c r="P545" i="2"/>
  <c r="O545" i="2"/>
  <c r="Q544" i="2"/>
  <c r="P544" i="2"/>
  <c r="O544" i="2"/>
  <c r="Q543" i="2"/>
  <c r="P543" i="2"/>
  <c r="O543" i="2"/>
  <c r="Q542" i="2"/>
  <c r="P542" i="2"/>
  <c r="O542" i="2"/>
  <c r="Q541" i="2"/>
  <c r="P541" i="2"/>
  <c r="O541" i="2"/>
  <c r="Q74" i="2"/>
  <c r="P74" i="2"/>
  <c r="O74" i="2"/>
  <c r="Q73" i="2"/>
  <c r="P73" i="2"/>
  <c r="O73" i="2"/>
  <c r="Q540" i="2"/>
  <c r="P540" i="2"/>
  <c r="O540" i="2"/>
  <c r="Q539" i="2"/>
  <c r="P539" i="2"/>
  <c r="O539" i="2"/>
  <c r="Q232" i="2"/>
  <c r="P232" i="2"/>
  <c r="O232" i="2"/>
  <c r="Q538" i="2"/>
  <c r="P538" i="2"/>
  <c r="O538" i="2"/>
  <c r="Q537" i="2"/>
  <c r="P537" i="2"/>
  <c r="O537" i="2"/>
  <c r="Q72" i="2"/>
  <c r="P72" i="2"/>
  <c r="O72" i="2"/>
  <c r="Q71" i="2"/>
  <c r="P71" i="2"/>
  <c r="O71" i="2"/>
  <c r="Q536" i="2"/>
  <c r="P536" i="2"/>
  <c r="O536" i="2"/>
  <c r="Q799" i="2"/>
  <c r="P799" i="2"/>
  <c r="O799" i="2"/>
  <c r="Q70" i="2"/>
  <c r="P70" i="2"/>
  <c r="O70" i="2"/>
  <c r="Q69" i="2"/>
  <c r="P69" i="2"/>
  <c r="O69" i="2"/>
  <c r="Q535" i="2"/>
  <c r="P535" i="2"/>
  <c r="O535" i="2"/>
  <c r="Q534" i="2"/>
  <c r="P534" i="2"/>
  <c r="O534" i="2"/>
  <c r="Q798" i="2"/>
  <c r="P798" i="2"/>
  <c r="O798" i="2"/>
  <c r="Q533" i="2"/>
  <c r="P533" i="2"/>
  <c r="O533" i="2"/>
  <c r="Q899" i="2"/>
  <c r="P899" i="2"/>
  <c r="O899" i="2"/>
  <c r="Q68" i="2"/>
  <c r="P68" i="2"/>
  <c r="O68" i="2"/>
  <c r="Q532" i="2"/>
  <c r="P532" i="2"/>
  <c r="O532" i="2"/>
  <c r="Q531" i="2"/>
  <c r="P531" i="2"/>
  <c r="O531" i="2"/>
  <c r="Q530" i="2"/>
  <c r="P530" i="2"/>
  <c r="O530" i="2"/>
  <c r="Q898" i="2"/>
  <c r="P898" i="2"/>
  <c r="O898" i="2"/>
  <c r="Q529" i="2"/>
  <c r="P529" i="2"/>
  <c r="O529" i="2"/>
  <c r="Q528" i="2"/>
  <c r="P528" i="2"/>
  <c r="O528" i="2"/>
  <c r="Q527" i="2"/>
  <c r="P527" i="2"/>
  <c r="O527" i="2"/>
  <c r="Q526" i="2"/>
  <c r="P526" i="2"/>
  <c r="O526" i="2"/>
  <c r="Q525" i="2"/>
  <c r="P525" i="2"/>
  <c r="O525" i="2"/>
  <c r="Q524" i="2"/>
  <c r="P524" i="2"/>
  <c r="O524" i="2"/>
  <c r="Q523" i="2"/>
  <c r="P523" i="2"/>
  <c r="O523" i="2"/>
  <c r="Q522" i="2"/>
  <c r="P522" i="2"/>
  <c r="O522" i="2"/>
  <c r="Q521" i="2"/>
  <c r="P521" i="2"/>
  <c r="O521" i="2"/>
  <c r="Q797" i="2"/>
  <c r="P797" i="2"/>
  <c r="O797" i="2"/>
  <c r="Q520" i="2"/>
  <c r="P520" i="2"/>
  <c r="O520" i="2"/>
  <c r="Q897" i="2"/>
  <c r="P897" i="2"/>
  <c r="O897" i="2"/>
  <c r="Q67" i="2"/>
  <c r="P67" i="2"/>
  <c r="O67" i="2"/>
  <c r="Q896" i="2"/>
  <c r="P896" i="2"/>
  <c r="O896" i="2"/>
  <c r="Q519" i="2"/>
  <c r="P519" i="2"/>
  <c r="O519" i="2"/>
  <c r="Q518" i="2"/>
  <c r="P518" i="2"/>
  <c r="O518" i="2"/>
  <c r="Q517" i="2"/>
  <c r="P517" i="2"/>
  <c r="O517" i="2"/>
  <c r="Q516" i="2"/>
  <c r="P516" i="2"/>
  <c r="O516" i="2"/>
  <c r="Q515" i="2"/>
  <c r="P515" i="2"/>
  <c r="O515" i="2"/>
  <c r="Q895" i="2"/>
  <c r="P895" i="2"/>
  <c r="O895" i="2"/>
  <c r="Q894" i="2"/>
  <c r="P894" i="2"/>
  <c r="O894" i="2"/>
  <c r="Q66" i="2"/>
  <c r="P66" i="2"/>
  <c r="O66" i="2"/>
  <c r="Q514" i="2"/>
  <c r="P514" i="2"/>
  <c r="O514" i="2"/>
  <c r="Q513" i="2"/>
  <c r="P513" i="2"/>
  <c r="O513" i="2"/>
  <c r="Q512" i="2"/>
  <c r="P512" i="2"/>
  <c r="O512" i="2"/>
  <c r="Q796" i="2"/>
  <c r="P796" i="2"/>
  <c r="O796" i="2"/>
  <c r="Q893" i="2"/>
  <c r="P893" i="2"/>
  <c r="O893" i="2"/>
  <c r="Q892" i="2"/>
  <c r="P892" i="2"/>
  <c r="O892" i="2"/>
  <c r="Q891" i="2"/>
  <c r="P891" i="2"/>
  <c r="O891" i="2"/>
  <c r="Q65" i="2"/>
  <c r="P65" i="2"/>
  <c r="O65" i="2"/>
  <c r="Q511" i="2"/>
  <c r="P511" i="2"/>
  <c r="O511" i="2"/>
  <c r="Q510" i="2"/>
  <c r="P510" i="2"/>
  <c r="O510" i="2"/>
  <c r="Q509" i="2"/>
  <c r="P509" i="2"/>
  <c r="O509" i="2"/>
  <c r="Q508" i="2"/>
  <c r="P508" i="2"/>
  <c r="O508" i="2"/>
  <c r="Q507" i="2"/>
  <c r="P507" i="2"/>
  <c r="O507" i="2"/>
  <c r="Q506" i="2"/>
  <c r="P506" i="2"/>
  <c r="O506" i="2"/>
  <c r="Q505" i="2"/>
  <c r="P505" i="2"/>
  <c r="O505" i="2"/>
  <c r="Q504" i="2"/>
  <c r="P504" i="2"/>
  <c r="O504" i="2"/>
  <c r="Q890" i="2"/>
  <c r="P890" i="2"/>
  <c r="O890" i="2"/>
  <c r="Q64" i="2"/>
  <c r="P64" i="2"/>
  <c r="O64" i="2"/>
  <c r="Q503" i="2"/>
  <c r="P503" i="2"/>
  <c r="O503" i="2"/>
  <c r="Q795" i="2"/>
  <c r="P795" i="2"/>
  <c r="O795" i="2"/>
  <c r="Q794" i="2"/>
  <c r="P794" i="2"/>
  <c r="O794" i="2"/>
  <c r="Q793" i="2"/>
  <c r="P793" i="2"/>
  <c r="O793" i="2"/>
  <c r="Q889" i="2"/>
  <c r="P889" i="2"/>
  <c r="O889" i="2"/>
  <c r="Q502" i="2"/>
  <c r="P502" i="2"/>
  <c r="O502" i="2"/>
  <c r="Q501" i="2"/>
  <c r="P501" i="2"/>
  <c r="O501" i="2"/>
  <c r="Q231" i="2"/>
  <c r="P231" i="2"/>
  <c r="O231" i="2"/>
  <c r="Q230" i="2"/>
  <c r="P230" i="2"/>
  <c r="O230" i="2"/>
  <c r="Q229" i="2"/>
  <c r="P229" i="2"/>
  <c r="O229" i="2"/>
  <c r="Q888" i="2"/>
  <c r="P888" i="2"/>
  <c r="O888" i="2"/>
  <c r="Q887" i="2"/>
  <c r="P887" i="2"/>
  <c r="O887" i="2"/>
  <c r="Q886" i="2"/>
  <c r="P886" i="2"/>
  <c r="O886" i="2"/>
  <c r="Q63" i="2"/>
  <c r="P63" i="2"/>
  <c r="O63" i="2"/>
  <c r="Q500" i="2"/>
  <c r="P500" i="2"/>
  <c r="O500" i="2"/>
  <c r="Q499" i="2"/>
  <c r="P499" i="2"/>
  <c r="O499" i="2"/>
  <c r="Q498" i="2"/>
  <c r="P498" i="2"/>
  <c r="O498" i="2"/>
  <c r="Q497" i="2"/>
  <c r="P497" i="2"/>
  <c r="O497" i="2"/>
  <c r="Q885" i="2"/>
  <c r="P885" i="2"/>
  <c r="O885" i="2"/>
  <c r="Q496" i="2"/>
  <c r="P496" i="2"/>
  <c r="O496" i="2"/>
  <c r="Q792" i="2"/>
  <c r="P792" i="2"/>
  <c r="O792" i="2"/>
  <c r="Q495" i="2"/>
  <c r="P495" i="2"/>
  <c r="O495" i="2"/>
  <c r="Q791" i="2"/>
  <c r="P791" i="2"/>
  <c r="O791" i="2"/>
  <c r="Q62" i="2"/>
  <c r="P62" i="2"/>
  <c r="O62" i="2"/>
  <c r="Q61" i="2"/>
  <c r="P61" i="2"/>
  <c r="O61" i="2"/>
  <c r="Q884" i="2"/>
  <c r="P884" i="2"/>
  <c r="O884" i="2"/>
  <c r="Q883" i="2"/>
  <c r="P883" i="2"/>
  <c r="O883" i="2"/>
  <c r="Q494" i="2"/>
  <c r="P494" i="2"/>
  <c r="O494" i="2"/>
  <c r="Q790" i="2"/>
  <c r="P790" i="2"/>
  <c r="O790" i="2"/>
  <c r="Q789" i="2"/>
  <c r="P789" i="2"/>
  <c r="O789" i="2"/>
  <c r="Q788" i="2"/>
  <c r="P788" i="2"/>
  <c r="O788" i="2"/>
  <c r="Q493" i="2"/>
  <c r="P493" i="2"/>
  <c r="O493" i="2"/>
  <c r="Q492" i="2"/>
  <c r="P492" i="2"/>
  <c r="O492" i="2"/>
  <c r="Q491" i="2"/>
  <c r="P491" i="2"/>
  <c r="O491" i="2"/>
  <c r="Q490" i="2"/>
  <c r="P490" i="2"/>
  <c r="O490" i="2"/>
  <c r="Q489" i="2"/>
  <c r="P489" i="2"/>
  <c r="O489" i="2"/>
  <c r="Q488" i="2"/>
  <c r="P488" i="2"/>
  <c r="O488" i="2"/>
  <c r="Q487" i="2"/>
  <c r="P487" i="2"/>
  <c r="O487" i="2"/>
  <c r="Q60" i="2"/>
  <c r="P60" i="2"/>
  <c r="O60" i="2"/>
  <c r="Q486" i="2"/>
  <c r="P486" i="2"/>
  <c r="O486" i="2"/>
  <c r="Q485" i="2"/>
  <c r="P485" i="2"/>
  <c r="O485" i="2"/>
  <c r="Q484" i="2"/>
  <c r="P484" i="2"/>
  <c r="O484" i="2"/>
  <c r="Q787" i="2"/>
  <c r="P787" i="2"/>
  <c r="O787" i="2"/>
  <c r="Q59" i="2"/>
  <c r="P59" i="2"/>
  <c r="O59" i="2"/>
  <c r="Q786" i="2"/>
  <c r="P786" i="2"/>
  <c r="O786" i="2"/>
  <c r="Q483" i="2"/>
  <c r="P483" i="2"/>
  <c r="O483" i="2"/>
  <c r="Q482" i="2"/>
  <c r="P482" i="2"/>
  <c r="O482" i="2"/>
  <c r="Q481" i="2"/>
  <c r="P481" i="2"/>
  <c r="O481" i="2"/>
  <c r="Q480" i="2"/>
  <c r="P480" i="2"/>
  <c r="O480" i="2"/>
  <c r="Q479" i="2"/>
  <c r="P479" i="2"/>
  <c r="O479" i="2"/>
  <c r="Q478" i="2"/>
  <c r="P478" i="2"/>
  <c r="O478" i="2"/>
  <c r="Q477" i="2"/>
  <c r="P477" i="2"/>
  <c r="O477" i="2"/>
  <c r="Q882" i="2"/>
  <c r="P882" i="2"/>
  <c r="O882" i="2"/>
  <c r="Q476" i="2"/>
  <c r="P476" i="2"/>
  <c r="O476" i="2"/>
  <c r="Q228" i="2"/>
  <c r="P228" i="2"/>
  <c r="O228" i="2"/>
  <c r="Q785" i="2"/>
  <c r="P785" i="2"/>
  <c r="O785" i="2"/>
  <c r="Q58" i="2"/>
  <c r="P58" i="2"/>
  <c r="O58" i="2"/>
  <c r="Q881" i="2"/>
  <c r="P881" i="2"/>
  <c r="O881" i="2"/>
  <c r="Q880" i="2"/>
  <c r="P880" i="2"/>
  <c r="O880" i="2"/>
  <c r="Q475" i="2"/>
  <c r="P475" i="2"/>
  <c r="O475" i="2"/>
  <c r="Q227" i="2"/>
  <c r="P227" i="2"/>
  <c r="O227" i="2"/>
  <c r="Q226" i="2"/>
  <c r="P226" i="2"/>
  <c r="O226" i="2"/>
  <c r="Q225" i="2"/>
  <c r="P225" i="2"/>
  <c r="O225" i="2"/>
  <c r="Q224" i="2"/>
  <c r="P224" i="2"/>
  <c r="O224" i="2"/>
  <c r="Q879" i="2"/>
  <c r="P879" i="2"/>
  <c r="O879" i="2"/>
  <c r="Q474" i="2"/>
  <c r="P474" i="2"/>
  <c r="O474" i="2"/>
  <c r="Q473" i="2"/>
  <c r="P473" i="2"/>
  <c r="O473" i="2"/>
  <c r="Q472" i="2"/>
  <c r="P472" i="2"/>
  <c r="O472" i="2"/>
  <c r="Q471" i="2"/>
  <c r="P471" i="2"/>
  <c r="O471" i="2"/>
  <c r="Q470" i="2"/>
  <c r="P470" i="2"/>
  <c r="O470" i="2"/>
  <c r="Q469" i="2"/>
  <c r="P469" i="2"/>
  <c r="O469" i="2"/>
  <c r="Q468" i="2"/>
  <c r="P468" i="2"/>
  <c r="O468" i="2"/>
  <c r="Q784" i="2"/>
  <c r="P784" i="2"/>
  <c r="O784" i="2"/>
  <c r="Q878" i="2"/>
  <c r="P878" i="2"/>
  <c r="O878" i="2"/>
  <c r="Q57" i="2"/>
  <c r="P57" i="2"/>
  <c r="O57" i="2"/>
  <c r="Q223" i="2"/>
  <c r="P223" i="2"/>
  <c r="O223" i="2"/>
  <c r="Q467" i="2"/>
  <c r="P467" i="2"/>
  <c r="O467" i="2"/>
  <c r="Q222" i="2"/>
  <c r="P222" i="2"/>
  <c r="O222" i="2"/>
  <c r="Q56" i="2"/>
  <c r="P56" i="2"/>
  <c r="O56" i="2"/>
  <c r="Q466" i="2"/>
  <c r="P466" i="2"/>
  <c r="O466" i="2"/>
  <c r="Q55" i="2"/>
  <c r="P55" i="2"/>
  <c r="O55" i="2"/>
  <c r="Q465" i="2"/>
  <c r="P465" i="2"/>
  <c r="O465" i="2"/>
  <c r="Q221" i="2"/>
  <c r="P221" i="2"/>
  <c r="O221" i="2"/>
  <c r="Q220" i="2"/>
  <c r="P220" i="2"/>
  <c r="O220" i="2"/>
  <c r="Q54" i="2"/>
  <c r="P54" i="2"/>
  <c r="O54" i="2"/>
  <c r="Q464" i="2"/>
  <c r="P464" i="2"/>
  <c r="O464" i="2"/>
  <c r="Q463" i="2"/>
  <c r="P463" i="2"/>
  <c r="O463" i="2"/>
  <c r="Q462" i="2"/>
  <c r="P462" i="2"/>
  <c r="O462" i="2"/>
  <c r="Q53" i="2"/>
  <c r="P53" i="2"/>
  <c r="O53" i="2"/>
  <c r="Q219" i="2"/>
  <c r="P219" i="2"/>
  <c r="O219" i="2"/>
  <c r="Q218" i="2"/>
  <c r="P218" i="2"/>
  <c r="O218" i="2"/>
  <c r="Q461" i="2"/>
  <c r="P461" i="2"/>
  <c r="O461" i="2"/>
  <c r="Q783" i="2"/>
  <c r="P783" i="2"/>
  <c r="O783" i="2"/>
  <c r="Q877" i="2"/>
  <c r="P877" i="2"/>
  <c r="O877" i="2"/>
  <c r="Q52" i="2"/>
  <c r="P52" i="2"/>
  <c r="O52" i="2"/>
  <c r="Q460" i="2"/>
  <c r="P460" i="2"/>
  <c r="O460" i="2"/>
  <c r="Q782" i="2"/>
  <c r="P782" i="2"/>
  <c r="O782" i="2"/>
  <c r="Q781" i="2"/>
  <c r="P781" i="2"/>
  <c r="O781" i="2"/>
  <c r="Q780" i="2"/>
  <c r="P780" i="2"/>
  <c r="O780" i="2"/>
  <c r="Q779" i="2"/>
  <c r="P779" i="2"/>
  <c r="O779" i="2"/>
  <c r="Q778" i="2"/>
  <c r="P778" i="2"/>
  <c r="O778" i="2"/>
  <c r="Q876" i="2"/>
  <c r="P876" i="2"/>
  <c r="O876" i="2"/>
  <c r="Q51" i="2"/>
  <c r="P51" i="2"/>
  <c r="O51" i="2"/>
  <c r="Q50" i="2"/>
  <c r="P50" i="2"/>
  <c r="O50" i="2"/>
  <c r="Q459" i="2"/>
  <c r="P459" i="2"/>
  <c r="O459" i="2"/>
  <c r="Q458" i="2"/>
  <c r="P458" i="2"/>
  <c r="O458" i="2"/>
  <c r="Q49" i="2"/>
  <c r="P49" i="2"/>
  <c r="O49" i="2"/>
  <c r="Q48" i="2"/>
  <c r="P48" i="2"/>
  <c r="O48" i="2"/>
  <c r="Q457" i="2"/>
  <c r="P457" i="2"/>
  <c r="O457" i="2"/>
  <c r="Q456" i="2"/>
  <c r="P456" i="2"/>
  <c r="O456" i="2"/>
  <c r="Q875" i="2"/>
  <c r="P875" i="2"/>
  <c r="O875" i="2"/>
  <c r="Q47" i="2"/>
  <c r="P47" i="2"/>
  <c r="O47" i="2"/>
  <c r="Q777" i="2"/>
  <c r="P777" i="2"/>
  <c r="O777" i="2"/>
  <c r="Q46" i="2"/>
  <c r="P46" i="2"/>
  <c r="O46" i="2"/>
  <c r="Q45" i="2"/>
  <c r="P45" i="2"/>
  <c r="O45" i="2"/>
  <c r="Q217" i="2"/>
  <c r="P217" i="2"/>
  <c r="O217" i="2"/>
  <c r="Q455" i="2"/>
  <c r="P455" i="2"/>
  <c r="O455" i="2"/>
  <c r="Q454" i="2"/>
  <c r="P454" i="2"/>
  <c r="O454" i="2"/>
  <c r="Q453" i="2"/>
  <c r="P453" i="2"/>
  <c r="O453" i="2"/>
  <c r="Q874" i="2"/>
  <c r="P874" i="2"/>
  <c r="O874" i="2"/>
  <c r="Q737" i="2"/>
  <c r="P737" i="2"/>
  <c r="O737" i="2"/>
  <c r="Q452" i="2"/>
  <c r="P452" i="2"/>
  <c r="O452" i="2"/>
  <c r="Q451" i="2"/>
  <c r="P451" i="2"/>
  <c r="O451" i="2"/>
  <c r="Q450" i="2"/>
  <c r="P450" i="2"/>
  <c r="O450" i="2"/>
  <c r="Q736" i="2"/>
  <c r="P736" i="2"/>
  <c r="O736" i="2"/>
  <c r="Q776" i="2"/>
  <c r="P776" i="2"/>
  <c r="O776" i="2"/>
  <c r="Q449" i="2"/>
  <c r="P449" i="2"/>
  <c r="O449" i="2"/>
  <c r="Q44" i="2"/>
  <c r="P44" i="2"/>
  <c r="O44" i="2"/>
  <c r="Q43" i="2"/>
  <c r="P43" i="2"/>
  <c r="O43" i="2"/>
  <c r="Q735" i="2"/>
  <c r="P735" i="2"/>
  <c r="O735" i="2"/>
  <c r="Q734" i="2"/>
  <c r="P734" i="2"/>
  <c r="O734" i="2"/>
  <c r="Q733" i="2"/>
  <c r="P733" i="2"/>
  <c r="O733" i="2"/>
  <c r="Q732" i="2"/>
  <c r="P732" i="2"/>
  <c r="O732" i="2"/>
  <c r="Q731" i="2"/>
  <c r="P731" i="2"/>
  <c r="O731" i="2"/>
  <c r="Q730" i="2"/>
  <c r="P730" i="2"/>
  <c r="O730" i="2"/>
  <c r="Q775" i="2"/>
  <c r="P775" i="2"/>
  <c r="O775" i="2"/>
  <c r="Q774" i="2"/>
  <c r="P774" i="2"/>
  <c r="O774" i="2"/>
  <c r="Q773" i="2"/>
  <c r="P773" i="2"/>
  <c r="O773" i="2"/>
  <c r="Q772" i="2"/>
  <c r="P772" i="2"/>
  <c r="O772" i="2"/>
  <c r="Q771" i="2"/>
  <c r="P771" i="2"/>
  <c r="O771" i="2"/>
  <c r="Q216" i="2"/>
  <c r="P216" i="2"/>
  <c r="O216" i="2"/>
  <c r="Q448" i="2"/>
  <c r="P448" i="2"/>
  <c r="O448" i="2"/>
  <c r="Q447" i="2"/>
  <c r="P447" i="2"/>
  <c r="O447" i="2"/>
  <c r="Q770" i="2"/>
  <c r="P770" i="2"/>
  <c r="O770" i="2"/>
  <c r="Q729" i="2"/>
  <c r="P729" i="2"/>
  <c r="O729" i="2"/>
  <c r="Q769" i="2"/>
  <c r="P769" i="2"/>
  <c r="O769" i="2"/>
  <c r="Q873" i="2"/>
  <c r="P873" i="2"/>
  <c r="O873" i="2"/>
  <c r="Q728" i="2"/>
  <c r="P728" i="2"/>
  <c r="O728" i="2"/>
  <c r="Q42" i="2"/>
  <c r="P42" i="2"/>
  <c r="O42" i="2"/>
  <c r="Q727" i="2"/>
  <c r="P727" i="2"/>
  <c r="O727" i="2"/>
  <c r="Q726" i="2"/>
  <c r="P726" i="2"/>
  <c r="O726" i="2"/>
  <c r="Q725" i="2"/>
  <c r="P725" i="2"/>
  <c r="O725" i="2"/>
  <c r="Q215" i="2"/>
  <c r="P215" i="2"/>
  <c r="O215" i="2"/>
  <c r="Q41" i="2"/>
  <c r="P41" i="2"/>
  <c r="O41" i="2"/>
  <c r="Q724" i="2"/>
  <c r="P724" i="2"/>
  <c r="O724" i="2"/>
  <c r="Q446" i="2"/>
  <c r="P446" i="2"/>
  <c r="O446" i="2"/>
  <c r="Q445" i="2"/>
  <c r="P445" i="2"/>
  <c r="O445" i="2"/>
  <c r="Q444" i="2"/>
  <c r="P444" i="2"/>
  <c r="O444" i="2"/>
  <c r="Q723" i="2"/>
  <c r="P723" i="2"/>
  <c r="O723" i="2"/>
  <c r="Q768" i="2"/>
  <c r="P768" i="2"/>
  <c r="O768" i="2"/>
  <c r="Q40" i="2"/>
  <c r="P40" i="2"/>
  <c r="O40" i="2"/>
  <c r="Q443" i="2"/>
  <c r="P443" i="2"/>
  <c r="O443" i="2"/>
  <c r="Q722" i="2"/>
  <c r="P722" i="2"/>
  <c r="O722" i="2"/>
  <c r="Q214" i="2"/>
  <c r="P214" i="2"/>
  <c r="O214" i="2"/>
  <c r="Q442" i="2"/>
  <c r="P442" i="2"/>
  <c r="O442" i="2"/>
  <c r="Q441" i="2"/>
  <c r="P441" i="2"/>
  <c r="O441" i="2"/>
  <c r="Q872" i="2"/>
  <c r="P872" i="2"/>
  <c r="O872" i="2"/>
  <c r="Q721" i="2"/>
  <c r="P721" i="2"/>
  <c r="O721" i="2"/>
  <c r="Q440" i="2"/>
  <c r="P440" i="2"/>
  <c r="O440" i="2"/>
  <c r="Q720" i="2"/>
  <c r="P720" i="2"/>
  <c r="O720" i="2"/>
  <c r="Q719" i="2"/>
  <c r="P719" i="2"/>
  <c r="O719" i="2"/>
  <c r="Q718" i="2"/>
  <c r="P718" i="2"/>
  <c r="O718" i="2"/>
  <c r="Q39" i="2"/>
  <c r="P39" i="2"/>
  <c r="O39" i="2"/>
  <c r="Q717" i="2"/>
  <c r="P717" i="2"/>
  <c r="O717" i="2"/>
  <c r="Q767" i="2"/>
  <c r="P767" i="2"/>
  <c r="O767" i="2"/>
  <c r="Q766" i="2"/>
  <c r="P766" i="2"/>
  <c r="O766" i="2"/>
  <c r="Q765" i="2"/>
  <c r="P765" i="2"/>
  <c r="O765" i="2"/>
  <c r="Q716" i="2"/>
  <c r="P716" i="2"/>
  <c r="O716" i="2"/>
  <c r="Q715" i="2"/>
  <c r="P715" i="2"/>
  <c r="O715" i="2"/>
  <c r="Q714" i="2"/>
  <c r="P714" i="2"/>
  <c r="O714" i="2"/>
  <c r="Q871" i="2"/>
  <c r="P871" i="2"/>
  <c r="O871" i="2"/>
  <c r="Q38" i="2"/>
  <c r="P38" i="2"/>
  <c r="O38" i="2"/>
  <c r="Q37" i="2"/>
  <c r="P37" i="2"/>
  <c r="O37" i="2"/>
  <c r="Q439" i="2"/>
  <c r="P439" i="2"/>
  <c r="O439" i="2"/>
  <c r="Q438" i="2"/>
  <c r="P438" i="2"/>
  <c r="O438" i="2"/>
  <c r="Q36" i="2"/>
  <c r="P36" i="2"/>
  <c r="O36" i="2"/>
  <c r="Q713" i="2"/>
  <c r="P713" i="2"/>
  <c r="O713" i="2"/>
  <c r="Q712" i="2"/>
  <c r="P712" i="2"/>
  <c r="O712" i="2"/>
  <c r="Q711" i="2"/>
  <c r="P711" i="2"/>
  <c r="O711" i="2"/>
  <c r="Q710" i="2"/>
  <c r="P710" i="2"/>
  <c r="O710" i="2"/>
  <c r="Q709" i="2"/>
  <c r="P709" i="2"/>
  <c r="O709" i="2"/>
  <c r="Q764" i="2"/>
  <c r="P764" i="2"/>
  <c r="O764" i="2"/>
  <c r="Q437" i="2"/>
  <c r="P437" i="2"/>
  <c r="O437" i="2"/>
  <c r="Q436" i="2"/>
  <c r="P436" i="2"/>
  <c r="O436" i="2"/>
  <c r="Q435" i="2"/>
  <c r="P435" i="2"/>
  <c r="O435" i="2"/>
  <c r="Q708" i="2"/>
  <c r="P708" i="2"/>
  <c r="O708" i="2"/>
  <c r="Q763" i="2"/>
  <c r="P763" i="2"/>
  <c r="O763" i="2"/>
  <c r="Q35" i="2"/>
  <c r="P35" i="2"/>
  <c r="O35" i="2"/>
  <c r="Q707" i="2"/>
  <c r="P707" i="2"/>
  <c r="O707" i="2"/>
  <c r="Q706" i="2"/>
  <c r="P706" i="2"/>
  <c r="O706" i="2"/>
  <c r="Q213" i="2"/>
  <c r="P213" i="2"/>
  <c r="O213" i="2"/>
  <c r="Q705" i="2"/>
  <c r="P705" i="2"/>
  <c r="O705" i="2"/>
  <c r="Q704" i="2"/>
  <c r="P704" i="2"/>
  <c r="O704" i="2"/>
  <c r="Q703" i="2"/>
  <c r="P703" i="2"/>
  <c r="O703" i="2"/>
  <c r="Q702" i="2"/>
  <c r="P702" i="2"/>
  <c r="O702" i="2"/>
  <c r="Q701" i="2"/>
  <c r="P701" i="2"/>
  <c r="O701" i="2"/>
  <c r="Q700" i="2"/>
  <c r="P700" i="2"/>
  <c r="O700" i="2"/>
  <c r="Q212" i="2"/>
  <c r="P212" i="2"/>
  <c r="O212" i="2"/>
  <c r="Q870" i="2"/>
  <c r="P870" i="2"/>
  <c r="O870" i="2"/>
  <c r="Q34" i="2"/>
  <c r="P34" i="2"/>
  <c r="O34" i="2"/>
  <c r="Q699" i="2"/>
  <c r="P699" i="2"/>
  <c r="O699" i="2"/>
  <c r="Q211" i="2"/>
  <c r="P211" i="2"/>
  <c r="O211" i="2"/>
  <c r="Q210" i="2"/>
  <c r="P210" i="2"/>
  <c r="O210" i="2"/>
  <c r="Q434" i="2"/>
  <c r="P434" i="2"/>
  <c r="O434" i="2"/>
  <c r="Q869" i="2"/>
  <c r="P869" i="2"/>
  <c r="O869" i="2"/>
  <c r="Q433" i="2"/>
  <c r="P433" i="2"/>
  <c r="O433" i="2"/>
  <c r="Q33" i="2"/>
  <c r="P33" i="2"/>
  <c r="O33" i="2"/>
  <c r="Q698" i="2"/>
  <c r="P698" i="2"/>
  <c r="O698" i="2"/>
  <c r="Q697" i="2"/>
  <c r="P697" i="2"/>
  <c r="O697" i="2"/>
  <c r="Q696" i="2"/>
  <c r="P696" i="2"/>
  <c r="O696" i="2"/>
  <c r="Q695" i="2"/>
  <c r="P695" i="2"/>
  <c r="O695" i="2"/>
  <c r="Q694" i="2"/>
  <c r="P694" i="2"/>
  <c r="O694" i="2"/>
  <c r="Q693" i="2"/>
  <c r="P693" i="2"/>
  <c r="O693" i="2"/>
  <c r="Q209" i="2"/>
  <c r="P209" i="2"/>
  <c r="O209" i="2"/>
  <c r="Q208" i="2"/>
  <c r="P208" i="2"/>
  <c r="O208" i="2"/>
  <c r="Q207" i="2"/>
  <c r="P207" i="2"/>
  <c r="O207" i="2"/>
  <c r="Q432" i="2"/>
  <c r="P432" i="2"/>
  <c r="O432" i="2"/>
  <c r="Q692" i="2"/>
  <c r="P692" i="2"/>
  <c r="O692" i="2"/>
  <c r="Q691" i="2"/>
  <c r="P691" i="2"/>
  <c r="O691" i="2"/>
  <c r="Q206" i="2"/>
  <c r="P206" i="2"/>
  <c r="O206" i="2"/>
  <c r="Q690" i="2"/>
  <c r="P690" i="2"/>
  <c r="O690" i="2"/>
  <c r="Q689" i="2"/>
  <c r="P689" i="2"/>
  <c r="O689" i="2"/>
  <c r="Q205" i="2"/>
  <c r="P205" i="2"/>
  <c r="O205" i="2"/>
  <c r="Q32" i="2"/>
  <c r="P32" i="2"/>
  <c r="O32" i="2"/>
  <c r="Q688" i="2"/>
  <c r="P688" i="2"/>
  <c r="O688" i="2"/>
  <c r="Q762" i="2"/>
  <c r="P762" i="2"/>
  <c r="O762" i="2"/>
  <c r="Q761" i="2"/>
  <c r="P761" i="2"/>
  <c r="O761" i="2"/>
  <c r="Q760" i="2"/>
  <c r="P760" i="2"/>
  <c r="O760" i="2"/>
  <c r="Q204" i="2"/>
  <c r="P204" i="2"/>
  <c r="O204" i="2"/>
  <c r="Q203" i="2"/>
  <c r="P203" i="2"/>
  <c r="O203" i="2"/>
  <c r="Q431" i="2"/>
  <c r="P431" i="2"/>
  <c r="O431" i="2"/>
  <c r="Q687" i="2"/>
  <c r="P687" i="2"/>
  <c r="O687" i="2"/>
  <c r="Q31" i="2"/>
  <c r="P31" i="2"/>
  <c r="O31" i="2"/>
  <c r="Q686" i="2"/>
  <c r="P686" i="2"/>
  <c r="O686" i="2"/>
  <c r="Q30" i="2"/>
  <c r="P30" i="2"/>
  <c r="O30" i="2"/>
  <c r="Q29" i="2"/>
  <c r="P29" i="2"/>
  <c r="O29" i="2"/>
  <c r="Q685" i="2"/>
  <c r="P685" i="2"/>
  <c r="O685" i="2"/>
  <c r="Q684" i="2"/>
  <c r="P684" i="2"/>
  <c r="O684" i="2"/>
  <c r="Q683" i="2"/>
  <c r="P683" i="2"/>
  <c r="O683" i="2"/>
  <c r="Q682" i="2"/>
  <c r="P682" i="2"/>
  <c r="O682" i="2"/>
  <c r="Q28" i="2"/>
  <c r="P28" i="2"/>
  <c r="O28" i="2"/>
  <c r="Q430" i="2"/>
  <c r="P430" i="2"/>
  <c r="O430" i="2"/>
  <c r="Q429" i="2"/>
  <c r="P429" i="2"/>
  <c r="O429" i="2"/>
  <c r="Q681" i="2"/>
  <c r="P681" i="2"/>
  <c r="O681" i="2"/>
  <c r="Q27" i="2"/>
  <c r="P27" i="2"/>
  <c r="O27" i="2"/>
  <c r="Q428" i="2"/>
  <c r="P428" i="2"/>
  <c r="O428" i="2"/>
  <c r="Q26" i="2"/>
  <c r="P26" i="2"/>
  <c r="O26" i="2"/>
  <c r="Q25" i="2"/>
  <c r="P25" i="2"/>
  <c r="O25" i="2"/>
  <c r="Q680" i="2"/>
  <c r="P680" i="2"/>
  <c r="O680" i="2"/>
  <c r="Q679" i="2"/>
  <c r="P679" i="2"/>
  <c r="O679" i="2"/>
  <c r="Q678" i="2"/>
  <c r="P678" i="2"/>
  <c r="O678" i="2"/>
  <c r="Q202" i="2"/>
  <c r="P202" i="2"/>
  <c r="O202" i="2"/>
  <c r="Q201" i="2"/>
  <c r="P201" i="2"/>
  <c r="O201" i="2"/>
  <c r="Q868" i="2"/>
  <c r="P868" i="2"/>
  <c r="O868" i="2"/>
  <c r="Q427" i="2"/>
  <c r="P427" i="2"/>
  <c r="O427" i="2"/>
  <c r="Q426" i="2"/>
  <c r="P426" i="2"/>
  <c r="O426" i="2"/>
  <c r="Q677" i="2"/>
  <c r="P677" i="2"/>
  <c r="O677" i="2"/>
  <c r="Q759" i="2"/>
  <c r="P759" i="2"/>
  <c r="O759" i="2"/>
  <c r="Q758" i="2"/>
  <c r="P758" i="2"/>
  <c r="O758" i="2"/>
  <c r="Q200" i="2"/>
  <c r="P200" i="2"/>
  <c r="O200" i="2"/>
  <c r="Q867" i="2"/>
  <c r="P867" i="2"/>
  <c r="O867" i="2"/>
  <c r="Q24" i="2"/>
  <c r="P24" i="2"/>
  <c r="O24" i="2"/>
  <c r="Q425" i="2"/>
  <c r="P425" i="2"/>
  <c r="O425" i="2"/>
  <c r="Q866" i="2"/>
  <c r="P866" i="2"/>
  <c r="O866" i="2"/>
  <c r="Q865" i="2"/>
  <c r="P865" i="2"/>
  <c r="O865" i="2"/>
  <c r="Q199" i="2"/>
  <c r="P199" i="2"/>
  <c r="O199" i="2"/>
  <c r="Q424" i="2"/>
  <c r="P424" i="2"/>
  <c r="O424" i="2"/>
  <c r="Q676" i="2"/>
  <c r="P676" i="2"/>
  <c r="O676" i="2"/>
  <c r="Q675" i="2"/>
  <c r="P675" i="2"/>
  <c r="O675" i="2"/>
  <c r="Q757" i="2"/>
  <c r="P757" i="2"/>
  <c r="O757" i="2"/>
  <c r="Q756" i="2"/>
  <c r="P756" i="2"/>
  <c r="O756" i="2"/>
  <c r="Q864" i="2"/>
  <c r="P864" i="2"/>
  <c r="O864" i="2"/>
  <c r="Q674" i="2"/>
  <c r="P674" i="2"/>
  <c r="O674" i="2"/>
  <c r="Q673" i="2"/>
  <c r="P673" i="2"/>
  <c r="O673" i="2"/>
  <c r="Q198" i="2"/>
  <c r="P198" i="2"/>
  <c r="O198" i="2"/>
  <c r="Q423" i="2"/>
  <c r="P423" i="2"/>
  <c r="O423" i="2"/>
  <c r="Q422" i="2"/>
  <c r="P422" i="2"/>
  <c r="O422" i="2"/>
  <c r="Q672" i="2"/>
  <c r="P672" i="2"/>
  <c r="O672" i="2"/>
  <c r="Q197" i="2"/>
  <c r="P197" i="2"/>
  <c r="O197" i="2"/>
  <c r="Q755" i="2"/>
  <c r="P755" i="2"/>
  <c r="O755" i="2"/>
  <c r="Q671" i="2"/>
  <c r="P671" i="2"/>
  <c r="O671" i="2"/>
  <c r="Q754" i="2"/>
  <c r="P754" i="2"/>
  <c r="O754" i="2"/>
  <c r="Q863" i="2"/>
  <c r="P863" i="2"/>
  <c r="O863" i="2"/>
  <c r="Q670" i="2"/>
  <c r="P670" i="2"/>
  <c r="O670" i="2"/>
  <c r="Q753" i="2"/>
  <c r="P753" i="2"/>
  <c r="O753" i="2"/>
  <c r="Q862" i="2"/>
  <c r="P862" i="2"/>
  <c r="O862" i="2"/>
  <c r="Q421" i="2"/>
  <c r="P421" i="2"/>
  <c r="O421" i="2"/>
  <c r="Q669" i="2"/>
  <c r="P669" i="2"/>
  <c r="O669" i="2"/>
  <c r="Q668" i="2"/>
  <c r="P668" i="2"/>
  <c r="O668" i="2"/>
  <c r="Q752" i="2"/>
  <c r="P752" i="2"/>
  <c r="O752" i="2"/>
  <c r="Q751" i="2"/>
  <c r="P751" i="2"/>
  <c r="O751" i="2"/>
  <c r="Q196" i="2"/>
  <c r="P196" i="2"/>
  <c r="O196" i="2"/>
  <c r="Q195" i="2"/>
  <c r="P195" i="2"/>
  <c r="O195" i="2"/>
  <c r="Q194" i="2"/>
  <c r="P194" i="2"/>
  <c r="O194" i="2"/>
  <c r="Q861" i="2"/>
  <c r="P861" i="2"/>
  <c r="O861" i="2"/>
  <c r="Q23" i="2"/>
  <c r="P23" i="2"/>
  <c r="O23" i="2"/>
  <c r="Q22" i="2"/>
  <c r="P22" i="2"/>
  <c r="O22" i="2"/>
  <c r="Q21" i="2"/>
  <c r="P21" i="2"/>
  <c r="O21" i="2"/>
  <c r="Q420" i="2"/>
  <c r="P420" i="2"/>
  <c r="O420" i="2"/>
  <c r="Q419" i="2"/>
  <c r="P419" i="2"/>
  <c r="O419" i="2"/>
  <c r="Q418" i="2"/>
  <c r="P418" i="2"/>
  <c r="O418" i="2"/>
  <c r="Q417" i="2"/>
  <c r="P417" i="2"/>
  <c r="O417" i="2"/>
  <c r="Q416" i="2"/>
  <c r="P416" i="2"/>
  <c r="O416" i="2"/>
  <c r="Q415" i="2"/>
  <c r="P415" i="2"/>
  <c r="O415" i="2"/>
  <c r="Q414" i="2"/>
  <c r="P414" i="2"/>
  <c r="O414" i="2"/>
  <c r="Q413" i="2"/>
  <c r="P413" i="2"/>
  <c r="O413" i="2"/>
  <c r="Q412" i="2"/>
  <c r="P412" i="2"/>
  <c r="O412" i="2"/>
  <c r="Q411" i="2"/>
  <c r="P411" i="2"/>
  <c r="O411" i="2"/>
  <c r="Q410" i="2"/>
  <c r="P410" i="2"/>
  <c r="O410" i="2"/>
  <c r="Q409" i="2"/>
  <c r="P409" i="2"/>
  <c r="O409" i="2"/>
  <c r="Q408" i="2"/>
  <c r="P408" i="2"/>
  <c r="O408" i="2"/>
  <c r="Q407" i="2"/>
  <c r="P407" i="2"/>
  <c r="O407" i="2"/>
  <c r="Q193" i="2"/>
  <c r="P193" i="2"/>
  <c r="O193" i="2"/>
  <c r="Q406" i="2"/>
  <c r="P406" i="2"/>
  <c r="O406" i="2"/>
  <c r="Q750" i="2"/>
  <c r="P750" i="2"/>
  <c r="O750" i="2"/>
  <c r="Q667" i="2"/>
  <c r="P667" i="2"/>
  <c r="O667" i="2"/>
  <c r="Q749" i="2"/>
  <c r="P749" i="2"/>
  <c r="O749" i="2"/>
  <c r="Q860" i="2"/>
  <c r="P860" i="2"/>
  <c r="O860" i="2"/>
  <c r="Q748" i="2"/>
  <c r="P748" i="2"/>
  <c r="O748" i="2"/>
  <c r="Q405" i="2"/>
  <c r="P405" i="2"/>
  <c r="O405" i="2"/>
  <c r="Q192" i="2"/>
  <c r="P192" i="2"/>
  <c r="O192" i="2"/>
  <c r="Q859" i="2"/>
  <c r="P859" i="2"/>
  <c r="O859" i="2"/>
  <c r="Q404" i="2"/>
  <c r="P404" i="2"/>
  <c r="O404" i="2"/>
  <c r="Q403" i="2"/>
  <c r="P403" i="2"/>
  <c r="O403" i="2"/>
  <c r="Q858" i="2"/>
  <c r="P858" i="2"/>
  <c r="O858" i="2"/>
  <c r="Q747" i="2"/>
  <c r="P747" i="2"/>
  <c r="O747" i="2"/>
  <c r="Q857" i="2"/>
  <c r="P857" i="2"/>
  <c r="O857" i="2"/>
  <c r="Q856" i="2"/>
  <c r="P856" i="2"/>
  <c r="O856" i="2"/>
  <c r="Q402" i="2"/>
  <c r="P402" i="2"/>
  <c r="O402" i="2"/>
  <c r="Q401" i="2"/>
  <c r="P401" i="2"/>
  <c r="O401" i="2"/>
  <c r="Q20" i="2"/>
  <c r="P20" i="2"/>
  <c r="O20" i="2"/>
  <c r="Q19" i="2"/>
  <c r="P19" i="2"/>
  <c r="O19" i="2"/>
  <c r="Q18" i="2"/>
  <c r="P18" i="2"/>
  <c r="O18" i="2"/>
  <c r="Q666" i="2"/>
  <c r="P666" i="2"/>
  <c r="O666" i="2"/>
  <c r="Q17" i="2"/>
  <c r="P17" i="2"/>
  <c r="O17" i="2"/>
  <c r="Q400" i="2"/>
  <c r="P400" i="2"/>
  <c r="O400" i="2"/>
  <c r="Q399" i="2"/>
  <c r="P399" i="2"/>
  <c r="O399" i="2"/>
  <c r="Q398" i="2"/>
  <c r="P398" i="2"/>
  <c r="O398" i="2"/>
  <c r="Q665" i="2"/>
  <c r="P665" i="2"/>
  <c r="O665" i="2"/>
  <c r="Q855" i="2"/>
  <c r="P855" i="2"/>
  <c r="O855" i="2"/>
  <c r="Q16" i="2"/>
  <c r="P16" i="2"/>
  <c r="O16" i="2"/>
  <c r="Q15" i="2"/>
  <c r="P15" i="2"/>
  <c r="O15" i="2"/>
  <c r="Q664" i="2"/>
  <c r="P664" i="2"/>
  <c r="O664" i="2"/>
  <c r="Q397" i="2"/>
  <c r="P397" i="2"/>
  <c r="O397" i="2"/>
  <c r="Q396" i="2"/>
  <c r="P396" i="2"/>
  <c r="O396" i="2"/>
  <c r="Q854" i="2"/>
  <c r="P854" i="2"/>
  <c r="O854" i="2"/>
  <c r="Q853" i="2"/>
  <c r="P853" i="2"/>
  <c r="O853" i="2"/>
  <c r="Q14" i="2"/>
  <c r="P14" i="2"/>
  <c r="O14" i="2"/>
  <c r="Q395" i="2"/>
  <c r="P395" i="2"/>
  <c r="O395" i="2"/>
  <c r="Q191" i="2"/>
  <c r="P191" i="2"/>
  <c r="O191" i="2"/>
  <c r="Q852" i="2"/>
  <c r="P852" i="2"/>
  <c r="O852" i="2"/>
  <c r="Q13" i="2"/>
  <c r="P13" i="2"/>
  <c r="O13" i="2"/>
  <c r="Q746" i="2"/>
  <c r="P746" i="2"/>
  <c r="O746" i="2"/>
  <c r="Q745" i="2"/>
  <c r="P745" i="2"/>
  <c r="O745" i="2"/>
  <c r="Q394" i="2"/>
  <c r="P394" i="2"/>
  <c r="O394" i="2"/>
  <c r="Q393" i="2"/>
  <c r="P393" i="2"/>
  <c r="O393" i="2"/>
  <c r="Q392" i="2"/>
  <c r="P392" i="2"/>
  <c r="O392" i="2"/>
  <c r="Q851" i="2"/>
  <c r="P851" i="2"/>
  <c r="O851" i="2"/>
  <c r="Q850" i="2"/>
  <c r="P850" i="2"/>
  <c r="O850" i="2"/>
  <c r="Q391" i="2"/>
  <c r="P391" i="2"/>
  <c r="O391" i="2"/>
  <c r="Q390" i="2"/>
  <c r="P390" i="2"/>
  <c r="O390" i="2"/>
  <c r="Q190" i="2"/>
  <c r="P190" i="2"/>
  <c r="O190" i="2"/>
  <c r="Q849" i="2"/>
  <c r="P849" i="2"/>
  <c r="O849" i="2"/>
  <c r="Q12" i="2"/>
  <c r="P12" i="2"/>
  <c r="O12" i="2"/>
  <c r="Q389" i="2"/>
  <c r="P389" i="2"/>
  <c r="O389" i="2"/>
  <c r="Q848" i="2"/>
  <c r="P848" i="2"/>
  <c r="O848" i="2"/>
  <c r="Q388" i="2"/>
  <c r="P388" i="2"/>
  <c r="O388" i="2"/>
  <c r="Q387" i="2"/>
  <c r="P387" i="2"/>
  <c r="O387" i="2"/>
  <c r="Q847" i="2"/>
  <c r="P847" i="2"/>
  <c r="O847" i="2"/>
  <c r="Q386" i="2"/>
  <c r="P386" i="2"/>
  <c r="O386" i="2"/>
  <c r="Q385" i="2"/>
  <c r="P385" i="2"/>
  <c r="O385" i="2"/>
  <c r="Q189" i="2"/>
  <c r="P189" i="2"/>
  <c r="O189" i="2"/>
  <c r="Q11" i="2"/>
  <c r="P11" i="2"/>
  <c r="O11" i="2"/>
  <c r="Q384" i="2"/>
  <c r="P384" i="2"/>
  <c r="O384" i="2"/>
  <c r="Q846" i="2"/>
  <c r="P846" i="2"/>
  <c r="O846" i="2"/>
  <c r="Q383" i="2"/>
  <c r="P383" i="2"/>
  <c r="O383" i="2"/>
  <c r="Q188" i="2"/>
  <c r="P188" i="2"/>
  <c r="O188" i="2"/>
  <c r="Q10" i="2"/>
  <c r="P10" i="2"/>
  <c r="O10" i="2"/>
  <c r="Q9" i="2"/>
  <c r="P9" i="2"/>
  <c r="O9" i="2"/>
  <c r="Q187" i="2"/>
  <c r="P187" i="2"/>
  <c r="O187" i="2"/>
  <c r="Q845" i="2"/>
  <c r="P845" i="2"/>
  <c r="O845" i="2"/>
  <c r="Q186" i="2"/>
  <c r="P186" i="2"/>
  <c r="O186" i="2"/>
  <c r="Q185" i="2"/>
  <c r="P185" i="2"/>
  <c r="O185" i="2"/>
  <c r="Q844" i="2"/>
  <c r="P844" i="2"/>
  <c r="O844" i="2"/>
  <c r="Q8" i="2"/>
  <c r="P8" i="2"/>
  <c r="O8" i="2"/>
  <c r="Q7" i="2"/>
  <c r="P7" i="2"/>
  <c r="O7" i="2"/>
  <c r="Q6" i="2"/>
  <c r="P6" i="2"/>
  <c r="O6" i="2"/>
  <c r="Q5" i="2"/>
  <c r="P5" i="2"/>
  <c r="O5" i="2"/>
  <c r="Q382" i="2"/>
  <c r="P382" i="2"/>
  <c r="O382" i="2"/>
  <c r="Q381" i="2"/>
  <c r="P381" i="2"/>
  <c r="O381" i="2"/>
  <c r="Q380" i="2"/>
  <c r="P380" i="2"/>
  <c r="O380" i="2"/>
  <c r="Q379" i="2"/>
  <c r="P379" i="2"/>
  <c r="O379" i="2"/>
  <c r="Q843" i="2"/>
  <c r="P843" i="2"/>
  <c r="O843" i="2"/>
  <c r="Q842" i="2"/>
  <c r="P842" i="2"/>
  <c r="O842" i="2"/>
  <c r="Q4" i="2"/>
  <c r="P4" i="2"/>
  <c r="O4" i="2"/>
  <c r="Q184" i="2"/>
  <c r="P184" i="2"/>
  <c r="O184" i="2"/>
  <c r="Q744" i="2"/>
  <c r="P744" i="2"/>
  <c r="O744" i="2"/>
  <c r="Q841" i="2"/>
  <c r="P841" i="2"/>
  <c r="O841" i="2"/>
  <c r="Q378" i="2"/>
  <c r="P378" i="2"/>
  <c r="O378" i="2"/>
  <c r="Q377" i="2"/>
  <c r="P377" i="2"/>
  <c r="O377" i="2"/>
  <c r="Q840" i="2"/>
  <c r="P840" i="2"/>
  <c r="O840" i="2"/>
  <c r="Q183" i="2"/>
  <c r="P183" i="2"/>
  <c r="O183" i="2"/>
  <c r="Q182" i="2"/>
  <c r="P182" i="2"/>
  <c r="O182" i="2"/>
  <c r="Q181" i="2"/>
  <c r="P181" i="2"/>
  <c r="O181" i="2"/>
  <c r="Q180" i="2"/>
  <c r="P180" i="2"/>
  <c r="O180" i="2"/>
  <c r="Q3" i="2"/>
  <c r="P3" i="2"/>
  <c r="O3" i="2"/>
  <c r="Q376" i="2"/>
  <c r="P376" i="2"/>
  <c r="O376" i="2"/>
  <c r="Q179" i="2"/>
  <c r="P179" i="2"/>
  <c r="O179" i="2"/>
  <c r="Q839" i="2"/>
  <c r="P839" i="2"/>
  <c r="O839" i="2"/>
  <c r="Q178" i="2"/>
  <c r="P178" i="2"/>
  <c r="O178" i="2"/>
  <c r="Q177" i="2"/>
  <c r="P177" i="2"/>
  <c r="O177" i="2"/>
  <c r="Q375" i="2"/>
  <c r="P375" i="2"/>
  <c r="O375" i="2"/>
  <c r="Q374" i="2"/>
  <c r="P374" i="2"/>
  <c r="O374" i="2"/>
  <c r="Q838" i="2"/>
  <c r="P838" i="2"/>
  <c r="O838" i="2"/>
  <c r="Q837" i="2"/>
  <c r="P837" i="2"/>
  <c r="O837" i="2"/>
  <c r="Q743" i="2"/>
  <c r="P743" i="2"/>
  <c r="O743" i="2"/>
  <c r="Q836" i="2"/>
  <c r="P836" i="2"/>
  <c r="O836" i="2"/>
  <c r="Q176" i="2"/>
  <c r="P176" i="2"/>
  <c r="O176" i="2"/>
  <c r="Q835" i="2"/>
  <c r="P835" i="2"/>
  <c r="O835" i="2"/>
  <c r="Q175" i="2"/>
  <c r="P175" i="2"/>
  <c r="O175" i="2"/>
  <c r="Q834" i="2"/>
  <c r="P834" i="2"/>
  <c r="O834" i="2"/>
  <c r="Q833" i="2"/>
  <c r="P833" i="2"/>
  <c r="O833" i="2"/>
  <c r="Q832" i="2"/>
  <c r="P832" i="2"/>
  <c r="O832" i="2"/>
  <c r="Q742" i="2"/>
  <c r="P742" i="2"/>
  <c r="O742" i="2"/>
  <c r="Q174" i="2"/>
  <c r="P174" i="2"/>
  <c r="O174" i="2"/>
  <c r="Q831" i="2"/>
  <c r="P831" i="2"/>
  <c r="O831" i="2"/>
  <c r="Q373" i="2"/>
  <c r="P373" i="2"/>
  <c r="O373" i="2"/>
  <c r="Q372" i="2"/>
  <c r="P372" i="2"/>
  <c r="O372" i="2"/>
  <c r="Q173" i="2"/>
  <c r="P173" i="2"/>
  <c r="O173" i="2"/>
  <c r="Q172" i="2"/>
  <c r="P172" i="2"/>
  <c r="O172" i="2"/>
  <c r="Q830" i="2"/>
  <c r="P830" i="2"/>
  <c r="O830" i="2"/>
  <c r="Q371" i="2"/>
  <c r="P371" i="2"/>
  <c r="O371" i="2"/>
  <c r="Q370" i="2"/>
  <c r="P370" i="2"/>
  <c r="O370" i="2"/>
  <c r="Q369" i="2"/>
  <c r="P369" i="2"/>
  <c r="O369" i="2"/>
  <c r="Q829" i="2"/>
  <c r="P829" i="2"/>
  <c r="O829" i="2"/>
  <c r="Q368" i="2"/>
  <c r="P368" i="2"/>
  <c r="O368" i="2"/>
  <c r="Q828" i="2"/>
  <c r="P828" i="2"/>
  <c r="O828" i="2"/>
  <c r="Q367" i="2"/>
  <c r="P367" i="2"/>
  <c r="O367" i="2"/>
  <c r="Q171" i="2"/>
  <c r="P171" i="2"/>
  <c r="O171" i="2"/>
  <c r="Q741" i="2"/>
  <c r="P741" i="2"/>
  <c r="O741" i="2"/>
  <c r="Q366" i="2"/>
  <c r="P366" i="2"/>
  <c r="O366" i="2"/>
  <c r="Q827" i="2"/>
  <c r="P827" i="2"/>
  <c r="O827" i="2"/>
  <c r="Q826" i="2"/>
  <c r="P826" i="2"/>
  <c r="O826" i="2"/>
  <c r="Q740" i="2"/>
  <c r="P740" i="2"/>
  <c r="O740" i="2"/>
  <c r="Q365" i="2"/>
  <c r="P365" i="2"/>
  <c r="O365" i="2"/>
  <c r="Q825" i="2"/>
  <c r="P825" i="2"/>
  <c r="O825" i="2"/>
  <c r="Q824" i="2"/>
  <c r="P824" i="2"/>
  <c r="O824" i="2"/>
  <c r="Q170" i="2"/>
  <c r="P170" i="2"/>
  <c r="O170" i="2"/>
  <c r="Q364" i="2"/>
  <c r="P364" i="2"/>
  <c r="O364" i="2"/>
  <c r="Q169" i="2"/>
  <c r="P169" i="2"/>
  <c r="O169" i="2"/>
  <c r="Q168" i="2"/>
  <c r="P168" i="2"/>
  <c r="O168" i="2"/>
  <c r="Q167" i="2"/>
  <c r="P167" i="2"/>
  <c r="O167" i="2"/>
  <c r="Q2" i="2"/>
  <c r="P2" i="2"/>
  <c r="O2" i="2"/>
  <c r="Q363" i="2"/>
  <c r="P363" i="2"/>
  <c r="O363" i="2"/>
  <c r="Q362" i="2"/>
  <c r="P362" i="2"/>
  <c r="O362" i="2"/>
  <c r="Q361" i="2"/>
  <c r="P361" i="2"/>
  <c r="O361" i="2"/>
  <c r="Q360" i="2"/>
  <c r="P360" i="2"/>
  <c r="O360" i="2"/>
  <c r="Q359" i="2"/>
  <c r="P359" i="2"/>
  <c r="O359" i="2"/>
  <c r="Q358" i="2"/>
  <c r="P358" i="2"/>
  <c r="O358" i="2"/>
  <c r="Q357" i="2"/>
  <c r="P357" i="2"/>
  <c r="O357" i="2"/>
  <c r="Q356" i="2"/>
  <c r="P356" i="2"/>
  <c r="O356" i="2"/>
  <c r="Q355" i="2"/>
  <c r="P355" i="2"/>
  <c r="O355" i="2"/>
  <c r="Q354" i="2"/>
  <c r="P354" i="2"/>
  <c r="O354" i="2"/>
  <c r="Q353" i="2"/>
  <c r="P353" i="2"/>
  <c r="O353" i="2"/>
  <c r="Q352" i="2"/>
  <c r="P352" i="2"/>
  <c r="O352" i="2"/>
  <c r="Q351" i="2"/>
  <c r="P351" i="2"/>
  <c r="O351" i="2"/>
  <c r="Q350" i="2"/>
  <c r="P350" i="2"/>
  <c r="O350" i="2"/>
  <c r="Q349" i="2"/>
  <c r="P349" i="2"/>
  <c r="O349" i="2"/>
  <c r="Q348" i="2"/>
  <c r="P348" i="2"/>
  <c r="O348" i="2"/>
  <c r="Q166" i="2"/>
  <c r="P166" i="2"/>
  <c r="O166" i="2"/>
  <c r="Q165" i="2"/>
  <c r="P165" i="2"/>
  <c r="O165" i="2"/>
  <c r="Q347" i="2"/>
  <c r="P347" i="2"/>
  <c r="O347" i="2"/>
  <c r="Q164" i="2"/>
  <c r="P164" i="2"/>
  <c r="O164" i="2"/>
  <c r="Q346" i="2"/>
  <c r="P346" i="2"/>
  <c r="O346" i="2"/>
  <c r="Q163" i="2"/>
  <c r="P163" i="2"/>
  <c r="O163" i="2"/>
  <c r="Q162" i="2"/>
  <c r="P162" i="2"/>
  <c r="O162" i="2"/>
  <c r="Q161" i="2"/>
  <c r="P161" i="2"/>
  <c r="O161" i="2"/>
  <c r="Q739" i="2"/>
  <c r="P739" i="2"/>
  <c r="O739" i="2"/>
  <c r="Q738" i="2"/>
  <c r="P738" i="2"/>
  <c r="O738" i="2"/>
  <c r="O5" i="1"/>
  <c r="O4" i="1"/>
  <c r="Q174" i="1"/>
  <c r="Q117" i="1"/>
  <c r="Q121" i="1"/>
  <c r="Q115" i="1"/>
  <c r="Q82" i="1"/>
  <c r="Q250" i="1"/>
  <c r="Q165" i="1"/>
  <c r="Q154" i="1"/>
  <c r="Q114" i="1"/>
  <c r="Q146" i="1"/>
  <c r="Q111" i="1"/>
  <c r="Q378" i="1"/>
  <c r="Q381" i="1"/>
  <c r="Q289" i="1"/>
  <c r="Q55" i="1"/>
  <c r="Q226" i="1"/>
  <c r="Q54" i="1"/>
  <c r="Q175" i="1"/>
  <c r="Q44" i="1"/>
  <c r="Q176" i="1"/>
  <c r="Q91" i="1"/>
  <c r="Q337" i="1"/>
  <c r="Q75" i="1"/>
  <c r="Q318" i="1"/>
  <c r="Q69" i="1"/>
  <c r="Q319" i="1"/>
  <c r="Q70" i="1"/>
  <c r="Q138" i="1"/>
  <c r="Q122" i="1"/>
  <c r="Q161" i="1"/>
  <c r="Q202" i="1"/>
  <c r="Q171" i="1"/>
  <c r="Q262" i="1"/>
  <c r="Q671" i="1"/>
  <c r="Q697" i="1"/>
  <c r="Q688" i="1"/>
  <c r="Q767" i="1"/>
  <c r="Q768" i="1"/>
  <c r="Q222" i="1"/>
  <c r="Q246" i="1"/>
  <c r="Q236" i="1"/>
  <c r="Q769" i="1"/>
  <c r="Q770" i="1"/>
  <c r="Q638" i="1"/>
  <c r="Q771" i="1"/>
  <c r="Q108" i="1"/>
  <c r="Q106" i="1"/>
  <c r="Q772" i="1"/>
  <c r="Q773" i="1"/>
  <c r="Q774" i="1"/>
  <c r="Q775" i="1"/>
  <c r="Q33" i="1"/>
  <c r="Q90" i="1"/>
  <c r="Q308" i="1"/>
  <c r="Q9" i="1"/>
  <c r="Q49" i="1"/>
  <c r="Q83" i="1"/>
  <c r="Q7" i="1"/>
  <c r="Q48" i="1"/>
  <c r="Q50" i="1"/>
  <c r="Q177" i="1"/>
  <c r="Q438" i="1"/>
  <c r="Q627" i="1"/>
  <c r="Q703" i="1"/>
  <c r="Q698" i="1"/>
  <c r="Q776" i="1"/>
  <c r="Q639" i="1"/>
  <c r="Q758" i="1"/>
  <c r="Q92" i="1"/>
  <c r="Q395" i="1"/>
  <c r="Q237" i="1"/>
  <c r="Q469" i="1"/>
  <c r="Q419" i="1"/>
  <c r="Q470" i="1"/>
  <c r="Q427" i="1"/>
  <c r="Q458" i="1"/>
  <c r="Q547" i="1"/>
  <c r="Q584" i="1"/>
  <c r="Q334" i="1"/>
  <c r="Q415" i="1"/>
  <c r="Q178" i="1"/>
  <c r="Q420" i="1"/>
  <c r="Q421" i="1"/>
  <c r="Q539" i="1"/>
  <c r="Q396" i="1"/>
  <c r="Q430" i="1"/>
  <c r="Q450" i="1"/>
  <c r="Q468" i="1"/>
  <c r="Q361" i="1"/>
  <c r="Q287" i="1"/>
  <c r="Q585" i="1"/>
  <c r="Q495" i="1"/>
  <c r="Q777" i="1"/>
  <c r="Q778" i="1"/>
  <c r="Q749" i="1"/>
  <c r="Q779" i="1"/>
  <c r="Q780" i="1"/>
  <c r="Q309" i="1"/>
  <c r="Q636" i="1"/>
  <c r="Q625" i="1"/>
  <c r="Q249" i="1"/>
  <c r="Q212" i="1"/>
  <c r="Q173" i="1"/>
  <c r="Q550" i="1"/>
  <c r="Q781" i="1"/>
  <c r="Q524" i="1"/>
  <c r="Q594" i="1"/>
  <c r="Q604" i="1"/>
  <c r="Q616" i="1"/>
  <c r="Q560" i="1"/>
  <c r="Q276" i="1"/>
  <c r="Q611" i="1"/>
  <c r="Q592" i="1"/>
  <c r="Q732" i="1"/>
  <c r="Q672" i="1"/>
  <c r="Q651" i="1"/>
  <c r="Q677" i="1"/>
  <c r="Q665" i="1"/>
  <c r="Q678" i="1"/>
  <c r="Q782" i="1"/>
  <c r="Q628" i="1"/>
  <c r="Q614" i="1"/>
  <c r="Q619" i="1"/>
  <c r="Q586" i="1"/>
  <c r="Q593" i="1"/>
  <c r="Q574" i="1"/>
  <c r="Q577" i="1"/>
  <c r="Q612" i="1"/>
  <c r="Q569" i="1"/>
  <c r="Q624" i="1"/>
  <c r="Q621" i="1"/>
  <c r="Q613" i="1"/>
  <c r="Q565" i="1"/>
  <c r="Q578" i="1"/>
  <c r="Q580" i="1"/>
  <c r="Q588" i="1"/>
  <c r="Q632" i="1"/>
  <c r="Q617" i="1"/>
  <c r="Q618" i="1"/>
  <c r="Q589" i="1"/>
  <c r="Q605" i="1"/>
  <c r="Q568" i="1"/>
  <c r="Q581" i="1"/>
  <c r="Q46" i="1"/>
  <c r="Q155" i="1"/>
  <c r="Q783" i="1"/>
  <c r="Q784" i="1"/>
  <c r="Q666" i="1"/>
  <c r="Q646" i="1"/>
  <c r="Q655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735" i="1"/>
  <c r="Q699" i="1"/>
  <c r="Q742" i="1"/>
  <c r="Q736" i="1"/>
  <c r="Q700" i="1"/>
  <c r="Q743" i="1"/>
  <c r="Q745" i="1"/>
  <c r="Q704" i="1"/>
  <c r="Q746" i="1"/>
  <c r="Q737" i="1"/>
  <c r="Q701" i="1"/>
  <c r="Q744" i="1"/>
  <c r="Q640" i="1"/>
  <c r="Q595" i="1"/>
  <c r="Q641" i="1"/>
  <c r="Q815" i="1"/>
  <c r="Q766" i="1"/>
  <c r="Q764" i="1"/>
  <c r="Q750" i="1"/>
  <c r="Q12" i="1"/>
  <c r="Q13" i="1"/>
  <c r="Q14" i="1"/>
  <c r="Q15" i="1"/>
  <c r="Q37" i="1"/>
  <c r="Q16" i="1"/>
  <c r="Q439" i="1"/>
  <c r="Q459" i="1"/>
  <c r="Q472" i="1"/>
  <c r="Q338" i="1"/>
  <c r="Q345" i="1"/>
  <c r="Q386" i="1"/>
  <c r="Q440" i="1"/>
  <c r="Q460" i="1"/>
  <c r="Q473" i="1"/>
  <c r="Q382" i="1"/>
  <c r="Q346" i="1"/>
  <c r="Q387" i="1"/>
  <c r="Q441" i="1"/>
  <c r="Q461" i="1"/>
  <c r="Q474" i="1"/>
  <c r="Q383" i="1"/>
  <c r="Q347" i="1"/>
  <c r="Q388" i="1"/>
  <c r="Q17" i="1"/>
  <c r="Q18" i="1"/>
  <c r="Q19" i="1"/>
  <c r="Q41" i="1"/>
  <c r="Q20" i="1"/>
  <c r="Q21" i="1"/>
  <c r="Q493" i="1"/>
  <c r="Q497" i="1"/>
  <c r="Q478" i="1"/>
  <c r="Q456" i="1"/>
  <c r="Q425" i="1"/>
  <c r="Q341" i="1"/>
  <c r="Q22" i="1"/>
  <c r="Q23" i="1"/>
  <c r="Q24" i="1"/>
  <c r="Q606" i="1"/>
  <c r="Q442" i="1"/>
  <c r="Q462" i="1"/>
  <c r="Q607" i="1"/>
  <c r="Q443" i="1"/>
  <c r="Q463" i="1"/>
  <c r="Q608" i="1"/>
  <c r="Q444" i="1"/>
  <c r="Q464" i="1"/>
  <c r="Q25" i="1"/>
  <c r="Q26" i="1"/>
  <c r="Q27" i="1"/>
  <c r="Q543" i="1"/>
  <c r="Q411" i="1"/>
  <c r="Q399" i="1"/>
  <c r="Q487" i="1"/>
  <c r="Q310" i="1"/>
  <c r="Q400" i="1"/>
  <c r="Q362" i="1"/>
  <c r="Q179" i="1"/>
  <c r="Q112" i="1"/>
  <c r="Q180" i="1"/>
  <c r="Q147" i="1"/>
  <c r="Q125" i="1"/>
  <c r="Q162" i="1"/>
  <c r="Q551" i="1"/>
  <c r="Q552" i="1"/>
  <c r="Q519" i="1"/>
  <c r="Q475" i="1"/>
  <c r="Q498" i="1"/>
  <c r="Q521" i="1"/>
  <c r="Q553" i="1"/>
  <c r="Q554" i="1"/>
  <c r="Q561" i="1"/>
  <c r="Q476" i="1"/>
  <c r="Q499" i="1"/>
  <c r="Q522" i="1"/>
  <c r="Q555" i="1"/>
  <c r="Q556" i="1"/>
  <c r="Q562" i="1"/>
  <c r="Q477" i="1"/>
  <c r="Q500" i="1"/>
  <c r="Q523" i="1"/>
  <c r="Q181" i="1"/>
  <c r="Q182" i="1"/>
  <c r="Q148" i="1"/>
  <c r="Q139" i="1"/>
  <c r="Q183" i="1"/>
  <c r="Q126" i="1"/>
  <c r="Q609" i="1"/>
  <c r="Q610" i="1"/>
  <c r="Q557" i="1"/>
  <c r="Q525" i="1"/>
  <c r="Q532" i="1"/>
  <c r="Q508" i="1"/>
  <c r="Q184" i="1"/>
  <c r="Q93" i="1"/>
  <c r="Q185" i="1"/>
  <c r="Q629" i="1"/>
  <c r="Q596" i="1"/>
  <c r="Q540" i="1"/>
  <c r="Q630" i="1"/>
  <c r="Q597" i="1"/>
  <c r="Q541" i="1"/>
  <c r="Q631" i="1"/>
  <c r="Q533" i="1"/>
  <c r="Q542" i="1"/>
  <c r="Q186" i="1"/>
  <c r="Q127" i="1"/>
  <c r="Q133" i="1"/>
  <c r="Q587" i="1"/>
  <c r="Q515" i="1"/>
  <c r="Q520" i="1"/>
  <c r="Q509" i="1"/>
  <c r="Q534" i="1"/>
  <c r="Q526" i="1"/>
  <c r="Q558" i="1"/>
  <c r="Q667" i="1"/>
  <c r="Q654" i="1"/>
  <c r="Q652" i="1"/>
  <c r="Q649" i="1"/>
  <c r="Q656" i="1"/>
  <c r="Q653" i="1"/>
  <c r="Q720" i="1"/>
  <c r="Q738" i="1"/>
  <c r="Q716" i="1"/>
  <c r="Q718" i="1"/>
  <c r="Q693" i="1"/>
  <c r="Q717" i="1"/>
  <c r="Q320" i="1"/>
  <c r="Q305" i="1"/>
  <c r="Q286" i="1"/>
  <c r="Q149" i="1"/>
  <c r="Q152" i="1"/>
  <c r="Q96" i="1"/>
  <c r="Q103" i="1"/>
  <c r="Q330" i="1"/>
  <c r="Q153" i="1"/>
  <c r="Q141" i="1"/>
  <c r="Q130" i="1"/>
  <c r="Q87" i="1"/>
  <c r="Q187" i="1"/>
  <c r="Q104" i="1"/>
  <c r="Q376" i="1"/>
  <c r="Q134" i="1"/>
  <c r="Q142" i="1"/>
  <c r="Q94" i="1"/>
  <c r="Q97" i="1"/>
  <c r="Q257" i="1"/>
  <c r="Q151" i="1"/>
  <c r="Q95" i="1"/>
  <c r="Q432" i="1"/>
  <c r="Q422" i="1"/>
  <c r="Q321" i="1"/>
  <c r="Q401" i="1"/>
  <c r="Q426" i="1"/>
  <c r="Q527" i="1"/>
  <c r="Q471" i="1"/>
  <c r="Q227" i="1"/>
  <c r="Q251" i="1"/>
  <c r="Q245" i="1"/>
  <c r="Q269" i="1"/>
  <c r="Q390" i="1"/>
  <c r="Q402" i="1"/>
  <c r="Q398" i="1"/>
  <c r="Q391" i="1"/>
  <c r="Q247" i="1"/>
  <c r="Q490" i="1"/>
  <c r="Q466" i="1"/>
  <c r="Q118" i="1"/>
  <c r="Q109" i="1"/>
  <c r="Q76" i="1"/>
  <c r="Q765" i="1"/>
  <c r="Q816" i="1"/>
  <c r="Q817" i="1"/>
  <c r="Q642" i="1"/>
  <c r="Q751" i="1"/>
  <c r="Q719" i="1"/>
  <c r="Q710" i="1"/>
  <c r="Q705" i="1"/>
  <c r="Q721" i="1"/>
  <c r="Q679" i="1"/>
  <c r="Q702" i="1"/>
  <c r="Q692" i="1"/>
  <c r="Q570" i="1"/>
  <c r="Q228" i="1"/>
  <c r="Q252" i="1"/>
  <c r="Q135" i="1"/>
  <c r="Q143" i="1"/>
  <c r="Q818" i="1"/>
  <c r="Q28" i="1"/>
  <c r="Q188" i="1"/>
  <c r="Q819" i="1"/>
  <c r="Q412" i="1"/>
  <c r="Q535" i="1"/>
  <c r="Q727" i="1"/>
  <c r="Q711" i="1"/>
  <c r="Q696" i="1"/>
  <c r="Q637" i="1"/>
  <c r="Q536" i="1"/>
  <c r="Q491" i="1"/>
  <c r="Q626" i="1"/>
  <c r="Q615" i="1"/>
  <c r="Q680" i="1"/>
  <c r="Q428" i="1"/>
  <c r="Q393" i="1"/>
  <c r="Q258" i="1"/>
  <c r="Q397" i="1"/>
  <c r="Q260" i="1"/>
  <c r="Q377" i="1"/>
  <c r="Q349" i="1"/>
  <c r="Q244" i="1"/>
  <c r="Q293" i="1"/>
  <c r="Q317" i="1"/>
  <c r="Q418" i="1"/>
  <c r="Q453" i="1"/>
  <c r="Q501" i="1"/>
  <c r="Q354" i="1"/>
  <c r="Q342" i="1"/>
  <c r="Q545" i="1"/>
  <c r="Q516" i="1"/>
  <c r="Q622" i="1"/>
  <c r="Q733" i="1"/>
  <c r="Q734" i="1"/>
  <c r="Q741" i="1"/>
  <c r="Q673" i="1"/>
  <c r="Q670" i="1"/>
  <c r="Q189" i="1"/>
  <c r="Q820" i="1"/>
  <c r="Q821" i="1"/>
  <c r="Q822" i="1"/>
  <c r="Q823" i="1"/>
  <c r="Q824" i="1"/>
  <c r="Q747" i="1"/>
  <c r="Q825" i="1"/>
  <c r="Q826" i="1"/>
  <c r="Q827" i="1"/>
  <c r="Q29" i="1"/>
  <c r="Q190" i="1"/>
  <c r="Q676" i="1"/>
  <c r="Q598" i="1"/>
  <c r="Q582" i="1"/>
  <c r="Q563" i="1"/>
  <c r="Q583" i="1"/>
  <c r="Q601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657" i="1"/>
  <c r="Q871" i="1"/>
  <c r="Q872" i="1"/>
  <c r="Q873" i="1"/>
  <c r="Q874" i="1"/>
  <c r="Q875" i="1"/>
  <c r="Q876" i="1"/>
  <c r="Q877" i="1"/>
  <c r="Q752" i="1"/>
  <c r="Q706" i="1"/>
  <c r="Q739" i="1"/>
  <c r="Q694" i="1"/>
  <c r="Q729" i="1"/>
  <c r="Q707" i="1"/>
  <c r="Q575" i="1"/>
  <c r="Q590" i="1"/>
  <c r="Q571" i="1"/>
  <c r="Q576" i="1"/>
  <c r="Q591" i="1"/>
  <c r="Q600" i="1"/>
  <c r="Q88" i="1"/>
  <c r="Q89" i="1"/>
  <c r="Q160" i="1"/>
  <c r="Q81" i="1"/>
  <c r="Q84" i="1"/>
  <c r="Q191" i="1"/>
  <c r="Q113" i="1"/>
  <c r="Q229" i="1"/>
  <c r="Q137" i="1"/>
  <c r="Q65" i="1"/>
  <c r="Q156" i="1"/>
  <c r="Q59" i="1"/>
  <c r="Q167" i="1"/>
  <c r="Q63" i="1"/>
  <c r="Q163" i="1"/>
  <c r="Q217" i="1"/>
  <c r="Q322" i="1"/>
  <c r="Q45" i="1"/>
  <c r="Q36" i="1"/>
  <c r="Q60" i="1"/>
  <c r="Q107" i="1"/>
  <c r="Q131" i="1"/>
  <c r="Q730" i="1"/>
  <c r="Q119" i="1"/>
  <c r="Q116" i="1"/>
  <c r="Q203" i="1"/>
  <c r="Q73" i="1"/>
  <c r="Q98" i="1"/>
  <c r="Q39" i="1"/>
  <c r="Q47" i="1"/>
  <c r="Q445" i="1"/>
  <c r="Q510" i="1"/>
  <c r="Q67" i="1"/>
  <c r="Q68" i="1"/>
  <c r="Q101" i="1"/>
  <c r="Q124" i="1"/>
  <c r="Q206" i="1"/>
  <c r="Q356" i="1"/>
  <c r="Q878" i="1"/>
  <c r="Q502" i="1"/>
  <c r="Q385" i="1"/>
  <c r="Q452" i="1"/>
  <c r="Q336" i="1"/>
  <c r="Q35" i="1"/>
  <c r="Q40" i="1"/>
  <c r="Q457" i="1"/>
  <c r="Q674" i="1"/>
  <c r="Q669" i="1"/>
  <c r="Q658" i="1"/>
  <c r="Q647" i="1"/>
  <c r="Q544" i="1"/>
  <c r="Q546" i="1"/>
  <c r="Q879" i="1"/>
  <c r="Q238" i="1"/>
  <c r="Q51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681" i="1"/>
  <c r="Q682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659" i="1"/>
  <c r="Q690" i="1"/>
  <c r="Q920" i="1"/>
  <c r="Q921" i="1"/>
  <c r="Q922" i="1"/>
  <c r="Q488" i="1"/>
  <c r="Q503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689" i="1"/>
  <c r="Q691" i="1"/>
  <c r="Q489" i="1"/>
  <c r="Q496" i="1"/>
  <c r="Q518" i="1"/>
  <c r="Q504" i="1"/>
  <c r="Q537" i="1"/>
  <c r="Q538" i="1"/>
  <c r="Q528" i="1"/>
  <c r="Q530" i="1"/>
  <c r="Q712" i="1"/>
  <c r="Q663" i="1"/>
  <c r="Q722" i="1"/>
  <c r="Q56" i="1"/>
  <c r="Q157" i="1"/>
  <c r="Q144" i="1"/>
  <c r="Q61" i="1"/>
  <c r="Q136" i="1"/>
  <c r="Q123" i="1"/>
  <c r="Q294" i="1"/>
  <c r="Q403" i="1"/>
  <c r="Q288" i="1"/>
  <c r="Q413" i="1"/>
  <c r="Q433" i="1"/>
  <c r="Q529" i="1"/>
  <c r="Q394" i="1"/>
  <c r="Q224" i="1"/>
  <c r="Q644" i="1"/>
  <c r="Q559" i="1"/>
  <c r="Q451" i="1"/>
  <c r="Q662" i="1"/>
  <c r="Q645" i="1"/>
  <c r="Q675" i="1"/>
  <c r="Q225" i="1"/>
  <c r="Q564" i="1"/>
  <c r="Q664" i="1"/>
  <c r="Q30" i="1"/>
  <c r="Q34" i="1"/>
  <c r="Q74" i="1"/>
  <c r="Q53" i="1"/>
  <c r="Q263" i="1"/>
  <c r="Q290" i="1"/>
  <c r="Q291" i="1"/>
  <c r="Q431" i="1"/>
  <c r="Q5" i="1"/>
  <c r="Q11" i="1"/>
  <c r="Q32" i="1"/>
  <c r="Q31" i="1"/>
  <c r="Q110" i="1"/>
  <c r="Q223" i="1"/>
  <c r="Q446" i="1"/>
  <c r="Q277" i="1"/>
  <c r="Q80" i="1"/>
  <c r="Q99" i="1"/>
  <c r="Q77" i="1"/>
  <c r="Q100" i="1"/>
  <c r="Q4" i="1"/>
  <c r="Q6" i="1"/>
  <c r="Q10" i="1"/>
  <c r="Q8" i="1"/>
  <c r="Q43" i="1"/>
  <c r="Q71" i="1"/>
  <c r="Q210" i="1"/>
  <c r="Q102" i="1"/>
  <c r="Q64" i="1"/>
  <c r="Q264" i="1"/>
  <c r="Q192" i="1"/>
  <c r="Q193" i="1"/>
  <c r="Q389" i="1"/>
  <c r="Q86" i="1"/>
  <c r="Q273" i="1"/>
  <c r="Q302" i="1"/>
  <c r="Q105" i="1"/>
  <c r="Q599" i="1"/>
  <c r="Q759" i="1"/>
  <c r="Q505" i="1"/>
  <c r="Q363" i="1"/>
  <c r="Q660" i="1"/>
  <c r="Q423" i="1"/>
  <c r="Q748" i="1"/>
  <c r="Q635" i="1"/>
  <c r="Q579" i="1"/>
  <c r="Q760" i="1"/>
  <c r="Q648" i="1"/>
  <c r="Q506" i="1"/>
  <c r="Q120" i="1"/>
  <c r="Q754" i="1"/>
  <c r="Q455" i="1"/>
  <c r="Q194" i="1"/>
  <c r="Q447" i="1"/>
  <c r="Q755" i="1"/>
  <c r="Q623" i="1"/>
  <c r="Q620" i="1"/>
  <c r="Q753" i="1"/>
  <c r="Q650" i="1"/>
  <c r="Q424" i="1"/>
  <c r="Q239" i="1"/>
  <c r="Q270" i="1"/>
  <c r="Q295" i="1"/>
  <c r="Q339" i="1"/>
  <c r="Q164" i="1"/>
  <c r="Q172" i="1"/>
  <c r="Q214" i="1"/>
  <c r="Q230" i="1"/>
  <c r="Q278" i="1"/>
  <c r="Q279" i="1"/>
  <c r="Q72" i="1"/>
  <c r="Q132" i="1"/>
  <c r="Q416" i="1"/>
  <c r="Q429" i="1"/>
  <c r="Q350" i="1"/>
  <c r="Q57" i="1"/>
  <c r="Q78" i="1"/>
  <c r="Q938" i="1"/>
  <c r="Q507" i="1"/>
  <c r="Q740" i="1"/>
  <c r="Q939" i="1"/>
  <c r="Q448" i="1"/>
  <c r="Q728" i="1"/>
  <c r="Q668" i="1"/>
  <c r="Q723" i="1"/>
  <c r="Q708" i="1"/>
  <c r="Q709" i="1"/>
  <c r="Q731" i="1"/>
  <c r="Q695" i="1"/>
  <c r="Q643" i="1"/>
  <c r="Q940" i="1"/>
  <c r="Q941" i="1"/>
  <c r="Q942" i="1"/>
  <c r="Q943" i="1"/>
  <c r="Q944" i="1"/>
  <c r="Q945" i="1"/>
  <c r="Q946" i="1"/>
  <c r="Q947" i="1"/>
  <c r="Q948" i="1"/>
  <c r="Q949" i="1"/>
  <c r="Q950" i="1"/>
  <c r="Q240" i="1"/>
  <c r="Q52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417" i="1"/>
  <c r="Q449" i="1"/>
  <c r="Q79" i="1"/>
  <c r="Q62" i="1"/>
  <c r="Q265" i="1"/>
  <c r="Q1061" i="1"/>
  <c r="Q1062" i="1"/>
  <c r="Q364" i="1"/>
  <c r="Q1063" i="1"/>
  <c r="Q1064" i="1"/>
  <c r="Q683" i="1"/>
  <c r="Q633" i="1"/>
  <c r="Q479" i="1"/>
  <c r="Q483" i="1"/>
  <c r="Q434" i="1"/>
  <c r="Q404" i="1"/>
  <c r="Q207" i="1"/>
  <c r="Q266" i="1"/>
  <c r="Q365" i="1"/>
  <c r="Q231" i="1"/>
  <c r="Q326" i="1"/>
  <c r="Q366" i="1"/>
  <c r="Q232" i="1"/>
  <c r="Q327" i="1"/>
  <c r="Q195" i="1"/>
  <c r="Q58" i="1"/>
  <c r="Q218" i="1"/>
  <c r="Q66" i="1"/>
  <c r="Q405" i="1"/>
  <c r="Q410" i="1"/>
  <c r="Q343" i="1"/>
  <c r="Q170" i="1"/>
  <c r="Q204" i="1"/>
  <c r="Q306" i="1"/>
  <c r="Q435" i="1"/>
  <c r="Q360" i="1"/>
  <c r="Q392" i="1"/>
  <c r="Q724" i="1"/>
  <c r="Q684" i="1"/>
  <c r="Q634" i="1"/>
  <c r="Q602" i="1"/>
  <c r="Q517" i="1"/>
  <c r="Q531" i="1"/>
  <c r="Q436" i="1"/>
  <c r="Q484" i="1"/>
  <c r="Q357" i="1"/>
  <c r="Q158" i="1"/>
  <c r="Q168" i="1"/>
  <c r="Q267" i="1"/>
  <c r="Q480" i="1"/>
  <c r="Q548" i="1"/>
  <c r="Q485" i="1"/>
  <c r="Q406" i="1"/>
  <c r="Q367" i="1"/>
  <c r="Q196" i="1"/>
  <c r="Q482" i="1"/>
  <c r="Q233" i="1"/>
  <c r="Q234" i="1"/>
  <c r="Q603" i="1"/>
  <c r="Q128" i="1"/>
  <c r="Q159" i="1"/>
  <c r="Q437" i="1"/>
  <c r="Q197" i="1"/>
  <c r="Q219" i="1"/>
  <c r="Q511" i="1"/>
  <c r="Q572" i="1"/>
  <c r="Q368" i="1"/>
  <c r="Q685" i="1"/>
  <c r="Q713" i="1"/>
  <c r="Q761" i="1"/>
  <c r="Q1065" i="1"/>
  <c r="Q1066" i="1"/>
  <c r="Q1067" i="1"/>
  <c r="Q1068" i="1"/>
  <c r="Q1069" i="1"/>
  <c r="Q1070" i="1"/>
  <c r="Q1071" i="1"/>
  <c r="Q1072" i="1"/>
  <c r="Q38" i="1"/>
  <c r="Q42" i="1"/>
  <c r="Q1073" i="1"/>
  <c r="Q1074" i="1"/>
  <c r="Q1075" i="1"/>
  <c r="Q1076" i="1"/>
  <c r="Q661" i="1"/>
  <c r="Q2" i="1"/>
  <c r="Q3" i="1"/>
  <c r="Q1077" i="1"/>
  <c r="Q1078" i="1"/>
  <c r="Q1079" i="1"/>
  <c r="Q512" i="1"/>
  <c r="Q566" i="1"/>
  <c r="Q198" i="1"/>
  <c r="Q85" i="1"/>
  <c r="Q725" i="1"/>
  <c r="Q762" i="1"/>
  <c r="Q369" i="1"/>
  <c r="Q407" i="1"/>
  <c r="Q481" i="1"/>
  <c r="Q549" i="1"/>
  <c r="Q486" i="1"/>
  <c r="Q573" i="1"/>
  <c r="Q358" i="1"/>
  <c r="Q567" i="1"/>
  <c r="Q199" i="1"/>
  <c r="Q726" i="1"/>
  <c r="Q686" i="1"/>
  <c r="Q714" i="1"/>
  <c r="Q763" i="1"/>
  <c r="Q756" i="1"/>
  <c r="Q513" i="1"/>
  <c r="Q129" i="1"/>
  <c r="Q166" i="1"/>
  <c r="Q514" i="1"/>
  <c r="Q467" i="1"/>
  <c r="Q494" i="1"/>
  <c r="Q414" i="1"/>
  <c r="Q1080" i="1"/>
  <c r="Q408" i="1"/>
  <c r="Q492" i="1"/>
  <c r="Q454" i="1"/>
  <c r="Q687" i="1"/>
  <c r="Q715" i="1"/>
  <c r="Q311" i="1"/>
  <c r="Q379" i="1"/>
  <c r="Q209" i="1"/>
  <c r="Q757" i="1"/>
  <c r="Q409" i="1"/>
  <c r="Q465" i="1"/>
  <c r="Q328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248" i="1"/>
  <c r="Q323" i="1"/>
  <c r="Q296" i="1"/>
  <c r="Q274" i="1"/>
  <c r="Q280" i="1"/>
  <c r="Q351" i="1"/>
  <c r="Q329" i="1"/>
  <c r="Q331" i="1"/>
  <c r="Q370" i="1"/>
  <c r="Q297" i="1"/>
  <c r="Q261" i="1"/>
  <c r="Q312" i="1"/>
  <c r="Q241" i="1"/>
  <c r="Q292" i="1"/>
  <c r="Q281" i="1"/>
  <c r="Q200" i="1"/>
  <c r="Q282" i="1"/>
  <c r="Q253" i="1"/>
  <c r="Q150" i="1"/>
  <c r="Q201" i="1"/>
  <c r="Q205" i="1"/>
  <c r="Q313" i="1"/>
  <c r="Q353" i="1"/>
  <c r="Q359" i="1"/>
  <c r="Q371" i="1"/>
  <c r="Q372" i="1"/>
  <c r="Q355" i="1"/>
  <c r="Q283" i="1"/>
  <c r="Q303" i="1"/>
  <c r="Q307" i="1"/>
  <c r="Q340" i="1"/>
  <c r="Q352" i="1"/>
  <c r="Q344" i="1"/>
  <c r="Q235" i="1"/>
  <c r="Q284" i="1"/>
  <c r="Q300" i="1"/>
  <c r="Q314" i="1"/>
  <c r="Q380" i="1"/>
  <c r="Q324" i="1"/>
  <c r="Q315" i="1"/>
  <c r="Q268" i="1"/>
  <c r="Q242" i="1"/>
  <c r="Q271" i="1"/>
  <c r="Q316" i="1"/>
  <c r="Q254" i="1"/>
  <c r="Q272" i="1"/>
  <c r="Q211" i="1"/>
  <c r="Q255" i="1"/>
  <c r="Q220" i="1"/>
  <c r="Q275" i="1"/>
  <c r="Q243" i="1"/>
  <c r="Q215" i="1"/>
  <c r="Q169" i="1"/>
  <c r="Q140" i="1"/>
  <c r="Q221" i="1"/>
  <c r="Q145" i="1"/>
  <c r="Q384" i="1"/>
  <c r="Q335" i="1"/>
  <c r="Q301" i="1"/>
  <c r="Q256" i="1"/>
  <c r="Q348" i="1"/>
  <c r="Q304" i="1"/>
  <c r="Q298" i="1"/>
  <c r="Q285" i="1"/>
  <c r="Q259" i="1"/>
  <c r="Q373" i="1"/>
  <c r="Q332" i="1"/>
  <c r="Q299" i="1"/>
  <c r="Q374" i="1"/>
  <c r="Q216" i="1"/>
  <c r="Q208" i="1"/>
  <c r="Q333" i="1"/>
  <c r="Q375" i="1"/>
  <c r="Q325" i="1"/>
  <c r="Q213" i="1"/>
  <c r="P174" i="1"/>
  <c r="P117" i="1"/>
  <c r="P121" i="1"/>
  <c r="P115" i="1"/>
  <c r="P82" i="1"/>
  <c r="P250" i="1"/>
  <c r="P165" i="1"/>
  <c r="P154" i="1"/>
  <c r="P114" i="1"/>
  <c r="P146" i="1"/>
  <c r="P111" i="1"/>
  <c r="P378" i="1"/>
  <c r="P381" i="1"/>
  <c r="P289" i="1"/>
  <c r="P55" i="1"/>
  <c r="P226" i="1"/>
  <c r="P54" i="1"/>
  <c r="P175" i="1"/>
  <c r="P44" i="1"/>
  <c r="P176" i="1"/>
  <c r="P91" i="1"/>
  <c r="P337" i="1"/>
  <c r="P75" i="1"/>
  <c r="P318" i="1"/>
  <c r="P69" i="1"/>
  <c r="P319" i="1"/>
  <c r="P70" i="1"/>
  <c r="P138" i="1"/>
  <c r="P122" i="1"/>
  <c r="P161" i="1"/>
  <c r="P202" i="1"/>
  <c r="P171" i="1"/>
  <c r="P262" i="1"/>
  <c r="P671" i="1"/>
  <c r="P697" i="1"/>
  <c r="P688" i="1"/>
  <c r="P767" i="1"/>
  <c r="P768" i="1"/>
  <c r="P222" i="1"/>
  <c r="P246" i="1"/>
  <c r="P236" i="1"/>
  <c r="P769" i="1"/>
  <c r="P770" i="1"/>
  <c r="P638" i="1"/>
  <c r="P771" i="1"/>
  <c r="P108" i="1"/>
  <c r="P106" i="1"/>
  <c r="P772" i="1"/>
  <c r="P773" i="1"/>
  <c r="P774" i="1"/>
  <c r="P775" i="1"/>
  <c r="P33" i="1"/>
  <c r="P90" i="1"/>
  <c r="P308" i="1"/>
  <c r="P9" i="1"/>
  <c r="P49" i="1"/>
  <c r="P83" i="1"/>
  <c r="P7" i="1"/>
  <c r="P48" i="1"/>
  <c r="P50" i="1"/>
  <c r="P177" i="1"/>
  <c r="P438" i="1"/>
  <c r="P627" i="1"/>
  <c r="P703" i="1"/>
  <c r="P698" i="1"/>
  <c r="P776" i="1"/>
  <c r="P639" i="1"/>
  <c r="P758" i="1"/>
  <c r="P92" i="1"/>
  <c r="P395" i="1"/>
  <c r="P237" i="1"/>
  <c r="P469" i="1"/>
  <c r="P419" i="1"/>
  <c r="P470" i="1"/>
  <c r="P427" i="1"/>
  <c r="P458" i="1"/>
  <c r="P547" i="1"/>
  <c r="P584" i="1"/>
  <c r="P334" i="1"/>
  <c r="P415" i="1"/>
  <c r="P178" i="1"/>
  <c r="P420" i="1"/>
  <c r="P421" i="1"/>
  <c r="P539" i="1"/>
  <c r="P396" i="1"/>
  <c r="P430" i="1"/>
  <c r="P450" i="1"/>
  <c r="P468" i="1"/>
  <c r="P361" i="1"/>
  <c r="P287" i="1"/>
  <c r="P585" i="1"/>
  <c r="P495" i="1"/>
  <c r="P777" i="1"/>
  <c r="P778" i="1"/>
  <c r="P749" i="1"/>
  <c r="P779" i="1"/>
  <c r="P780" i="1"/>
  <c r="P309" i="1"/>
  <c r="P636" i="1"/>
  <c r="P625" i="1"/>
  <c r="P249" i="1"/>
  <c r="P212" i="1"/>
  <c r="P173" i="1"/>
  <c r="P550" i="1"/>
  <c r="P781" i="1"/>
  <c r="P524" i="1"/>
  <c r="P594" i="1"/>
  <c r="P604" i="1"/>
  <c r="P616" i="1"/>
  <c r="P560" i="1"/>
  <c r="P276" i="1"/>
  <c r="P611" i="1"/>
  <c r="P592" i="1"/>
  <c r="P732" i="1"/>
  <c r="P672" i="1"/>
  <c r="P651" i="1"/>
  <c r="P677" i="1"/>
  <c r="P665" i="1"/>
  <c r="P678" i="1"/>
  <c r="P782" i="1"/>
  <c r="P628" i="1"/>
  <c r="P614" i="1"/>
  <c r="P619" i="1"/>
  <c r="P586" i="1"/>
  <c r="P593" i="1"/>
  <c r="P574" i="1"/>
  <c r="P577" i="1"/>
  <c r="P612" i="1"/>
  <c r="P569" i="1"/>
  <c r="P624" i="1"/>
  <c r="P621" i="1"/>
  <c r="P613" i="1"/>
  <c r="P565" i="1"/>
  <c r="P578" i="1"/>
  <c r="P580" i="1"/>
  <c r="P588" i="1"/>
  <c r="P632" i="1"/>
  <c r="P617" i="1"/>
  <c r="P618" i="1"/>
  <c r="P589" i="1"/>
  <c r="P605" i="1"/>
  <c r="P568" i="1"/>
  <c r="P581" i="1"/>
  <c r="P46" i="1"/>
  <c r="P155" i="1"/>
  <c r="P783" i="1"/>
  <c r="P784" i="1"/>
  <c r="P666" i="1"/>
  <c r="P646" i="1"/>
  <c r="P655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735" i="1"/>
  <c r="P699" i="1"/>
  <c r="P742" i="1"/>
  <c r="P736" i="1"/>
  <c r="P700" i="1"/>
  <c r="P743" i="1"/>
  <c r="P745" i="1"/>
  <c r="P704" i="1"/>
  <c r="P746" i="1"/>
  <c r="P737" i="1"/>
  <c r="P701" i="1"/>
  <c r="P744" i="1"/>
  <c r="P640" i="1"/>
  <c r="P595" i="1"/>
  <c r="P641" i="1"/>
  <c r="P815" i="1"/>
  <c r="P766" i="1"/>
  <c r="P764" i="1"/>
  <c r="P750" i="1"/>
  <c r="P12" i="1"/>
  <c r="P13" i="1"/>
  <c r="P14" i="1"/>
  <c r="P15" i="1"/>
  <c r="P37" i="1"/>
  <c r="P16" i="1"/>
  <c r="P439" i="1"/>
  <c r="P459" i="1"/>
  <c r="P472" i="1"/>
  <c r="P338" i="1"/>
  <c r="P345" i="1"/>
  <c r="P386" i="1"/>
  <c r="P440" i="1"/>
  <c r="P460" i="1"/>
  <c r="P473" i="1"/>
  <c r="P382" i="1"/>
  <c r="P346" i="1"/>
  <c r="P387" i="1"/>
  <c r="P441" i="1"/>
  <c r="P461" i="1"/>
  <c r="P474" i="1"/>
  <c r="P383" i="1"/>
  <c r="P347" i="1"/>
  <c r="P388" i="1"/>
  <c r="P17" i="1"/>
  <c r="P18" i="1"/>
  <c r="P19" i="1"/>
  <c r="P41" i="1"/>
  <c r="P20" i="1"/>
  <c r="P21" i="1"/>
  <c r="P493" i="1"/>
  <c r="P497" i="1"/>
  <c r="P478" i="1"/>
  <c r="P456" i="1"/>
  <c r="P425" i="1"/>
  <c r="P341" i="1"/>
  <c r="P22" i="1"/>
  <c r="P23" i="1"/>
  <c r="P24" i="1"/>
  <c r="P606" i="1"/>
  <c r="P442" i="1"/>
  <c r="P462" i="1"/>
  <c r="P607" i="1"/>
  <c r="P443" i="1"/>
  <c r="P463" i="1"/>
  <c r="P608" i="1"/>
  <c r="P444" i="1"/>
  <c r="P464" i="1"/>
  <c r="P25" i="1"/>
  <c r="P26" i="1"/>
  <c r="P27" i="1"/>
  <c r="P543" i="1"/>
  <c r="P411" i="1"/>
  <c r="P399" i="1"/>
  <c r="P487" i="1"/>
  <c r="P310" i="1"/>
  <c r="P400" i="1"/>
  <c r="P362" i="1"/>
  <c r="P179" i="1"/>
  <c r="P112" i="1"/>
  <c r="P180" i="1"/>
  <c r="P147" i="1"/>
  <c r="P125" i="1"/>
  <c r="P162" i="1"/>
  <c r="P551" i="1"/>
  <c r="P552" i="1"/>
  <c r="P519" i="1"/>
  <c r="P475" i="1"/>
  <c r="P498" i="1"/>
  <c r="P521" i="1"/>
  <c r="P553" i="1"/>
  <c r="P554" i="1"/>
  <c r="P561" i="1"/>
  <c r="P476" i="1"/>
  <c r="P499" i="1"/>
  <c r="P522" i="1"/>
  <c r="P555" i="1"/>
  <c r="P556" i="1"/>
  <c r="P562" i="1"/>
  <c r="P477" i="1"/>
  <c r="P500" i="1"/>
  <c r="P523" i="1"/>
  <c r="P181" i="1"/>
  <c r="P182" i="1"/>
  <c r="P148" i="1"/>
  <c r="P139" i="1"/>
  <c r="P183" i="1"/>
  <c r="P126" i="1"/>
  <c r="P609" i="1"/>
  <c r="P610" i="1"/>
  <c r="P557" i="1"/>
  <c r="P525" i="1"/>
  <c r="P532" i="1"/>
  <c r="P508" i="1"/>
  <c r="P184" i="1"/>
  <c r="P93" i="1"/>
  <c r="P185" i="1"/>
  <c r="P629" i="1"/>
  <c r="P596" i="1"/>
  <c r="P540" i="1"/>
  <c r="P630" i="1"/>
  <c r="P597" i="1"/>
  <c r="P541" i="1"/>
  <c r="P631" i="1"/>
  <c r="P533" i="1"/>
  <c r="P542" i="1"/>
  <c r="P186" i="1"/>
  <c r="P127" i="1"/>
  <c r="P133" i="1"/>
  <c r="P587" i="1"/>
  <c r="P515" i="1"/>
  <c r="P520" i="1"/>
  <c r="P509" i="1"/>
  <c r="P534" i="1"/>
  <c r="P526" i="1"/>
  <c r="P558" i="1"/>
  <c r="P667" i="1"/>
  <c r="P654" i="1"/>
  <c r="P652" i="1"/>
  <c r="P649" i="1"/>
  <c r="P656" i="1"/>
  <c r="P653" i="1"/>
  <c r="P720" i="1"/>
  <c r="P738" i="1"/>
  <c r="P716" i="1"/>
  <c r="P718" i="1"/>
  <c r="P693" i="1"/>
  <c r="P717" i="1"/>
  <c r="P320" i="1"/>
  <c r="P305" i="1"/>
  <c r="P286" i="1"/>
  <c r="P149" i="1"/>
  <c r="P152" i="1"/>
  <c r="P96" i="1"/>
  <c r="P103" i="1"/>
  <c r="P330" i="1"/>
  <c r="P153" i="1"/>
  <c r="P141" i="1"/>
  <c r="P130" i="1"/>
  <c r="P87" i="1"/>
  <c r="P187" i="1"/>
  <c r="P104" i="1"/>
  <c r="P376" i="1"/>
  <c r="P134" i="1"/>
  <c r="P142" i="1"/>
  <c r="P94" i="1"/>
  <c r="P97" i="1"/>
  <c r="P257" i="1"/>
  <c r="P151" i="1"/>
  <c r="P95" i="1"/>
  <c r="P432" i="1"/>
  <c r="P422" i="1"/>
  <c r="P321" i="1"/>
  <c r="P401" i="1"/>
  <c r="P426" i="1"/>
  <c r="P527" i="1"/>
  <c r="P471" i="1"/>
  <c r="P227" i="1"/>
  <c r="P251" i="1"/>
  <c r="P245" i="1"/>
  <c r="P269" i="1"/>
  <c r="P390" i="1"/>
  <c r="P402" i="1"/>
  <c r="P398" i="1"/>
  <c r="P391" i="1"/>
  <c r="P247" i="1"/>
  <c r="P490" i="1"/>
  <c r="P466" i="1"/>
  <c r="P118" i="1"/>
  <c r="P109" i="1"/>
  <c r="P76" i="1"/>
  <c r="P765" i="1"/>
  <c r="P816" i="1"/>
  <c r="P817" i="1"/>
  <c r="P642" i="1"/>
  <c r="P751" i="1"/>
  <c r="P719" i="1"/>
  <c r="P710" i="1"/>
  <c r="P705" i="1"/>
  <c r="P721" i="1"/>
  <c r="P679" i="1"/>
  <c r="P702" i="1"/>
  <c r="P692" i="1"/>
  <c r="P570" i="1"/>
  <c r="P228" i="1"/>
  <c r="P252" i="1"/>
  <c r="P135" i="1"/>
  <c r="P143" i="1"/>
  <c r="P818" i="1"/>
  <c r="P28" i="1"/>
  <c r="P188" i="1"/>
  <c r="P819" i="1"/>
  <c r="P412" i="1"/>
  <c r="P535" i="1"/>
  <c r="P727" i="1"/>
  <c r="P711" i="1"/>
  <c r="P696" i="1"/>
  <c r="P637" i="1"/>
  <c r="P536" i="1"/>
  <c r="P491" i="1"/>
  <c r="P626" i="1"/>
  <c r="P615" i="1"/>
  <c r="P680" i="1"/>
  <c r="P428" i="1"/>
  <c r="P393" i="1"/>
  <c r="P258" i="1"/>
  <c r="P397" i="1"/>
  <c r="P260" i="1"/>
  <c r="P377" i="1"/>
  <c r="P349" i="1"/>
  <c r="P244" i="1"/>
  <c r="P293" i="1"/>
  <c r="P317" i="1"/>
  <c r="P418" i="1"/>
  <c r="P453" i="1"/>
  <c r="P501" i="1"/>
  <c r="P354" i="1"/>
  <c r="P342" i="1"/>
  <c r="P545" i="1"/>
  <c r="P516" i="1"/>
  <c r="P622" i="1"/>
  <c r="P733" i="1"/>
  <c r="P734" i="1"/>
  <c r="P741" i="1"/>
  <c r="P673" i="1"/>
  <c r="P670" i="1"/>
  <c r="P189" i="1"/>
  <c r="P820" i="1"/>
  <c r="P821" i="1"/>
  <c r="P822" i="1"/>
  <c r="P823" i="1"/>
  <c r="P824" i="1"/>
  <c r="P747" i="1"/>
  <c r="P825" i="1"/>
  <c r="P826" i="1"/>
  <c r="P827" i="1"/>
  <c r="P29" i="1"/>
  <c r="P190" i="1"/>
  <c r="P676" i="1"/>
  <c r="P598" i="1"/>
  <c r="P582" i="1"/>
  <c r="P563" i="1"/>
  <c r="P583" i="1"/>
  <c r="P601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657" i="1"/>
  <c r="P871" i="1"/>
  <c r="P872" i="1"/>
  <c r="P873" i="1"/>
  <c r="P874" i="1"/>
  <c r="P875" i="1"/>
  <c r="P876" i="1"/>
  <c r="P877" i="1"/>
  <c r="P752" i="1"/>
  <c r="P706" i="1"/>
  <c r="P739" i="1"/>
  <c r="P694" i="1"/>
  <c r="P729" i="1"/>
  <c r="P707" i="1"/>
  <c r="P575" i="1"/>
  <c r="P590" i="1"/>
  <c r="P571" i="1"/>
  <c r="P576" i="1"/>
  <c r="P591" i="1"/>
  <c r="P600" i="1"/>
  <c r="P88" i="1"/>
  <c r="P89" i="1"/>
  <c r="P160" i="1"/>
  <c r="P81" i="1"/>
  <c r="P84" i="1"/>
  <c r="P191" i="1"/>
  <c r="P113" i="1"/>
  <c r="P229" i="1"/>
  <c r="P137" i="1"/>
  <c r="P65" i="1"/>
  <c r="P156" i="1"/>
  <c r="P59" i="1"/>
  <c r="P167" i="1"/>
  <c r="P63" i="1"/>
  <c r="P163" i="1"/>
  <c r="P217" i="1"/>
  <c r="P322" i="1"/>
  <c r="P45" i="1"/>
  <c r="P36" i="1"/>
  <c r="P60" i="1"/>
  <c r="P107" i="1"/>
  <c r="P131" i="1"/>
  <c r="P730" i="1"/>
  <c r="P119" i="1"/>
  <c r="P116" i="1"/>
  <c r="P203" i="1"/>
  <c r="P73" i="1"/>
  <c r="P98" i="1"/>
  <c r="P39" i="1"/>
  <c r="P47" i="1"/>
  <c r="P445" i="1"/>
  <c r="P510" i="1"/>
  <c r="P67" i="1"/>
  <c r="P68" i="1"/>
  <c r="P101" i="1"/>
  <c r="P124" i="1"/>
  <c r="P206" i="1"/>
  <c r="P356" i="1"/>
  <c r="P878" i="1"/>
  <c r="P502" i="1"/>
  <c r="P385" i="1"/>
  <c r="P452" i="1"/>
  <c r="P336" i="1"/>
  <c r="P35" i="1"/>
  <c r="P40" i="1"/>
  <c r="P457" i="1"/>
  <c r="P674" i="1"/>
  <c r="P669" i="1"/>
  <c r="P658" i="1"/>
  <c r="P647" i="1"/>
  <c r="P544" i="1"/>
  <c r="P546" i="1"/>
  <c r="P879" i="1"/>
  <c r="P238" i="1"/>
  <c r="P51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681" i="1"/>
  <c r="P682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659" i="1"/>
  <c r="P690" i="1"/>
  <c r="P920" i="1"/>
  <c r="P921" i="1"/>
  <c r="P922" i="1"/>
  <c r="P488" i="1"/>
  <c r="P503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689" i="1"/>
  <c r="P691" i="1"/>
  <c r="P489" i="1"/>
  <c r="P496" i="1"/>
  <c r="P518" i="1"/>
  <c r="P504" i="1"/>
  <c r="P537" i="1"/>
  <c r="P538" i="1"/>
  <c r="P528" i="1"/>
  <c r="P530" i="1"/>
  <c r="P712" i="1"/>
  <c r="P663" i="1"/>
  <c r="P722" i="1"/>
  <c r="P56" i="1"/>
  <c r="P157" i="1"/>
  <c r="P144" i="1"/>
  <c r="P61" i="1"/>
  <c r="P136" i="1"/>
  <c r="P123" i="1"/>
  <c r="P294" i="1"/>
  <c r="P403" i="1"/>
  <c r="P288" i="1"/>
  <c r="P413" i="1"/>
  <c r="P433" i="1"/>
  <c r="P529" i="1"/>
  <c r="P394" i="1"/>
  <c r="P224" i="1"/>
  <c r="P644" i="1"/>
  <c r="P559" i="1"/>
  <c r="P451" i="1"/>
  <c r="P662" i="1"/>
  <c r="P645" i="1"/>
  <c r="P675" i="1"/>
  <c r="P225" i="1"/>
  <c r="P564" i="1"/>
  <c r="P664" i="1"/>
  <c r="P30" i="1"/>
  <c r="P34" i="1"/>
  <c r="P74" i="1"/>
  <c r="P53" i="1"/>
  <c r="P263" i="1"/>
  <c r="P290" i="1"/>
  <c r="P291" i="1"/>
  <c r="P431" i="1"/>
  <c r="P5" i="1"/>
  <c r="P11" i="1"/>
  <c r="P32" i="1"/>
  <c r="P31" i="1"/>
  <c r="P110" i="1"/>
  <c r="P223" i="1"/>
  <c r="P446" i="1"/>
  <c r="P277" i="1"/>
  <c r="P80" i="1"/>
  <c r="P99" i="1"/>
  <c r="P77" i="1"/>
  <c r="P100" i="1"/>
  <c r="P4" i="1"/>
  <c r="P6" i="1"/>
  <c r="P10" i="1"/>
  <c r="P8" i="1"/>
  <c r="P43" i="1"/>
  <c r="P71" i="1"/>
  <c r="P210" i="1"/>
  <c r="P102" i="1"/>
  <c r="P64" i="1"/>
  <c r="P264" i="1"/>
  <c r="P192" i="1"/>
  <c r="P193" i="1"/>
  <c r="P389" i="1"/>
  <c r="P86" i="1"/>
  <c r="P273" i="1"/>
  <c r="P302" i="1"/>
  <c r="P105" i="1"/>
  <c r="P599" i="1"/>
  <c r="P759" i="1"/>
  <c r="P505" i="1"/>
  <c r="P363" i="1"/>
  <c r="P660" i="1"/>
  <c r="P423" i="1"/>
  <c r="P748" i="1"/>
  <c r="P635" i="1"/>
  <c r="P579" i="1"/>
  <c r="P760" i="1"/>
  <c r="P648" i="1"/>
  <c r="P506" i="1"/>
  <c r="P120" i="1"/>
  <c r="P754" i="1"/>
  <c r="P455" i="1"/>
  <c r="P194" i="1"/>
  <c r="P447" i="1"/>
  <c r="P755" i="1"/>
  <c r="P623" i="1"/>
  <c r="P620" i="1"/>
  <c r="P753" i="1"/>
  <c r="P650" i="1"/>
  <c r="P424" i="1"/>
  <c r="P239" i="1"/>
  <c r="P270" i="1"/>
  <c r="P295" i="1"/>
  <c r="P339" i="1"/>
  <c r="P164" i="1"/>
  <c r="P172" i="1"/>
  <c r="P214" i="1"/>
  <c r="P230" i="1"/>
  <c r="P278" i="1"/>
  <c r="P279" i="1"/>
  <c r="P72" i="1"/>
  <c r="P132" i="1"/>
  <c r="P416" i="1"/>
  <c r="P429" i="1"/>
  <c r="P350" i="1"/>
  <c r="P57" i="1"/>
  <c r="P78" i="1"/>
  <c r="P938" i="1"/>
  <c r="P507" i="1"/>
  <c r="P740" i="1"/>
  <c r="P939" i="1"/>
  <c r="P448" i="1"/>
  <c r="P728" i="1"/>
  <c r="P668" i="1"/>
  <c r="P723" i="1"/>
  <c r="P708" i="1"/>
  <c r="P709" i="1"/>
  <c r="P731" i="1"/>
  <c r="P695" i="1"/>
  <c r="P643" i="1"/>
  <c r="P940" i="1"/>
  <c r="P941" i="1"/>
  <c r="P942" i="1"/>
  <c r="P943" i="1"/>
  <c r="P944" i="1"/>
  <c r="P945" i="1"/>
  <c r="P946" i="1"/>
  <c r="P947" i="1"/>
  <c r="P948" i="1"/>
  <c r="P949" i="1"/>
  <c r="P950" i="1"/>
  <c r="P240" i="1"/>
  <c r="P52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417" i="1"/>
  <c r="P449" i="1"/>
  <c r="P79" i="1"/>
  <c r="P62" i="1"/>
  <c r="P265" i="1"/>
  <c r="P1061" i="1"/>
  <c r="P1062" i="1"/>
  <c r="P364" i="1"/>
  <c r="P1063" i="1"/>
  <c r="P1064" i="1"/>
  <c r="P683" i="1"/>
  <c r="P633" i="1"/>
  <c r="P479" i="1"/>
  <c r="P483" i="1"/>
  <c r="P434" i="1"/>
  <c r="P404" i="1"/>
  <c r="P207" i="1"/>
  <c r="P266" i="1"/>
  <c r="P365" i="1"/>
  <c r="P231" i="1"/>
  <c r="P326" i="1"/>
  <c r="P366" i="1"/>
  <c r="P232" i="1"/>
  <c r="P327" i="1"/>
  <c r="P195" i="1"/>
  <c r="P58" i="1"/>
  <c r="P218" i="1"/>
  <c r="P66" i="1"/>
  <c r="P405" i="1"/>
  <c r="P410" i="1"/>
  <c r="P343" i="1"/>
  <c r="P170" i="1"/>
  <c r="P204" i="1"/>
  <c r="P306" i="1"/>
  <c r="P435" i="1"/>
  <c r="P360" i="1"/>
  <c r="P392" i="1"/>
  <c r="P724" i="1"/>
  <c r="P684" i="1"/>
  <c r="P634" i="1"/>
  <c r="P602" i="1"/>
  <c r="P517" i="1"/>
  <c r="P531" i="1"/>
  <c r="P436" i="1"/>
  <c r="P484" i="1"/>
  <c r="P357" i="1"/>
  <c r="P158" i="1"/>
  <c r="P168" i="1"/>
  <c r="P267" i="1"/>
  <c r="P480" i="1"/>
  <c r="P548" i="1"/>
  <c r="P485" i="1"/>
  <c r="P406" i="1"/>
  <c r="P367" i="1"/>
  <c r="P196" i="1"/>
  <c r="P482" i="1"/>
  <c r="P233" i="1"/>
  <c r="P234" i="1"/>
  <c r="P603" i="1"/>
  <c r="P128" i="1"/>
  <c r="P159" i="1"/>
  <c r="P437" i="1"/>
  <c r="P197" i="1"/>
  <c r="P219" i="1"/>
  <c r="P511" i="1"/>
  <c r="P572" i="1"/>
  <c r="P368" i="1"/>
  <c r="P685" i="1"/>
  <c r="P713" i="1"/>
  <c r="P761" i="1"/>
  <c r="P1065" i="1"/>
  <c r="P1066" i="1"/>
  <c r="P1067" i="1"/>
  <c r="P1068" i="1"/>
  <c r="P1069" i="1"/>
  <c r="P1070" i="1"/>
  <c r="P1071" i="1"/>
  <c r="P1072" i="1"/>
  <c r="P38" i="1"/>
  <c r="P42" i="1"/>
  <c r="P1073" i="1"/>
  <c r="P1074" i="1"/>
  <c r="P1075" i="1"/>
  <c r="P1076" i="1"/>
  <c r="P661" i="1"/>
  <c r="P2" i="1"/>
  <c r="P3" i="1"/>
  <c r="P1077" i="1"/>
  <c r="P1078" i="1"/>
  <c r="P1079" i="1"/>
  <c r="P512" i="1"/>
  <c r="P566" i="1"/>
  <c r="P198" i="1"/>
  <c r="P85" i="1"/>
  <c r="P725" i="1"/>
  <c r="P762" i="1"/>
  <c r="P369" i="1"/>
  <c r="P407" i="1"/>
  <c r="P481" i="1"/>
  <c r="P549" i="1"/>
  <c r="P486" i="1"/>
  <c r="P573" i="1"/>
  <c r="P358" i="1"/>
  <c r="P567" i="1"/>
  <c r="P199" i="1"/>
  <c r="P726" i="1"/>
  <c r="P686" i="1"/>
  <c r="P714" i="1"/>
  <c r="P763" i="1"/>
  <c r="P756" i="1"/>
  <c r="P513" i="1"/>
  <c r="P129" i="1"/>
  <c r="P166" i="1"/>
  <c r="P514" i="1"/>
  <c r="P467" i="1"/>
  <c r="P494" i="1"/>
  <c r="P414" i="1"/>
  <c r="P1080" i="1"/>
  <c r="P408" i="1"/>
  <c r="P492" i="1"/>
  <c r="P454" i="1"/>
  <c r="P687" i="1"/>
  <c r="P715" i="1"/>
  <c r="P311" i="1"/>
  <c r="P379" i="1"/>
  <c r="P209" i="1"/>
  <c r="P757" i="1"/>
  <c r="P409" i="1"/>
  <c r="P465" i="1"/>
  <c r="P328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248" i="1"/>
  <c r="P323" i="1"/>
  <c r="P296" i="1"/>
  <c r="P274" i="1"/>
  <c r="P280" i="1"/>
  <c r="P351" i="1"/>
  <c r="P329" i="1"/>
  <c r="P331" i="1"/>
  <c r="P370" i="1"/>
  <c r="P297" i="1"/>
  <c r="P261" i="1"/>
  <c r="P312" i="1"/>
  <c r="P241" i="1"/>
  <c r="P292" i="1"/>
  <c r="P281" i="1"/>
  <c r="P200" i="1"/>
  <c r="P282" i="1"/>
  <c r="P253" i="1"/>
  <c r="P150" i="1"/>
  <c r="P201" i="1"/>
  <c r="P205" i="1"/>
  <c r="P313" i="1"/>
  <c r="P353" i="1"/>
  <c r="P359" i="1"/>
  <c r="P371" i="1"/>
  <c r="P372" i="1"/>
  <c r="P355" i="1"/>
  <c r="P283" i="1"/>
  <c r="P303" i="1"/>
  <c r="P307" i="1"/>
  <c r="P340" i="1"/>
  <c r="P352" i="1"/>
  <c r="P344" i="1"/>
  <c r="P235" i="1"/>
  <c r="P284" i="1"/>
  <c r="P300" i="1"/>
  <c r="P314" i="1"/>
  <c r="P380" i="1"/>
  <c r="P324" i="1"/>
  <c r="P315" i="1"/>
  <c r="P268" i="1"/>
  <c r="P242" i="1"/>
  <c r="P271" i="1"/>
  <c r="P316" i="1"/>
  <c r="P254" i="1"/>
  <c r="P272" i="1"/>
  <c r="P211" i="1"/>
  <c r="P255" i="1"/>
  <c r="P220" i="1"/>
  <c r="P275" i="1"/>
  <c r="P243" i="1"/>
  <c r="P215" i="1"/>
  <c r="P169" i="1"/>
  <c r="P140" i="1"/>
  <c r="P221" i="1"/>
  <c r="P145" i="1"/>
  <c r="P384" i="1"/>
  <c r="P335" i="1"/>
  <c r="P301" i="1"/>
  <c r="P256" i="1"/>
  <c r="P348" i="1"/>
  <c r="P304" i="1"/>
  <c r="P298" i="1"/>
  <c r="P285" i="1"/>
  <c r="P259" i="1"/>
  <c r="P373" i="1"/>
  <c r="P332" i="1"/>
  <c r="P299" i="1"/>
  <c r="P374" i="1"/>
  <c r="P216" i="1"/>
  <c r="P208" i="1"/>
  <c r="P333" i="1"/>
  <c r="P375" i="1"/>
  <c r="P325" i="1"/>
  <c r="P213" i="1"/>
  <c r="O174" i="1"/>
  <c r="O117" i="1"/>
  <c r="O121" i="1"/>
  <c r="O115" i="1"/>
  <c r="O82" i="1"/>
  <c r="O250" i="1"/>
  <c r="O165" i="1"/>
  <c r="O154" i="1"/>
  <c r="O114" i="1"/>
  <c r="O146" i="1"/>
  <c r="O111" i="1"/>
  <c r="O378" i="1"/>
  <c r="O381" i="1"/>
  <c r="O289" i="1"/>
  <c r="O55" i="1"/>
  <c r="O226" i="1"/>
  <c r="O54" i="1"/>
  <c r="O175" i="1"/>
  <c r="O44" i="1"/>
  <c r="O176" i="1"/>
  <c r="O91" i="1"/>
  <c r="O337" i="1"/>
  <c r="O75" i="1"/>
  <c r="O318" i="1"/>
  <c r="O69" i="1"/>
  <c r="O319" i="1"/>
  <c r="O70" i="1"/>
  <c r="O138" i="1"/>
  <c r="O122" i="1"/>
  <c r="O161" i="1"/>
  <c r="O202" i="1"/>
  <c r="O171" i="1"/>
  <c r="O262" i="1"/>
  <c r="O671" i="1"/>
  <c r="O697" i="1"/>
  <c r="O688" i="1"/>
  <c r="O767" i="1"/>
  <c r="O222" i="1"/>
  <c r="O246" i="1"/>
  <c r="O236" i="1"/>
  <c r="O769" i="1"/>
  <c r="O770" i="1"/>
  <c r="O638" i="1"/>
  <c r="O771" i="1"/>
  <c r="O108" i="1"/>
  <c r="O106" i="1"/>
  <c r="O772" i="1"/>
  <c r="O773" i="1"/>
  <c r="O774" i="1"/>
  <c r="O775" i="1"/>
  <c r="O33" i="1"/>
  <c r="O90" i="1"/>
  <c r="O308" i="1"/>
  <c r="O9" i="1"/>
  <c r="O49" i="1"/>
  <c r="O83" i="1"/>
  <c r="O7" i="1"/>
  <c r="O48" i="1"/>
  <c r="O50" i="1"/>
  <c r="O177" i="1"/>
  <c r="O438" i="1"/>
  <c r="O627" i="1"/>
  <c r="O703" i="1"/>
  <c r="O698" i="1"/>
  <c r="O776" i="1"/>
  <c r="O639" i="1"/>
  <c r="O758" i="1"/>
  <c r="O92" i="1"/>
  <c r="O395" i="1"/>
  <c r="O237" i="1"/>
  <c r="O469" i="1"/>
  <c r="O419" i="1"/>
  <c r="O470" i="1"/>
  <c r="O427" i="1"/>
  <c r="O458" i="1"/>
  <c r="O547" i="1"/>
  <c r="O584" i="1"/>
  <c r="O334" i="1"/>
  <c r="O415" i="1"/>
  <c r="O178" i="1"/>
  <c r="O420" i="1"/>
  <c r="O421" i="1"/>
  <c r="O539" i="1"/>
  <c r="O396" i="1"/>
  <c r="O430" i="1"/>
  <c r="O450" i="1"/>
  <c r="O468" i="1"/>
  <c r="O361" i="1"/>
  <c r="O287" i="1"/>
  <c r="O585" i="1"/>
  <c r="O495" i="1"/>
  <c r="O777" i="1"/>
  <c r="O778" i="1"/>
  <c r="O749" i="1"/>
  <c r="O779" i="1"/>
  <c r="O780" i="1"/>
  <c r="O309" i="1"/>
  <c r="O636" i="1"/>
  <c r="O625" i="1"/>
  <c r="O249" i="1"/>
  <c r="O212" i="1"/>
  <c r="O173" i="1"/>
  <c r="O550" i="1"/>
  <c r="O781" i="1"/>
  <c r="O524" i="1"/>
  <c r="O594" i="1"/>
  <c r="O604" i="1"/>
  <c r="O616" i="1"/>
  <c r="O560" i="1"/>
  <c r="O276" i="1"/>
  <c r="O611" i="1"/>
  <c r="O592" i="1"/>
  <c r="O732" i="1"/>
  <c r="O672" i="1"/>
  <c r="O651" i="1"/>
  <c r="O677" i="1"/>
  <c r="O665" i="1"/>
  <c r="O678" i="1"/>
  <c r="O782" i="1"/>
  <c r="O628" i="1"/>
  <c r="O614" i="1"/>
  <c r="O619" i="1"/>
  <c r="O586" i="1"/>
  <c r="O593" i="1"/>
  <c r="O574" i="1"/>
  <c r="O577" i="1"/>
  <c r="O612" i="1"/>
  <c r="O569" i="1"/>
  <c r="O624" i="1"/>
  <c r="O621" i="1"/>
  <c r="O613" i="1"/>
  <c r="O565" i="1"/>
  <c r="O578" i="1"/>
  <c r="O580" i="1"/>
  <c r="O588" i="1"/>
  <c r="O632" i="1"/>
  <c r="O617" i="1"/>
  <c r="O618" i="1"/>
  <c r="O589" i="1"/>
  <c r="O605" i="1"/>
  <c r="O568" i="1"/>
  <c r="O581" i="1"/>
  <c r="O46" i="1"/>
  <c r="O155" i="1"/>
  <c r="O783" i="1"/>
  <c r="O666" i="1"/>
  <c r="O646" i="1"/>
  <c r="O655" i="1"/>
  <c r="O785" i="1"/>
  <c r="O786" i="1"/>
  <c r="O787" i="1"/>
  <c r="O788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11" i="1"/>
  <c r="O812" i="1"/>
  <c r="O735" i="1"/>
  <c r="O699" i="1"/>
  <c r="O742" i="1"/>
  <c r="O736" i="1"/>
  <c r="O700" i="1"/>
  <c r="O743" i="1"/>
  <c r="O745" i="1"/>
  <c r="O704" i="1"/>
  <c r="O746" i="1"/>
  <c r="O737" i="1"/>
  <c r="O701" i="1"/>
  <c r="O744" i="1"/>
  <c r="O640" i="1"/>
  <c r="O595" i="1"/>
  <c r="O641" i="1"/>
  <c r="O815" i="1"/>
  <c r="O766" i="1"/>
  <c r="O764" i="1"/>
  <c r="O750" i="1"/>
  <c r="O12" i="1"/>
  <c r="O13" i="1"/>
  <c r="O14" i="1"/>
  <c r="O15" i="1"/>
  <c r="O37" i="1"/>
  <c r="O16" i="1"/>
  <c r="O439" i="1"/>
  <c r="O459" i="1"/>
  <c r="O472" i="1"/>
  <c r="O338" i="1"/>
  <c r="O345" i="1"/>
  <c r="O386" i="1"/>
  <c r="O440" i="1"/>
  <c r="O460" i="1"/>
  <c r="O473" i="1"/>
  <c r="O382" i="1"/>
  <c r="O346" i="1"/>
  <c r="O387" i="1"/>
  <c r="O441" i="1"/>
  <c r="O461" i="1"/>
  <c r="O474" i="1"/>
  <c r="O383" i="1"/>
  <c r="O347" i="1"/>
  <c r="O388" i="1"/>
  <c r="O17" i="1"/>
  <c r="O18" i="1"/>
  <c r="O19" i="1"/>
  <c r="O41" i="1"/>
  <c r="O20" i="1"/>
  <c r="O21" i="1"/>
  <c r="O493" i="1"/>
  <c r="O497" i="1"/>
  <c r="O478" i="1"/>
  <c r="O456" i="1"/>
  <c r="O425" i="1"/>
  <c r="O341" i="1"/>
  <c r="O22" i="1"/>
  <c r="O23" i="1"/>
  <c r="O24" i="1"/>
  <c r="O606" i="1"/>
  <c r="O442" i="1"/>
  <c r="O462" i="1"/>
  <c r="O607" i="1"/>
  <c r="O443" i="1"/>
  <c r="O463" i="1"/>
  <c r="O608" i="1"/>
  <c r="O444" i="1"/>
  <c r="O464" i="1"/>
  <c r="O25" i="1"/>
  <c r="O26" i="1"/>
  <c r="O27" i="1"/>
  <c r="O543" i="1"/>
  <c r="O411" i="1"/>
  <c r="O399" i="1"/>
  <c r="O487" i="1"/>
  <c r="O310" i="1"/>
  <c r="O400" i="1"/>
  <c r="O362" i="1"/>
  <c r="O179" i="1"/>
  <c r="O112" i="1"/>
  <c r="O180" i="1"/>
  <c r="O147" i="1"/>
  <c r="O125" i="1"/>
  <c r="O162" i="1"/>
  <c r="O551" i="1"/>
  <c r="O552" i="1"/>
  <c r="O519" i="1"/>
  <c r="O475" i="1"/>
  <c r="O498" i="1"/>
  <c r="O521" i="1"/>
  <c r="O553" i="1"/>
  <c r="O554" i="1"/>
  <c r="O561" i="1"/>
  <c r="O476" i="1"/>
  <c r="O499" i="1"/>
  <c r="O522" i="1"/>
  <c r="O555" i="1"/>
  <c r="O556" i="1"/>
  <c r="O562" i="1"/>
  <c r="O477" i="1"/>
  <c r="O500" i="1"/>
  <c r="O523" i="1"/>
  <c r="O181" i="1"/>
  <c r="O182" i="1"/>
  <c r="O148" i="1"/>
  <c r="O139" i="1"/>
  <c r="O183" i="1"/>
  <c r="O126" i="1"/>
  <c r="O609" i="1"/>
  <c r="O610" i="1"/>
  <c r="O557" i="1"/>
  <c r="O525" i="1"/>
  <c r="O532" i="1"/>
  <c r="O508" i="1"/>
  <c r="O184" i="1"/>
  <c r="O93" i="1"/>
  <c r="O185" i="1"/>
  <c r="O629" i="1"/>
  <c r="O596" i="1"/>
  <c r="O540" i="1"/>
  <c r="O630" i="1"/>
  <c r="O597" i="1"/>
  <c r="O541" i="1"/>
  <c r="O631" i="1"/>
  <c r="O533" i="1"/>
  <c r="O542" i="1"/>
  <c r="O186" i="1"/>
  <c r="O127" i="1"/>
  <c r="O133" i="1"/>
  <c r="O587" i="1"/>
  <c r="O515" i="1"/>
  <c r="O520" i="1"/>
  <c r="O509" i="1"/>
  <c r="O534" i="1"/>
  <c r="O526" i="1"/>
  <c r="O558" i="1"/>
  <c r="O667" i="1"/>
  <c r="O654" i="1"/>
  <c r="O652" i="1"/>
  <c r="O649" i="1"/>
  <c r="O656" i="1"/>
  <c r="O653" i="1"/>
  <c r="O720" i="1"/>
  <c r="O738" i="1"/>
  <c r="O716" i="1"/>
  <c r="O718" i="1"/>
  <c r="O693" i="1"/>
  <c r="O717" i="1"/>
  <c r="O320" i="1"/>
  <c r="O305" i="1"/>
  <c r="O286" i="1"/>
  <c r="O149" i="1"/>
  <c r="O152" i="1"/>
  <c r="O96" i="1"/>
  <c r="O103" i="1"/>
  <c r="O330" i="1"/>
  <c r="O153" i="1"/>
  <c r="O141" i="1"/>
  <c r="O130" i="1"/>
  <c r="O87" i="1"/>
  <c r="O187" i="1"/>
  <c r="O104" i="1"/>
  <c r="O376" i="1"/>
  <c r="O134" i="1"/>
  <c r="O142" i="1"/>
  <c r="O94" i="1"/>
  <c r="O97" i="1"/>
  <c r="O257" i="1"/>
  <c r="O151" i="1"/>
  <c r="O95" i="1"/>
  <c r="O432" i="1"/>
  <c r="O422" i="1"/>
  <c r="O321" i="1"/>
  <c r="O401" i="1"/>
  <c r="O426" i="1"/>
  <c r="O527" i="1"/>
  <c r="O471" i="1"/>
  <c r="O227" i="1"/>
  <c r="O251" i="1"/>
  <c r="O245" i="1"/>
  <c r="O269" i="1"/>
  <c r="O390" i="1"/>
  <c r="O402" i="1"/>
  <c r="O398" i="1"/>
  <c r="O391" i="1"/>
  <c r="O247" i="1"/>
  <c r="O490" i="1"/>
  <c r="O466" i="1"/>
  <c r="O118" i="1"/>
  <c r="O109" i="1"/>
  <c r="O76" i="1"/>
  <c r="O765" i="1"/>
  <c r="O816" i="1"/>
  <c r="O817" i="1"/>
  <c r="O642" i="1"/>
  <c r="O751" i="1"/>
  <c r="O719" i="1"/>
  <c r="O710" i="1"/>
  <c r="O705" i="1"/>
  <c r="O721" i="1"/>
  <c r="O679" i="1"/>
  <c r="O702" i="1"/>
  <c r="O692" i="1"/>
  <c r="O570" i="1"/>
  <c r="O228" i="1"/>
  <c r="O252" i="1"/>
  <c r="O135" i="1"/>
  <c r="O143" i="1"/>
  <c r="O818" i="1"/>
  <c r="O28" i="1"/>
  <c r="O188" i="1"/>
  <c r="O819" i="1"/>
  <c r="O412" i="1"/>
  <c r="O535" i="1"/>
  <c r="O727" i="1"/>
  <c r="O711" i="1"/>
  <c r="O696" i="1"/>
  <c r="O637" i="1"/>
  <c r="O536" i="1"/>
  <c r="O491" i="1"/>
  <c r="O626" i="1"/>
  <c r="O615" i="1"/>
  <c r="O680" i="1"/>
  <c r="O428" i="1"/>
  <c r="O393" i="1"/>
  <c r="O258" i="1"/>
  <c r="O397" i="1"/>
  <c r="O260" i="1"/>
  <c r="O377" i="1"/>
  <c r="O349" i="1"/>
  <c r="O244" i="1"/>
  <c r="O293" i="1"/>
  <c r="O317" i="1"/>
  <c r="O418" i="1"/>
  <c r="O453" i="1"/>
  <c r="O501" i="1"/>
  <c r="O354" i="1"/>
  <c r="O342" i="1"/>
  <c r="O545" i="1"/>
  <c r="O516" i="1"/>
  <c r="O622" i="1"/>
  <c r="O733" i="1"/>
  <c r="O734" i="1"/>
  <c r="O741" i="1"/>
  <c r="O673" i="1"/>
  <c r="O670" i="1"/>
  <c r="O189" i="1"/>
  <c r="O820" i="1"/>
  <c r="O821" i="1"/>
  <c r="O822" i="1"/>
  <c r="O823" i="1"/>
  <c r="O824" i="1"/>
  <c r="O747" i="1"/>
  <c r="O825" i="1"/>
  <c r="O826" i="1"/>
  <c r="O827" i="1"/>
  <c r="O29" i="1"/>
  <c r="O190" i="1"/>
  <c r="O676" i="1"/>
  <c r="O598" i="1"/>
  <c r="O582" i="1"/>
  <c r="O563" i="1"/>
  <c r="O583" i="1"/>
  <c r="O601" i="1"/>
  <c r="O828" i="1"/>
  <c r="O829" i="1"/>
  <c r="O830" i="1"/>
  <c r="O831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70" i="1"/>
  <c r="O657" i="1"/>
  <c r="O871" i="1"/>
  <c r="O752" i="1"/>
  <c r="O706" i="1"/>
  <c r="O739" i="1"/>
  <c r="O694" i="1"/>
  <c r="O729" i="1"/>
  <c r="O707" i="1"/>
  <c r="O575" i="1"/>
  <c r="O590" i="1"/>
  <c r="O571" i="1"/>
  <c r="O576" i="1"/>
  <c r="O591" i="1"/>
  <c r="O600" i="1"/>
  <c r="O88" i="1"/>
  <c r="O89" i="1"/>
  <c r="O160" i="1"/>
  <c r="O81" i="1"/>
  <c r="O84" i="1"/>
  <c r="O191" i="1"/>
  <c r="O113" i="1"/>
  <c r="O229" i="1"/>
  <c r="O137" i="1"/>
  <c r="O65" i="1"/>
  <c r="O156" i="1"/>
  <c r="O59" i="1"/>
  <c r="O167" i="1"/>
  <c r="O63" i="1"/>
  <c r="O163" i="1"/>
  <c r="O217" i="1"/>
  <c r="O322" i="1"/>
  <c r="O45" i="1"/>
  <c r="O36" i="1"/>
  <c r="O60" i="1"/>
  <c r="O107" i="1"/>
  <c r="O131" i="1"/>
  <c r="O730" i="1"/>
  <c r="O119" i="1"/>
  <c r="O116" i="1"/>
  <c r="O203" i="1"/>
  <c r="O73" i="1"/>
  <c r="O98" i="1"/>
  <c r="O39" i="1"/>
  <c r="O47" i="1"/>
  <c r="O445" i="1"/>
  <c r="O510" i="1"/>
  <c r="O67" i="1"/>
  <c r="O68" i="1"/>
  <c r="O101" i="1"/>
  <c r="O124" i="1"/>
  <c r="O206" i="1"/>
  <c r="O356" i="1"/>
  <c r="O878" i="1"/>
  <c r="O502" i="1"/>
  <c r="O385" i="1"/>
  <c r="O452" i="1"/>
  <c r="O336" i="1"/>
  <c r="O35" i="1"/>
  <c r="O40" i="1"/>
  <c r="O457" i="1"/>
  <c r="O674" i="1"/>
  <c r="O669" i="1"/>
  <c r="O658" i="1"/>
  <c r="O647" i="1"/>
  <c r="O544" i="1"/>
  <c r="O546" i="1"/>
  <c r="O879" i="1"/>
  <c r="O238" i="1"/>
  <c r="O51" i="1"/>
  <c r="O880" i="1"/>
  <c r="O881" i="1"/>
  <c r="O882" i="1"/>
  <c r="O883" i="1"/>
  <c r="O884" i="1"/>
  <c r="O885" i="1"/>
  <c r="O886" i="1"/>
  <c r="O887" i="1"/>
  <c r="O888" i="1"/>
  <c r="O889" i="1"/>
  <c r="O681" i="1"/>
  <c r="O682" i="1"/>
  <c r="O892" i="1"/>
  <c r="O893" i="1"/>
  <c r="O894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4" i="1"/>
  <c r="O915" i="1"/>
  <c r="O916" i="1"/>
  <c r="O917" i="1"/>
  <c r="O918" i="1"/>
  <c r="O919" i="1"/>
  <c r="O659" i="1"/>
  <c r="O690" i="1"/>
  <c r="O920" i="1"/>
  <c r="O921" i="1"/>
  <c r="O922" i="1"/>
  <c r="O488" i="1"/>
  <c r="O503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689" i="1"/>
  <c r="O691" i="1"/>
  <c r="O489" i="1"/>
  <c r="O496" i="1"/>
  <c r="O518" i="1"/>
  <c r="O504" i="1"/>
  <c r="O537" i="1"/>
  <c r="O538" i="1"/>
  <c r="O528" i="1"/>
  <c r="O530" i="1"/>
  <c r="O712" i="1"/>
  <c r="O663" i="1"/>
  <c r="O722" i="1"/>
  <c r="O56" i="1"/>
  <c r="O157" i="1"/>
  <c r="O144" i="1"/>
  <c r="O61" i="1"/>
  <c r="O136" i="1"/>
  <c r="O123" i="1"/>
  <c r="O294" i="1"/>
  <c r="O403" i="1"/>
  <c r="O288" i="1"/>
  <c r="O413" i="1"/>
  <c r="O433" i="1"/>
  <c r="O529" i="1"/>
  <c r="O394" i="1"/>
  <c r="O224" i="1"/>
  <c r="O644" i="1"/>
  <c r="O559" i="1"/>
  <c r="O451" i="1"/>
  <c r="O662" i="1"/>
  <c r="O645" i="1"/>
  <c r="O675" i="1"/>
  <c r="O225" i="1"/>
  <c r="O564" i="1"/>
  <c r="O664" i="1"/>
  <c r="O30" i="1"/>
  <c r="O34" i="1"/>
  <c r="O74" i="1"/>
  <c r="O53" i="1"/>
  <c r="O263" i="1"/>
  <c r="O290" i="1"/>
  <c r="O291" i="1"/>
  <c r="O431" i="1"/>
  <c r="O11" i="1"/>
  <c r="O32" i="1"/>
  <c r="O31" i="1"/>
  <c r="O110" i="1"/>
  <c r="O223" i="1"/>
  <c r="O446" i="1"/>
  <c r="O277" i="1"/>
  <c r="O80" i="1"/>
  <c r="O99" i="1"/>
  <c r="O77" i="1"/>
  <c r="O100" i="1"/>
  <c r="O6" i="1"/>
  <c r="O10" i="1"/>
  <c r="O8" i="1"/>
  <c r="O43" i="1"/>
  <c r="O71" i="1"/>
  <c r="O210" i="1"/>
  <c r="O102" i="1"/>
  <c r="O64" i="1"/>
  <c r="O264" i="1"/>
  <c r="O192" i="1"/>
  <c r="O193" i="1"/>
  <c r="O389" i="1"/>
  <c r="O86" i="1"/>
  <c r="O273" i="1"/>
  <c r="O302" i="1"/>
  <c r="O105" i="1"/>
  <c r="O599" i="1"/>
  <c r="O759" i="1"/>
  <c r="O505" i="1"/>
  <c r="O363" i="1"/>
  <c r="O660" i="1"/>
  <c r="O423" i="1"/>
  <c r="O748" i="1"/>
  <c r="O635" i="1"/>
  <c r="O579" i="1"/>
  <c r="O760" i="1"/>
  <c r="O648" i="1"/>
  <c r="O506" i="1"/>
  <c r="O120" i="1"/>
  <c r="O754" i="1"/>
  <c r="O455" i="1"/>
  <c r="O194" i="1"/>
  <c r="O447" i="1"/>
  <c r="O755" i="1"/>
  <c r="O623" i="1"/>
  <c r="O620" i="1"/>
  <c r="O753" i="1"/>
  <c r="O650" i="1"/>
  <c r="O424" i="1"/>
  <c r="O239" i="1"/>
  <c r="O270" i="1"/>
  <c r="O295" i="1"/>
  <c r="O339" i="1"/>
  <c r="O164" i="1"/>
  <c r="O172" i="1"/>
  <c r="O214" i="1"/>
  <c r="O230" i="1"/>
  <c r="O278" i="1"/>
  <c r="O279" i="1"/>
  <c r="O72" i="1"/>
  <c r="O132" i="1"/>
  <c r="O416" i="1"/>
  <c r="O429" i="1"/>
  <c r="O350" i="1"/>
  <c r="O57" i="1"/>
  <c r="O78" i="1"/>
  <c r="O938" i="1"/>
  <c r="O507" i="1"/>
  <c r="O740" i="1"/>
  <c r="O939" i="1"/>
  <c r="O448" i="1"/>
  <c r="O728" i="1"/>
  <c r="O668" i="1"/>
  <c r="O723" i="1"/>
  <c r="O708" i="1"/>
  <c r="O709" i="1"/>
  <c r="O731" i="1"/>
  <c r="O695" i="1"/>
  <c r="O643" i="1"/>
  <c r="O940" i="1"/>
  <c r="O941" i="1"/>
  <c r="O942" i="1"/>
  <c r="O943" i="1"/>
  <c r="O944" i="1"/>
  <c r="O945" i="1"/>
  <c r="O946" i="1"/>
  <c r="O947" i="1"/>
  <c r="O948" i="1"/>
  <c r="O949" i="1"/>
  <c r="O950" i="1"/>
  <c r="O240" i="1"/>
  <c r="O52" i="1"/>
  <c r="O951" i="1"/>
  <c r="O952" i="1"/>
  <c r="O953" i="1"/>
  <c r="O954" i="1"/>
  <c r="O955" i="1"/>
  <c r="O956" i="1"/>
  <c r="O957" i="1"/>
  <c r="O958" i="1"/>
  <c r="O959" i="1"/>
  <c r="O960" i="1"/>
  <c r="O961" i="1"/>
  <c r="O969" i="1"/>
  <c r="O971" i="1"/>
  <c r="O972" i="1"/>
  <c r="O973" i="1"/>
  <c r="O982" i="1"/>
  <c r="O983" i="1"/>
  <c r="O984" i="1"/>
  <c r="O985" i="1"/>
  <c r="O986" i="1"/>
  <c r="O987" i="1"/>
  <c r="O988" i="1"/>
  <c r="O989" i="1"/>
  <c r="O992" i="1"/>
  <c r="O993" i="1"/>
  <c r="O994" i="1"/>
  <c r="O995" i="1"/>
  <c r="O996" i="1"/>
  <c r="O997" i="1"/>
  <c r="O998" i="1"/>
  <c r="O999" i="1"/>
  <c r="O1000" i="1"/>
  <c r="O1001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31" i="1"/>
  <c r="O1032" i="1"/>
  <c r="O1033" i="1"/>
  <c r="O1034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417" i="1"/>
  <c r="O449" i="1"/>
  <c r="O79" i="1"/>
  <c r="O62" i="1"/>
  <c r="O265" i="1"/>
  <c r="O1061" i="1"/>
  <c r="O1062" i="1"/>
  <c r="O364" i="1"/>
  <c r="O1063" i="1"/>
  <c r="O1064" i="1"/>
  <c r="O683" i="1"/>
  <c r="O633" i="1"/>
  <c r="O479" i="1"/>
  <c r="O483" i="1"/>
  <c r="O434" i="1"/>
  <c r="O404" i="1"/>
  <c r="O207" i="1"/>
  <c r="O266" i="1"/>
  <c r="O365" i="1"/>
  <c r="O231" i="1"/>
  <c r="O326" i="1"/>
  <c r="O366" i="1"/>
  <c r="O232" i="1"/>
  <c r="O327" i="1"/>
  <c r="O195" i="1"/>
  <c r="O58" i="1"/>
  <c r="O218" i="1"/>
  <c r="O66" i="1"/>
  <c r="O405" i="1"/>
  <c r="O410" i="1"/>
  <c r="O343" i="1"/>
  <c r="O170" i="1"/>
  <c r="O204" i="1"/>
  <c r="O306" i="1"/>
  <c r="O435" i="1"/>
  <c r="O360" i="1"/>
  <c r="O392" i="1"/>
  <c r="O724" i="1"/>
  <c r="O684" i="1"/>
  <c r="O634" i="1"/>
  <c r="O602" i="1"/>
  <c r="O517" i="1"/>
  <c r="O531" i="1"/>
  <c r="O436" i="1"/>
  <c r="O484" i="1"/>
  <c r="O357" i="1"/>
  <c r="O158" i="1"/>
  <c r="O168" i="1"/>
  <c r="O267" i="1"/>
  <c r="O480" i="1"/>
  <c r="O548" i="1"/>
  <c r="O485" i="1"/>
  <c r="O406" i="1"/>
  <c r="O367" i="1"/>
  <c r="O196" i="1"/>
  <c r="O482" i="1"/>
  <c r="O233" i="1"/>
  <c r="O234" i="1"/>
  <c r="O603" i="1"/>
  <c r="O128" i="1"/>
  <c r="O159" i="1"/>
  <c r="O437" i="1"/>
  <c r="O197" i="1"/>
  <c r="O219" i="1"/>
  <c r="O511" i="1"/>
  <c r="O572" i="1"/>
  <c r="O368" i="1"/>
  <c r="O685" i="1"/>
  <c r="O713" i="1"/>
  <c r="O761" i="1"/>
  <c r="O1069" i="1"/>
  <c r="O1070" i="1"/>
  <c r="O1071" i="1"/>
  <c r="O1072" i="1"/>
  <c r="O38" i="1"/>
  <c r="O42" i="1"/>
  <c r="O1073" i="1"/>
  <c r="O1074" i="1"/>
  <c r="O1075" i="1"/>
  <c r="O1076" i="1"/>
  <c r="O661" i="1"/>
  <c r="O2" i="1"/>
  <c r="O3" i="1"/>
  <c r="O1078" i="1"/>
  <c r="O1079" i="1"/>
  <c r="O512" i="1"/>
  <c r="O566" i="1"/>
  <c r="O198" i="1"/>
  <c r="O85" i="1"/>
  <c r="O725" i="1"/>
  <c r="O762" i="1"/>
  <c r="O369" i="1"/>
  <c r="O407" i="1"/>
  <c r="O481" i="1"/>
  <c r="O549" i="1"/>
  <c r="O486" i="1"/>
  <c r="O573" i="1"/>
  <c r="O358" i="1"/>
  <c r="O567" i="1"/>
  <c r="O199" i="1"/>
  <c r="O726" i="1"/>
  <c r="O686" i="1"/>
  <c r="O714" i="1"/>
  <c r="O763" i="1"/>
  <c r="O756" i="1"/>
  <c r="O513" i="1"/>
  <c r="O129" i="1"/>
  <c r="O166" i="1"/>
  <c r="O514" i="1"/>
  <c r="O467" i="1"/>
  <c r="O494" i="1"/>
  <c r="O414" i="1"/>
  <c r="O408" i="1"/>
  <c r="O492" i="1"/>
  <c r="O454" i="1"/>
  <c r="O687" i="1"/>
  <c r="O715" i="1"/>
  <c r="O311" i="1"/>
  <c r="O379" i="1"/>
  <c r="O209" i="1"/>
  <c r="O757" i="1"/>
  <c r="O409" i="1"/>
  <c r="O465" i="1"/>
  <c r="O328" i="1"/>
  <c r="O1081" i="1"/>
  <c r="O1082" i="1"/>
  <c r="O1085" i="1"/>
  <c r="O1087" i="1"/>
  <c r="O1088" i="1"/>
  <c r="O1089" i="1"/>
  <c r="O1090" i="1"/>
  <c r="O1091" i="1"/>
  <c r="O1092" i="1"/>
  <c r="O1093" i="1"/>
  <c r="O1094" i="1"/>
  <c r="O1095" i="1"/>
  <c r="O1097" i="1"/>
  <c r="O1098" i="1"/>
  <c r="O1099" i="1"/>
  <c r="O1100" i="1"/>
  <c r="O1103" i="1"/>
  <c r="O1105" i="1"/>
  <c r="O1106" i="1"/>
  <c r="O1107" i="1"/>
  <c r="O1108" i="1"/>
  <c r="O1109" i="1"/>
  <c r="O1110" i="1"/>
  <c r="O1111" i="1"/>
  <c r="O1112" i="1"/>
  <c r="O1113" i="1"/>
  <c r="O1115" i="1"/>
  <c r="O1116" i="1"/>
  <c r="O1117" i="1"/>
  <c r="O1118" i="1"/>
  <c r="O1121" i="1"/>
  <c r="O1123" i="1"/>
  <c r="O1124" i="1"/>
  <c r="O1125" i="1"/>
  <c r="O1126" i="1"/>
  <c r="O1127" i="1"/>
  <c r="O1128" i="1"/>
  <c r="O1129" i="1"/>
  <c r="O1130" i="1"/>
  <c r="O1131" i="1"/>
  <c r="O1133" i="1"/>
  <c r="O1134" i="1"/>
  <c r="O248" i="1"/>
  <c r="O323" i="1"/>
  <c r="O296" i="1"/>
  <c r="O274" i="1"/>
  <c r="O280" i="1"/>
  <c r="O351" i="1"/>
  <c r="O329" i="1"/>
  <c r="O331" i="1"/>
  <c r="O370" i="1"/>
  <c r="O297" i="1"/>
  <c r="O261" i="1"/>
  <c r="O312" i="1"/>
  <c r="O241" i="1"/>
  <c r="O292" i="1"/>
  <c r="O281" i="1"/>
  <c r="O200" i="1"/>
  <c r="O282" i="1"/>
  <c r="O253" i="1"/>
  <c r="O150" i="1"/>
  <c r="O201" i="1"/>
  <c r="O205" i="1"/>
  <c r="O313" i="1"/>
  <c r="O353" i="1"/>
  <c r="O359" i="1"/>
  <c r="O371" i="1"/>
  <c r="O372" i="1"/>
  <c r="O355" i="1"/>
  <c r="O283" i="1"/>
  <c r="O303" i="1"/>
  <c r="O307" i="1"/>
  <c r="O340" i="1"/>
  <c r="O352" i="1"/>
  <c r="O344" i="1"/>
  <c r="O235" i="1"/>
  <c r="O284" i="1"/>
  <c r="O300" i="1"/>
  <c r="O314" i="1"/>
  <c r="O380" i="1"/>
  <c r="O324" i="1"/>
  <c r="O315" i="1"/>
  <c r="O268" i="1"/>
  <c r="O242" i="1"/>
  <c r="O271" i="1"/>
  <c r="O316" i="1"/>
  <c r="O254" i="1"/>
  <c r="O272" i="1"/>
  <c r="O211" i="1"/>
  <c r="O255" i="1"/>
  <c r="O220" i="1"/>
  <c r="O275" i="1"/>
  <c r="O243" i="1"/>
  <c r="O215" i="1"/>
  <c r="O169" i="1"/>
  <c r="O140" i="1"/>
  <c r="O221" i="1"/>
  <c r="O145" i="1"/>
  <c r="O384" i="1"/>
  <c r="O335" i="1"/>
  <c r="O301" i="1"/>
  <c r="O256" i="1"/>
  <c r="O348" i="1"/>
  <c r="O304" i="1"/>
  <c r="O298" i="1"/>
  <c r="O285" i="1"/>
  <c r="O259" i="1"/>
  <c r="O373" i="1"/>
  <c r="O332" i="1"/>
  <c r="O299" i="1"/>
  <c r="O374" i="1"/>
  <c r="O216" i="1"/>
  <c r="O208" i="1"/>
  <c r="O333" i="1"/>
  <c r="O375" i="1"/>
  <c r="O325" i="1"/>
  <c r="O213" i="1"/>
  <c r="S514" i="3" l="1"/>
  <c r="S184" i="3"/>
  <c r="S397" i="3"/>
  <c r="S495" i="3"/>
  <c r="S115" i="3"/>
  <c r="S659" i="3"/>
  <c r="S432" i="3"/>
  <c r="S709" i="3"/>
  <c r="S324" i="3"/>
  <c r="S314" i="3"/>
  <c r="S641" i="3"/>
  <c r="S381" i="3"/>
  <c r="S528" i="3"/>
  <c r="S756" i="3"/>
  <c r="S390" i="3"/>
  <c r="S888" i="3"/>
  <c r="S916" i="3"/>
  <c r="S309" i="3"/>
  <c r="S948" i="3"/>
  <c r="S421" i="3"/>
  <c r="S278" i="3"/>
  <c r="S435" i="3"/>
  <c r="S829" i="3"/>
  <c r="S716" i="3"/>
  <c r="S119" i="3"/>
  <c r="S203" i="3"/>
  <c r="S755" i="3"/>
  <c r="S724" i="3"/>
  <c r="S906" i="3"/>
  <c r="S775" i="3"/>
  <c r="S833" i="3"/>
  <c r="S171" i="3"/>
  <c r="S569" i="3"/>
  <c r="S648" i="3"/>
  <c r="S651" i="3"/>
  <c r="S121" i="3"/>
  <c r="S211" i="3"/>
  <c r="S146" i="3"/>
  <c r="S125" i="3"/>
  <c r="S24" i="3"/>
  <c r="S423" i="3"/>
  <c r="S426" i="3"/>
  <c r="S418" i="3"/>
  <c r="S201" i="3"/>
  <c r="S738" i="3"/>
  <c r="S681" i="3"/>
  <c r="S896" i="3"/>
  <c r="S331" i="3"/>
  <c r="S733" i="3"/>
  <c r="S188" i="3"/>
  <c r="S502" i="3"/>
  <c r="S798" i="3"/>
  <c r="S471" i="3"/>
  <c r="S711" i="3"/>
  <c r="S554" i="3"/>
  <c r="S609" i="3"/>
  <c r="S137" i="3"/>
  <c r="S429" i="3"/>
  <c r="S945" i="3"/>
  <c r="S517" i="3"/>
  <c r="S365" i="3"/>
  <c r="S611" i="3"/>
  <c r="S191" i="3"/>
  <c r="S530" i="3"/>
  <c r="S489" i="3"/>
  <c r="S44" i="3"/>
  <c r="S685" i="3"/>
  <c r="S143" i="3"/>
  <c r="S399" i="3"/>
  <c r="S674" i="3"/>
  <c r="S155" i="3"/>
  <c r="S862" i="3"/>
  <c r="S649" i="3"/>
  <c r="S269" i="3"/>
  <c r="S369" i="3"/>
  <c r="S355" i="3"/>
  <c r="S778" i="3"/>
  <c r="S944" i="3"/>
  <c r="S823" i="3"/>
  <c r="S880" i="3"/>
  <c r="S453" i="3"/>
  <c r="S890" i="3"/>
  <c r="S248" i="3"/>
  <c r="S206" i="3"/>
  <c r="S406" i="3"/>
  <c r="S527" i="3"/>
  <c r="S337" i="3"/>
  <c r="S342" i="3"/>
  <c r="S506" i="3"/>
  <c r="S808" i="3"/>
  <c r="S787" i="3"/>
  <c r="S212" i="3"/>
  <c r="S61" i="3"/>
  <c r="S694" i="3"/>
  <c r="S663" i="3"/>
  <c r="S606" i="3"/>
  <c r="S494" i="3"/>
  <c r="S572" i="3"/>
  <c r="S18" i="3"/>
  <c r="S34" i="3"/>
  <c r="S581" i="3"/>
  <c r="S580" i="3"/>
  <c r="S657" i="3"/>
  <c r="S481" i="3"/>
  <c r="S939" i="3"/>
  <c r="S415" i="3"/>
  <c r="S962" i="3"/>
  <c r="S638" i="3"/>
  <c r="S354" i="3"/>
  <c r="S761" i="3"/>
  <c r="S45" i="3"/>
  <c r="S193" i="3"/>
  <c r="S834" i="3"/>
  <c r="S797" i="3"/>
  <c r="S187" i="3"/>
  <c r="S218" i="3"/>
  <c r="S737" i="3"/>
  <c r="S889" i="3"/>
  <c r="S695" i="3"/>
  <c r="S549" i="3"/>
  <c r="S449" i="3"/>
  <c r="S510" i="3"/>
  <c r="S64" i="3"/>
  <c r="S488" i="3"/>
  <c r="S97" i="3"/>
  <c r="S758" i="3"/>
  <c r="S39" i="3"/>
  <c r="S297" i="3"/>
  <c r="S334" i="3"/>
  <c r="S290" i="3"/>
  <c r="S917" i="3"/>
  <c r="S401" i="3"/>
  <c r="S796" i="3"/>
  <c r="S876" i="3"/>
  <c r="S937" i="3"/>
  <c r="S376" i="3"/>
  <c r="S373" i="3"/>
  <c r="S87" i="3"/>
  <c r="S588" i="3"/>
  <c r="S335" i="3"/>
  <c r="S72" i="3"/>
  <c r="S734" i="3"/>
  <c r="S881" i="3"/>
  <c r="S412" i="3"/>
  <c r="S162" i="3"/>
  <c r="S927" i="3"/>
  <c r="S759" i="3"/>
  <c r="S617" i="3"/>
  <c r="S141" i="3"/>
  <c r="S783" i="3"/>
  <c r="S677" i="3"/>
  <c r="S272" i="3"/>
  <c r="S239" i="3"/>
  <c r="S132" i="3"/>
  <c r="S676" i="3"/>
  <c r="S230" i="3"/>
  <c r="S100" i="3"/>
  <c r="S139" i="3"/>
  <c r="S127" i="3"/>
  <c r="S294" i="3"/>
  <c r="S816" i="3"/>
  <c r="S877" i="3"/>
  <c r="S244" i="3"/>
  <c r="S897" i="3"/>
  <c r="S699" i="3"/>
  <c r="S887" i="3"/>
  <c r="S281" i="3"/>
  <c r="S529" i="3"/>
  <c r="S174" i="3"/>
  <c r="S367" i="3"/>
  <c r="S690" i="3"/>
  <c r="S895" i="3"/>
  <c r="S504" i="3"/>
  <c r="S935" i="3"/>
  <c r="S105" i="3"/>
  <c r="S914" i="3"/>
  <c r="S822" i="3"/>
  <c r="S456" i="3"/>
  <c r="S854" i="3"/>
  <c r="S91" i="3"/>
  <c r="S691" i="3"/>
  <c r="S637" i="3"/>
  <c r="S813" i="3"/>
  <c r="S579" i="3"/>
  <c r="S111" i="3"/>
  <c r="S776" i="3"/>
  <c r="S867" i="3"/>
  <c r="S326" i="3"/>
  <c r="S311" i="3"/>
  <c r="S850" i="3"/>
  <c r="S328" i="3"/>
  <c r="S750" i="3"/>
  <c r="S959" i="3"/>
  <c r="S292" i="3"/>
  <c r="S283" i="3"/>
  <c r="S54" i="3"/>
  <c r="S807" i="3"/>
  <c r="S665" i="3"/>
  <c r="S537" i="3"/>
  <c r="S17" i="3"/>
  <c r="S967" i="3"/>
  <c r="S159" i="3"/>
  <c r="S315" i="3"/>
  <c r="S559" i="3"/>
  <c r="S251" i="3"/>
  <c r="S8" i="3"/>
  <c r="S747" i="3"/>
  <c r="S151" i="3"/>
  <c r="S701" i="3"/>
  <c r="S209" i="3"/>
  <c r="S370" i="3"/>
  <c r="S772" i="3"/>
  <c r="S247" i="3"/>
  <c r="S13" i="3"/>
  <c r="S422" i="3"/>
  <c r="S450" i="3"/>
  <c r="S27" i="3"/>
  <c r="S782" i="3"/>
  <c r="S86" i="3"/>
  <c r="S260" i="3"/>
  <c r="S645" i="3"/>
  <c r="S403" i="3"/>
  <c r="S766" i="3"/>
  <c r="S745" i="3"/>
  <c r="S261" i="3"/>
  <c r="S47" i="3"/>
  <c r="S832" i="3"/>
  <c r="S773" i="3"/>
  <c r="S81" i="3"/>
  <c r="S31" i="3"/>
  <c r="S727" i="3"/>
  <c r="S824" i="3"/>
  <c r="S954" i="3"/>
  <c r="S666" i="3"/>
  <c r="S185" i="3"/>
  <c r="S726" i="3"/>
  <c r="S653" i="3"/>
  <c r="S684" i="3"/>
  <c r="S953" i="3"/>
  <c r="S233" i="3"/>
  <c r="S963" i="3"/>
  <c r="S169" i="3"/>
  <c r="S961" i="3"/>
  <c r="S259" i="3"/>
  <c r="S163" i="3"/>
  <c r="S827" i="3"/>
  <c r="S202" i="3"/>
  <c r="S246" i="3"/>
  <c r="S675" i="3"/>
  <c r="S497" i="3"/>
  <c r="S501" i="3"/>
  <c r="S420" i="3"/>
  <c r="S235" i="3"/>
  <c r="S33" i="3"/>
  <c r="S443" i="3"/>
  <c r="S284" i="3"/>
  <c r="S339" i="3"/>
  <c r="S14" i="3"/>
  <c r="S478" i="3"/>
  <c r="S437" i="3"/>
  <c r="S762" i="3"/>
  <c r="S167" i="3"/>
  <c r="S844" i="3"/>
  <c r="S181" i="3"/>
  <c r="S521" i="3"/>
  <c r="S491" i="3"/>
  <c r="S708" i="3"/>
  <c r="S327" i="3"/>
  <c r="S499" i="3"/>
  <c r="S477" i="3"/>
  <c r="S107" i="3"/>
  <c r="S377" i="3"/>
  <c r="S318" i="3"/>
  <c r="S790" i="3"/>
  <c r="S158" i="3"/>
  <c r="S905" i="3"/>
  <c r="S52" i="3"/>
  <c r="S702" i="3"/>
  <c r="S468" i="3"/>
  <c r="S298" i="3"/>
  <c r="S550" i="3"/>
  <c r="S705" i="3"/>
  <c r="S602" i="3"/>
  <c r="S725" i="3"/>
  <c r="S941" i="3"/>
  <c r="S257" i="3"/>
  <c r="S400" i="3"/>
  <c r="S620" i="3"/>
  <c r="S273" i="3"/>
  <c r="S229" i="3"/>
  <c r="S969" i="3"/>
  <c r="S622" i="3"/>
  <c r="S386" i="3"/>
  <c r="S515" i="3"/>
  <c r="S442" i="3"/>
  <c r="S58" i="3"/>
  <c r="S360" i="3"/>
  <c r="S37" i="3"/>
  <c r="S511" i="3"/>
  <c r="S295" i="3"/>
  <c r="S198" i="3"/>
  <c r="S498" i="3"/>
  <c r="S19" i="3"/>
  <c r="S886" i="3"/>
  <c r="S74" i="3"/>
  <c r="S849" i="3"/>
  <c r="S363" i="3"/>
  <c r="S831" i="3"/>
  <c r="S89" i="3"/>
  <c r="S425" i="3"/>
  <c r="S189" i="3"/>
  <c r="S35" i="3"/>
  <c r="S812" i="3"/>
  <c r="S830" i="3"/>
  <c r="S464" i="3"/>
  <c r="S94" i="3"/>
  <c r="S809" i="3"/>
  <c r="S340" i="3"/>
  <c r="S265" i="3"/>
  <c r="S411" i="3"/>
  <c r="S743" i="3"/>
  <c r="S929" i="3"/>
  <c r="S215" i="3"/>
  <c r="S556" i="3"/>
  <c r="S936" i="3"/>
  <c r="S375" i="3"/>
  <c r="S541" i="3"/>
  <c r="S117" i="3"/>
  <c r="S780" i="3"/>
  <c r="S662" i="3"/>
  <c r="S520" i="3"/>
  <c r="S99" i="3"/>
  <c r="S43" i="3"/>
  <c r="S714" i="3"/>
  <c r="S190" i="3"/>
  <c r="S15" i="3"/>
  <c r="S678" i="3"/>
  <c r="S519" i="3"/>
  <c r="S227" i="3"/>
  <c r="S564" i="3"/>
  <c r="S965" i="3"/>
  <c r="S707" i="3"/>
  <c r="S793" i="3"/>
  <c r="S826" i="3"/>
  <c r="S553" i="3"/>
  <c r="S165" i="3"/>
  <c r="S539" i="3"/>
  <c r="S62" i="3"/>
  <c r="S207" i="3"/>
  <c r="S548" i="3"/>
  <c r="S32" i="3"/>
  <c r="S667" i="3"/>
  <c r="S408" i="3"/>
  <c r="S919" i="3"/>
  <c r="S847" i="3"/>
  <c r="S658" i="3"/>
  <c r="S631" i="3"/>
  <c r="S542" i="3"/>
  <c r="S226" i="3"/>
  <c r="S523" i="3"/>
  <c r="S644" i="3"/>
  <c r="S487" i="3"/>
  <c r="S352" i="3"/>
  <c r="S934" i="3"/>
  <c r="S923" i="3"/>
  <c r="S210" i="3"/>
  <c r="S509" i="3"/>
  <c r="S573" i="3"/>
  <c r="S329" i="3"/>
  <c r="S682" i="3"/>
  <c r="S835" i="3"/>
  <c r="S493" i="3"/>
  <c r="S346" i="3"/>
  <c r="S752" i="3"/>
  <c r="S590" i="3"/>
  <c r="S560" i="3"/>
  <c r="S266" i="3"/>
  <c r="S240" i="3"/>
  <c r="S940" i="3"/>
  <c r="S12" i="3"/>
  <c r="S534" i="3"/>
  <c r="S577" i="3"/>
  <c r="S742" i="3"/>
  <c r="S451" i="3"/>
  <c r="S199" i="3"/>
  <c r="S544" i="3"/>
  <c r="S396" i="3"/>
  <c r="S627" i="3"/>
  <c r="S804" i="3"/>
  <c r="S236" i="3"/>
  <c r="S319" i="3"/>
  <c r="S50" i="3"/>
  <c r="S350" i="3"/>
  <c r="S633" i="3"/>
  <c r="S332" i="3"/>
  <c r="S123" i="3"/>
  <c r="S555" i="3"/>
  <c r="S36" i="3"/>
  <c r="S729" i="3"/>
  <c r="S589" i="3"/>
  <c r="S96" i="3"/>
  <c r="S63" i="3"/>
  <c r="S232" i="3"/>
  <c r="S49" i="3"/>
  <c r="S385" i="3"/>
  <c r="S910" i="3"/>
  <c r="S85" i="3"/>
  <c r="S104" i="3"/>
  <c r="S946" i="3"/>
  <c r="S195" i="3"/>
  <c r="S4" i="3"/>
  <c r="S465" i="3"/>
  <c r="S535" i="3"/>
  <c r="S598" i="3"/>
  <c r="S152" i="3"/>
  <c r="S603" i="3"/>
  <c r="S875" i="3"/>
  <c r="S788" i="3"/>
  <c r="S258" i="3"/>
  <c r="S479" i="3"/>
  <c r="S231" i="3"/>
  <c r="S245" i="3"/>
  <c r="S313" i="3"/>
  <c r="S518" i="3"/>
  <c r="S182" i="3"/>
  <c r="S116" i="3"/>
  <c r="S142" i="3"/>
  <c r="S619" i="3"/>
  <c r="S358" i="3"/>
  <c r="S951" i="3"/>
  <c r="S356" i="3"/>
  <c r="S722" i="3"/>
  <c r="S624" i="3"/>
  <c r="S65" i="3"/>
  <c r="S763" i="3"/>
  <c r="S721" i="3"/>
  <c r="S217" i="3"/>
  <c r="S865" i="3"/>
  <c r="S135" i="3"/>
  <c r="S21" i="3"/>
  <c r="S457" i="3"/>
  <c r="S23" i="3"/>
  <c r="S173" i="3"/>
  <c r="S630" i="3"/>
  <c r="S447" i="3"/>
  <c r="S924" i="3"/>
  <c r="S347" i="3"/>
  <c r="S610" i="3"/>
  <c r="S746" i="3"/>
  <c r="S700" i="3"/>
  <c r="S301" i="3"/>
  <c r="S98" i="3"/>
  <c r="S735" i="3"/>
  <c r="S757" i="3"/>
  <c r="S26" i="3"/>
  <c r="S267" i="3"/>
  <c r="S20" i="3"/>
  <c r="S5" i="3"/>
  <c r="S582" i="3"/>
  <c r="S632" i="3"/>
  <c r="S293" i="3"/>
  <c r="S92" i="3"/>
  <c r="S600" i="3"/>
  <c r="S430" i="3"/>
  <c r="S462" i="3"/>
  <c r="S424" i="3"/>
  <c r="S172" i="3"/>
  <c r="S59" i="3"/>
  <c r="S576" i="3"/>
  <c r="S845" i="3"/>
  <c r="S720" i="3"/>
  <c r="S118" i="3"/>
  <c r="S316" i="3"/>
  <c r="S858" i="3"/>
  <c r="S640" i="3"/>
  <c r="S208" i="3"/>
  <c r="S249" i="3"/>
  <c r="S764" i="3"/>
  <c r="S803" i="3"/>
  <c r="S696" i="3"/>
  <c r="S634" i="3"/>
  <c r="S254" i="3"/>
  <c r="S289" i="3"/>
  <c r="S604" i="3"/>
  <c r="S392" i="3"/>
  <c r="S907" i="3"/>
  <c r="S320" i="3"/>
  <c r="S224" i="3"/>
  <c r="S348" i="3"/>
  <c r="S660" i="3"/>
  <c r="S703" i="3"/>
  <c r="S404" i="3"/>
  <c r="S192" i="3"/>
  <c r="S612" i="3"/>
  <c r="S372" i="3"/>
  <c r="S718" i="3"/>
  <c r="S95" i="3"/>
  <c r="S664" i="3"/>
  <c r="S306" i="3"/>
  <c r="S599" i="3"/>
  <c r="S164" i="3"/>
  <c r="S952" i="3"/>
  <c r="S67" i="3"/>
  <c r="S868" i="3"/>
  <c r="S966" i="3"/>
  <c r="S767" i="3"/>
  <c r="S943" i="3"/>
  <c r="S368" i="3"/>
  <c r="S344" i="3"/>
  <c r="S458" i="3"/>
  <c r="S825" i="3"/>
  <c r="S271" i="3"/>
  <c r="S866" i="3"/>
  <c r="S73" i="3"/>
  <c r="S413" i="3"/>
  <c r="S538" i="3"/>
  <c r="S129" i="3"/>
  <c r="S901" i="3"/>
  <c r="S53" i="3"/>
  <c r="S78" i="3"/>
  <c r="S204" i="3"/>
  <c r="S926" i="3"/>
  <c r="S613" i="3"/>
  <c r="S902" i="3"/>
  <c r="S90" i="3"/>
  <c r="S88" i="3"/>
  <c r="S7" i="3"/>
  <c r="S213" i="3"/>
  <c r="S680" i="3"/>
  <c r="S654" i="3"/>
  <c r="S922" i="3"/>
  <c r="S417" i="3"/>
  <c r="S821" i="3"/>
  <c r="S679" i="3"/>
  <c r="S82" i="3"/>
  <c r="S60" i="3"/>
  <c r="S76" i="3"/>
  <c r="S815" i="3"/>
  <c r="S864" i="3"/>
  <c r="S312" i="3"/>
  <c r="S200" i="3"/>
  <c r="S256" i="3"/>
  <c r="S883" i="3"/>
  <c r="S558" i="3"/>
  <c r="S77" i="3"/>
  <c r="S505" i="3"/>
  <c r="S671" i="3"/>
  <c r="S469" i="3"/>
  <c r="S51" i="3"/>
  <c r="S480" i="3"/>
  <c r="S949" i="3"/>
  <c r="S524" i="3"/>
  <c r="S485" i="3"/>
  <c r="S500" i="3"/>
  <c r="S446" i="3"/>
  <c r="S616" i="3"/>
  <c r="S57" i="3"/>
  <c r="S818" i="3"/>
  <c r="S536" i="3"/>
  <c r="S584" i="3"/>
  <c r="S160" i="3"/>
  <c r="S109" i="3"/>
  <c r="S250" i="3"/>
  <c r="S597" i="3"/>
  <c r="S444" i="3"/>
  <c r="S913" i="3"/>
  <c r="S769" i="3"/>
  <c r="S28" i="3"/>
  <c r="S268" i="3"/>
  <c r="S974" i="3"/>
  <c r="S225" i="3"/>
  <c r="S533" i="3"/>
  <c r="S321" i="3"/>
  <c r="S838" i="3"/>
  <c r="S607" i="3"/>
  <c r="S114" i="3"/>
  <c r="S909" i="3"/>
  <c r="S748" i="3"/>
  <c r="S270" i="3"/>
  <c r="S531" i="3"/>
  <c r="S395" i="3"/>
  <c r="S715" i="3"/>
  <c r="S955" i="3"/>
  <c r="S145" i="3"/>
  <c r="S263" i="3"/>
  <c r="S441" i="3"/>
  <c r="S563" i="3"/>
  <c r="S652" i="3"/>
  <c r="S507" i="3"/>
  <c r="S455" i="3"/>
  <c r="S131" i="3"/>
  <c r="S325" i="3"/>
  <c r="S650" i="3"/>
  <c r="S454" i="3"/>
  <c r="S486" i="3"/>
  <c r="S863" i="3"/>
  <c r="S594" i="3"/>
  <c r="S855" i="3"/>
  <c r="S860" i="3"/>
  <c r="S915" i="3"/>
  <c r="S947" i="3"/>
  <c r="S672" i="3"/>
  <c r="S380" i="3"/>
  <c r="S608" i="3"/>
  <c r="S840" i="3"/>
  <c r="S964" i="3"/>
  <c r="S433" i="3"/>
  <c r="S513" i="3"/>
  <c r="S817" i="3"/>
  <c r="S138" i="3"/>
  <c r="S882" i="3"/>
  <c r="S976" i="3"/>
  <c r="S179" i="3"/>
  <c r="S781" i="3"/>
  <c r="S126" i="3"/>
  <c r="S820" i="3"/>
  <c r="S712" i="3"/>
  <c r="S574" i="3"/>
  <c r="S732" i="3"/>
  <c r="S216" i="3"/>
  <c r="S878" i="3"/>
  <c r="S585" i="3"/>
  <c r="S407" i="3"/>
  <c r="S842" i="3"/>
  <c r="S183" i="3"/>
  <c r="S669" i="3"/>
  <c r="S150" i="3"/>
  <c r="S409" i="3"/>
  <c r="S874" i="3"/>
  <c r="S414" i="3"/>
  <c r="S565" i="3"/>
  <c r="S578" i="3"/>
  <c r="S786" i="3"/>
  <c r="S596" i="3"/>
  <c r="S968" i="3"/>
  <c r="S779" i="3"/>
  <c r="S697" i="3"/>
  <c r="S540" i="3"/>
  <c r="S673" i="3"/>
  <c r="S777" i="3"/>
  <c r="S262" i="3"/>
  <c r="S389" i="3"/>
  <c r="S362" i="3"/>
  <c r="S879" i="3"/>
  <c r="S180" i="3"/>
  <c r="S920" i="3"/>
  <c r="S731" i="3"/>
  <c r="S264" i="3"/>
  <c r="S280" i="3"/>
  <c r="S345" i="3"/>
  <c r="S871" i="3"/>
  <c r="S157" i="3"/>
  <c r="S932" i="3"/>
  <c r="S434" i="3"/>
  <c r="S687" i="3"/>
  <c r="S41" i="3"/>
  <c r="S958" i="3"/>
  <c r="S11" i="3"/>
  <c r="S583" i="3"/>
  <c r="S713" i="3"/>
  <c r="S473" i="3"/>
  <c r="S382" i="3"/>
  <c r="S124" i="3"/>
  <c r="S300" i="3"/>
  <c r="S811" i="3"/>
  <c r="S16" i="3"/>
  <c r="S379" i="3"/>
  <c r="S388" i="3"/>
  <c r="S438" i="3"/>
  <c r="S474" i="3"/>
  <c r="S496" i="3"/>
  <c r="S242" i="3"/>
  <c r="S177" i="3"/>
  <c r="S704" i="3"/>
  <c r="S972" i="3"/>
  <c r="S282" i="3"/>
  <c r="S304" i="3"/>
  <c r="S29" i="3"/>
  <c r="S892" i="3"/>
  <c r="S383" i="3"/>
  <c r="S186" i="3"/>
  <c r="S710" i="3"/>
  <c r="S106" i="3"/>
  <c r="S387" i="3"/>
  <c r="S277" i="3"/>
  <c r="S349" i="3"/>
  <c r="S749" i="3"/>
  <c r="S436" i="3"/>
  <c r="S252" i="3"/>
  <c r="S859" i="3"/>
  <c r="S561" i="3"/>
  <c r="S938" i="3"/>
  <c r="S419" i="3"/>
  <c r="S374" i="3"/>
  <c r="S140" i="3"/>
  <c r="S68" i="3"/>
  <c r="S445" i="3"/>
  <c r="S323" i="3"/>
  <c r="S884" i="3"/>
  <c r="S452" i="3"/>
  <c r="S84" i="3"/>
  <c r="S303" i="3"/>
  <c r="S492" i="3"/>
  <c r="S427" i="3"/>
  <c r="S852" i="3"/>
  <c r="S975" i="3"/>
  <c r="S136" i="3"/>
  <c r="S973" i="3"/>
  <c r="S122" i="3"/>
  <c r="S771" i="3"/>
  <c r="S416" i="3"/>
  <c r="S894" i="3"/>
  <c r="S950" i="3"/>
  <c r="S25" i="3"/>
  <c r="S605" i="3"/>
  <c r="S575" i="3"/>
  <c r="S567" i="3"/>
  <c r="S9" i="3"/>
  <c r="S221" i="3"/>
  <c r="S22" i="3"/>
  <c r="S562" i="3"/>
  <c r="S794" i="3"/>
  <c r="S717" i="3"/>
  <c r="S38" i="3"/>
  <c r="S220" i="3"/>
  <c r="S552" i="3"/>
  <c r="S113" i="3"/>
  <c r="S789" i="3"/>
  <c r="S568" i="3"/>
  <c r="S642" i="3"/>
  <c r="S238" i="3"/>
  <c r="S971" i="3"/>
  <c r="S205" i="3"/>
  <c r="S629" i="3"/>
  <c r="S814" i="3"/>
  <c r="S799" i="3"/>
  <c r="S754" i="3"/>
  <c r="S516" i="3"/>
  <c r="S156" i="3"/>
  <c r="S899" i="3"/>
  <c r="S837" i="3"/>
  <c r="S470" i="3"/>
  <c r="S744" i="3"/>
  <c r="S440" i="3"/>
  <c r="S614" i="3"/>
  <c r="S846" i="3"/>
  <c r="S618" i="3"/>
  <c r="S810" i="3"/>
  <c r="S785" i="3"/>
  <c r="S79" i="3"/>
  <c r="S343" i="3"/>
  <c r="S736" i="3"/>
  <c r="S791" i="3"/>
  <c r="S898" i="3"/>
  <c r="S851" i="3"/>
  <c r="S647" i="3"/>
  <c r="S688" i="3"/>
  <c r="S689" i="3"/>
  <c r="S299" i="3"/>
  <c r="S828" i="3"/>
  <c r="S693" i="3"/>
  <c r="S928" i="3"/>
  <c r="S843" i="3"/>
  <c r="S873" i="3"/>
  <c r="S760" i="3"/>
  <c r="S784" i="3"/>
  <c r="S196" i="3"/>
  <c r="S570" i="3"/>
  <c r="S921" i="3"/>
  <c r="S307" i="3"/>
  <c r="S30" i="3"/>
  <c r="S241" i="3"/>
  <c r="S623" i="3"/>
  <c r="S93" i="3"/>
  <c r="S288" i="3"/>
  <c r="S639" i="3"/>
  <c r="S291" i="3"/>
  <c r="S6" i="3"/>
  <c r="S317" i="3"/>
  <c r="S66" i="3"/>
  <c r="S40" i="3"/>
  <c r="S153" i="3"/>
  <c r="S101" i="3"/>
  <c r="S333" i="3"/>
  <c r="S472" i="3"/>
  <c r="S931" i="3"/>
  <c r="S960" i="3"/>
  <c r="S148" i="3"/>
  <c r="S351" i="3"/>
  <c r="S75" i="3"/>
  <c r="S661" i="3"/>
  <c r="S178" i="3"/>
  <c r="S305" i="3"/>
  <c r="S219" i="3"/>
  <c r="S161" i="3"/>
  <c r="S601" i="3"/>
  <c r="S836" i="3"/>
  <c r="S819" i="3"/>
  <c r="S870" i="3"/>
  <c r="S900" i="3"/>
  <c r="S112" i="3"/>
  <c r="S643" i="3"/>
  <c r="S170" i="3"/>
  <c r="S628" i="3"/>
  <c r="S586" i="3"/>
  <c r="S279" i="3"/>
  <c r="S532" i="3"/>
  <c r="S595" i="3"/>
  <c r="S70" i="3"/>
  <c r="S322" i="3"/>
  <c r="S466" i="3"/>
  <c r="S10" i="3"/>
  <c r="S482" i="3"/>
  <c r="S686" i="3"/>
  <c r="S621" i="3"/>
  <c r="S391" i="3"/>
  <c r="S144" i="3"/>
  <c r="S402" i="3"/>
  <c r="S636" i="3"/>
  <c r="S545" i="3"/>
  <c r="S918" i="3"/>
  <c r="S410" i="3"/>
  <c r="S593" i="3"/>
  <c r="S308" i="3"/>
  <c r="S55" i="3"/>
  <c r="S253" i="3"/>
  <c r="S463" i="3"/>
  <c r="S366" i="3"/>
  <c r="S751" i="3"/>
  <c r="S741" i="3"/>
  <c r="S957" i="3"/>
  <c r="S134" i="3"/>
  <c r="S670" i="3"/>
  <c r="S353" i="3"/>
  <c r="S508" i="3"/>
  <c r="S839" i="3"/>
  <c r="S483" i="3"/>
  <c r="S893" i="3"/>
  <c r="S543" i="3"/>
  <c r="S394" i="3"/>
  <c r="S765" i="3"/>
  <c r="S698" i="3"/>
  <c r="S285" i="3"/>
  <c r="S740" i="3"/>
  <c r="S223" i="3"/>
  <c r="S287" i="3"/>
  <c r="S490" i="3"/>
  <c r="S222" i="3"/>
  <c r="S439" i="3"/>
  <c r="S467" i="3"/>
  <c r="S255" i="3"/>
  <c r="S128" i="3"/>
  <c r="S706" i="3"/>
  <c r="S522" i="3"/>
  <c r="S371" i="3"/>
  <c r="S933" i="3"/>
  <c r="S484" i="3"/>
  <c r="S197" i="3"/>
  <c r="S102" i="3"/>
  <c r="S359" i="3"/>
  <c r="S459" i="3"/>
  <c r="S428" i="3"/>
  <c r="S243" i="3"/>
  <c r="S330" i="3"/>
  <c r="S302" i="3"/>
  <c r="S770" i="3"/>
  <c r="S857" i="3"/>
  <c r="S237" i="3"/>
  <c r="S80" i="3"/>
  <c r="S194" i="3"/>
  <c r="S276" i="3"/>
  <c r="S154" i="3"/>
  <c r="S431" i="3"/>
  <c r="S83" i="3"/>
  <c r="S214" i="3"/>
  <c r="S476" i="3"/>
  <c r="S571" i="3"/>
  <c r="S869" i="3"/>
  <c r="S795" i="3"/>
  <c r="S175" i="3"/>
  <c r="S384" i="3"/>
  <c r="S956" i="3"/>
  <c r="S753" i="3"/>
  <c r="S739" i="3"/>
  <c r="S275" i="3"/>
  <c r="S970" i="3"/>
  <c r="S730" i="3"/>
  <c r="S768" i="3"/>
  <c r="S393" i="3"/>
  <c r="S361" i="3"/>
  <c r="S802" i="3"/>
  <c r="S719" i="3"/>
  <c r="S176" i="3"/>
  <c r="S848" i="3"/>
  <c r="S130" i="3"/>
  <c r="S296" i="3"/>
  <c r="S930" i="3"/>
  <c r="S774" i="3"/>
  <c r="S286" i="3"/>
  <c r="S168" i="3"/>
  <c r="S904" i="3"/>
  <c r="S133" i="3"/>
  <c r="S903" i="3"/>
  <c r="S274" i="3"/>
  <c r="S853" i="3"/>
  <c r="S310" i="3"/>
  <c r="S625" i="3"/>
  <c r="S841" i="3"/>
  <c r="S166" i="3"/>
  <c r="S341" i="3"/>
  <c r="S110" i="3"/>
  <c r="S635" i="3"/>
  <c r="S234" i="3"/>
  <c r="S503" i="3"/>
  <c r="S683" i="3"/>
  <c r="S911" i="3"/>
  <c r="S723" i="3"/>
  <c r="S405" i="3"/>
  <c r="S805" i="3"/>
  <c r="S692" i="3"/>
  <c r="S71" i="3"/>
  <c r="S46" i="3"/>
  <c r="S942" i="3"/>
  <c r="S557" i="3"/>
  <c r="S525" i="3"/>
  <c r="S460" i="3"/>
  <c r="S668" i="3"/>
  <c r="S591" i="3"/>
  <c r="S378" i="3"/>
  <c r="S448" i="3"/>
  <c r="S147" i="3"/>
  <c r="S338" i="3"/>
  <c r="S512" i="3"/>
  <c r="S551" i="3"/>
  <c r="S108" i="3"/>
  <c r="S978" i="3"/>
  <c r="S977" i="3"/>
  <c r="S806" i="3"/>
  <c r="S728" i="3"/>
  <c r="S547" i="3"/>
  <c r="S69" i="3"/>
  <c r="S336" i="3"/>
  <c r="S801" i="3"/>
  <c r="S646" i="3"/>
  <c r="S792" i="3"/>
  <c r="S149" i="3"/>
  <c r="S925" i="3"/>
  <c r="S626" i="3"/>
  <c r="S566" i="3"/>
  <c r="S856" i="3"/>
  <c r="S228" i="3"/>
  <c r="S912" i="3"/>
  <c r="S357" i="3"/>
  <c r="S587" i="3"/>
  <c r="S800" i="3"/>
  <c r="S656" i="3"/>
  <c r="S461" i="3"/>
  <c r="S364" i="3"/>
  <c r="S546" i="3"/>
  <c r="S398" i="3"/>
  <c r="S592" i="3"/>
  <c r="S48" i="3"/>
  <c r="S103" i="3"/>
  <c r="S526" i="3"/>
  <c r="S885" i="3"/>
  <c r="S872" i="3"/>
  <c r="S908" i="3"/>
  <c r="S655" i="3"/>
  <c r="S891" i="3"/>
  <c r="S615" i="3"/>
  <c r="S56" i="3"/>
  <c r="S861" i="3"/>
  <c r="S120" i="3"/>
  <c r="S475" i="3"/>
  <c r="S42" i="3"/>
  <c r="S979" i="3"/>
</calcChain>
</file>

<file path=xl/sharedStrings.xml><?xml version="1.0" encoding="utf-8"?>
<sst xmlns="http://schemas.openxmlformats.org/spreadsheetml/2006/main" count="10203" uniqueCount="1141">
  <si>
    <t>Company</t>
  </si>
  <si>
    <t>Item</t>
  </si>
  <si>
    <t>Calories</t>
  </si>
  <si>
    <t>Calories from
Fat</t>
  </si>
  <si>
    <t>Total Fat
(g)</t>
  </si>
  <si>
    <t>Saturated Fat
(g)</t>
  </si>
  <si>
    <t>Trans Fat
(g)</t>
  </si>
  <si>
    <t>Cholesterol
(mg)</t>
  </si>
  <si>
    <t>Sodium 
(mg)</t>
  </si>
  <si>
    <t>Carbs
(g)</t>
  </si>
  <si>
    <t>Fiber
(g)</t>
  </si>
  <si>
    <t>Sugars
(g)</t>
  </si>
  <si>
    <t>Protein
(g)</t>
  </si>
  <si>
    <t>Weight Watchers
Pnts</t>
  </si>
  <si>
    <t>Protein per 100cal</t>
  </si>
  <si>
    <t>High Sodium (1-yes/ 0-no)</t>
  </si>
  <si>
    <t>High Cholesterol (1-yes/ 0-no)</t>
  </si>
  <si>
    <t>Taco Bell</t>
  </si>
  <si>
    <t>Premium Hot Coffee</t>
  </si>
  <si>
    <t>Regular Iced Coffee</t>
  </si>
  <si>
    <t xml:space="preserve">Things I corrected: 1) removed the rows that had no values 2) some fields had '&lt;1' --&gt; changed to 0 3) blank cells filled with 0 except for weight watcher points. 4) correct store names </t>
  </si>
  <si>
    <t>KFC</t>
  </si>
  <si>
    <t>KENTUCKY GRILLED CHICKEN Breast</t>
  </si>
  <si>
    <t>Breast</t>
  </si>
  <si>
    <t>KENTUCKY GRILLED CHICKEN Drumstick</t>
  </si>
  <si>
    <t>McDonalds</t>
  </si>
  <si>
    <t>Premium Caesar Salad with Grilled Chicken</t>
  </si>
  <si>
    <t>KENTUCKY GRILLED CHICKEN Whole Wing</t>
  </si>
  <si>
    <t>Premium Bacon Ranch Salad with Grilled Chicken</t>
  </si>
  <si>
    <t>KENTUCKY GRILLED CHICKEN Thigh</t>
  </si>
  <si>
    <t>Drumstick</t>
  </si>
  <si>
    <t>Nonfat Cappuccino (Small)</t>
  </si>
  <si>
    <t>Nonfat Cappuccino (Medium)</t>
  </si>
  <si>
    <t>Nonfat Cappuccino (Large)</t>
  </si>
  <si>
    <t>Nonfat Latte (Small)</t>
  </si>
  <si>
    <t>Nonfat Latte (Large)</t>
  </si>
  <si>
    <t>Nonfat Cappuccino with Sugar Free Vanilla Syrup (Small)</t>
  </si>
  <si>
    <t>Nonfat Cappuccino with Sugar Free Vanilla Syrup (Medium)</t>
  </si>
  <si>
    <t>Nonfat Cappuccino with Sugar Free Vanilla Syrup (Large)</t>
  </si>
  <si>
    <t>Nonfat Latte with Sugar Free Vanilla Syrup (Medium)</t>
  </si>
  <si>
    <t>Nonfat Latte with Sugar Free Vanilla Syrup (Large)</t>
  </si>
  <si>
    <t>High sodium if more than 20% of 2300mg</t>
  </si>
  <si>
    <t>https://www.fda.gov/food/nutrition-education-resources-materials/sodium-your-diet</t>
  </si>
  <si>
    <t>Iced Nonfat Latte (Small)</t>
  </si>
  <si>
    <t>High cholesterol if &gt;300mg per day</t>
  </si>
  <si>
    <t>https://www.ucsfhealth.org/health-articles/cholesterol-content-of-foods</t>
  </si>
  <si>
    <t>Iced Nonfat Latte (Medium)</t>
  </si>
  <si>
    <t>Iced Nonfat Latte (Large)</t>
  </si>
  <si>
    <t>Iced Nonfat Latte with Sugar Free Vanilla Syrup (Small)</t>
  </si>
  <si>
    <t>Iced Nonfat Latte with Sugar Free Vanilla Syrup (Medium)</t>
  </si>
  <si>
    <t>Iced Nonfat Latte with Sugar Free Vanilla Syrup (Large)</t>
  </si>
  <si>
    <t>Burger King</t>
  </si>
  <si>
    <t>Fat FREE Milk (8 fl oz)</t>
  </si>
  <si>
    <t>Limited Time ORIGINAL RECIPE CHICKEN Chicken Breast</t>
  </si>
  <si>
    <t>Whole Wing</t>
  </si>
  <si>
    <t>Thigh</t>
  </si>
  <si>
    <t>Premium Southwest Salad with Grilled Chicken</t>
  </si>
  <si>
    <t>Limited Time ORIGINAL RECIPE CHICKEN Chicken Limited Time Drumstick</t>
  </si>
  <si>
    <t>Wendys</t>
  </si>
  <si>
    <t>Chili, Large</t>
  </si>
  <si>
    <t>Grilled Chicken Sandwich</t>
  </si>
  <si>
    <t>Nonfat Latte (Medium)</t>
  </si>
  <si>
    <t>Lowfat Milk ‚Äì CA (Regional)</t>
  </si>
  <si>
    <t>Berry Burst Chicken Salad, Full Size</t>
  </si>
  <si>
    <t>Chili, Small</t>
  </si>
  <si>
    <t>Nonfat Latte with Sugar Free Vanilla Syrup (Small)</t>
  </si>
  <si>
    <t>Lowfat Milk ‚Äì Federal (Regional)</t>
  </si>
  <si>
    <t>SPICY CRISPY CHICKEN Breast</t>
  </si>
  <si>
    <t>Premium Grilled Chicken Ranch BLT Sandwich</t>
  </si>
  <si>
    <t>Grilled Asiago Ranch Club</t>
  </si>
  <si>
    <t>1% Low Fat Milk Jug</t>
  </si>
  <si>
    <t>Berry Burst Chicken Salad, Half Size</t>
  </si>
  <si>
    <t>Premium Caesar Salad with Crispy Chicken</t>
  </si>
  <si>
    <t>Premium Bacon Ranch Salad with Crispy Chicken</t>
  </si>
  <si>
    <t>Premium Caesar Salad (without chicken)</t>
  </si>
  <si>
    <t>1% White Milk</t>
  </si>
  <si>
    <t>Milk 1%</t>
  </si>
  <si>
    <t>Limited Time ORIGINAL RECIPE CHICKEN Chicken Whole Wing</t>
  </si>
  <si>
    <t>Premium Grilled Chicken Club Sandwich</t>
  </si>
  <si>
    <t>Premium Grilled Chicken Classic Sandwich</t>
  </si>
  <si>
    <t>Kids 2 Piece Chicken Tenders</t>
  </si>
  <si>
    <t>Caesar Side Salad</t>
  </si>
  <si>
    <t>Soft Taco ‚Äì Chicken</t>
  </si>
  <si>
    <t>4 Piece Chicken Tenders</t>
  </si>
  <si>
    <t>Grilled Chicken Wrap</t>
  </si>
  <si>
    <t>Kids Grilled Chicken Wrap</t>
  </si>
  <si>
    <t>KFC¬Æ Livers</t>
  </si>
  <si>
    <t>6 Piece Chicken Tenders</t>
  </si>
  <si>
    <t>EXTRA CRISPY  Tender (each)</t>
  </si>
  <si>
    <t>3 Piece Chicken Tenders</t>
  </si>
  <si>
    <t>Southwest Avocado Chicken Salad, Full Size</t>
  </si>
  <si>
    <t>Southwest Avocado Chicken Salad, Half Size</t>
  </si>
  <si>
    <t>Honey Mustard Snack Wrap¬Æ (Grilled)</t>
  </si>
  <si>
    <t>Chipotle BBQ Snack Wrap¬Æ (Grilled)</t>
  </si>
  <si>
    <t>SPICY CRISPY CHICKEN Drumstick</t>
  </si>
  <si>
    <t>Honey BBQ Sandwich</t>
  </si>
  <si>
    <t>Apple Pecan Chicken Salad, Full Size</t>
  </si>
  <si>
    <t>Limited Time ORIGINAL RECIPE CHICKEN Chicken Thigh</t>
  </si>
  <si>
    <t>Ranch Snack Wrap¬Æ (Grilled)</t>
  </si>
  <si>
    <t>Garden Side Salad ‚Äì w/o dressing</t>
  </si>
  <si>
    <t>EXTRA CRISPY  Chicken Thigh</t>
  </si>
  <si>
    <t>House Side Salad</t>
  </si>
  <si>
    <t>KFC¬Æ Gizzards</t>
  </si>
  <si>
    <t>EXTRA CRISPY  Chicken Breast</t>
  </si>
  <si>
    <t>Dave‚Äôs Triple</t>
  </si>
  <si>
    <t>Double Quarter Pounder¬Æ with Cheese</t>
  </si>
  <si>
    <t>Premium Bacon Ranch Salad (without chicken)</t>
  </si>
  <si>
    <t>Double Stack</t>
  </si>
  <si>
    <t>Chicken Chipotle Melt ‚Äì Value Menu</t>
  </si>
  <si>
    <t>KENTUCKY FRIED WINGS Unsauced</t>
  </si>
  <si>
    <t>Double Quarter Pound King Sandwich</t>
  </si>
  <si>
    <t>Baconator</t>
  </si>
  <si>
    <t>Dave‚Äôs Double</t>
  </si>
  <si>
    <t>Premium Southwest Salad with Crispy Chicken</t>
  </si>
  <si>
    <t>Southern Style Crispy Chicken Sandwich</t>
  </si>
  <si>
    <t>Egg McMuffin¬Æ</t>
  </si>
  <si>
    <t>Iced Latte (Medium)</t>
  </si>
  <si>
    <t>Double Hamburger</t>
  </si>
  <si>
    <t>Bacon Double Cheeseburger</t>
  </si>
  <si>
    <t>Triple Whopper  Sandwich</t>
  </si>
  <si>
    <t>Double Cheeseburger</t>
  </si>
  <si>
    <t>Apple Pecan Chicken Salad, Half Size</t>
  </si>
  <si>
    <t>EXTRA CRISPY  Chicken Drumstick</t>
  </si>
  <si>
    <t>EXTRA CRISPY  Chicken Whole Wing</t>
  </si>
  <si>
    <t>Spicy Caesar Chicken Salad, Full Size</t>
  </si>
  <si>
    <t>SPICY CRISPY CHICKEN Whole Wing</t>
  </si>
  <si>
    <t>Triple Whopper  Sandwich with Cheese</t>
  </si>
  <si>
    <t>Double Stacker King</t>
  </si>
  <si>
    <t>BBQ Baked Beans</t>
  </si>
  <si>
    <t>Chicken Selects¬Æ Premium Breast Strips (5 pc)</t>
  </si>
  <si>
    <t>Homestyle Asiago Ranch Chicken Club</t>
  </si>
  <si>
    <t>Chicken Selects¬Æ Premium Breast Strips (3 pc)</t>
  </si>
  <si>
    <t>Club Salad with Crispy Chicken ‚Äì no dressing</t>
  </si>
  <si>
    <t>Angus Mushroom &amp; Swiss</t>
  </si>
  <si>
    <t>Cappuccino (Medium)</t>
  </si>
  <si>
    <t>Jr. Cheeseburger</t>
  </si>
  <si>
    <t>Angus Bacon &amp; Cheese</t>
  </si>
  <si>
    <t xml:space="preserve"> Quarter Pounder¬Æ with Cheese</t>
  </si>
  <si>
    <t>Spicy Chicken Sandwich</t>
  </si>
  <si>
    <t>Garden Chicken Salad with Crispy Chicken ‚Äì no dressing</t>
  </si>
  <si>
    <t>Spicy Asiago Ranch Club</t>
  </si>
  <si>
    <t>BBQ Baked Beans (Family)</t>
  </si>
  <si>
    <t>McDouble</t>
  </si>
  <si>
    <t>Angus Chipotle BBQ Bacon</t>
  </si>
  <si>
    <t>Artisan Egg Sandwich with Bacon</t>
  </si>
  <si>
    <t>Spicy Caesar Chicken Salad, Half Size</t>
  </si>
  <si>
    <t>Latte (Medium)</t>
  </si>
  <si>
    <t>Latte with Sugar Free Vanilla Syrup (Large)</t>
  </si>
  <si>
    <t>Iced Latte with Sugar Free Vanilla Syrup (Medium)</t>
  </si>
  <si>
    <t>Power Menu Bowl ‚Äì Specialties</t>
  </si>
  <si>
    <t>Power Menu Bowl ‚Äì Chicken</t>
  </si>
  <si>
    <t>Single Quarter Pound King Sandwich</t>
  </si>
  <si>
    <t>Homestyle Chicken Sandwich</t>
  </si>
  <si>
    <t>Iced Latte with Sugar Free Vanilla Syrup (Large)</t>
  </si>
  <si>
    <t>Hamburger</t>
  </si>
  <si>
    <t>Kids Hamburger</t>
  </si>
  <si>
    <t>Son of Baconator</t>
  </si>
  <si>
    <t>Angus Bacon &amp; Cheese Snack Wrap</t>
  </si>
  <si>
    <t>Latte with Sugar Free Vanilla Syrup (Small)</t>
  </si>
  <si>
    <t>Pizza Hut</t>
  </si>
  <si>
    <t>Hand Tossed Slices Hawaiian Chicken Small</t>
  </si>
  <si>
    <t>Cheddar Bacon King Sandwich</t>
  </si>
  <si>
    <t>Cheeseburger</t>
  </si>
  <si>
    <t>Kids Cheeseburger</t>
  </si>
  <si>
    <t>Hand Tossed Slices Hawaiian Chicken Large</t>
  </si>
  <si>
    <t>Angus Deluxe</t>
  </si>
  <si>
    <t xml:space="preserve">Latte (Small) </t>
  </si>
  <si>
    <t>Cappuccino with Sugar Free Vanilla Syrup (Large)</t>
  </si>
  <si>
    <t>Double Whopper Sandwich</t>
  </si>
  <si>
    <t>Pan Pizza Slices Hawaiian Chicken Personal Pan</t>
  </si>
  <si>
    <t>Bacon Cheeseburger</t>
  </si>
  <si>
    <t>Double Whopper Sandwich with Cheese</t>
  </si>
  <si>
    <t>Bacon King Sandwich</t>
  </si>
  <si>
    <t>Big N‚Äô Tasty¬Æ with Cheese</t>
  </si>
  <si>
    <t>1% Low Fat Chocolate Milk Jug</t>
  </si>
  <si>
    <t>4 Piece Chicken Nuggets</t>
  </si>
  <si>
    <t>Kids 4 Piece Chicken Nuggets</t>
  </si>
  <si>
    <t>Quesadilla ‚Äì Chicken</t>
  </si>
  <si>
    <t>Quesadilla ‚Äì Specialties</t>
  </si>
  <si>
    <t>Dave‚Äôs Single</t>
  </si>
  <si>
    <t>Angus Chipotle BBQ Bacon Snack Wrap</t>
  </si>
  <si>
    <t>Latte (Large)</t>
  </si>
  <si>
    <t>10 Piece Chicken Nuggets</t>
  </si>
  <si>
    <t>Classic Chicken Sandwich</t>
  </si>
  <si>
    <t>Big N‚Äô Tasty¬Æ</t>
  </si>
  <si>
    <t>Power Menu Bowl ‚Äì Steak</t>
  </si>
  <si>
    <t>6 Picece Chicken Nuggets</t>
  </si>
  <si>
    <t>Quesadilla ‚Äì Steak</t>
  </si>
  <si>
    <t>Hand Tossed Slices Chicken Bacon Parmesan Large</t>
  </si>
  <si>
    <t>Burrito Supreme¬Æ ‚Äì Chicken</t>
  </si>
  <si>
    <t>Angus Mushroom &amp; Swiss Snack Wrap</t>
  </si>
  <si>
    <t>Crispy Colonel‚Äôs Sandwich</t>
  </si>
  <si>
    <t>6 Piece Chicken McNuggets¬Æ Happy Meal</t>
  </si>
  <si>
    <t>Premium Crispy Chicken Club Sandwich</t>
  </si>
  <si>
    <t>Premium Crispy Chicken Ranch BLT Sandwich</t>
  </si>
  <si>
    <t>Side Salad</t>
  </si>
  <si>
    <t>Steak, Egg &amp; Cheese Bagel</t>
  </si>
  <si>
    <t>Cappuccino (Small)</t>
  </si>
  <si>
    <t>Cappuccino (Large)</t>
  </si>
  <si>
    <t>Cappuccino with Sugar Free Vanilla Syrup (Small)</t>
  </si>
  <si>
    <t>Cappuccino with Sugar Free Vanilla Syrup (Medium)</t>
  </si>
  <si>
    <t>Latte with Sugar Free Vanilla Syrup (Medium)</t>
  </si>
  <si>
    <t>Iced Latte (Small)</t>
  </si>
  <si>
    <t>Iced Latte (Large)</t>
  </si>
  <si>
    <t>Iced Latte with Sugar Free Vanilla Syrup (Small)</t>
  </si>
  <si>
    <t>Single Stacker King</t>
  </si>
  <si>
    <t>1% Low Fat Chocolate Milk (8 fl oz)</t>
  </si>
  <si>
    <t>American Cheese (slice)</t>
  </si>
  <si>
    <t>Jr. Bacon Cheeseburger</t>
  </si>
  <si>
    <t>KENTUCKY FRIED WINGS Buffalo</t>
  </si>
  <si>
    <t>KENTUCKY FRIED WINGS Honey BBQ</t>
  </si>
  <si>
    <t>Green Beans (Family)</t>
  </si>
  <si>
    <t>Soft Taco ‚Äì Beef</t>
  </si>
  <si>
    <t>Cheesy Roll Up ‚Äì Specialties</t>
  </si>
  <si>
    <t>Soft Taco ‚Äì Specialties</t>
  </si>
  <si>
    <t>Cheesy Roll Up ‚Äì Value Menu</t>
  </si>
  <si>
    <t>Cheesy Roll Up</t>
  </si>
  <si>
    <t>Pan Pizza Slices Chicken Bacon Parmesan Personal Pan</t>
  </si>
  <si>
    <t>Pan Pizza Slices Hawaiian Chicken Medium</t>
  </si>
  <si>
    <t>Angus Deluxe Snack Wrap</t>
  </si>
  <si>
    <t>Spicy Chicken Wrap</t>
  </si>
  <si>
    <t>Burrito Supreme¬Æ ‚Äì Steak</t>
  </si>
  <si>
    <t>Pan Pizza Slices Hawaiian Chicken Large</t>
  </si>
  <si>
    <t>Taco Salad, Full Size</t>
  </si>
  <si>
    <t>Chalupa Supreme¬Æ ‚Äì Chicken</t>
  </si>
  <si>
    <t>Hand Tossed Slices Ultimate Cheese Lover‚Äôs¬Æ Large</t>
  </si>
  <si>
    <t>Grande Toasted Breakfast Burrito ‚Äì Steak</t>
  </si>
  <si>
    <t>SPICY CRISPY CHICKEN Thigh</t>
  </si>
  <si>
    <t>Hand Tossed Slices  Buffalo Chicken Large</t>
  </si>
  <si>
    <t>4 Piece Chicken McNuggets Happy Meal</t>
  </si>
  <si>
    <t>Crispy Colonel‚Äôs Sandwich ‚Äì Buffalo</t>
  </si>
  <si>
    <t>Hand Tossed Slices Chicken Bacon Parmesan Medium</t>
  </si>
  <si>
    <t>Hand Tossed Slices Ultimate Cheese Lover‚Äôs¬Æ Medium</t>
  </si>
  <si>
    <t>Crispy Chicken BLT</t>
  </si>
  <si>
    <t>Soft Taco Supreme ‚Äì Specialties</t>
  </si>
  <si>
    <t>Hand Tossed Slices Cheese Medium</t>
  </si>
  <si>
    <t>Hand Tossed Slices Hawaiian Chicken Medium</t>
  </si>
  <si>
    <t>Chicken McNuggets¬Æ (4 piece)</t>
  </si>
  <si>
    <t>Sausage and Egg Burrito</t>
  </si>
  <si>
    <t>Two Sausage and Egg Burritos</t>
  </si>
  <si>
    <t>Premium Crispy Chicken Classic Sandwich</t>
  </si>
  <si>
    <t>Chicken Nuggets- 4pc</t>
  </si>
  <si>
    <t>Jr. Cheeseburger Deluxe</t>
  </si>
  <si>
    <t>Crispy Colonel‚Äôs Sandwich ‚Äì Honey BBQ</t>
  </si>
  <si>
    <t>Crunchy Taco</t>
  </si>
  <si>
    <t>Nacho Cheese Doritos¬Æ Locos Taco</t>
  </si>
  <si>
    <t>Crunchy Taco ‚Äì Specialties</t>
  </si>
  <si>
    <t>Nacho Cheese Doritos¬Æ Locos Taco ‚Äì Specialties</t>
  </si>
  <si>
    <t>Pan Pizza Slices Ultimate Cheese Lover‚Äôs¬Æ Personal Pan</t>
  </si>
  <si>
    <t>Chicken McNuggets¬Æ (10 piece)</t>
  </si>
  <si>
    <t>Sausage McMuffin¬Æ with Egg</t>
  </si>
  <si>
    <t>1% Chocolate Milk</t>
  </si>
  <si>
    <t>Chicken Littles</t>
  </si>
  <si>
    <t>Chocolate Milk 1%</t>
  </si>
  <si>
    <t>Pan Pizza Slices Cheese Personal Pan</t>
  </si>
  <si>
    <t>Hand Tossed Slices Backyard BBQ Chicken Large</t>
  </si>
  <si>
    <t>Hand Tossed Slices Chicken Bacon Parmesan Small</t>
  </si>
  <si>
    <t>Double CROISSAN‚ÄôWICH¬Æ with Ham &amp; Sausage</t>
  </si>
  <si>
    <t>Chicken Nuggets- 10pc</t>
  </si>
  <si>
    <t>Chicken McNuggets¬Æ (6 piece)</t>
  </si>
  <si>
    <t>Chicken Fries ‚Äì 9 pc.</t>
  </si>
  <si>
    <t>Detroit Double Cheesy Pizza Slice</t>
  </si>
  <si>
    <t>Hamburger Happy Meal</t>
  </si>
  <si>
    <t>5.5 g</t>
  </si>
  <si>
    <t>Big Mac¬Æ</t>
  </si>
  <si>
    <t>Chicken Nuggets- 6pc</t>
  </si>
  <si>
    <t>Pan Pizza Slices Chicken Bacon Parmesan Large</t>
  </si>
  <si>
    <t>Hand Tossed Slices  Buffalo Chicken Small</t>
  </si>
  <si>
    <t>Hand Tossed Slices Cheese Small</t>
  </si>
  <si>
    <t>Hand Tossed Slices Pepperoni Small</t>
  </si>
  <si>
    <t>Extra Long Cheeseburger</t>
  </si>
  <si>
    <t>CROISSAN‚ÄôWICH¬Æ Ham, Egg &amp; Cheese</t>
  </si>
  <si>
    <t>Hand Tossed Slices Pepperoni Lover‚Äôs¬Æ Large</t>
  </si>
  <si>
    <t>Fully Loaded CROISSAN‚ÄôWICH¬Æ</t>
  </si>
  <si>
    <t>Pan Pizza Slices Buffalo Chicken Medium</t>
  </si>
  <si>
    <t>Mac Snack Wrap</t>
  </si>
  <si>
    <t>Chicken Breast</t>
  </si>
  <si>
    <t>Bacon Club Chalupa</t>
  </si>
  <si>
    <t>Chalupa Supreme¬Æ ‚Äì Steak</t>
  </si>
  <si>
    <t>Bacon Club Chalupa ‚Äì Specialties</t>
  </si>
  <si>
    <t>Hand Tossed Slices Backyard BBQ Chicken Medium</t>
  </si>
  <si>
    <t>Chicken Nuggets- 20pc</t>
  </si>
  <si>
    <t>Chicken Littles ‚Äì Buffalo</t>
  </si>
  <si>
    <t>Hand Tossed Slices Beyond Meat¬Æ Pepperoni Medium</t>
  </si>
  <si>
    <t>Hand Tossed Slices  Buffalo Chicken Medium</t>
  </si>
  <si>
    <t>POPCORN NUGGETS Kids</t>
  </si>
  <si>
    <t>Detroit Supremo Pizza Slice</t>
  </si>
  <si>
    <t>Hand Tossed Slices Cheese Large</t>
  </si>
  <si>
    <t>Peanuts (for Sundaes)</t>
  </si>
  <si>
    <t>Crispy Colonel‚Äôs Sandwich ‚Äì Nashville Hot</t>
  </si>
  <si>
    <t>Crispy Twister¬Æ</t>
  </si>
  <si>
    <t>Pan Pizza Slices Backyard BBQ Chicken Personal Pan</t>
  </si>
  <si>
    <t>Pan Pizza Slices Cheese Large</t>
  </si>
  <si>
    <t>Pan Pizza Slices Chicken Bacon Parmesan Medium</t>
  </si>
  <si>
    <t>Pan Pizza Slices Pepperoni Lover‚Äôs¬Æ Personal Pan</t>
  </si>
  <si>
    <t>Pan Pizza Slices Ultimate Cheese Lover‚Äôs¬Æ Medium</t>
  </si>
  <si>
    <t>Hand Tossed Slices Pepperoni Lover‚Äôs¬Æ Medium</t>
  </si>
  <si>
    <t>Bacon &amp; Cheese Whopper Sandwich</t>
  </si>
  <si>
    <t>McSkillet‚Ñ¢ Burrito with Sausage</t>
  </si>
  <si>
    <t>Biggie Breakfast Sandwich</t>
  </si>
  <si>
    <t>McRib ¬Æ</t>
  </si>
  <si>
    <t>Chicken Drumstick</t>
  </si>
  <si>
    <t>Chicken Thigh</t>
  </si>
  <si>
    <t>Pan Pizza Slices Cheese Medium</t>
  </si>
  <si>
    <t>Fully Loaded Biscuit</t>
  </si>
  <si>
    <t>Artisan Egg Sandwich with Sausage</t>
  </si>
  <si>
    <t>Chicken Littles ‚Äì Honey BBQ</t>
  </si>
  <si>
    <t>Detroit Meaty Pizza Slice</t>
  </si>
  <si>
    <t>Pan Pizza Slices Buffalo Chicken Personal Pan</t>
  </si>
  <si>
    <t>Hand Tossed Slices Pepperoni Lover‚Äôs¬Æ Small</t>
  </si>
  <si>
    <t>Hand Tossed Slices Supreme Large</t>
  </si>
  <si>
    <t>Pan Pizza Slices Ultimate Cheese Lover‚Äôs¬Æ Large</t>
  </si>
  <si>
    <t>Hand Tossed Slices Meat Lover‚Äôs¬Æ Large</t>
  </si>
  <si>
    <t>POPCORN NUGGETS Large</t>
  </si>
  <si>
    <t>Pan Pizza Slices Pepperoni Lover‚Äôs¬Æ Medium</t>
  </si>
  <si>
    <t>Hand Tossed Slices Pepperoni Large</t>
  </si>
  <si>
    <t>Whopper Sandwich with Cheese</t>
  </si>
  <si>
    <t>Chili Cheese Burrito (regional)</t>
  </si>
  <si>
    <t>Pan Pizza Slices Pepperoni Lover‚Äôs¬Æ Large</t>
  </si>
  <si>
    <t>Premium Southwest Salad (without chicken)</t>
  </si>
  <si>
    <t>Bacon, Egg &amp; Cheese Bagel</t>
  </si>
  <si>
    <t>Nonfat Caramel Mocha (Large)</t>
  </si>
  <si>
    <t>Grande Toasted Breakfast Burrito ‚Äì Bacon</t>
  </si>
  <si>
    <t>Pan Pizza Slices Buffalo Chicken Large</t>
  </si>
  <si>
    <t>Pan Pizza Slices Meat Lover‚Äôs¬Æ Personal Pan</t>
  </si>
  <si>
    <t>Pan Pizza Slices Veggie Lover‚Äôs¬Æ Personal Pan</t>
  </si>
  <si>
    <t>Hand Tossed Slices Backyard BBQ Chicken Small</t>
  </si>
  <si>
    <t>Hand Tossed Slices Beyond Meat¬Æ Pepperoni Large</t>
  </si>
  <si>
    <t>Ham, Egg, &amp; Cheese Biscuit</t>
  </si>
  <si>
    <t>Honey Mustard Snack Wrap¬Æ (Crispy)</t>
  </si>
  <si>
    <t>Chipotle BBQ Snack Wrap¬Æ (Crispy)</t>
  </si>
  <si>
    <t>Whopper Sandwich</t>
  </si>
  <si>
    <t>Original Chicken Sandwich</t>
  </si>
  <si>
    <t>Crispy Chicken Sandwich</t>
  </si>
  <si>
    <t>Detroit Double Pepperoni Pizza Slice</t>
  </si>
  <si>
    <t>Pan Pizza Slices Veggie Lover‚Äôs¬Æ Large</t>
  </si>
  <si>
    <t>Hand Tossed Slices Veggie Lover‚Äôs¬Æ Large</t>
  </si>
  <si>
    <t>Crunchy Taco Supreme¬Æ</t>
  </si>
  <si>
    <t>Nacho Cheese Doritos¬Æ Locos Taco Supreme¬Æ</t>
  </si>
  <si>
    <t>Hash Brown Toasted Breakfast Burrito ‚Äì Steak</t>
  </si>
  <si>
    <t>Pan Pizza Slices Backyard BBQ Chicken Large</t>
  </si>
  <si>
    <t>Whopper JR.  Sandwich</t>
  </si>
  <si>
    <t>Pan Pizza Slices Beyond Meat¬Æ Pepperoni Medium</t>
  </si>
  <si>
    <t>Hand Tossed Slices Supreme Medium</t>
  </si>
  <si>
    <t>Hand Tossed Slices Veggie Lover‚Äôs¬Æ Small</t>
  </si>
  <si>
    <t>Southern Style Chicken Biscuit (Regular Size Biscuit)</t>
  </si>
  <si>
    <t>Hand Tossed Slices Meat Lover‚Äôs¬Æ Medium</t>
  </si>
  <si>
    <t>Chili &amp; Cheese Baked Potato</t>
  </si>
  <si>
    <t>Ranch Snack Wrap¬Æ (Crispy)</t>
  </si>
  <si>
    <t>Nonfat Caramel Latte (Small)</t>
  </si>
  <si>
    <t>Chicken Littles ‚Äì Nashville Hot</t>
  </si>
  <si>
    <t>Pan Pizza Slices Supreme Personal Pan</t>
  </si>
  <si>
    <t>Hot Chocolate with Nonfat Milk (Large)</t>
  </si>
  <si>
    <t>EGG-NORMOUS BURRITOŒ°</t>
  </si>
  <si>
    <t>Burrito Supreme¬Æ ‚Äì Beef</t>
  </si>
  <si>
    <t>Pan Pizza Slices Supreme Large</t>
  </si>
  <si>
    <t>Nonfat Caramel Latte (Medium)</t>
  </si>
  <si>
    <t>Nonfat Hazelnut Latte (Medium)</t>
  </si>
  <si>
    <t>Nonfat Vanilla Latte (Medium)</t>
  </si>
  <si>
    <t>Hand Tossed Slices Pepperoni Medium</t>
  </si>
  <si>
    <t>Double CROISSAN‚ÄôWICH¬Æ with Sausage</t>
  </si>
  <si>
    <t>KFC¬Æ Famous Bowl ‚Äì Snack Size</t>
  </si>
  <si>
    <t>Pan Pizza Slices Backyard BBQ Chicken Medium</t>
  </si>
  <si>
    <t>Pan Pizza Slices Supreme Medium</t>
  </si>
  <si>
    <t>Pan Pizza Slices Meat Lover‚Äôs¬Æ Medium</t>
  </si>
  <si>
    <t>Breakfast Burrito Jr.</t>
  </si>
  <si>
    <t>Pan Pizza Slices Pepperoni Large</t>
  </si>
  <si>
    <t>Taco Salad, Half Size</t>
  </si>
  <si>
    <t>Quesadilla ‚Äì Cheese (V)</t>
  </si>
  <si>
    <t>Cheese Quesadilla</t>
  </si>
  <si>
    <t>Pan Pizza Slices Meat Lover‚Äôs¬Æ Large</t>
  </si>
  <si>
    <t>Quesarito ‚Äì Chicken</t>
  </si>
  <si>
    <t>Sausage Burrito</t>
  </si>
  <si>
    <t>Nonfat Caramel Mocha (Small)</t>
  </si>
  <si>
    <t>Green Beans</t>
  </si>
  <si>
    <t>Loaded Nacho Taco</t>
  </si>
  <si>
    <t>Cheesy Gordita Crunch</t>
  </si>
  <si>
    <t>Loaded Nacho Taco (New)</t>
  </si>
  <si>
    <t>Cheesy Gordita Crunch ‚Äì Specialties</t>
  </si>
  <si>
    <t>Black Beans (V)</t>
  </si>
  <si>
    <t>Loaded Nacho Taco ‚Äì Value Menu</t>
  </si>
  <si>
    <t>Pan Pizza Slices Beyond Meat¬Æ Pepperoni Large</t>
  </si>
  <si>
    <t>Pan Pizza Slices Pepperoni Personal Pan</t>
  </si>
  <si>
    <t>Pan Pizza Slices Pepperoni Medium</t>
  </si>
  <si>
    <t>Hand Tossed Slices Supreme Small</t>
  </si>
  <si>
    <t>Hand Tossed Slices Ultimate Cheese Lover‚Äôs¬Æ Small</t>
  </si>
  <si>
    <t>Hand Tossed Slices Veggie Lover‚Äôs¬Æ Medium</t>
  </si>
  <si>
    <t>IMPOSSIBLE Whopper  Sandwich</t>
  </si>
  <si>
    <t>Double CROISSAN‚ÄôWICH¬Æ with Sausage &amp; Bacon</t>
  </si>
  <si>
    <t>Filet-O-Fish¬Æ</t>
  </si>
  <si>
    <t>Grande Toasted Breakfast Burrito ‚Äì Sausage</t>
  </si>
  <si>
    <t>Pan Pizza Slices Veggie Lover‚Äôs¬Æ Medium</t>
  </si>
  <si>
    <t>McChicken ¬Æ</t>
  </si>
  <si>
    <t>Nonfat Hazelnut Latte (Small)</t>
  </si>
  <si>
    <t>Nonfat Vanilla Latte (Small)</t>
  </si>
  <si>
    <t>Hand Tossed Slices Meat Lover‚Äôs¬Æ Small</t>
  </si>
  <si>
    <t>Bacon Cheese Baked Potato</t>
  </si>
  <si>
    <t>Nonfat Caramel Latte (Large)</t>
  </si>
  <si>
    <t>Nonfat Hazelnut Latte (Large)</t>
  </si>
  <si>
    <t>Nonfat Vanilla Latte (Large)</t>
  </si>
  <si>
    <t>KENTUCKY FRIED WINGS Nashville Hot</t>
  </si>
  <si>
    <t>Spicy Chicken Nuggets- 4pc</t>
  </si>
  <si>
    <t>Spicy Chicken Nuggets- 20 pc</t>
  </si>
  <si>
    <t>Quesarito ‚Äì Steak</t>
  </si>
  <si>
    <t>CROISSAN‚ÄôWICH¬Æ Sausage, Egg &amp; Cheese</t>
  </si>
  <si>
    <t>Honey Butter Chicken Biscuit</t>
  </si>
  <si>
    <t>Sausage McMuffin¬Æ</t>
  </si>
  <si>
    <t>Big Breakfast¬Æ (Regular Size Biscuit)</t>
  </si>
  <si>
    <t>CROISSAN‚ÄôWICH¬Æ Bacon, Egg &amp; Cheese</t>
  </si>
  <si>
    <t>Spicy Chicken Nuggets- 10 pc</t>
  </si>
  <si>
    <t>Iced Nonfat Caramel Mocha (Medium)</t>
  </si>
  <si>
    <t>Nonfat Caramel Mocha (Medium)</t>
  </si>
  <si>
    <t>Bacon &amp; Cheese Crispy Chicken Sandwich</t>
  </si>
  <si>
    <t>Spicy Chicken Nuggets- 6pc</t>
  </si>
  <si>
    <t>Bacon Breakfast Bowl</t>
  </si>
  <si>
    <t>Chalupa Supreme¬Æ ‚Äì Beef</t>
  </si>
  <si>
    <t>Bean Burrito (V)</t>
  </si>
  <si>
    <t>Chalupa Supreme¬Æ ‚Äì Specialties</t>
  </si>
  <si>
    <t>Bean Burrito</t>
  </si>
  <si>
    <t>Cheesy Toasted Breakfast Burrito ‚Äì Bacon</t>
  </si>
  <si>
    <t>Hash Brown Toasted Breakfast Burrito ‚Äì Bacon</t>
  </si>
  <si>
    <t>Beefy 5-Layer Burrito</t>
  </si>
  <si>
    <t>Iced Nonfat Caramel Mocha (Large)</t>
  </si>
  <si>
    <t>PB&amp;J Jamwich</t>
  </si>
  <si>
    <t>Fresh-Baked Biscuit with Applewood Smoked Bacon</t>
  </si>
  <si>
    <t>Breakfast Crunchwrap ‚Äì Steak</t>
  </si>
  <si>
    <t>Southern Style Chicken Biscuit (Large Size Biscuit)</t>
  </si>
  <si>
    <t>Chicken Pot Pie</t>
  </si>
  <si>
    <t>Country Fried Steak without Peppered White Gravy</t>
  </si>
  <si>
    <t>Sausage, Egg, &amp; Cheese Biscuit</t>
  </si>
  <si>
    <t>Bacon, Egg &amp; Cheese Biscuit (Regular Size Biscuit)</t>
  </si>
  <si>
    <t>Bacon, Egg &amp; Cheese McGriddles¬Æ</t>
  </si>
  <si>
    <t>Sausage, Egg &amp; Cheese McGriddles¬Æ</t>
  </si>
  <si>
    <t>Spicy Crispy Chicken Sandwich</t>
  </si>
  <si>
    <t>Macaroni &amp; Cheese</t>
  </si>
  <si>
    <t>Sweet Kernel Corn (Family)</t>
  </si>
  <si>
    <t>Hot Chocolate with Nonfat Milk (Medium)</t>
  </si>
  <si>
    <t>BBQ Bacon Crispy Chicken Sandwich</t>
  </si>
  <si>
    <t>Sausage Biscuit with Egg (Regular Size Biscuit)</t>
  </si>
  <si>
    <t>CROISSAN‚ÄôWICH¬Æ Egg &amp; Cheese</t>
  </si>
  <si>
    <t>KFC¬Æ Famous Bowl</t>
  </si>
  <si>
    <t>Big Breakfast¬Æ (Large Size Biscuit)</t>
  </si>
  <si>
    <t>Chicken Whole Wing</t>
  </si>
  <si>
    <t>Fresh Baked Biscuit with Natural Sausage</t>
  </si>
  <si>
    <t>Quesarito ‚Äì Online Exclusive</t>
  </si>
  <si>
    <t>Quesarito ‚Äì Beef</t>
  </si>
  <si>
    <t>Beef Quesarito</t>
  </si>
  <si>
    <t>Quesarito ‚Äì Specialties</t>
  </si>
  <si>
    <t>Butter Garlic Croutons</t>
  </si>
  <si>
    <t>Nonfat Caramel Cappuccino (Small)</t>
  </si>
  <si>
    <t>Nonfat Hazelnut Cappuccino (Small)</t>
  </si>
  <si>
    <t>Nonfat Vanilla Cappuccino (Small)</t>
  </si>
  <si>
    <t>Iced Nonfat Caramel Latte (Medium)</t>
  </si>
  <si>
    <t>Iced Nonfat Hazelnut Latte (Medium)</t>
  </si>
  <si>
    <t>Iced Nonfat Vanilla Latte (Medium)</t>
  </si>
  <si>
    <t>Macaroni &amp; Cheese (Family)</t>
  </si>
  <si>
    <t>Parmesan Garlic Croutons</t>
  </si>
  <si>
    <t>Country Fried Steak with Peppered White Gravy</t>
  </si>
  <si>
    <t>Big Breakfast with Hotcakes (Regular Size Biscuit)</t>
  </si>
  <si>
    <t>Sausage Breakfast Bowl</t>
  </si>
  <si>
    <t>Cheese Baked Potato</t>
  </si>
  <si>
    <t>Bacon, Egg &amp; Cheese Biscuit</t>
  </si>
  <si>
    <t>Cheesy Toasted Breakfast Burrito ‚Äì Sausage</t>
  </si>
  <si>
    <t>Corn on the Cob (Family)</t>
  </si>
  <si>
    <t>Hot Chocolate with Nonfat Milk (Small)</t>
  </si>
  <si>
    <t>Chili Cheese Fries</t>
  </si>
  <si>
    <t>Sausage Biscuit with Egg (Large Size Biscuit)</t>
  </si>
  <si>
    <t>Nonfat Caramel Cappuccino (Medium)</t>
  </si>
  <si>
    <t>Nonfat Hazelnut Cappuccino (Medium)</t>
  </si>
  <si>
    <t>Nonfat Vanilla Cappuccino (Medium)</t>
  </si>
  <si>
    <t>Iced Nonfat Caramel Latte (Large)</t>
  </si>
  <si>
    <t>Iced Nonfat Hazelnut Latte (Large)</t>
  </si>
  <si>
    <t>Iced Nonfat Vanilla Latte (Large)</t>
  </si>
  <si>
    <t>Hash Brown Toasted Breakfast Burrito ‚Äì Sausage</t>
  </si>
  <si>
    <t>BIG FISH Sandwich</t>
  </si>
  <si>
    <t>Breakfast Crunchwrap ‚Äì Bacon</t>
  </si>
  <si>
    <t>Big Breakfast with Hotcakes (Large Size Biscuit)</t>
  </si>
  <si>
    <t>English Muffin</t>
  </si>
  <si>
    <t>Bacon, Egg &amp; Cheese Biscuit (Large Size Biscuit)</t>
  </si>
  <si>
    <t>Spicy Crispy Chicken Jr.</t>
  </si>
  <si>
    <t>Nonfat Caramel Cappuccino (Large)</t>
  </si>
  <si>
    <t>Nonfat Hazelnut Cappuccino (Large)</t>
  </si>
  <si>
    <t>Nonfat Vanilla Cappuccino (Large)</t>
  </si>
  <si>
    <t>Caramel Latte (Small)</t>
  </si>
  <si>
    <t>Hazelnut Latte (Small)</t>
  </si>
  <si>
    <t>Vanilla Latte (Small)</t>
  </si>
  <si>
    <t>Mocha with Nonfat Milk (Large)</t>
  </si>
  <si>
    <t>Black Bean Chalupa ‚Äì Online Exclusive</t>
  </si>
  <si>
    <t>Black Bean Chalupa ‚Äì Specialties</t>
  </si>
  <si>
    <t>Black Bean Chalupa</t>
  </si>
  <si>
    <t>Crunchwrap Supreme¬Æ ‚Äì Specialties</t>
  </si>
  <si>
    <t>Black Bean Quesarito ‚Äì Online Exclusive</t>
  </si>
  <si>
    <t>Black Bean Quesarito (V)</t>
  </si>
  <si>
    <t>Black Bean Quesarito ‚Äì Specialties</t>
  </si>
  <si>
    <t>Black Bean Quesarito</t>
  </si>
  <si>
    <t>Iced Nonfat Caramel Mocha (Small)</t>
  </si>
  <si>
    <t>Skinny Vanilla Iced Coffee, Medium</t>
  </si>
  <si>
    <t>Classic Chocolate Frosty, Junior</t>
  </si>
  <si>
    <t>Crispy Taco</t>
  </si>
  <si>
    <t>Soft Serve Cup</t>
  </si>
  <si>
    <t>Cheesy Toasted Breakfast Burrito ‚Äì Fiesta Potato (V)</t>
  </si>
  <si>
    <t>Mocha with Nonfat Milk (Small)</t>
  </si>
  <si>
    <t>Breakfast Crunchwrap ‚Äì Sausage</t>
  </si>
  <si>
    <t>Hotcakes and Sausage</t>
  </si>
  <si>
    <t>Classic Chocolate Frosty, Large</t>
  </si>
  <si>
    <t>Mocha with Nonfat Milk (Medium)</t>
  </si>
  <si>
    <t>Caramel Latte (Medium)</t>
  </si>
  <si>
    <t>Hazelnut Latte (Medium)</t>
  </si>
  <si>
    <t>Vanilla Latte (Medium)</t>
  </si>
  <si>
    <t>Sausage Biscuit</t>
  </si>
  <si>
    <t>Baconator Fries</t>
  </si>
  <si>
    <t>Skinny Vanilla Iced Coffee, Small</t>
  </si>
  <si>
    <t>Classic Chocolate Frosty, Small</t>
  </si>
  <si>
    <t>Corn on the Cob</t>
  </si>
  <si>
    <t>Sweet Kernel Corn</t>
  </si>
  <si>
    <t>Hidden Valley The Original Ranch Fat Free Dressing</t>
  </si>
  <si>
    <t>Hot Chocolate (Large)</t>
  </si>
  <si>
    <t>Caramel Mocha (Small)</t>
  </si>
  <si>
    <t>Garden Side Salad</t>
  </si>
  <si>
    <t>Veggie Power Menu Bowl ‚Äì Specialties</t>
  </si>
  <si>
    <t>Beef Burrito ‚Äì Value Menu</t>
  </si>
  <si>
    <t>Power Menu Bowl ‚Äì Veggie</t>
  </si>
  <si>
    <t>Power Menu Bowl ‚Äì Veggie (V)</t>
  </si>
  <si>
    <t>Caramel Mocha (Large)</t>
  </si>
  <si>
    <t>NY Ultimate Platter (Regional menu item)</t>
  </si>
  <si>
    <t>Nachos BellGrande¬Æ ‚Äì Chicken</t>
  </si>
  <si>
    <t>Classic Chocolate Frosty, Medium</t>
  </si>
  <si>
    <t>Caramel Cappuccino (Large)</t>
  </si>
  <si>
    <t>Caramel Mocha (Medium)</t>
  </si>
  <si>
    <t>Caramel Latte (Large)</t>
  </si>
  <si>
    <t>Hazelnut Latte (Large)</t>
  </si>
  <si>
    <t>Vanilla Latte (Large)</t>
  </si>
  <si>
    <t>Vanilla Reduced Fat Ice Cream Cone</t>
  </si>
  <si>
    <t>Hot Chocolate (Small)</t>
  </si>
  <si>
    <t>Iced Caramel Mocha (Medium)</t>
  </si>
  <si>
    <t>Crispy Chicken Jr.</t>
  </si>
  <si>
    <t>Vanilla Frosty, Medium</t>
  </si>
  <si>
    <t>Gravy and Sausage Bowl</t>
  </si>
  <si>
    <t>Vanilla Frosty, Small</t>
  </si>
  <si>
    <t>Nachos BellGrande¬Æ ‚Äì Steak</t>
  </si>
  <si>
    <t>Hot Chocolate (Medium)</t>
  </si>
  <si>
    <t>Iced Vanilla Latte (Medium)</t>
  </si>
  <si>
    <t>Iced Caramel Mocha (Large)</t>
  </si>
  <si>
    <t>Soft Serve Cone</t>
  </si>
  <si>
    <t>Vanilla Frosty, Junior</t>
  </si>
  <si>
    <t>Vanilla Frosty, Large</t>
  </si>
  <si>
    <t>Sausage McGriddles¬Æ</t>
  </si>
  <si>
    <t>Iced Caramel Latte (Large)</t>
  </si>
  <si>
    <t>Iced Hazelnut Latte (Large)</t>
  </si>
  <si>
    <t>Iced Vanilla Latte (Large)</t>
  </si>
  <si>
    <t>Iced Mocha with Nonfat Milk (Medium)</t>
  </si>
  <si>
    <t>Plain Baked Potato</t>
  </si>
  <si>
    <t>BK‚Ñ¢ Ultimate Breakfast Platter</t>
  </si>
  <si>
    <t>Sour Cream and Chive Baked Potato</t>
  </si>
  <si>
    <t>Sausage Biscuit (Regular Size Biscuit)</t>
  </si>
  <si>
    <t>Black Bean Crunchwrap Supreme ‚Äì Specialties</t>
  </si>
  <si>
    <t>Black Bean Crunchwrap Supreme</t>
  </si>
  <si>
    <t>Fruit ‚Äòn Yogurt Parfait (7 oz)</t>
  </si>
  <si>
    <t>Caramel Cappuccino (Small)</t>
  </si>
  <si>
    <t>Caramel Cappuccino (Medium)</t>
  </si>
  <si>
    <t>Hazelnut Cappuccino (Small)</t>
  </si>
  <si>
    <t>Hazelnut Cappuccino (Medium)</t>
  </si>
  <si>
    <t>Vanilla Cappuccino (Small)</t>
  </si>
  <si>
    <t>Vanilla Cappuccino (Medium)</t>
  </si>
  <si>
    <t>Mocha (Large)</t>
  </si>
  <si>
    <t>Iced Caramel Mocha (Small)</t>
  </si>
  <si>
    <t>Hot Fudge Sundae</t>
  </si>
  <si>
    <t>Hazelnut Cappuccino (Large)</t>
  </si>
  <si>
    <t>Vanilla Cappuccino (Large)</t>
  </si>
  <si>
    <t>Vanilla Milk Shake</t>
  </si>
  <si>
    <t>Two Sausage Biscuits</t>
  </si>
  <si>
    <t>Strawberry Triple Thick¬Æ Shake (12 fl oz cup)</t>
  </si>
  <si>
    <t>Cheesy Bean &amp; Rice Burrito ‚Äì Value Menu</t>
  </si>
  <si>
    <t>Cheesy Bean &amp; Rice Burrito</t>
  </si>
  <si>
    <t>Vanilla Triple Thick¬Æ Shake (16 fl oz cup)</t>
  </si>
  <si>
    <t>Snack Size McFlurry¬Æ with OREO¬Æ Cookies</t>
  </si>
  <si>
    <t>Kids Oatmeal</t>
  </si>
  <si>
    <t>Mocha Frappe- 20 fl oz</t>
  </si>
  <si>
    <t>Black Beans &amp; Rice (V)</t>
  </si>
  <si>
    <t>Black Beans &amp; Rice</t>
  </si>
  <si>
    <t>Chocolate Triple Thick¬Æ Shake (21 fl oz cup)</t>
  </si>
  <si>
    <t>Mocha Frappe- 12 fl oz</t>
  </si>
  <si>
    <t>Caramel Frappe- 12 fl oz</t>
  </si>
  <si>
    <t>Chocolate Triple Thick¬Æ Shake (32 fl oz cup)</t>
  </si>
  <si>
    <t>Strawberry Triple Thick¬Æ Shake (16 fl oz cup)</t>
  </si>
  <si>
    <t>Mashed Potatoes With Gravy</t>
  </si>
  <si>
    <t>Strawberry Triple Thick¬Æ Shake (21 fl oz cup)</t>
  </si>
  <si>
    <t>Vanilla Triple Thick¬Æ Shake (21 fl oz cup)</t>
  </si>
  <si>
    <t>Chocolate Oreo¬Æ Shake</t>
  </si>
  <si>
    <t>HERSHEY¬Æ‚ÄôS Chocolate Milk Shake</t>
  </si>
  <si>
    <t>Sausage Biscuit (Large Size Biscuit)</t>
  </si>
  <si>
    <t>Hotcakes</t>
  </si>
  <si>
    <t>Chocolate Triple Thick¬Æ Shake (12 fl oz cup)</t>
  </si>
  <si>
    <t>Iced Mocha (Medium)</t>
  </si>
  <si>
    <t>Strawberry Triple Thick¬Æ Shake (32 fl oz cup)</t>
  </si>
  <si>
    <t>Vanilla Triple Thick Shake¬Æ (32 fl oz cup)</t>
  </si>
  <si>
    <t>Mocha Frappe- 16 fl oz</t>
  </si>
  <si>
    <t>Caramel Frappe- 16 fl oz</t>
  </si>
  <si>
    <t>McFlurry¬Æ with OREO¬Æ Cookies (12 fl oz cup)</t>
  </si>
  <si>
    <t>Chocolate Triple Thick¬Æ Shake (16 fl oz cup)</t>
  </si>
  <si>
    <t>Kiddie Cone</t>
  </si>
  <si>
    <t>Iced Coffee with Sugar Free Vanilla Syrup (Medium)</t>
  </si>
  <si>
    <t>Iced Caramel Latte (Medium)</t>
  </si>
  <si>
    <t>Iced Hazelnut Latte (Medium)</t>
  </si>
  <si>
    <t>Oreo¬Æ Shake</t>
  </si>
  <si>
    <t>Biscuit</t>
  </si>
  <si>
    <t>Caramel Frappe- 20 fl oz</t>
  </si>
  <si>
    <t>Strawberry Milk Shake</t>
  </si>
  <si>
    <t>Nachos BellGrande¬Æ ‚Äì Beef</t>
  </si>
  <si>
    <t>Nachos BellGrande¬Æ ‚Äì Specialties</t>
  </si>
  <si>
    <t>Strawberry Sundae</t>
  </si>
  <si>
    <t>Vanilla Triple Thick¬Æ Shake (12 fl oz cup)</t>
  </si>
  <si>
    <t>Iced Nonfat Caramel Latte (Small)</t>
  </si>
  <si>
    <t>Iced Nonfat Hazelnut Latte (Small)</t>
  </si>
  <si>
    <t>Iced Nonfat Vanilla Latte (Small)</t>
  </si>
  <si>
    <t>Mocha (Small)</t>
  </si>
  <si>
    <t>Mocha (Medium)</t>
  </si>
  <si>
    <t>McFlurry¬Æ with M&amp;M‚ÄôS¬Æ Candies (12 fl oz cup)</t>
  </si>
  <si>
    <t>Snack Size McFlurry¬Æ with M&amp;M‚ÄôS¬Æ Candies</t>
  </si>
  <si>
    <t>Strawberry McCaf√©¬Æ Shake (22 fl oz cup)</t>
  </si>
  <si>
    <t>Chocolate McCaf√©¬Æ Shake (16 fl oz cup)</t>
  </si>
  <si>
    <t>Caramel Sundae</t>
  </si>
  <si>
    <t>Hot Caramel Sundae</t>
  </si>
  <si>
    <t>Vanilla McCaf√©¬Æ Shake (16 fl oz cup)</t>
  </si>
  <si>
    <t>Vanilla McCaf√©¬Æ Shake (22 fl oz cup)</t>
  </si>
  <si>
    <t>Chocolate McCaf√©¬Æ Shake (22 fl oz cup)</t>
  </si>
  <si>
    <t>Mashed Potatoes With Gravy (Family)</t>
  </si>
  <si>
    <t>Strawberry McCaf√©¬Æ Shake (16 fl oz cup)</t>
  </si>
  <si>
    <t>Pancake and Sausage platter</t>
  </si>
  <si>
    <t>Mashed Potatoes (Family)</t>
  </si>
  <si>
    <t>Strawberry McCaf√©¬Æ Shake (12 fl oz cup)</t>
  </si>
  <si>
    <t>Fruit &amp; Maple Oatmeal without Brown Sugar</t>
  </si>
  <si>
    <t>HERSHEY¬Æ‚Äôs Chocolate Sundae</t>
  </si>
  <si>
    <t>Snack Size Fruit &amp; Walnut Salad</t>
  </si>
  <si>
    <t>Chocolate McCaf√©¬Æ Shake (12 fl oz cup)</t>
  </si>
  <si>
    <t>Iced Caramel Latte (Small)</t>
  </si>
  <si>
    <t>Iced Hazelnut Latte (Small)</t>
  </si>
  <si>
    <t>Iced Vanilla Latte (Small)</t>
  </si>
  <si>
    <t>Vanilla McCaf√©¬Æ Shake (12 fl oz cup)</t>
  </si>
  <si>
    <t>Nacho Fries BellGrande¬Æ</t>
  </si>
  <si>
    <t>Nacho Fries BellGrande¬Æ (New)</t>
  </si>
  <si>
    <t>Mashed Potatoes</t>
  </si>
  <si>
    <t>Fruit &amp; Maple Oatmeal</t>
  </si>
  <si>
    <t>OREO¬Æ Cookie Cheesecake</t>
  </si>
  <si>
    <t>Hot Mustard Sauce</t>
  </si>
  <si>
    <t>Newman‚Äôs Own¬Æ Low Fat Family Recipe Italian Dressing</t>
  </si>
  <si>
    <t>Iced Coffee with Sugar Free Vanilla Syrup (Small)</t>
  </si>
  <si>
    <t>Iced Coffee with Sugar Free Vanilla Syrup (Large)</t>
  </si>
  <si>
    <t>Buttery Garlic Croutons- Packet</t>
  </si>
  <si>
    <t>Reese‚Äôs Peanut Butter Pie</t>
  </si>
  <si>
    <t>Sausage and Gravy Biscuit</t>
  </si>
  <si>
    <t>Seasoned Home-Style Potatoes, Medium</t>
  </si>
  <si>
    <t>Minute Maid¬Æ Orange Juice (Medium)</t>
  </si>
  <si>
    <t>Natural-Cut Fries, Small</t>
  </si>
  <si>
    <t>Secret Recipe Fries</t>
  </si>
  <si>
    <t>Frappe Mocha (Small)</t>
  </si>
  <si>
    <t>Secret Recipe Fries (Family)</t>
  </si>
  <si>
    <t>McDonaldland¬Æ Cookies</t>
  </si>
  <si>
    <t>Frappe Caramel (Large)</t>
  </si>
  <si>
    <t>Frappe Mocha (Large)</t>
  </si>
  <si>
    <t>Frappe Caramel (Medium)</t>
  </si>
  <si>
    <t>Minute Maid¬Æ Orange Juice (Large)</t>
  </si>
  <si>
    <t>Frappe Mocha (Medium)</t>
  </si>
  <si>
    <t>Minute Maid¬Æ Orange Juice</t>
  </si>
  <si>
    <t>Natural-Cut Fries, Medium</t>
  </si>
  <si>
    <t>Mocha Iced Coffee, Medium</t>
  </si>
  <si>
    <t>KFC¬Æ Cornbread Muffin</t>
  </si>
  <si>
    <t>Orange Juice</t>
  </si>
  <si>
    <t>Seasoned Home-Style Potatoes, Large</t>
  </si>
  <si>
    <t>Double Chocolate Chunk Cookie</t>
  </si>
  <si>
    <t>Limited Time Cinnabon Dessert  Biscuits</t>
  </si>
  <si>
    <t>Oatmeal Raisin Cookie</t>
  </si>
  <si>
    <t>Minute Maid¬Æ Orange Juice (Small)</t>
  </si>
  <si>
    <t>Frappe Caramel (Small)</t>
  </si>
  <si>
    <t>Caf√© Valley Chocolate Chip Cake (1 Slice)</t>
  </si>
  <si>
    <t>Natural-Cut Fries, Large</t>
  </si>
  <si>
    <t>French Toast Sticks (5 piece)</t>
  </si>
  <si>
    <t>Small French Fries</t>
  </si>
  <si>
    <t>Cinnamon Melts</t>
  </si>
  <si>
    <t>French Toast Sticks (3 piece)</t>
  </si>
  <si>
    <t>Natural-Cut Fries, Junior</t>
  </si>
  <si>
    <t>Seasoned Home-Style Potatoes, Small</t>
  </si>
  <si>
    <t>Smoothie: Strawberry Banana 16 fl oz</t>
  </si>
  <si>
    <t>Chocolate Chip Cookie</t>
  </si>
  <si>
    <t>Sugar Cookie</t>
  </si>
  <si>
    <t>French Fries ‚Äì small</t>
  </si>
  <si>
    <t>Chocolate Chip Cookies (each)</t>
  </si>
  <si>
    <t>Caramel Iced Coffee, Medium</t>
  </si>
  <si>
    <t>Caramel Iced Coffee, Small</t>
  </si>
  <si>
    <t>Nacho Fries</t>
  </si>
  <si>
    <t>Nacho Fries (V) (New)</t>
  </si>
  <si>
    <t>Cinnabon¬Æ Delights‚Ñ¢ (2 Pk) (V)</t>
  </si>
  <si>
    <t>Cinnabon¬Æ Delights‚Ñ¢ (2 Pack)</t>
  </si>
  <si>
    <t>Cinnabon¬Æ Delights‚Ñ¢ (2 Pack) (V)</t>
  </si>
  <si>
    <t>Large French Fries</t>
  </si>
  <si>
    <t>Vanilla Iced Coffee, Medium</t>
  </si>
  <si>
    <t>Mocha Iced Coffee, Small</t>
  </si>
  <si>
    <t>Vanilla Iced Coffee, Small</t>
  </si>
  <si>
    <t>French Fries ‚Äì large</t>
  </si>
  <si>
    <t>Wild Berry Smoothie (Medium)</t>
  </si>
  <si>
    <t>Iced Mocha Coffee- 12 fl oz</t>
  </si>
  <si>
    <t>Oreo Cookies and Cr√®me Pie</t>
  </si>
  <si>
    <t>Pie made with TWIX¬Æ</t>
  </si>
  <si>
    <t>Medium French Fries</t>
  </si>
  <si>
    <t>Newman‚Äôs Own¬Æ Creamy Caesar Dressing</t>
  </si>
  <si>
    <t>Iced Coffee‚Äì Caramel (Medium)</t>
  </si>
  <si>
    <t>Iced Coffee‚Äì Hazelnut (Medium)</t>
  </si>
  <si>
    <t>Iced Coffee‚Äì Vanilla (Medium)</t>
  </si>
  <si>
    <t>French Fries ‚Äì medium</t>
  </si>
  <si>
    <t>Newman‚Äôs Own¬Æ Creamy Southwest Dressing</t>
  </si>
  <si>
    <t>Iced Coffee‚Äì Regular (Medium)</t>
  </si>
  <si>
    <t>Onion Rings ‚Äì large</t>
  </si>
  <si>
    <t>Iced Vanilla Coffee- 16 fl oz</t>
  </si>
  <si>
    <t>Iced Mocha Coffee- 20 fl oz</t>
  </si>
  <si>
    <t>Caf√© Valley Mini Chocolate Chip Cake</t>
  </si>
  <si>
    <t>Caf√© Valley Mini Lemon Cake</t>
  </si>
  <si>
    <t>Onion Rings ‚Äì medium</t>
  </si>
  <si>
    <t>HERSHEY¬Æ‚ÄôS Sundae Pie</t>
  </si>
  <si>
    <t>Chocolate Chunk Cookie</t>
  </si>
  <si>
    <t>Cinnabon¬Æ Delights‚Ñ¢ (12 Pk ‚Äì Serves 4) (V)</t>
  </si>
  <si>
    <t>Cinnabon¬Æ Delights‚Ñ¢ (12 Pack ‚Äì Serves 4)</t>
  </si>
  <si>
    <t>Cinnabon¬Æ Delights‚Ñ¢ (12 Pack ‚Äì Serves 4) (V)</t>
  </si>
  <si>
    <t>Strawberry Banana Smoothie (Small)</t>
  </si>
  <si>
    <t>Wild Berry Smoothie (Small)</t>
  </si>
  <si>
    <t>Wild Berry Smoothie (Large)</t>
  </si>
  <si>
    <t>Onion Rings ‚Äì small</t>
  </si>
  <si>
    <t>Strawberry Banana Smoothie (Large)</t>
  </si>
  <si>
    <t>French Fries ‚Äì value (unsalted)</t>
  </si>
  <si>
    <t>Caf√© Valley Lemon Cake (1 Slice)</t>
  </si>
  <si>
    <t>Chips and Nacho Cheese Sauce (V)</t>
  </si>
  <si>
    <t>Chips and Nacho Cheese Sauce ‚Äì Value Menu</t>
  </si>
  <si>
    <t>Chips and Nacho Cheese Sauce</t>
  </si>
  <si>
    <t>Dutch Apple Pie</t>
  </si>
  <si>
    <t>Apple Turnover</t>
  </si>
  <si>
    <t>Iced Mocha Coffee- 16 fl oz</t>
  </si>
  <si>
    <t>S‚ÄôAwesome Sauce</t>
  </si>
  <si>
    <t>Baked Hot Apple Pie</t>
  </si>
  <si>
    <t>Hash Browns ‚Äì small</t>
  </si>
  <si>
    <t>Hash Browns ‚Äì medium</t>
  </si>
  <si>
    <t>Iced Coffee‚Äì Caramel (Small)</t>
  </si>
  <si>
    <t>Iced Coffee‚Äì Hazelnut (Small)</t>
  </si>
  <si>
    <t>Iced Coffee‚Äì Vanilla (Small)</t>
  </si>
  <si>
    <t>Strawberry Banana Smoothie (Medium)</t>
  </si>
  <si>
    <t xml:space="preserve"> Iced Vanilla Coffee- 20 fl oz</t>
  </si>
  <si>
    <t>KFC¬Æ Creamy Parmesan Caesar Dressing</t>
  </si>
  <si>
    <t>Hash Browns ‚Äì large</t>
  </si>
  <si>
    <t>Iced Coffee‚Äì Caramel (Large)</t>
  </si>
  <si>
    <t>Iced Coffee‚Äì Hazelnut (Large)</t>
  </si>
  <si>
    <t>Iced Coffee‚Äì Vanilla (Large)</t>
  </si>
  <si>
    <t>Iced Coffee‚Äì Regular (Small)</t>
  </si>
  <si>
    <t>Iced Coffee‚Äì Regular (Large)</t>
  </si>
  <si>
    <t>Ranch Dipping Sauce (1 oz)</t>
  </si>
  <si>
    <t>Macaroni Salad</t>
  </si>
  <si>
    <t>Hash Brown</t>
  </si>
  <si>
    <t>Sweet Tea (Small)</t>
  </si>
  <si>
    <t>Onion Rings ‚Äì value</t>
  </si>
  <si>
    <t>Iced Vanilla Coffee- 12 fl oz</t>
  </si>
  <si>
    <t>Potato Salad (Family)</t>
  </si>
  <si>
    <t>Coleslaw (Family)</t>
  </si>
  <si>
    <t>Macaroni Salad (Family)</t>
  </si>
  <si>
    <t>Hash Brown (V)</t>
  </si>
  <si>
    <t>Newman‚Äôs Own¬Æ Ranch Dressing</t>
  </si>
  <si>
    <t>Coleslaw</t>
  </si>
  <si>
    <t>Potato Salad</t>
  </si>
  <si>
    <t>Cinnamon Twists (V)</t>
  </si>
  <si>
    <t>Cinnamon Twists ‚Äì Value Menu</t>
  </si>
  <si>
    <t>Cinnamon Twists</t>
  </si>
  <si>
    <t>Sweet Tea (Medium)</t>
  </si>
  <si>
    <t>Ken‚Äôs Ranch Dressing</t>
  </si>
  <si>
    <t>Sweet Tea (Large)</t>
  </si>
  <si>
    <t>Ketchup Packet</t>
  </si>
  <si>
    <t>Salt Packet</t>
  </si>
  <si>
    <t>Barbeque Sauce</t>
  </si>
  <si>
    <t>Honey</t>
  </si>
  <si>
    <t>Sweet ‚ÄòN Sour Sauce</t>
  </si>
  <si>
    <t>Spicy Buffalo Sauce</t>
  </si>
  <si>
    <t>Creamy Ranch Sauce</t>
  </si>
  <si>
    <t>Tangy Honey Mustard Sauce</t>
  </si>
  <si>
    <t>Southwestern Chipotle Barbeque Sauce</t>
  </si>
  <si>
    <t>Newman‚Äôs Own¬Æ Low Fat Balsamic Vinaigrette</t>
  </si>
  <si>
    <t>Hotcake Syrup</t>
  </si>
  <si>
    <t>Whipped Margarine (1 pat)</t>
  </si>
  <si>
    <t>Grape Jam</t>
  </si>
  <si>
    <t>Strawberry Preserves</t>
  </si>
  <si>
    <t>Low Fat Caramel Dip</t>
  </si>
  <si>
    <t>Apple Dippers with Low Fat Caramel Dip</t>
  </si>
  <si>
    <t>Minute Maid¬Æ 100% Apple Juice Box</t>
  </si>
  <si>
    <t>Dasani¬Æ Water</t>
  </si>
  <si>
    <t>Coca-Cola¬Æ Classic (Child)</t>
  </si>
  <si>
    <t>Coca-Cola¬Æ Classic (Small)</t>
  </si>
  <si>
    <t>Coca-Cola¬Æ Classic (Medium)</t>
  </si>
  <si>
    <t>Coca-Cola¬Æ Classic (Large)</t>
  </si>
  <si>
    <t>Diet Coke¬Æ (Child)</t>
  </si>
  <si>
    <t>Diet Coke¬Æ (Small)</t>
  </si>
  <si>
    <t>Diet Coke¬Æ (Medium)</t>
  </si>
  <si>
    <t>Diet Coke¬Æ (Large)</t>
  </si>
  <si>
    <t>Sprite¬Æ (Child)</t>
  </si>
  <si>
    <t>Sprite¬Æ (Small)</t>
  </si>
  <si>
    <t>Sprite¬Æ (Medium)</t>
  </si>
  <si>
    <t>Sprite¬Æ (Large)</t>
  </si>
  <si>
    <t>Hi-C¬Æ Orange Lavaburst (Child)</t>
  </si>
  <si>
    <t>Hi-C¬Æ Orange Lavaburst (Small)</t>
  </si>
  <si>
    <t>Hi-C¬Æ Orange Lavaburst (Medium)</t>
  </si>
  <si>
    <t>Hi-C¬Æ Orange Lavaburst (Large)</t>
  </si>
  <si>
    <t>POWERade¬Æ Mountain Blast (Child)</t>
  </si>
  <si>
    <t>POWERade¬Æ Mountain Blast (Small)</t>
  </si>
  <si>
    <t>POWERade¬Æ Mountain Blast (Medium)</t>
  </si>
  <si>
    <t>POWERade¬Æ Mountain Blast (Large)</t>
  </si>
  <si>
    <t>Iced Tea (Child)</t>
  </si>
  <si>
    <t>Iced Tea (Small)</t>
  </si>
  <si>
    <t>Iced Tea (Medium)</t>
  </si>
  <si>
    <t>Iced Tea (Large)</t>
  </si>
  <si>
    <t>Coffee (Small)</t>
  </si>
  <si>
    <t>Coffee (Large)</t>
  </si>
  <si>
    <t>Coffee Cream</t>
  </si>
  <si>
    <t>Sugar Packet</t>
  </si>
  <si>
    <t>EQUAL¬Æ 0
Calorie Sweetener</t>
  </si>
  <si>
    <t>SPLENDA¬Æ No
Calorie Sweetener</t>
  </si>
  <si>
    <t>Sweet Tea (Child)</t>
  </si>
  <si>
    <t>Ken‚Äôs Golden Italian Dressing</t>
  </si>
  <si>
    <t>Ken‚Äôs Lite Honey Balsamic Vinaigrette</t>
  </si>
  <si>
    <t>Mott‚Äôs¬Æ Natural Applesauce</t>
  </si>
  <si>
    <t>Capri Sun¬Æ 100% Apple Juice (6 fl oz)</t>
  </si>
  <si>
    <t>Ketchup (Packet)</t>
  </si>
  <si>
    <t>Mayonnaise (Packet)</t>
  </si>
  <si>
    <t>Strawberry or Grape Jam (packet)</t>
  </si>
  <si>
    <t>Breakfast Syrup (1 oz)</t>
  </si>
  <si>
    <t>Barbecue Dipping Sauce (1 oz)</t>
  </si>
  <si>
    <t>Buffalo Dipping Sauce (1 oz)</t>
  </si>
  <si>
    <t>Zesty Onion Ring Dipping Sauce (1 oz)</t>
  </si>
  <si>
    <t>Honey Mustard Dipping Sauce (1oz)</t>
  </si>
  <si>
    <t>Coca Cola classic16 fl oz</t>
  </si>
  <si>
    <t>Coca Cola classic 20 fl oz</t>
  </si>
  <si>
    <t>Coca Cola classic 29 fl oz</t>
  </si>
  <si>
    <t>Coca Cola classic 38 fl oz</t>
  </si>
  <si>
    <t>Diet Coke 16 fl oz</t>
  </si>
  <si>
    <t>Diet Coke 20 fl oz</t>
  </si>
  <si>
    <t>Diet Coke 29 fl oz</t>
  </si>
  <si>
    <t>Diet Coke 38 fl oz</t>
  </si>
  <si>
    <t>Sprite 16 fl oz</t>
  </si>
  <si>
    <t>Sprite 20 fl oz</t>
  </si>
  <si>
    <t>Sprite 29 fl oz</t>
  </si>
  <si>
    <t>Sprite 38 fl oz</t>
  </si>
  <si>
    <t>Dr. Pepper 16 fl oz</t>
  </si>
  <si>
    <t>Dr. Pepper 20 fl oz</t>
  </si>
  <si>
    <t>Dr. Pepper 29 fl oz</t>
  </si>
  <si>
    <t>Dr. Pepper 38 fl oz</t>
  </si>
  <si>
    <t>Root Beer 16 fl oz</t>
  </si>
  <si>
    <t>Root Beer 20 fl oz</t>
  </si>
  <si>
    <t>Root Beer 29 fl oz</t>
  </si>
  <si>
    <t>Root Beer 38 fl oz</t>
  </si>
  <si>
    <t>Cherry Coke 16 fl oz</t>
  </si>
  <si>
    <t>Cherry Coke 20 fl oz</t>
  </si>
  <si>
    <t>Cherry Coke 29 fl oz</t>
  </si>
  <si>
    <t>Cherry Coke 38 fl oz</t>
  </si>
  <si>
    <t>Fanta Orange 16 fl oz</t>
  </si>
  <si>
    <t>Fanta Orange 20 fl oz</t>
  </si>
  <si>
    <t>Fanta Orange 29 fl oz</t>
  </si>
  <si>
    <t>Fanta Orange 38 fl oz</t>
  </si>
  <si>
    <t>Hi-C Fruit Punch 16 fl oz</t>
  </si>
  <si>
    <t>Hi-C Fruit Punch 20 fl oz</t>
  </si>
  <si>
    <t>Hi-C Fruit Punch 29 fl oz</t>
  </si>
  <si>
    <t>Hi-C Fruit Punch 38 fl oz</t>
  </si>
  <si>
    <t>MINUTE MAID Light Lemonade 16 fl oz</t>
  </si>
  <si>
    <t>MINUTE MAID Light Lemonade 20 fl oz</t>
  </si>
  <si>
    <t>MINUTE MAID Light Lemonade 29 fl oz</t>
  </si>
  <si>
    <t>MINUTE MAID Light Lemonade 38 fl oz</t>
  </si>
  <si>
    <t>Sweet Tea 20 fl oz</t>
  </si>
  <si>
    <t>Sweet Tea 29 fl oz</t>
  </si>
  <si>
    <t>Sweet Tea 40 fl oz</t>
  </si>
  <si>
    <t>Unsweetened Tea 20 fl oz</t>
  </si>
  <si>
    <t>Unsweetened Tea 29 fl oz</t>
  </si>
  <si>
    <t>Unsweetened Tea 40 fl oz</t>
  </si>
  <si>
    <t>Capri Sun¬Æ 100% Apple Juice</t>
  </si>
  <si>
    <t>Frozen Coke¬Æ ‚Äì 16 oz</t>
  </si>
  <si>
    <t>Coffee- 12 fl oz</t>
  </si>
  <si>
    <t>Coffee- 16 fl oz</t>
  </si>
  <si>
    <t>Coffee- 20 fl oz</t>
  </si>
  <si>
    <t>Decaf Coffee- 12 fl oz</t>
  </si>
  <si>
    <t>Decaf Coffee- 16 fl oz</t>
  </si>
  <si>
    <t>Decaf Coffee- 20 fl oz</t>
  </si>
  <si>
    <t>Apple Bites</t>
  </si>
  <si>
    <t>Summer Berry Burst Fruit Cup</t>
  </si>
  <si>
    <t>All-Natural Lemonade, Large</t>
  </si>
  <si>
    <t>All-Natural Lemonade, Medium</t>
  </si>
  <si>
    <t>All-Natural Lemonade, Small</t>
  </si>
  <si>
    <t>Apple Kiwi Fruit Tea, Large</t>
  </si>
  <si>
    <t>Apple Kiwi Fruit Tea, Medium</t>
  </si>
  <si>
    <t>Apple Kiwi Fruit Tea, Small</t>
  </si>
  <si>
    <t>Barq‚Äôs Root Beer, Large</t>
  </si>
  <si>
    <t>Barq‚Äôs Root Beer, Medium</t>
  </si>
  <si>
    <t>Barq‚Äôs Root Beer, Small</t>
  </si>
  <si>
    <t>Brewed Unsweetened Iced Tea, Large</t>
  </si>
  <si>
    <t>Brewed Unsweetened Iced Tea, Medium</t>
  </si>
  <si>
    <t>Brewed Unsweetened Iced Tea, Small</t>
  </si>
  <si>
    <t>Coca-Cola, Large</t>
  </si>
  <si>
    <t>Coca-Cola, Medium</t>
  </si>
  <si>
    <t>Coca-Cola, Small</t>
  </si>
  <si>
    <t>Coca-Cola Zero Sugar, Large</t>
  </si>
  <si>
    <t>Coca-Cola Zero Sugar, Medium</t>
  </si>
  <si>
    <t>Coca-Cola Zero Sugar, Small</t>
  </si>
  <si>
    <t>Diet Coke, Large</t>
  </si>
  <si>
    <t>Diet Coke, Medium</t>
  </si>
  <si>
    <t>Diet Coke, Small</t>
  </si>
  <si>
    <t>Dr Pepper, Large</t>
  </si>
  <si>
    <t>Dr Pepper, Medium</t>
  </si>
  <si>
    <t>Dr Pepper, Small</t>
  </si>
  <si>
    <t>Fanta Orange, Large</t>
  </si>
  <si>
    <t>Fanta Orange, Medium</t>
  </si>
  <si>
    <t>Fanta Orange, Small</t>
  </si>
  <si>
    <t>Hi-C Flashin‚Äô Fruit Punch, Large</t>
  </si>
  <si>
    <t>Hi-C Flashin‚Äô Fruit Punch, Medium</t>
  </si>
  <si>
    <t>Hi-C Flashin‚Äô Fruit Punch, Small</t>
  </si>
  <si>
    <t>Honest Tropical Green Tea, Large</t>
  </si>
  <si>
    <t>Honest Tropical Green Tea, Medium</t>
  </si>
  <si>
    <t>Honest Tropical Green Tea, Small</t>
  </si>
  <si>
    <t>Hot Tea</t>
  </si>
  <si>
    <t>Limeade, Large</t>
  </si>
  <si>
    <t>Limeade, Medium</t>
  </si>
  <si>
    <t>Limeade, Small</t>
  </si>
  <si>
    <t>Minute Maid Light Lemonade, Large</t>
  </si>
  <si>
    <t>Minute Maid Light Lemonade, Medium</t>
  </si>
  <si>
    <t>Minute Maid Light Lemonade, Small</t>
  </si>
  <si>
    <t>Pear Berry Fruit Tea, Large</t>
  </si>
  <si>
    <t>Pear Berry Fruit Tea, Medium</t>
  </si>
  <si>
    <t>Pear Berry Fruit Tea, Small</t>
  </si>
  <si>
    <t>Small Sprite, Small</t>
  </si>
  <si>
    <t>Sprite, Large</t>
  </si>
  <si>
    <t>Sprite, Medium</t>
  </si>
  <si>
    <t>Strawberry Lemonade, Large</t>
  </si>
  <si>
    <t>Strawberry Lemonade, Medium</t>
  </si>
  <si>
    <t>Strawberry Lemonade, Small</t>
  </si>
  <si>
    <t>Strawberry Sweet Tea, Large</t>
  </si>
  <si>
    <t>Strawberry Sweet Tea, Medium</t>
  </si>
  <si>
    <t>Strawberry Sweet Tea, Small</t>
  </si>
  <si>
    <t>Strawberry Tea, Large</t>
  </si>
  <si>
    <t>Strawberry Tea, Medium</t>
  </si>
  <si>
    <t>Strawberry Tea, Small</t>
  </si>
  <si>
    <t>Sweetened Iced Tea, Large</t>
  </si>
  <si>
    <t>Sweetened Iced Tea, Medium</t>
  </si>
  <si>
    <t>Sweetened Iced Tea, Small</t>
  </si>
  <si>
    <t>Heinz Buttermilk Dressing</t>
  </si>
  <si>
    <t>Marzetti Light Italian Dressing</t>
  </si>
  <si>
    <t>BBQ ‚Äì Dipping Sauce Cup</t>
  </si>
  <si>
    <t>Colonel‚Äôs Buttery Spread</t>
  </si>
  <si>
    <t>Grape Jelly Packet</t>
  </si>
  <si>
    <t>Honey Mustard ‚Äì Dipping Sauce Cup</t>
  </si>
  <si>
    <t>Honey Sauce Packet</t>
  </si>
  <si>
    <t>Ketchup</t>
  </si>
  <si>
    <t>KFC Sauce ‚Äì Dipping Sauce Cup</t>
  </si>
  <si>
    <t>Lemon Juice Packet</t>
  </si>
  <si>
    <t>Ranch ‚Äì Dipping Sauce Cup</t>
  </si>
  <si>
    <t>Strawberry Jam Packet</t>
  </si>
  <si>
    <t>Capri Sun¬Æ 100% Juice Fruit Punch</t>
  </si>
  <si>
    <t>Musselman‚Äôs‚Ñ¢ Applesauce</t>
  </si>
  <si>
    <t>7UP¬Æ (12 fl oz)</t>
  </si>
  <si>
    <t>7UP¬Æ (16 fl oz)</t>
  </si>
  <si>
    <t>7UP¬Æ (20 fl oz)</t>
  </si>
  <si>
    <t>7UP¬Æ (30 fl oz)</t>
  </si>
  <si>
    <t>Classic Lemonade (1/2 Gallon)</t>
  </si>
  <si>
    <t>Classic Lemonade (20 fl oz)</t>
  </si>
  <si>
    <t>Code Red Mountain Dew¬Æ (12 fl oz)</t>
  </si>
  <si>
    <t>Code Red Mountain Dew¬Æ (16 fl oz)</t>
  </si>
  <si>
    <t>Code Red Mountain Dew¬Æ (20 fl oz)</t>
  </si>
  <si>
    <t>Code Red Mountain Dew¬Æ (30 fl oz)</t>
  </si>
  <si>
    <t>Diet Dr Pepper¬Æ (12 fl oz)</t>
  </si>
  <si>
    <t>Diet Dr Pepper¬Æ (16 fl oz)</t>
  </si>
  <si>
    <t>Diet Dr Pepper¬Æ (20 fl oz)</t>
  </si>
  <si>
    <t>Diet Dr Pepper¬Æ (30 fl oz)</t>
  </si>
  <si>
    <t>Diet Mist Twst¬Æ (12 fl oz)</t>
  </si>
  <si>
    <t>Diet Mist Twst¬Æ (16 fl oz)</t>
  </si>
  <si>
    <t>Diet Mist Twst¬Æ (20 fl oz)</t>
  </si>
  <si>
    <t>Diet Mist Twst¬Æ (30 fl oz)</t>
  </si>
  <si>
    <t>Diet Mountain Dew¬Æ (12 fl oz)</t>
  </si>
  <si>
    <t>Diet Mountain Dew¬Æ (16 fl oz)</t>
  </si>
  <si>
    <t>Diet Mountain Dew¬Æ (20 fl oz)</t>
  </si>
  <si>
    <t>Diet Mountain Dew¬Æ (30 fl oz)</t>
  </si>
  <si>
    <t>Diet Pepsi¬Æ (12 fl oz)</t>
  </si>
  <si>
    <t>Diet Pepsi¬Æ (16 fl oz)</t>
  </si>
  <si>
    <t>Diet Pepsi¬Æ (20 fl oz)</t>
  </si>
  <si>
    <t>Diet Pepsi¬Æ (30 fl oz)</t>
  </si>
  <si>
    <t>Diet Pepsi¬Æ Wild Cherry Pepsi¬Æ (12 fl oz)</t>
  </si>
  <si>
    <t>Diet Pepsi¬Æ Wild Cherry Pepsi¬Æ (16 fl oz)</t>
  </si>
  <si>
    <t>Diet Pepsi¬Æ Wild Cherry Pepsi¬Æ (20 fl oz)</t>
  </si>
  <si>
    <t>Diet Pepsi¬Æ Wild Cherry Pepsi¬Æ (30 fl oz)</t>
  </si>
  <si>
    <t>Dr Pepper¬Æ (12 fl oz)</t>
  </si>
  <si>
    <t>Dr Pepper¬Æ (16 fl oz)</t>
  </si>
  <si>
    <t>Dr Pepper¬Æ (20 fl oz)</t>
  </si>
  <si>
    <t>Dr Pepper¬Æ (30 fl oz)</t>
  </si>
  <si>
    <t>Lipton¬Æ Brisk¬Æ Lemon Tea (12 fl oz)</t>
  </si>
  <si>
    <t>Lipton¬Æ Brisk¬Æ Lemon Tea (16 fl oz)</t>
  </si>
  <si>
    <t>Lipton¬Æ Brisk¬Æ Lemon Tea (20 fl oz)</t>
  </si>
  <si>
    <t>Lipton¬Æ Brisk¬Æ Lemon Tea (30 fl oz)</t>
  </si>
  <si>
    <t>Lipton¬Æ Brisk¬Æ No Calorie Peach Iced Green Tea (12 fl oz)</t>
  </si>
  <si>
    <t>Lipton¬Æ Brisk¬Æ No Calorie Peach Iced Green Tea (16 fl oz)</t>
  </si>
  <si>
    <t>Lipton¬Æ Brisk¬Æ No Calorie Peach Iced Green Tea (20 fl oz)</t>
  </si>
  <si>
    <t>Lipton¬Æ Brisk¬Æ No Calorie Peach Iced Green Tea (30 fl oz)</t>
  </si>
  <si>
    <t>Lipton¬Æ Brisk¬Æ Raspberry Tea (12 fl oz)</t>
  </si>
  <si>
    <t>Lipton¬Æ Brisk¬Æ Raspberry Tea (16 fl oz)</t>
  </si>
  <si>
    <t>Lipton¬Æ Brisk¬Æ Raspberry Tea (20 fl oz)</t>
  </si>
  <si>
    <t>Lipton¬Æ Brisk¬Æ Raspberry Tea (30 fl oz)</t>
  </si>
  <si>
    <t>Lipton¬Æ Brisk¬Æ Sweet Iced Tea (12 fl oz)</t>
  </si>
  <si>
    <t>Lipton¬Æ Brisk¬Æ Sweet Iced Tea (16 fl oz)</t>
  </si>
  <si>
    <t>Lipton¬Æ Brisk¬Æ Sweet Iced Tea (20 fl oz)</t>
  </si>
  <si>
    <t>Lipton¬Æ Brisk¬Æ Sweet Iced Tea (30 fl oz)</t>
  </si>
  <si>
    <t>Lipton¬Æ Brisk¬Æ Unsweetened No Lemon Iced Tea (12 fl oz)</t>
  </si>
  <si>
    <t>Lipton¬Æ Brisk¬Æ Unsweetened No Lemon Iced Tea (16 fl oz)</t>
  </si>
  <si>
    <t>Lipton¬Æ Brisk¬Æ Unsweetened No Lemon Iced Tea (20 fl oz)</t>
  </si>
  <si>
    <t>Lipton¬Æ Brisk¬Æ Unsweetened No Lemon Iced Tea (30 fl oz)</t>
  </si>
  <si>
    <t>Manzanita Sol¬Æ (12 fl oz)</t>
  </si>
  <si>
    <t>Manzanita Sol¬Æ (16 fl oz)</t>
  </si>
  <si>
    <t>Manzanita Sol¬Æ (20 fl oz)</t>
  </si>
  <si>
    <t>Manzanita Sol¬Æ (30 fl oz)</t>
  </si>
  <si>
    <t>Miranda¬Æ Strawberry (12 fl oz)</t>
  </si>
  <si>
    <t>Miranda¬Æ Strawberry (16 fl oz)</t>
  </si>
  <si>
    <t>Miranda¬Æ Strawberry (20 fl oz)</t>
  </si>
  <si>
    <t>Miranda¬Æ Strawberry (30 fl oz)</t>
  </si>
  <si>
    <t>Mist Twst¬Æ (12 fl oz)</t>
  </si>
  <si>
    <t>Mist Twst¬Æ (16 fl oz)</t>
  </si>
  <si>
    <t>Mist Twst¬Æ (20 fl oz)</t>
  </si>
  <si>
    <t>Mist Twst¬Æ (30 fl oz)</t>
  </si>
  <si>
    <t>MNT DEW Sweet Lightning (20 fl oz)</t>
  </si>
  <si>
    <t>Mountain Dew¬Æ (12 fl oz)</t>
  </si>
  <si>
    <t>Mountain Dew¬Æ (16 fl oz)</t>
  </si>
  <si>
    <t>Mountain Dew¬Æ (20 fl oz)</t>
  </si>
  <si>
    <t>Mountain Dew¬Æ (30 fl oz)</t>
  </si>
  <si>
    <t>Mug Root Beer¬Æ (12 fl oz)</t>
  </si>
  <si>
    <t>Mug Root Beer¬Æ (16 fl oz)</t>
  </si>
  <si>
    <t>Mug Root Beer¬Æ (20 fl oz)</t>
  </si>
  <si>
    <t>Mug Root Beer¬Æ (30 fl oz)</t>
  </si>
  <si>
    <t>Pepsi Zero Sugar¬Æ (12 fl oz)</t>
  </si>
  <si>
    <t>Pepsi Zero Sugar¬Æ (16 fl oz)</t>
  </si>
  <si>
    <t>Pepsi Zero Sugar¬Æ (20 fl oz)</t>
  </si>
  <si>
    <t>Pepsi Zero Sugar¬Æ (30 fl oz)</t>
  </si>
  <si>
    <t>Pepsi¬Æ (12 fl oz)</t>
  </si>
  <si>
    <t>Pepsi¬Æ (16 fl oz)</t>
  </si>
  <si>
    <t>Pepsi¬Æ (20 fl oz)</t>
  </si>
  <si>
    <t>Pepsi¬Æ (30 fl oz)</t>
  </si>
  <si>
    <t>Sobe Lifewater Yumberry Pomegranate (12 fl oz)</t>
  </si>
  <si>
    <t>Sobe Lifewater Yumberry Pomegranate (16 fl oz)</t>
  </si>
  <si>
    <t>Sobe Lifewater Yumberry Pomegranate (20 fl oz)</t>
  </si>
  <si>
    <t>Sobe Lifewater Yumberry Pomegranate (30 fl oz)</t>
  </si>
  <si>
    <t>Strawberry Lemonade (1/2 Gallon)</t>
  </si>
  <si>
    <t>Strawberry Lemonade (20 fl oz)</t>
  </si>
  <si>
    <t>Tropicana¬Æ Fruit Punch (12 fl oz)</t>
  </si>
  <si>
    <t>Tropicana¬Æ Fruit Punch (16 fl oz)</t>
  </si>
  <si>
    <t>Tropicana¬Æ Fruit Punch (20 fl oz)</t>
  </si>
  <si>
    <t>Tropicana¬Æ Fruit Punch (30 fl oz)</t>
  </si>
  <si>
    <t>Tropicana¬Æ Light Lemonade (12 fl oz)</t>
  </si>
  <si>
    <t>Tropicana¬Æ Light Lemonade (16 fl oz)</t>
  </si>
  <si>
    <t>Tropicana¬Æ Light Lemonade (20 fl oz)</t>
  </si>
  <si>
    <t>Tropicana¬Æ Light Lemonade (30 fl oz)</t>
  </si>
  <si>
    <t>Tropicana¬Æ Pink Lemonade (12 fl oz)</t>
  </si>
  <si>
    <t>Tropicana¬Æ Pink Lemonade (16 fl oz)</t>
  </si>
  <si>
    <t>Tropicana¬Æ Pink Lemonade (20 fl oz)</t>
  </si>
  <si>
    <t>Tropicana¬Æ Pink Lemonade (30 fl oz)</t>
  </si>
  <si>
    <t>Tropicana¬Æ Twister¬Æ Orange (12 fl oz)</t>
  </si>
  <si>
    <t>Tropicana¬Æ Twister¬Æ Orange (16 fl oz)</t>
  </si>
  <si>
    <t>Tropicana¬Æ Twister¬Æ Orange (20 fl oz)</t>
  </si>
  <si>
    <t>Tropicana¬Æ Twister¬Æ Orange (30 fl oz)</t>
  </si>
  <si>
    <t>Wild Cherry Pepsi¬Æ (12 fl oz)</t>
  </si>
  <si>
    <t>Wild Cherry Pepsi¬Æ (16 fl oz)</t>
  </si>
  <si>
    <t>Wild Cherry Pepsi¬Æ (20 fl oz)</t>
  </si>
  <si>
    <t>Wild Cherry Pepsi¬Æ (30 fl oz)</t>
  </si>
  <si>
    <t>Blue Raspberry Freeze‚Ñ¢ (16 oz)</t>
  </si>
  <si>
    <t>Blue Raspberry Freeze‚Ñ¢ (20 oz)</t>
  </si>
  <si>
    <t>Midnight Berry Freeze‚Ñ¢ (16 oz)</t>
  </si>
  <si>
    <t>Midnight Berry Freeze‚Ñ¢ (20 oz)</t>
  </si>
  <si>
    <t>Diablo Sauce Packet (V)</t>
  </si>
  <si>
    <t>Fire Sauce Packet (V)</t>
  </si>
  <si>
    <t>Hot Sauce Packet (V)</t>
  </si>
  <si>
    <t>Mild Sauce Packet (V)</t>
  </si>
  <si>
    <t>Blue Raspberry Freeze‚Ñ¢ (16 oz) (New)</t>
  </si>
  <si>
    <t>Blue Raspberry Freeze‚Ñ¢ (20 oz) (New)</t>
  </si>
  <si>
    <t>Dragon Fruit Freeze (16 oz)</t>
  </si>
  <si>
    <t>Dragon Fruit Freeze (20 oz)</t>
  </si>
  <si>
    <t>Midnight Berry Freeze‚Ñ¢ (16 oz) (New)</t>
  </si>
  <si>
    <t>Midnight Berry Freeze‚Ñ¢ (20 oz) (New)</t>
  </si>
  <si>
    <t>Mtn Dew¬Æ Baja Blast Freeze‚Ñ¢ (16 oz)</t>
  </si>
  <si>
    <t>Mtn Dew¬Æ Baja Blast Freeze‚Ñ¢ (20 oz)</t>
  </si>
  <si>
    <t>Water</t>
  </si>
  <si>
    <t>Wild Strawberry Freeze‚Ñ¢ (16 oz)</t>
  </si>
  <si>
    <t>Wild Strawberry Freeze‚Ñ¢ (20 oz)</t>
  </si>
  <si>
    <t>Breakfast Salsa Packet (V)</t>
  </si>
  <si>
    <t>7-Up (16 fl oz)</t>
  </si>
  <si>
    <t>Brisk¬Æ Mango Iced Tea (16 fl oz)</t>
  </si>
  <si>
    <t>Brisk¬Æ Unsweetened No Lemon Iced Tea (16 fl oz)</t>
  </si>
  <si>
    <t>Diet Mtn Dew¬Æ (16 fl oz)</t>
  </si>
  <si>
    <t>G2 ‚Äì Fruit Punch (16 fl oz)</t>
  </si>
  <si>
    <t>Mtn Dew¬Æ (16 fl oz)</t>
  </si>
  <si>
    <t>Mtn Dew¬Æ Baja Blast‚Ñ¢ (16 fl oz)</t>
  </si>
  <si>
    <t>Mtn Dew¬Æ Baja Blast Zero Sugar (16 fl oz)</t>
  </si>
  <si>
    <t>Mtn Dew¬Æ Kickstart‚Ñ¢ Orange Citrus (16 fl oz)</t>
  </si>
  <si>
    <t>Mug¬Æ Root Beer (16 fl oz)</t>
  </si>
  <si>
    <t>Pepsi¬Æ Wild Cherry (16 fl oz)</t>
  </si>
  <si>
    <t>Pepsi¬Æ Zero Sugar (16 fl oz)</t>
  </si>
  <si>
    <t>Sierra Mist¬Æ (16 fl oz)</t>
  </si>
  <si>
    <t>7-Up (20 fl oz)</t>
  </si>
  <si>
    <t>Brisk¬Æ Mango Iced Tea (20 fl oz)</t>
  </si>
  <si>
    <t>Brisk¬Æ Unsweetened No Lemon Iced Tea (20 fl oz)</t>
  </si>
  <si>
    <t>Diet Mtn Dew¬Æ (20 fl oz)</t>
  </si>
  <si>
    <t>G2 ‚Äì Fruit Punch (20 fl oz)</t>
  </si>
  <si>
    <t>Mtn Dew¬Æ (20 fl oz)</t>
  </si>
  <si>
    <t>Mtn Dew¬Æ Baja Blast‚Ñ¢ (20 fl oz)</t>
  </si>
  <si>
    <t>Mtn Dew¬Æ Baja Blast Zero Sugar (20 fl oz)</t>
  </si>
  <si>
    <t>Mtn Dew¬Æ Kickstart‚Ñ¢ Orange Citrus (20 fl oz)</t>
  </si>
  <si>
    <t>Mug¬Æ Root Beer (20 fl oz)</t>
  </si>
  <si>
    <t>Pepsi¬Æ Wild Cherry (20 fl oz)</t>
  </si>
  <si>
    <t>Pepsi¬Æ Zero Sugar (20 fl oz)</t>
  </si>
  <si>
    <t>Sierra Mist¬Æ (20 fl oz)</t>
  </si>
  <si>
    <t>7-Up (30 fl oz)</t>
  </si>
  <si>
    <t>Brisk¬Æ Mango Iced Tea (30 fl oz)</t>
  </si>
  <si>
    <t>Brisk¬Æ Unsweetened No Lemon Iced Tea (30 fl oz)</t>
  </si>
  <si>
    <t>Diet Mtn Dew¬Æ (30 fl oz)</t>
  </si>
  <si>
    <t>G2 ‚Äì Fruit Punch (30 fl oz)</t>
  </si>
  <si>
    <t>Mtn Dew¬Æ (30 fl oz)</t>
  </si>
  <si>
    <t>Mtn Dew¬Æ Baja Blast‚Ñ¢ (30 fl oz)</t>
  </si>
  <si>
    <t>Mtn Dew¬Æ Baja Blast Zero Sugar (30 fl oz)</t>
  </si>
  <si>
    <t>Mtn Dew¬Æ Kickstart‚Ñ¢ Orange Citrus (30 fl oz)</t>
  </si>
  <si>
    <t>Mug¬Æ Root Beer (30 fl oz)</t>
  </si>
  <si>
    <t>Pepsi¬Æ Wild Cherry (30 fl oz)</t>
  </si>
  <si>
    <t>Pepsi¬Æ Zero Sugar (30 fl oz)</t>
  </si>
  <si>
    <t>Sierra Mist¬Æ (30 fl oz)</t>
  </si>
  <si>
    <t xml:space="preserve">High Sodium </t>
  </si>
  <si>
    <t>High Cholesterol</t>
  </si>
  <si>
    <t xml:space="preserve">HealthScore </t>
  </si>
  <si>
    <t>Saturated fats</t>
  </si>
  <si>
    <t>sodium</t>
  </si>
  <si>
    <t>added sugar</t>
  </si>
  <si>
    <t>trans fat</t>
  </si>
  <si>
    <t>protein</t>
  </si>
  <si>
    <t>dietary fiber</t>
  </si>
  <si>
    <t xml:space="preserve"> </t>
  </si>
  <si>
    <t>HealthScore weights</t>
  </si>
  <si>
    <t>IMPORTANT DETAIL</t>
  </si>
  <si>
    <t>In order to insert a suggestion that uses a PivotTable or formula, your data was organized in columns with a single header row.</t>
  </si>
  <si>
    <t>Field18</t>
  </si>
  <si>
    <t>HealthScore weight</t>
  </si>
  <si>
    <t>Average 'HealthScore weight' by 'Company'</t>
  </si>
  <si>
    <t>Average of HealthScore weight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</si>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</sst>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</font>
    <font>
      <sz val="12"/>
      <color rgb="FF4472C4"/>
      <name val="Aptos Narrow"/>
      <family val="2"/>
      <scheme val="minor"/>
    </font>
    <font>
      <sz val="12"/>
      <color rgb="FF333333"/>
      <name val="Aptos Narrow"/>
      <family val="2"/>
      <scheme val="minor"/>
    </font>
    <font>
      <b/>
      <i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2" fontId="0" fillId="0" borderId="0" xfId="0" applyNumberFormat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19" fillId="0" borderId="0" xfId="0" applyFont="1"/>
    <xf numFmtId="9" fontId="0" fillId="0" borderId="0" xfId="0" applyNumberForma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[fASTFOOD DB.xlsx]Sheet2!PivotTable1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'HealthScore weight' by 'Company'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Sheet2!$C$5:$C$11</c:f>
              <c:strCache>
                <c:ptCount val="6"/>
                <c:pt idx="0">
                  <c:v>Pizza Hut</c:v>
                </c:pt>
                <c:pt idx="1">
                  <c:v>Taco Bell</c:v>
                </c:pt>
                <c:pt idx="2">
                  <c:v>McDonalds</c:v>
                </c:pt>
                <c:pt idx="3">
                  <c:v>Wendys</c:v>
                </c:pt>
                <c:pt idx="4">
                  <c:v>KFC</c:v>
                </c:pt>
                <c:pt idx="5">
                  <c:v>Burger King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-4.4498787560852779</c:v>
                </c:pt>
                <c:pt idx="1">
                  <c:v>-8.8046222374693048</c:v>
                </c:pt>
                <c:pt idx="2">
                  <c:v>-14.255227225672893</c:v>
                </c:pt>
                <c:pt idx="3">
                  <c:v>-14.260893542792616</c:v>
                </c:pt>
                <c:pt idx="4">
                  <c:v>-14.59570579150579</c:v>
                </c:pt>
                <c:pt idx="5">
                  <c:v>-17.286253916168604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83-4FC1-9D3D-4AC39064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53061128"/>
        <c:axId val="253063176"/>
      </c:barChart>
      <c:catAx>
        <c:axId val="253061128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63176"/>
        <c:crosses val="max"/>
        <c:auto val="1"/>
        <c:lblAlgn val="ctr"/>
        <c:lblOffset val="100"/>
        <c:noMultiLvlLbl val="0"/>
      </c:catAx>
      <c:valAx>
        <c:axId val="25306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HealthScore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6112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HealthScore weight</a:t>
            </a:r>
            <a:r>
              <a:rPr lang="en-US"/>
              <a:t> appears highly determined by Field: </a:t>
            </a:r>
            <a:r>
              <a:rPr lang="en-US">
                <a:solidFill>
                  <a:srgbClr val="DD5A13"/>
                </a:solidFill>
              </a:rPr>
              <a:t>Protein per 100cal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'just numbers (HaoBS)'!$S$1</c:f>
              <c:strCache>
                <c:ptCount val="1"/>
                <c:pt idx="0">
                  <c:v>HealthScore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'just numbers (HaoBS)'!$O$2:$O$977</c:f>
              <c:numCache>
                <c:formatCode>0.00</c:formatCode>
                <c:ptCount val="976"/>
                <c:pt idx="0">
                  <c:v>10</c:v>
                </c:pt>
                <c:pt idx="1">
                  <c:v>6.666666666666667</c:v>
                </c:pt>
                <c:pt idx="2">
                  <c:v>6.2222222222222223</c:v>
                </c:pt>
                <c:pt idx="3">
                  <c:v>6</c:v>
                </c:pt>
                <c:pt idx="4">
                  <c:v>5.9523809523809517</c:v>
                </c:pt>
                <c:pt idx="5">
                  <c:v>5.9292035398230087</c:v>
                </c:pt>
                <c:pt idx="6">
                  <c:v>5.8974358974358969</c:v>
                </c:pt>
                <c:pt idx="7">
                  <c:v>5.8196721311475406</c:v>
                </c:pt>
                <c:pt idx="8">
                  <c:v>5.8095238095238093</c:v>
                </c:pt>
                <c:pt idx="9">
                  <c:v>5.7407407407407405</c:v>
                </c:pt>
                <c:pt idx="10">
                  <c:v>5.6818181818181817</c:v>
                </c:pt>
                <c:pt idx="11">
                  <c:v>5.5172413793103452</c:v>
                </c:pt>
                <c:pt idx="12">
                  <c:v>5.416666666666667</c:v>
                </c:pt>
                <c:pt idx="13">
                  <c:v>5.3781512605042021</c:v>
                </c:pt>
                <c:pt idx="14">
                  <c:v>5.3571428571428568</c:v>
                </c:pt>
                <c:pt idx="15">
                  <c:v>5.3333333333333339</c:v>
                </c:pt>
                <c:pt idx="16">
                  <c:v>5.3125</c:v>
                </c:pt>
                <c:pt idx="17">
                  <c:v>5.3061224489795915</c:v>
                </c:pt>
                <c:pt idx="18">
                  <c:v>5.304347826086957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4.7058823529411766</c:v>
                </c:pt>
                <c:pt idx="23">
                  <c:v>4.6551724137931041</c:v>
                </c:pt>
                <c:pt idx="24">
                  <c:v>4.6511627906976747</c:v>
                </c:pt>
                <c:pt idx="25">
                  <c:v>4.6428571428571432</c:v>
                </c:pt>
                <c:pt idx="26">
                  <c:v>4.6153846153846159</c:v>
                </c:pt>
                <c:pt idx="27">
                  <c:v>4.6031746031746037</c:v>
                </c:pt>
                <c:pt idx="28">
                  <c:v>4.5945945945945947</c:v>
                </c:pt>
                <c:pt idx="29">
                  <c:v>4.5901639344262293</c:v>
                </c:pt>
                <c:pt idx="30">
                  <c:v>4.5348837209302326</c:v>
                </c:pt>
                <c:pt idx="31">
                  <c:v>4.4303797468354427</c:v>
                </c:pt>
                <c:pt idx="32">
                  <c:v>4.375</c:v>
                </c:pt>
                <c:pt idx="33">
                  <c:v>4.3243243243243246</c:v>
                </c:pt>
                <c:pt idx="34">
                  <c:v>4.25</c:v>
                </c:pt>
                <c:pt idx="35">
                  <c:v>4.2424242424242431</c:v>
                </c:pt>
                <c:pt idx="36">
                  <c:v>4.2424242424242431</c:v>
                </c:pt>
                <c:pt idx="37">
                  <c:v>4.1935483870967749</c:v>
                </c:pt>
                <c:pt idx="38">
                  <c:v>4.1025641025641022</c:v>
                </c:pt>
                <c:pt idx="39">
                  <c:v>4.084507042253521</c:v>
                </c:pt>
                <c:pt idx="40">
                  <c:v>4.0540540540540544</c:v>
                </c:pt>
                <c:pt idx="41">
                  <c:v>3.9682539682539679</c:v>
                </c:pt>
                <c:pt idx="42">
                  <c:v>3.9655172413793105</c:v>
                </c:pt>
                <c:pt idx="43">
                  <c:v>3.8095238095238098</c:v>
                </c:pt>
                <c:pt idx="44">
                  <c:v>3.8095238095238098</c:v>
                </c:pt>
                <c:pt idx="45">
                  <c:v>3.8</c:v>
                </c:pt>
                <c:pt idx="46">
                  <c:v>3.7837837837837842</c:v>
                </c:pt>
                <c:pt idx="47">
                  <c:v>3.7735849056603774</c:v>
                </c:pt>
                <c:pt idx="48">
                  <c:v>3.75</c:v>
                </c:pt>
                <c:pt idx="49">
                  <c:v>3.75</c:v>
                </c:pt>
                <c:pt idx="50">
                  <c:v>3.6666666666666665</c:v>
                </c:pt>
                <c:pt idx="51">
                  <c:v>3.5849056603773586</c:v>
                </c:pt>
                <c:pt idx="52">
                  <c:v>3.5714285714285712</c:v>
                </c:pt>
                <c:pt idx="53">
                  <c:v>3.5443037974683547</c:v>
                </c:pt>
                <c:pt idx="54">
                  <c:v>3.5294117647058822</c:v>
                </c:pt>
                <c:pt idx="55">
                  <c:v>3.4328358208955225</c:v>
                </c:pt>
                <c:pt idx="56">
                  <c:v>3.25</c:v>
                </c:pt>
                <c:pt idx="57">
                  <c:v>3.1372549019607843</c:v>
                </c:pt>
                <c:pt idx="58">
                  <c:v>3.0769230769230771</c:v>
                </c:pt>
                <c:pt idx="59">
                  <c:v>2.9411764705882351</c:v>
                </c:pt>
                <c:pt idx="60">
                  <c:v>2.9411764705882351</c:v>
                </c:pt>
                <c:pt idx="61">
                  <c:v>2.8571428571428572</c:v>
                </c:pt>
                <c:pt idx="62">
                  <c:v>2.7777777777777777</c:v>
                </c:pt>
                <c:pt idx="63">
                  <c:v>2.666666666666667</c:v>
                </c:pt>
                <c:pt idx="64">
                  <c:v>2.6315789473684208</c:v>
                </c:pt>
                <c:pt idx="65">
                  <c:v>2.5806451612903225</c:v>
                </c:pt>
                <c:pt idx="66">
                  <c:v>2.4137931034482758</c:v>
                </c:pt>
                <c:pt idx="67">
                  <c:v>2.3529411764705883</c:v>
                </c:pt>
                <c:pt idx="68">
                  <c:v>2.3529411764705883</c:v>
                </c:pt>
                <c:pt idx="69">
                  <c:v>2.3333333333333335</c:v>
                </c:pt>
                <c:pt idx="70">
                  <c:v>2.3333333333333335</c:v>
                </c:pt>
                <c:pt idx="71">
                  <c:v>2.2972972972972974</c:v>
                </c:pt>
                <c:pt idx="72">
                  <c:v>2.2950819672131146</c:v>
                </c:pt>
                <c:pt idx="73">
                  <c:v>2.25</c:v>
                </c:pt>
                <c:pt idx="74">
                  <c:v>2.25</c:v>
                </c:pt>
                <c:pt idx="75">
                  <c:v>2.2222222222222223</c:v>
                </c:pt>
                <c:pt idx="76">
                  <c:v>2.1999999999999997</c:v>
                </c:pt>
                <c:pt idx="77">
                  <c:v>2.1875</c:v>
                </c:pt>
                <c:pt idx="78">
                  <c:v>2.083333333333333</c:v>
                </c:pt>
                <c:pt idx="79">
                  <c:v>1.9672131147540985</c:v>
                </c:pt>
                <c:pt idx="80">
                  <c:v>1.9230769230769231</c:v>
                </c:pt>
                <c:pt idx="81">
                  <c:v>1.7142857142857144</c:v>
                </c:pt>
                <c:pt idx="82">
                  <c:v>1.6666666666666667</c:v>
                </c:pt>
                <c:pt idx="83">
                  <c:v>1.4285714285714286</c:v>
                </c:pt>
                <c:pt idx="84">
                  <c:v>1.3157894736842104</c:v>
                </c:pt>
                <c:pt idx="85">
                  <c:v>1.3043478260869565</c:v>
                </c:pt>
                <c:pt idx="86">
                  <c:v>1.2903225806451613</c:v>
                </c:pt>
                <c:pt idx="87">
                  <c:v>1.25</c:v>
                </c:pt>
                <c:pt idx="88">
                  <c:v>1.25</c:v>
                </c:pt>
                <c:pt idx="89">
                  <c:v>1.1627906976744187</c:v>
                </c:pt>
                <c:pt idx="90">
                  <c:v>1.1111111111111112</c:v>
                </c:pt>
                <c:pt idx="91">
                  <c:v>1.0810810810810811</c:v>
                </c:pt>
                <c:pt idx="92">
                  <c:v>1.0526315789473684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0.97560975609756095</c:v>
                </c:pt>
                <c:pt idx="97">
                  <c:v>0.967741935483871</c:v>
                </c:pt>
                <c:pt idx="98">
                  <c:v>0.9375</c:v>
                </c:pt>
                <c:pt idx="99">
                  <c:v>0.90909090909090906</c:v>
                </c:pt>
                <c:pt idx="100">
                  <c:v>0.88235294117647056</c:v>
                </c:pt>
                <c:pt idx="101">
                  <c:v>0.83333333333333337</c:v>
                </c:pt>
                <c:pt idx="102">
                  <c:v>0.8</c:v>
                </c:pt>
                <c:pt idx="103">
                  <c:v>0.8</c:v>
                </c:pt>
                <c:pt idx="104">
                  <c:v>0.76923076923076927</c:v>
                </c:pt>
                <c:pt idx="105">
                  <c:v>0.74626865671641784</c:v>
                </c:pt>
                <c:pt idx="106">
                  <c:v>0.7142857142857143</c:v>
                </c:pt>
                <c:pt idx="107">
                  <c:v>0.66666666666666674</c:v>
                </c:pt>
                <c:pt idx="108">
                  <c:v>0.66666666666666674</c:v>
                </c:pt>
                <c:pt idx="109">
                  <c:v>0.38461538461538464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18.095238095238095</c:v>
                </c:pt>
                <c:pt idx="160">
                  <c:v>14.615384615384617</c:v>
                </c:pt>
                <c:pt idx="161">
                  <c:v>13.750000000000002</c:v>
                </c:pt>
                <c:pt idx="162">
                  <c:v>12.857142857142856</c:v>
                </c:pt>
                <c:pt idx="163">
                  <c:v>11.333333333333332</c:v>
                </c:pt>
                <c:pt idx="164">
                  <c:v>11</c:v>
                </c:pt>
                <c:pt idx="165">
                  <c:v>10</c:v>
                </c:pt>
                <c:pt idx="166">
                  <c:v>10</c:v>
                </c:pt>
                <c:pt idx="167">
                  <c:v>9.4444444444444446</c:v>
                </c:pt>
                <c:pt idx="168">
                  <c:v>9.2307692307692317</c:v>
                </c:pt>
                <c:pt idx="169">
                  <c:v>8.5714285714285712</c:v>
                </c:pt>
                <c:pt idx="170">
                  <c:v>7.7777777777777777</c:v>
                </c:pt>
                <c:pt idx="171">
                  <c:v>7.6923076923076925</c:v>
                </c:pt>
                <c:pt idx="172">
                  <c:v>7.5</c:v>
                </c:pt>
                <c:pt idx="173">
                  <c:v>7.3913043478260869</c:v>
                </c:pt>
                <c:pt idx="174">
                  <c:v>7.3076923076923084</c:v>
                </c:pt>
                <c:pt idx="175">
                  <c:v>6.9230769230769234</c:v>
                </c:pt>
                <c:pt idx="176">
                  <c:v>6.8571428571428577</c:v>
                </c:pt>
                <c:pt idx="177">
                  <c:v>6.7857142857142856</c:v>
                </c:pt>
                <c:pt idx="178">
                  <c:v>6.666666666666667</c:v>
                </c:pt>
                <c:pt idx="179">
                  <c:v>6.666666666666667</c:v>
                </c:pt>
                <c:pt idx="180">
                  <c:v>6.666666666666667</c:v>
                </c:pt>
                <c:pt idx="181">
                  <c:v>6.6037735849056602</c:v>
                </c:pt>
                <c:pt idx="182">
                  <c:v>6.25</c:v>
                </c:pt>
                <c:pt idx="183">
                  <c:v>5.8823529411764701</c:v>
                </c:pt>
                <c:pt idx="184">
                  <c:v>5.8823529411764701</c:v>
                </c:pt>
                <c:pt idx="185">
                  <c:v>5.833333333333333</c:v>
                </c:pt>
                <c:pt idx="186">
                  <c:v>5.7894736842105265</c:v>
                </c:pt>
                <c:pt idx="187">
                  <c:v>5.7407407407407405</c:v>
                </c:pt>
                <c:pt idx="188">
                  <c:v>5.6626506024096388</c:v>
                </c:pt>
                <c:pt idx="189">
                  <c:v>5.4838709677419359</c:v>
                </c:pt>
                <c:pt idx="190">
                  <c:v>5.2307692307692308</c:v>
                </c:pt>
                <c:pt idx="191">
                  <c:v>5.1063829787234036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4.8148148148148149</c:v>
                </c:pt>
                <c:pt idx="196">
                  <c:v>4.8</c:v>
                </c:pt>
                <c:pt idx="197">
                  <c:v>4.7368421052631584</c:v>
                </c:pt>
                <c:pt idx="198">
                  <c:v>4.7058823529411766</c:v>
                </c:pt>
                <c:pt idx="199">
                  <c:v>4.666666666666667</c:v>
                </c:pt>
                <c:pt idx="200">
                  <c:v>4.666666666666667</c:v>
                </c:pt>
                <c:pt idx="201">
                  <c:v>4.5454545454545459</c:v>
                </c:pt>
                <c:pt idx="202">
                  <c:v>4.5454545454545459</c:v>
                </c:pt>
                <c:pt idx="203">
                  <c:v>4.5161290322580641</c:v>
                </c:pt>
                <c:pt idx="204">
                  <c:v>4.4827586206896548</c:v>
                </c:pt>
                <c:pt idx="205">
                  <c:v>4.4444444444444446</c:v>
                </c:pt>
                <c:pt idx="206">
                  <c:v>4.4444444444444446</c:v>
                </c:pt>
                <c:pt idx="207">
                  <c:v>4.4444444444444446</c:v>
                </c:pt>
                <c:pt idx="208">
                  <c:v>4.3999999999999995</c:v>
                </c:pt>
                <c:pt idx="209">
                  <c:v>4.3999999999999995</c:v>
                </c:pt>
                <c:pt idx="210">
                  <c:v>4.375</c:v>
                </c:pt>
                <c:pt idx="211">
                  <c:v>4.354838709677419</c:v>
                </c:pt>
                <c:pt idx="212">
                  <c:v>4.117647058823529</c:v>
                </c:pt>
                <c:pt idx="213">
                  <c:v>4.0740740740740744</c:v>
                </c:pt>
                <c:pt idx="214">
                  <c:v>4</c:v>
                </c:pt>
                <c:pt idx="215">
                  <c:v>3.8461538461538463</c:v>
                </c:pt>
                <c:pt idx="216">
                  <c:v>3.6111111111111107</c:v>
                </c:pt>
                <c:pt idx="217">
                  <c:v>3.6111111111111107</c:v>
                </c:pt>
                <c:pt idx="218">
                  <c:v>3.5714285714285712</c:v>
                </c:pt>
                <c:pt idx="219">
                  <c:v>3.5714285714285712</c:v>
                </c:pt>
                <c:pt idx="220">
                  <c:v>3.5135135135135136</c:v>
                </c:pt>
                <c:pt idx="221">
                  <c:v>3.4482758620689653</c:v>
                </c:pt>
                <c:pt idx="222">
                  <c:v>3.3333333333333335</c:v>
                </c:pt>
                <c:pt idx="223">
                  <c:v>3.3333333333333335</c:v>
                </c:pt>
                <c:pt idx="224">
                  <c:v>3.3333333333333335</c:v>
                </c:pt>
                <c:pt idx="225">
                  <c:v>3.3333333333333335</c:v>
                </c:pt>
                <c:pt idx="226">
                  <c:v>3.214285714285714</c:v>
                </c:pt>
                <c:pt idx="227">
                  <c:v>2.8571428571428572</c:v>
                </c:pt>
                <c:pt idx="228">
                  <c:v>2.8571428571428572</c:v>
                </c:pt>
                <c:pt idx="229">
                  <c:v>2.8571428571428572</c:v>
                </c:pt>
                <c:pt idx="230">
                  <c:v>2.3076923076923079</c:v>
                </c:pt>
                <c:pt idx="231">
                  <c:v>2.2222222222222223</c:v>
                </c:pt>
                <c:pt idx="232">
                  <c:v>2.0338983050847457</c:v>
                </c:pt>
                <c:pt idx="233">
                  <c:v>1.956521739130435</c:v>
                </c:pt>
                <c:pt idx="234">
                  <c:v>1.8181818181818181</c:v>
                </c:pt>
                <c:pt idx="235">
                  <c:v>1.6666666666666667</c:v>
                </c:pt>
                <c:pt idx="236">
                  <c:v>1.5625</c:v>
                </c:pt>
                <c:pt idx="237">
                  <c:v>1.5476190476190477</c:v>
                </c:pt>
                <c:pt idx="238">
                  <c:v>1.4285714285714286</c:v>
                </c:pt>
                <c:pt idx="239">
                  <c:v>1.3793103448275863</c:v>
                </c:pt>
                <c:pt idx="240">
                  <c:v>1.3333333333333335</c:v>
                </c:pt>
                <c:pt idx="241">
                  <c:v>1.1111111111111112</c:v>
                </c:pt>
                <c:pt idx="242">
                  <c:v>1</c:v>
                </c:pt>
                <c:pt idx="243">
                  <c:v>1</c:v>
                </c:pt>
                <c:pt idx="244">
                  <c:v>0.90909090909090906</c:v>
                </c:pt>
                <c:pt idx="245">
                  <c:v>0.86956521739130432</c:v>
                </c:pt>
                <c:pt idx="246">
                  <c:v>0.83333333333333337</c:v>
                </c:pt>
                <c:pt idx="247">
                  <c:v>0.76923076923076927</c:v>
                </c:pt>
                <c:pt idx="248">
                  <c:v>0.7142857142857143</c:v>
                </c:pt>
                <c:pt idx="249">
                  <c:v>0.66666666666666674</c:v>
                </c:pt>
                <c:pt idx="250">
                  <c:v>0.625</c:v>
                </c:pt>
                <c:pt idx="251">
                  <c:v>0.625</c:v>
                </c:pt>
                <c:pt idx="252">
                  <c:v>0.58823529411764708</c:v>
                </c:pt>
                <c:pt idx="253">
                  <c:v>0.58823529411764708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 formatCode="General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 formatCode="General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13.636363636363635</c:v>
                </c:pt>
                <c:pt idx="345">
                  <c:v>12.692307692307692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9.375</c:v>
                </c:pt>
                <c:pt idx="363">
                  <c:v>9.0909090909090917</c:v>
                </c:pt>
                <c:pt idx="364">
                  <c:v>8.75</c:v>
                </c:pt>
                <c:pt idx="365">
                  <c:v>8.1578947368421062</c:v>
                </c:pt>
                <c:pt idx="366">
                  <c:v>8</c:v>
                </c:pt>
                <c:pt idx="367">
                  <c:v>7.878787878787878</c:v>
                </c:pt>
                <c:pt idx="368">
                  <c:v>7.8378378378378386</c:v>
                </c:pt>
                <c:pt idx="369">
                  <c:v>7.7777777777777777</c:v>
                </c:pt>
                <c:pt idx="370">
                  <c:v>7.608695652173914</c:v>
                </c:pt>
                <c:pt idx="371">
                  <c:v>7.5</c:v>
                </c:pt>
                <c:pt idx="372">
                  <c:v>6.9230769230769234</c:v>
                </c:pt>
                <c:pt idx="373">
                  <c:v>6.9230769230769234</c:v>
                </c:pt>
                <c:pt idx="374">
                  <c:v>6.666666666666667</c:v>
                </c:pt>
                <c:pt idx="375">
                  <c:v>6.4864864864864868</c:v>
                </c:pt>
                <c:pt idx="376">
                  <c:v>6.4285714285714279</c:v>
                </c:pt>
                <c:pt idx="377">
                  <c:v>6.0465116279069768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5.7575757575757578</c:v>
                </c:pt>
                <c:pt idx="382">
                  <c:v>5.75</c:v>
                </c:pt>
                <c:pt idx="383">
                  <c:v>5.7142857142857144</c:v>
                </c:pt>
                <c:pt idx="384">
                  <c:v>5.7142857142857144</c:v>
                </c:pt>
                <c:pt idx="385">
                  <c:v>5.6962025316455698</c:v>
                </c:pt>
                <c:pt idx="386">
                  <c:v>5.6862745098039218</c:v>
                </c:pt>
                <c:pt idx="387">
                  <c:v>5.6818181818181817</c:v>
                </c:pt>
                <c:pt idx="388">
                  <c:v>5.6410256410256414</c:v>
                </c:pt>
                <c:pt idx="389">
                  <c:v>5.625</c:v>
                </c:pt>
                <c:pt idx="390">
                  <c:v>5.5555555555555554</c:v>
                </c:pt>
                <c:pt idx="391">
                  <c:v>5.5555555555555554</c:v>
                </c:pt>
                <c:pt idx="392">
                  <c:v>5.5555555555555554</c:v>
                </c:pt>
                <c:pt idx="393">
                  <c:v>5.4545454545454541</c:v>
                </c:pt>
                <c:pt idx="394">
                  <c:v>5.384615384615385</c:v>
                </c:pt>
                <c:pt idx="395">
                  <c:v>5.384615384615385</c:v>
                </c:pt>
                <c:pt idx="396">
                  <c:v>5.3333333333333339</c:v>
                </c:pt>
                <c:pt idx="397">
                  <c:v>5.3333333333333339</c:v>
                </c:pt>
                <c:pt idx="398">
                  <c:v>5.3333333333333339</c:v>
                </c:pt>
                <c:pt idx="399">
                  <c:v>5.2941176470588234</c:v>
                </c:pt>
                <c:pt idx="400">
                  <c:v>5.2941176470588234</c:v>
                </c:pt>
                <c:pt idx="401">
                  <c:v>5.25</c:v>
                </c:pt>
                <c:pt idx="402">
                  <c:v>5.2380952380952381</c:v>
                </c:pt>
                <c:pt idx="403">
                  <c:v>5.2173913043478262</c:v>
                </c:pt>
                <c:pt idx="404">
                  <c:v>5.1162790697674421</c:v>
                </c:pt>
                <c:pt idx="405">
                  <c:v>5.0526315789473681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4.8780487804878048</c:v>
                </c:pt>
                <c:pt idx="420">
                  <c:v>4.8101265822784809</c:v>
                </c:pt>
                <c:pt idx="421">
                  <c:v>4.8</c:v>
                </c:pt>
                <c:pt idx="422">
                  <c:v>4.7368421052631584</c:v>
                </c:pt>
                <c:pt idx="423">
                  <c:v>4.7058823529411766</c:v>
                </c:pt>
                <c:pt idx="424">
                  <c:v>4.6808510638297873</c:v>
                </c:pt>
                <c:pt idx="425">
                  <c:v>4.666666666666667</c:v>
                </c:pt>
                <c:pt idx="426">
                  <c:v>4.6428571428571432</c:v>
                </c:pt>
                <c:pt idx="427">
                  <c:v>4.6315789473684212</c:v>
                </c:pt>
                <c:pt idx="428">
                  <c:v>4.6296296296296298</c:v>
                </c:pt>
                <c:pt idx="429">
                  <c:v>4.5454545454545459</c:v>
                </c:pt>
                <c:pt idx="430">
                  <c:v>4.4444444444444446</c:v>
                </c:pt>
                <c:pt idx="431">
                  <c:v>4.4262295081967213</c:v>
                </c:pt>
                <c:pt idx="432">
                  <c:v>4.3999999999999995</c:v>
                </c:pt>
                <c:pt idx="433">
                  <c:v>4.2857142857142856</c:v>
                </c:pt>
                <c:pt idx="434">
                  <c:v>4.2857142857142856</c:v>
                </c:pt>
                <c:pt idx="435">
                  <c:v>4.2857142857142856</c:v>
                </c:pt>
                <c:pt idx="436">
                  <c:v>4.2424242424242431</c:v>
                </c:pt>
                <c:pt idx="437">
                  <c:v>4.2424242424242431</c:v>
                </c:pt>
                <c:pt idx="438">
                  <c:v>4.1463414634146343</c:v>
                </c:pt>
                <c:pt idx="439">
                  <c:v>4.117647058823529</c:v>
                </c:pt>
                <c:pt idx="440">
                  <c:v>4.117647058823529</c:v>
                </c:pt>
                <c:pt idx="441">
                  <c:v>4.1025641025641022</c:v>
                </c:pt>
                <c:pt idx="442">
                  <c:v>4.0909090909090908</c:v>
                </c:pt>
                <c:pt idx="443">
                  <c:v>4.0909090909090908</c:v>
                </c:pt>
                <c:pt idx="444">
                  <c:v>4.0909090909090908</c:v>
                </c:pt>
                <c:pt idx="445">
                  <c:v>4</c:v>
                </c:pt>
                <c:pt idx="446">
                  <c:v>4</c:v>
                </c:pt>
                <c:pt idx="447">
                  <c:v>3.9473684210526314</c:v>
                </c:pt>
                <c:pt idx="448">
                  <c:v>3.8888888888888888</c:v>
                </c:pt>
                <c:pt idx="449">
                  <c:v>3.8888888888888888</c:v>
                </c:pt>
                <c:pt idx="450">
                  <c:v>3.8888888888888888</c:v>
                </c:pt>
                <c:pt idx="451">
                  <c:v>3.8461538461538463</c:v>
                </c:pt>
                <c:pt idx="452">
                  <c:v>3.8461538461538463</c:v>
                </c:pt>
                <c:pt idx="453">
                  <c:v>3.8461538461538463</c:v>
                </c:pt>
                <c:pt idx="454">
                  <c:v>3.7837837837837842</c:v>
                </c:pt>
                <c:pt idx="455">
                  <c:v>3.7837837837837842</c:v>
                </c:pt>
                <c:pt idx="456">
                  <c:v>3.75</c:v>
                </c:pt>
                <c:pt idx="457">
                  <c:v>3.75</c:v>
                </c:pt>
                <c:pt idx="458">
                  <c:v>3.6666666666666665</c:v>
                </c:pt>
                <c:pt idx="459">
                  <c:v>3.6170212765957444</c:v>
                </c:pt>
                <c:pt idx="460">
                  <c:v>3.5714285714285712</c:v>
                </c:pt>
                <c:pt idx="461">
                  <c:v>3.5714285714285712</c:v>
                </c:pt>
                <c:pt idx="462">
                  <c:v>3.5714285714285712</c:v>
                </c:pt>
                <c:pt idx="463">
                  <c:v>3.5483870967741935</c:v>
                </c:pt>
                <c:pt idx="464">
                  <c:v>3.5294117647058822</c:v>
                </c:pt>
                <c:pt idx="465">
                  <c:v>3.5000000000000004</c:v>
                </c:pt>
                <c:pt idx="466">
                  <c:v>3.3333333333333335</c:v>
                </c:pt>
                <c:pt idx="467">
                  <c:v>3.3333333333333335</c:v>
                </c:pt>
                <c:pt idx="468">
                  <c:v>3.3333333333333335</c:v>
                </c:pt>
                <c:pt idx="469">
                  <c:v>3.3333333333333335</c:v>
                </c:pt>
                <c:pt idx="470">
                  <c:v>3.3333333333333335</c:v>
                </c:pt>
                <c:pt idx="471">
                  <c:v>3.3333333333333335</c:v>
                </c:pt>
                <c:pt idx="472">
                  <c:v>3.3333333333333335</c:v>
                </c:pt>
                <c:pt idx="473">
                  <c:v>3.3027522935779818</c:v>
                </c:pt>
                <c:pt idx="474">
                  <c:v>3.2</c:v>
                </c:pt>
                <c:pt idx="475">
                  <c:v>3.1578947368421053</c:v>
                </c:pt>
                <c:pt idx="476">
                  <c:v>3.1578947368421053</c:v>
                </c:pt>
                <c:pt idx="477">
                  <c:v>3.1578947368421053</c:v>
                </c:pt>
                <c:pt idx="478">
                  <c:v>3.1578947368421053</c:v>
                </c:pt>
                <c:pt idx="479">
                  <c:v>3.1578947368421053</c:v>
                </c:pt>
                <c:pt idx="480">
                  <c:v>3.1578947368421053</c:v>
                </c:pt>
                <c:pt idx="481">
                  <c:v>3.1578947368421053</c:v>
                </c:pt>
                <c:pt idx="482">
                  <c:v>3.1304347826086958</c:v>
                </c:pt>
                <c:pt idx="483">
                  <c:v>3.125</c:v>
                </c:pt>
                <c:pt idx="484">
                  <c:v>3.125</c:v>
                </c:pt>
                <c:pt idx="485">
                  <c:v>3.0434782608695654</c:v>
                </c:pt>
                <c:pt idx="486">
                  <c:v>3.0434782608695654</c:v>
                </c:pt>
                <c:pt idx="487">
                  <c:v>3.0434782608695654</c:v>
                </c:pt>
                <c:pt idx="488">
                  <c:v>3.0434782608695654</c:v>
                </c:pt>
                <c:pt idx="489">
                  <c:v>3.0434782608695654</c:v>
                </c:pt>
                <c:pt idx="490">
                  <c:v>3.0434782608695654</c:v>
                </c:pt>
                <c:pt idx="491">
                  <c:v>3.0303030303030303</c:v>
                </c:pt>
                <c:pt idx="492">
                  <c:v>3</c:v>
                </c:pt>
                <c:pt idx="493">
                  <c:v>2.9166666666666665</c:v>
                </c:pt>
                <c:pt idx="494">
                  <c:v>2.8846153846153846</c:v>
                </c:pt>
                <c:pt idx="495">
                  <c:v>2.8571428571428572</c:v>
                </c:pt>
                <c:pt idx="496">
                  <c:v>2.8571428571428572</c:v>
                </c:pt>
                <c:pt idx="497">
                  <c:v>2.8571428571428572</c:v>
                </c:pt>
                <c:pt idx="498">
                  <c:v>2.8571428571428572</c:v>
                </c:pt>
                <c:pt idx="499">
                  <c:v>2.8260869565217392</c:v>
                </c:pt>
                <c:pt idx="500">
                  <c:v>2.8000000000000003</c:v>
                </c:pt>
                <c:pt idx="501">
                  <c:v>2.7777777777777777</c:v>
                </c:pt>
                <c:pt idx="502">
                  <c:v>2.7586206896551726</c:v>
                </c:pt>
                <c:pt idx="503">
                  <c:v>2.7586206896551726</c:v>
                </c:pt>
                <c:pt idx="504">
                  <c:v>2.7272727272727271</c:v>
                </c:pt>
                <c:pt idx="505">
                  <c:v>2.7272727272727271</c:v>
                </c:pt>
                <c:pt idx="506">
                  <c:v>2.7272727272727271</c:v>
                </c:pt>
                <c:pt idx="507">
                  <c:v>2.666666666666667</c:v>
                </c:pt>
                <c:pt idx="508">
                  <c:v>2.666666666666667</c:v>
                </c:pt>
                <c:pt idx="509">
                  <c:v>2.666666666666667</c:v>
                </c:pt>
                <c:pt idx="510">
                  <c:v>2.6315789473684208</c:v>
                </c:pt>
                <c:pt idx="511">
                  <c:v>2.6315789473684208</c:v>
                </c:pt>
                <c:pt idx="512">
                  <c:v>2.6315789473684208</c:v>
                </c:pt>
                <c:pt idx="513">
                  <c:v>2.6190476190476191</c:v>
                </c:pt>
                <c:pt idx="514">
                  <c:v>2.6086956521739131</c:v>
                </c:pt>
                <c:pt idx="515">
                  <c:v>2.6086956521739131</c:v>
                </c:pt>
                <c:pt idx="516">
                  <c:v>2.6086956521739131</c:v>
                </c:pt>
                <c:pt idx="517">
                  <c:v>2.5925925925925926</c:v>
                </c:pt>
                <c:pt idx="518">
                  <c:v>2.558139534883721</c:v>
                </c:pt>
                <c:pt idx="519">
                  <c:v>2.5</c:v>
                </c:pt>
                <c:pt idx="520">
                  <c:v>2.5</c:v>
                </c:pt>
                <c:pt idx="521">
                  <c:v>2.5</c:v>
                </c:pt>
                <c:pt idx="522">
                  <c:v>2.5</c:v>
                </c:pt>
                <c:pt idx="523">
                  <c:v>2.5</c:v>
                </c:pt>
                <c:pt idx="524">
                  <c:v>2.5</c:v>
                </c:pt>
                <c:pt idx="525">
                  <c:v>2.5</c:v>
                </c:pt>
                <c:pt idx="526">
                  <c:v>2.5</c:v>
                </c:pt>
                <c:pt idx="527">
                  <c:v>2.5</c:v>
                </c:pt>
                <c:pt idx="528">
                  <c:v>2.4242424242424243</c:v>
                </c:pt>
                <c:pt idx="529">
                  <c:v>2.4137931034482758</c:v>
                </c:pt>
                <c:pt idx="530">
                  <c:v>2.4137931034482758</c:v>
                </c:pt>
                <c:pt idx="531">
                  <c:v>2.3809523809523809</c:v>
                </c:pt>
                <c:pt idx="532">
                  <c:v>2.3636363636363638</c:v>
                </c:pt>
                <c:pt idx="533">
                  <c:v>2.3529411764705883</c:v>
                </c:pt>
                <c:pt idx="534">
                  <c:v>2.3376623376623376</c:v>
                </c:pt>
                <c:pt idx="535">
                  <c:v>2.327586206896552</c:v>
                </c:pt>
                <c:pt idx="536">
                  <c:v>2.3214285714285716</c:v>
                </c:pt>
                <c:pt idx="537">
                  <c:v>2.2972972972972974</c:v>
                </c:pt>
                <c:pt idx="538">
                  <c:v>2.2972972972972974</c:v>
                </c:pt>
                <c:pt idx="539">
                  <c:v>2.2916666666666665</c:v>
                </c:pt>
                <c:pt idx="540">
                  <c:v>2.2857142857142856</c:v>
                </c:pt>
                <c:pt idx="541">
                  <c:v>2.2727272727272729</c:v>
                </c:pt>
                <c:pt idx="542">
                  <c:v>2.258064516129032</c:v>
                </c:pt>
                <c:pt idx="543">
                  <c:v>2.2522522522522523</c:v>
                </c:pt>
                <c:pt idx="544">
                  <c:v>2.2522522522522523</c:v>
                </c:pt>
                <c:pt idx="545">
                  <c:v>2.2413793103448274</c:v>
                </c:pt>
                <c:pt idx="546">
                  <c:v>2.2413793103448274</c:v>
                </c:pt>
                <c:pt idx="547">
                  <c:v>2.2222222222222223</c:v>
                </c:pt>
                <c:pt idx="548">
                  <c:v>2.2222222222222223</c:v>
                </c:pt>
                <c:pt idx="549">
                  <c:v>2.2222222222222223</c:v>
                </c:pt>
                <c:pt idx="550">
                  <c:v>2.2222222222222223</c:v>
                </c:pt>
                <c:pt idx="551">
                  <c:v>2.1428571428571428</c:v>
                </c:pt>
                <c:pt idx="552">
                  <c:v>2.1428571428571428</c:v>
                </c:pt>
                <c:pt idx="553">
                  <c:v>2.1428571428571428</c:v>
                </c:pt>
                <c:pt idx="554">
                  <c:v>2.1428571428571428</c:v>
                </c:pt>
                <c:pt idx="555">
                  <c:v>2.1428571428571428</c:v>
                </c:pt>
                <c:pt idx="556">
                  <c:v>2.1428571428571428</c:v>
                </c:pt>
                <c:pt idx="557">
                  <c:v>2.1212121212121215</c:v>
                </c:pt>
                <c:pt idx="558">
                  <c:v>2.112676056338028</c:v>
                </c:pt>
                <c:pt idx="559">
                  <c:v>2.0930232558139537</c:v>
                </c:pt>
                <c:pt idx="560">
                  <c:v>2.0930232558139537</c:v>
                </c:pt>
                <c:pt idx="561">
                  <c:v>2.083333333333333</c:v>
                </c:pt>
                <c:pt idx="562">
                  <c:v>2.0588235294117645</c:v>
                </c:pt>
                <c:pt idx="563">
                  <c:v>2.0588235294117645</c:v>
                </c:pt>
                <c:pt idx="564">
                  <c:v>2.0481927710843375</c:v>
                </c:pt>
                <c:pt idx="565">
                  <c:v>2.0454545454545454</c:v>
                </c:pt>
                <c:pt idx="566">
                  <c:v>1.971830985915493</c:v>
                </c:pt>
                <c:pt idx="567">
                  <c:v>1.9298245614035088</c:v>
                </c:pt>
                <c:pt idx="568">
                  <c:v>1.9230769230769231</c:v>
                </c:pt>
                <c:pt idx="569">
                  <c:v>1.9047619047619049</c:v>
                </c:pt>
                <c:pt idx="570">
                  <c:v>1.896551724137931</c:v>
                </c:pt>
                <c:pt idx="571">
                  <c:v>1.875</c:v>
                </c:pt>
                <c:pt idx="572">
                  <c:v>1.875</c:v>
                </c:pt>
                <c:pt idx="573">
                  <c:v>1.875</c:v>
                </c:pt>
                <c:pt idx="574">
                  <c:v>1.8518518518518516</c:v>
                </c:pt>
                <c:pt idx="575">
                  <c:v>1.7241379310344827</c:v>
                </c:pt>
                <c:pt idx="576">
                  <c:v>1.6666666666666667</c:v>
                </c:pt>
                <c:pt idx="577">
                  <c:v>1.6666666666666667</c:v>
                </c:pt>
                <c:pt idx="578">
                  <c:v>1.6666666666666667</c:v>
                </c:pt>
                <c:pt idx="579">
                  <c:v>1.6666666666666667</c:v>
                </c:pt>
                <c:pt idx="580">
                  <c:v>1.5789473684210527</c:v>
                </c:pt>
                <c:pt idx="581">
                  <c:v>1.5555555555555556</c:v>
                </c:pt>
                <c:pt idx="582">
                  <c:v>1.5384615384615385</c:v>
                </c:pt>
                <c:pt idx="583">
                  <c:v>1.4705882352941175</c:v>
                </c:pt>
                <c:pt idx="584">
                  <c:v>1.4705882352941175</c:v>
                </c:pt>
                <c:pt idx="585">
                  <c:v>1.4545454545454546</c:v>
                </c:pt>
                <c:pt idx="586">
                  <c:v>1.4285714285714286</c:v>
                </c:pt>
                <c:pt idx="587">
                  <c:v>1.4285714285714286</c:v>
                </c:pt>
                <c:pt idx="588">
                  <c:v>1.3333333333333335</c:v>
                </c:pt>
                <c:pt idx="589">
                  <c:v>1.3333333333333335</c:v>
                </c:pt>
                <c:pt idx="590">
                  <c:v>1.3333333333333335</c:v>
                </c:pt>
                <c:pt idx="591">
                  <c:v>1.3043478260869565</c:v>
                </c:pt>
                <c:pt idx="592">
                  <c:v>1.3043478260869565</c:v>
                </c:pt>
                <c:pt idx="593">
                  <c:v>1.25</c:v>
                </c:pt>
                <c:pt idx="594">
                  <c:v>1.25</c:v>
                </c:pt>
                <c:pt idx="595">
                  <c:v>1.2</c:v>
                </c:pt>
                <c:pt idx="596">
                  <c:v>1.153846153846154</c:v>
                </c:pt>
                <c:pt idx="597">
                  <c:v>1.0526315789473684</c:v>
                </c:pt>
                <c:pt idx="598">
                  <c:v>1.0526315789473684</c:v>
                </c:pt>
                <c:pt idx="599">
                  <c:v>1.0526315789473684</c:v>
                </c:pt>
                <c:pt idx="600">
                  <c:v>1.0526315789473684</c:v>
                </c:pt>
                <c:pt idx="601">
                  <c:v>1.0526315789473684</c:v>
                </c:pt>
                <c:pt idx="602">
                  <c:v>1</c:v>
                </c:pt>
                <c:pt idx="603">
                  <c:v>1</c:v>
                </c:pt>
                <c:pt idx="604">
                  <c:v>0.95238095238095244</c:v>
                </c:pt>
                <c:pt idx="605">
                  <c:v>0.95238095238095244</c:v>
                </c:pt>
                <c:pt idx="606">
                  <c:v>0.9375</c:v>
                </c:pt>
                <c:pt idx="607">
                  <c:v>0.90909090909090906</c:v>
                </c:pt>
                <c:pt idx="608">
                  <c:v>0.8</c:v>
                </c:pt>
                <c:pt idx="609">
                  <c:v>0.76923076923076927</c:v>
                </c:pt>
                <c:pt idx="610">
                  <c:v>0.76923076923076927</c:v>
                </c:pt>
                <c:pt idx="611">
                  <c:v>0.76923076923076927</c:v>
                </c:pt>
                <c:pt idx="612">
                  <c:v>0.76923076923076927</c:v>
                </c:pt>
                <c:pt idx="613">
                  <c:v>0.74074074074074081</c:v>
                </c:pt>
                <c:pt idx="614">
                  <c:v>0.74074074074074081</c:v>
                </c:pt>
                <c:pt idx="615">
                  <c:v>0.74074074074074081</c:v>
                </c:pt>
                <c:pt idx="616">
                  <c:v>0.7142857142857143</c:v>
                </c:pt>
                <c:pt idx="617">
                  <c:v>0.7142857142857143</c:v>
                </c:pt>
                <c:pt idx="618">
                  <c:v>0.66666666666666674</c:v>
                </c:pt>
                <c:pt idx="619">
                  <c:v>0.66666666666666674</c:v>
                </c:pt>
                <c:pt idx="620">
                  <c:v>0.58823529411764708</c:v>
                </c:pt>
                <c:pt idx="621">
                  <c:v>0.55555555555555558</c:v>
                </c:pt>
                <c:pt idx="622">
                  <c:v>0.35714285714285715</c:v>
                </c:pt>
                <c:pt idx="623">
                  <c:v>0</c:v>
                </c:pt>
                <c:pt idx="624" formatCode="General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5.384615384615385</c:v>
                </c:pt>
                <c:pt idx="663">
                  <c:v>5.3571428571428568</c:v>
                </c:pt>
                <c:pt idx="664">
                  <c:v>5.3333333333333339</c:v>
                </c:pt>
                <c:pt idx="665">
                  <c:v>5.161290322580645</c:v>
                </c:pt>
                <c:pt idx="666">
                  <c:v>5</c:v>
                </c:pt>
                <c:pt idx="667">
                  <c:v>5</c:v>
                </c:pt>
                <c:pt idx="668">
                  <c:v>4.8571428571428568</c:v>
                </c:pt>
                <c:pt idx="669">
                  <c:v>4.838709677419355</c:v>
                </c:pt>
                <c:pt idx="670">
                  <c:v>4.8148148148148149</c:v>
                </c:pt>
                <c:pt idx="671">
                  <c:v>4.7826086956521738</c:v>
                </c:pt>
                <c:pt idx="672">
                  <c:v>4.7826086956521738</c:v>
                </c:pt>
                <c:pt idx="673">
                  <c:v>4.7619047619047619</c:v>
                </c:pt>
                <c:pt idx="674">
                  <c:v>4.7619047619047619</c:v>
                </c:pt>
                <c:pt idx="675">
                  <c:v>4.7058823529411766</c:v>
                </c:pt>
                <c:pt idx="676">
                  <c:v>4.666666666666667</c:v>
                </c:pt>
                <c:pt idx="677">
                  <c:v>4.666666666666667</c:v>
                </c:pt>
                <c:pt idx="678">
                  <c:v>4.666666666666667</c:v>
                </c:pt>
                <c:pt idx="679">
                  <c:v>4.6428571428571432</c:v>
                </c:pt>
                <c:pt idx="680">
                  <c:v>4.6153846153846159</c:v>
                </c:pt>
                <c:pt idx="681">
                  <c:v>4.6153846153846159</c:v>
                </c:pt>
                <c:pt idx="682">
                  <c:v>4.6153846153846159</c:v>
                </c:pt>
                <c:pt idx="683">
                  <c:v>4.6153846153846159</c:v>
                </c:pt>
                <c:pt idx="684">
                  <c:v>4.5945945945945947</c:v>
                </c:pt>
                <c:pt idx="685">
                  <c:v>4.583333333333333</c:v>
                </c:pt>
                <c:pt idx="686">
                  <c:v>4.5454545454545459</c:v>
                </c:pt>
                <c:pt idx="687">
                  <c:v>4.5</c:v>
                </c:pt>
                <c:pt idx="688">
                  <c:v>4.5</c:v>
                </c:pt>
                <c:pt idx="689">
                  <c:v>4.4827586206896548</c:v>
                </c:pt>
                <c:pt idx="690">
                  <c:v>4.4827586206896548</c:v>
                </c:pt>
                <c:pt idx="691">
                  <c:v>4.4444444444444446</c:v>
                </c:pt>
                <c:pt idx="692">
                  <c:v>4.4444444444444446</c:v>
                </c:pt>
                <c:pt idx="693">
                  <c:v>4.4444444444444446</c:v>
                </c:pt>
                <c:pt idx="694">
                  <c:v>4.4444444444444446</c:v>
                </c:pt>
                <c:pt idx="695">
                  <c:v>4.4444444444444446</c:v>
                </c:pt>
                <c:pt idx="696">
                  <c:v>4.4444444444444446</c:v>
                </c:pt>
                <c:pt idx="697">
                  <c:v>4.3999999999999995</c:v>
                </c:pt>
                <c:pt idx="698">
                  <c:v>4.375</c:v>
                </c:pt>
                <c:pt idx="699">
                  <c:v>4.375</c:v>
                </c:pt>
                <c:pt idx="700">
                  <c:v>4.375</c:v>
                </c:pt>
                <c:pt idx="701">
                  <c:v>4.375</c:v>
                </c:pt>
                <c:pt idx="702">
                  <c:v>4.3589743589743586</c:v>
                </c:pt>
                <c:pt idx="703">
                  <c:v>4.3589743589743586</c:v>
                </c:pt>
                <c:pt idx="704">
                  <c:v>4.3333333333333339</c:v>
                </c:pt>
                <c:pt idx="705">
                  <c:v>4.3333333333333339</c:v>
                </c:pt>
                <c:pt idx="706">
                  <c:v>4.3181818181818183</c:v>
                </c:pt>
                <c:pt idx="707">
                  <c:v>4.2857142857142856</c:v>
                </c:pt>
                <c:pt idx="708">
                  <c:v>4.2857142857142856</c:v>
                </c:pt>
                <c:pt idx="709">
                  <c:v>4.2857142857142856</c:v>
                </c:pt>
                <c:pt idx="710">
                  <c:v>4.2857142857142856</c:v>
                </c:pt>
                <c:pt idx="711">
                  <c:v>4.2857142857142856</c:v>
                </c:pt>
                <c:pt idx="712">
                  <c:v>4.2424242424242431</c:v>
                </c:pt>
                <c:pt idx="713">
                  <c:v>4.2424242424242431</c:v>
                </c:pt>
                <c:pt idx="714">
                  <c:v>4.2307692307692308</c:v>
                </c:pt>
                <c:pt idx="715">
                  <c:v>4.2105263157894735</c:v>
                </c:pt>
                <c:pt idx="716">
                  <c:v>4.1666666666666661</c:v>
                </c:pt>
                <c:pt idx="717">
                  <c:v>4.1666666666666661</c:v>
                </c:pt>
                <c:pt idx="718">
                  <c:v>4.1666666666666661</c:v>
                </c:pt>
                <c:pt idx="719">
                  <c:v>4.1379310344827589</c:v>
                </c:pt>
                <c:pt idx="720">
                  <c:v>4.117647058823529</c:v>
                </c:pt>
                <c:pt idx="721">
                  <c:v>4.1025641025641022</c:v>
                </c:pt>
                <c:pt idx="722">
                  <c:v>4.0909090909090908</c:v>
                </c:pt>
                <c:pt idx="723">
                  <c:v>4.0740740740740744</c:v>
                </c:pt>
                <c:pt idx="724">
                  <c:v>4.0740740740740744</c:v>
                </c:pt>
                <c:pt idx="725">
                  <c:v>4.0625</c:v>
                </c:pt>
                <c:pt idx="726">
                  <c:v>4.0540540540540544</c:v>
                </c:pt>
                <c:pt idx="727">
                  <c:v>4.042553191489362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3.9130434782608701</c:v>
                </c:pt>
                <c:pt idx="735">
                  <c:v>3.8888888888888888</c:v>
                </c:pt>
                <c:pt idx="736">
                  <c:v>20</c:v>
                </c:pt>
                <c:pt idx="737">
                  <c:v>20</c:v>
                </c:pt>
                <c:pt idx="738">
                  <c:v>9</c:v>
                </c:pt>
                <c:pt idx="739">
                  <c:v>8.75</c:v>
                </c:pt>
                <c:pt idx="740">
                  <c:v>7.5</c:v>
                </c:pt>
                <c:pt idx="741">
                  <c:v>7.2222222222222214</c:v>
                </c:pt>
                <c:pt idx="742">
                  <c:v>6.3157894736842106</c:v>
                </c:pt>
                <c:pt idx="743">
                  <c:v>5.5319148936170208</c:v>
                </c:pt>
                <c:pt idx="744">
                  <c:v>5.5319148936170208</c:v>
                </c:pt>
                <c:pt idx="745">
                  <c:v>5.2941176470588234</c:v>
                </c:pt>
                <c:pt idx="746">
                  <c:v>5.2083333333333339</c:v>
                </c:pt>
                <c:pt idx="747">
                  <c:v>5.1923076923076925</c:v>
                </c:pt>
                <c:pt idx="748">
                  <c:v>5.1351351351351351</c:v>
                </c:pt>
                <c:pt idx="749">
                  <c:v>5</c:v>
                </c:pt>
                <c:pt idx="750">
                  <c:v>5</c:v>
                </c:pt>
                <c:pt idx="751">
                  <c:v>4.8648648648648649</c:v>
                </c:pt>
                <c:pt idx="752">
                  <c:v>4.8484848484848486</c:v>
                </c:pt>
                <c:pt idx="753">
                  <c:v>4.8214285714285721</c:v>
                </c:pt>
                <c:pt idx="754">
                  <c:v>4.7619047619047619</c:v>
                </c:pt>
                <c:pt idx="755">
                  <c:v>4.7619047619047619</c:v>
                </c:pt>
                <c:pt idx="756">
                  <c:v>4.7058823529411766</c:v>
                </c:pt>
                <c:pt idx="757">
                  <c:v>4.7058823529411766</c:v>
                </c:pt>
                <c:pt idx="758">
                  <c:v>4.5454545454545459</c:v>
                </c:pt>
                <c:pt idx="759">
                  <c:v>4.5454545454545459</c:v>
                </c:pt>
                <c:pt idx="760">
                  <c:v>4.5454545454545459</c:v>
                </c:pt>
                <c:pt idx="761">
                  <c:v>4.3243243243243246</c:v>
                </c:pt>
                <c:pt idx="762">
                  <c:v>4.2857142857142856</c:v>
                </c:pt>
                <c:pt idx="763">
                  <c:v>4.2105263157894735</c:v>
                </c:pt>
                <c:pt idx="764">
                  <c:v>4.2105263157894735</c:v>
                </c:pt>
                <c:pt idx="765">
                  <c:v>4.2105263157894735</c:v>
                </c:pt>
                <c:pt idx="766">
                  <c:v>4.1025641025641022</c:v>
                </c:pt>
                <c:pt idx="767">
                  <c:v>4.042553191489362</c:v>
                </c:pt>
                <c:pt idx="768">
                  <c:v>4.032258064516129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3.9285714285714284</c:v>
                </c:pt>
                <c:pt idx="775">
                  <c:v>3.8095238095238098</c:v>
                </c:pt>
                <c:pt idx="776">
                  <c:v>3.7142857142857144</c:v>
                </c:pt>
                <c:pt idx="777">
                  <c:v>3.7142857142857144</c:v>
                </c:pt>
                <c:pt idx="778">
                  <c:v>3.7142857142857144</c:v>
                </c:pt>
                <c:pt idx="779">
                  <c:v>3.6842105263157889</c:v>
                </c:pt>
                <c:pt idx="780">
                  <c:v>3.6734693877551026</c:v>
                </c:pt>
                <c:pt idx="781">
                  <c:v>3.6363636363636362</c:v>
                </c:pt>
                <c:pt idx="782">
                  <c:v>3.3846153846153846</c:v>
                </c:pt>
                <c:pt idx="783">
                  <c:v>3.2352941176470593</c:v>
                </c:pt>
                <c:pt idx="784">
                  <c:v>3.1578947368421053</c:v>
                </c:pt>
                <c:pt idx="785">
                  <c:v>3.1343283582089549</c:v>
                </c:pt>
                <c:pt idx="786">
                  <c:v>3.0303030303030303</c:v>
                </c:pt>
                <c:pt idx="787">
                  <c:v>3.0188679245283021</c:v>
                </c:pt>
                <c:pt idx="788">
                  <c:v>3.0158730158730158</c:v>
                </c:pt>
                <c:pt idx="789">
                  <c:v>2.9411764705882351</c:v>
                </c:pt>
                <c:pt idx="790">
                  <c:v>2.9166666666666665</c:v>
                </c:pt>
                <c:pt idx="791">
                  <c:v>2.7906976744186047</c:v>
                </c:pt>
                <c:pt idx="792">
                  <c:v>2.7906976744186047</c:v>
                </c:pt>
                <c:pt idx="793">
                  <c:v>2.7906976744186047</c:v>
                </c:pt>
                <c:pt idx="794">
                  <c:v>2.6388888888888888</c:v>
                </c:pt>
                <c:pt idx="795">
                  <c:v>2.5490196078431371</c:v>
                </c:pt>
                <c:pt idx="796">
                  <c:v>2.3809523809523809</c:v>
                </c:pt>
                <c:pt idx="797">
                  <c:v>2.3529411764705883</c:v>
                </c:pt>
                <c:pt idx="798">
                  <c:v>2.1621621621621623</c:v>
                </c:pt>
                <c:pt idx="799">
                  <c:v>1.8309859154929577</c:v>
                </c:pt>
                <c:pt idx="800">
                  <c:v>1.4285714285714286</c:v>
                </c:pt>
                <c:pt idx="801">
                  <c:v>1.25</c:v>
                </c:pt>
                <c:pt idx="802">
                  <c:v>1.25</c:v>
                </c:pt>
                <c:pt idx="803">
                  <c:v>0.967741935483871</c:v>
                </c:pt>
                <c:pt idx="804">
                  <c:v>0.90909090909090906</c:v>
                </c:pt>
                <c:pt idx="805">
                  <c:v>0.625</c:v>
                </c:pt>
                <c:pt idx="806">
                  <c:v>0.625</c:v>
                </c:pt>
                <c:pt idx="807">
                  <c:v>0.58823529411764708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9.1999999999999993</c:v>
                </c:pt>
                <c:pt idx="823">
                  <c:v>9.1891891891891895</c:v>
                </c:pt>
                <c:pt idx="824">
                  <c:v>8.9130434782608692</c:v>
                </c:pt>
                <c:pt idx="825">
                  <c:v>8.8235294117647065</c:v>
                </c:pt>
                <c:pt idx="826">
                  <c:v>8.1132075471698109</c:v>
                </c:pt>
                <c:pt idx="827">
                  <c:v>7.931034482758621</c:v>
                </c:pt>
                <c:pt idx="828">
                  <c:v>7.7777777777777777</c:v>
                </c:pt>
                <c:pt idx="829">
                  <c:v>7.5</c:v>
                </c:pt>
                <c:pt idx="830">
                  <c:v>7.441860465116279</c:v>
                </c:pt>
                <c:pt idx="831">
                  <c:v>7.4074074074074066</c:v>
                </c:pt>
                <c:pt idx="832">
                  <c:v>7.4074074074074066</c:v>
                </c:pt>
                <c:pt idx="833">
                  <c:v>7.384615384615385</c:v>
                </c:pt>
                <c:pt idx="834">
                  <c:v>7.2727272727272725</c:v>
                </c:pt>
                <c:pt idx="835">
                  <c:v>7.0000000000000009</c:v>
                </c:pt>
                <c:pt idx="836">
                  <c:v>7.0000000000000009</c:v>
                </c:pt>
                <c:pt idx="837">
                  <c:v>6.7857142857142856</c:v>
                </c:pt>
                <c:pt idx="838">
                  <c:v>6.5137614678899087</c:v>
                </c:pt>
                <c:pt idx="839">
                  <c:v>6.4102564102564097</c:v>
                </c:pt>
                <c:pt idx="840">
                  <c:v>6.2105263157894743</c:v>
                </c:pt>
                <c:pt idx="841">
                  <c:v>6.0493827160493829</c:v>
                </c:pt>
                <c:pt idx="842">
                  <c:v>5.8823529411764701</c:v>
                </c:pt>
                <c:pt idx="843">
                  <c:v>5.833333333333333</c:v>
                </c:pt>
                <c:pt idx="844">
                  <c:v>5.7575757575757578</c:v>
                </c:pt>
                <c:pt idx="845">
                  <c:v>5.7142857142857144</c:v>
                </c:pt>
                <c:pt idx="846">
                  <c:v>5.6862745098039218</c:v>
                </c:pt>
                <c:pt idx="847">
                  <c:v>5.6716417910447765</c:v>
                </c:pt>
                <c:pt idx="848">
                  <c:v>5.625</c:v>
                </c:pt>
                <c:pt idx="849">
                  <c:v>5.6097560975609762</c:v>
                </c:pt>
                <c:pt idx="850">
                  <c:v>5.4901960784313726</c:v>
                </c:pt>
                <c:pt idx="851">
                  <c:v>5.416666666666667</c:v>
                </c:pt>
                <c:pt idx="852">
                  <c:v>5.3968253968253972</c:v>
                </c:pt>
                <c:pt idx="853">
                  <c:v>5.3571428571428568</c:v>
                </c:pt>
                <c:pt idx="854">
                  <c:v>5.2941176470588234</c:v>
                </c:pt>
                <c:pt idx="855">
                  <c:v>5.2941176470588234</c:v>
                </c:pt>
                <c:pt idx="856">
                  <c:v>5.2631578947368416</c:v>
                </c:pt>
                <c:pt idx="857">
                  <c:v>5.2380952380952381</c:v>
                </c:pt>
                <c:pt idx="858">
                  <c:v>5.2</c:v>
                </c:pt>
                <c:pt idx="859">
                  <c:v>5</c:v>
                </c:pt>
                <c:pt idx="860">
                  <c:v>4.8648648648648649</c:v>
                </c:pt>
                <c:pt idx="861">
                  <c:v>4.8484848484848486</c:v>
                </c:pt>
                <c:pt idx="862">
                  <c:v>4.7619047619047619</c:v>
                </c:pt>
                <c:pt idx="863">
                  <c:v>4.7222222222222223</c:v>
                </c:pt>
                <c:pt idx="864">
                  <c:v>4.7222222222222223</c:v>
                </c:pt>
                <c:pt idx="865">
                  <c:v>4.7058823529411766</c:v>
                </c:pt>
                <c:pt idx="866">
                  <c:v>4.666666666666667</c:v>
                </c:pt>
                <c:pt idx="867">
                  <c:v>4.4262295081967213</c:v>
                </c:pt>
                <c:pt idx="868">
                  <c:v>4.375</c:v>
                </c:pt>
                <c:pt idx="869">
                  <c:v>4.2424242424242431</c:v>
                </c:pt>
                <c:pt idx="870">
                  <c:v>4.1304347826086953</c:v>
                </c:pt>
                <c:pt idx="871">
                  <c:v>4.042553191489362</c:v>
                </c:pt>
                <c:pt idx="872">
                  <c:v>3.8636363636363633</c:v>
                </c:pt>
                <c:pt idx="873">
                  <c:v>3.8</c:v>
                </c:pt>
                <c:pt idx="874">
                  <c:v>3.7254901960784315</c:v>
                </c:pt>
                <c:pt idx="875">
                  <c:v>3.6585365853658534</c:v>
                </c:pt>
                <c:pt idx="876">
                  <c:v>3.3898305084745761</c:v>
                </c:pt>
                <c:pt idx="877">
                  <c:v>3.3333333333333335</c:v>
                </c:pt>
                <c:pt idx="878">
                  <c:v>3.28125</c:v>
                </c:pt>
                <c:pt idx="879">
                  <c:v>3.2558139534883721</c:v>
                </c:pt>
                <c:pt idx="880">
                  <c:v>3.2</c:v>
                </c:pt>
                <c:pt idx="881">
                  <c:v>3</c:v>
                </c:pt>
                <c:pt idx="882">
                  <c:v>3</c:v>
                </c:pt>
                <c:pt idx="883">
                  <c:v>2.8813559322033897</c:v>
                </c:pt>
                <c:pt idx="884">
                  <c:v>2.8571428571428572</c:v>
                </c:pt>
                <c:pt idx="885">
                  <c:v>2.8571428571428572</c:v>
                </c:pt>
                <c:pt idx="886">
                  <c:v>2.8571428571428572</c:v>
                </c:pt>
                <c:pt idx="887">
                  <c:v>2.8000000000000003</c:v>
                </c:pt>
                <c:pt idx="888">
                  <c:v>2.7659574468085104</c:v>
                </c:pt>
                <c:pt idx="889">
                  <c:v>2.666666666666667</c:v>
                </c:pt>
                <c:pt idx="890">
                  <c:v>2.666666666666667</c:v>
                </c:pt>
                <c:pt idx="891">
                  <c:v>2.6470588235294117</c:v>
                </c:pt>
                <c:pt idx="892">
                  <c:v>2.6315789473684208</c:v>
                </c:pt>
                <c:pt idx="893">
                  <c:v>2.6315789473684208</c:v>
                </c:pt>
                <c:pt idx="894">
                  <c:v>2.5925925925925926</c:v>
                </c:pt>
                <c:pt idx="895">
                  <c:v>2.5806451612903225</c:v>
                </c:pt>
                <c:pt idx="896">
                  <c:v>2.5</c:v>
                </c:pt>
                <c:pt idx="897">
                  <c:v>2.3958333333333335</c:v>
                </c:pt>
                <c:pt idx="898">
                  <c:v>1.6326530612244898</c:v>
                </c:pt>
                <c:pt idx="899">
                  <c:v>1.6</c:v>
                </c:pt>
                <c:pt idx="900">
                  <c:v>1.5625</c:v>
                </c:pt>
                <c:pt idx="901">
                  <c:v>1.4285714285714286</c:v>
                </c:pt>
                <c:pt idx="902">
                  <c:v>1.4285714285714286</c:v>
                </c:pt>
                <c:pt idx="903">
                  <c:v>1.3888888888888888</c:v>
                </c:pt>
                <c:pt idx="904">
                  <c:v>1.3793103448275863</c:v>
                </c:pt>
                <c:pt idx="905">
                  <c:v>1.3207547169811322</c:v>
                </c:pt>
                <c:pt idx="906">
                  <c:v>1.3043478260869565</c:v>
                </c:pt>
                <c:pt idx="907">
                  <c:v>1.3043478260869565</c:v>
                </c:pt>
                <c:pt idx="908">
                  <c:v>1.25</c:v>
                </c:pt>
                <c:pt idx="909">
                  <c:v>1.25</c:v>
                </c:pt>
                <c:pt idx="910">
                  <c:v>1.2</c:v>
                </c:pt>
                <c:pt idx="911">
                  <c:v>1.1764705882352942</c:v>
                </c:pt>
                <c:pt idx="912">
                  <c:v>1.1764705882352942</c:v>
                </c:pt>
                <c:pt idx="913">
                  <c:v>0.967741935483871</c:v>
                </c:pt>
                <c:pt idx="914">
                  <c:v>0.90909090909090906</c:v>
                </c:pt>
                <c:pt idx="915">
                  <c:v>0.83333333333333337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 formatCode="General">
                  <c:v>0</c:v>
                </c:pt>
                <c:pt idx="929" formatCode="General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 formatCode="General">
                  <c:v>0</c:v>
                </c:pt>
                <c:pt idx="934" formatCode="General">
                  <c:v>0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 formatCode="General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</c:numCache>
            </c:numRef>
          </c:xVal>
          <c:yVal>
            <c:numRef>
              <c:f>'just numbers (HaoBS)'!$S$2:$S$977</c:f>
              <c:numCache>
                <c:formatCode>General</c:formatCode>
                <c:ptCount val="976"/>
                <c:pt idx="0">
                  <c:v>-4.3586956521739131</c:v>
                </c:pt>
                <c:pt idx="1">
                  <c:v>-1.3004658385093164</c:v>
                </c:pt>
                <c:pt idx="2">
                  <c:v>-17.651757763975148</c:v>
                </c:pt>
                <c:pt idx="3">
                  <c:v>-4.0503788819875766</c:v>
                </c:pt>
                <c:pt idx="4">
                  <c:v>-7.9878354037267085</c:v>
                </c:pt>
                <c:pt idx="5">
                  <c:v>-9.4636273291925512</c:v>
                </c:pt>
                <c:pt idx="6">
                  <c:v>-6.5074006211180144</c:v>
                </c:pt>
                <c:pt idx="7">
                  <c:v>-13.468475155279505</c:v>
                </c:pt>
                <c:pt idx="8">
                  <c:v>-19.172444099378882</c:v>
                </c:pt>
                <c:pt idx="9">
                  <c:v>-12.22857142857143</c:v>
                </c:pt>
                <c:pt idx="10">
                  <c:v>-7.3872670807453407</c:v>
                </c:pt>
                <c:pt idx="11">
                  <c:v>-14.376344720496895</c:v>
                </c:pt>
                <c:pt idx="12">
                  <c:v>-4.4487919254658381</c:v>
                </c:pt>
                <c:pt idx="13">
                  <c:v>-20.117475155279504</c:v>
                </c:pt>
                <c:pt idx="14">
                  <c:v>-7.0303136645962754</c:v>
                </c:pt>
                <c:pt idx="15">
                  <c:v>-10.501757763975153</c:v>
                </c:pt>
                <c:pt idx="16">
                  <c:v>-8.5107484472049695</c:v>
                </c:pt>
                <c:pt idx="17">
                  <c:v>-14.614801242236027</c:v>
                </c:pt>
                <c:pt idx="18">
                  <c:v>-22.208779503105593</c:v>
                </c:pt>
                <c:pt idx="19">
                  <c:v>-15.427465838509313</c:v>
                </c:pt>
                <c:pt idx="20">
                  <c:v>-10.405434782608696</c:v>
                </c:pt>
                <c:pt idx="21">
                  <c:v>-2.0565217391304351</c:v>
                </c:pt>
                <c:pt idx="22">
                  <c:v>-1.7874223602484469</c:v>
                </c:pt>
                <c:pt idx="23">
                  <c:v>-16.873791925465834</c:v>
                </c:pt>
                <c:pt idx="24">
                  <c:v>-4.8889751552795015</c:v>
                </c:pt>
                <c:pt idx="25">
                  <c:v>-7.3069875776397515</c:v>
                </c:pt>
                <c:pt idx="26">
                  <c:v>-2.976552795031056</c:v>
                </c:pt>
                <c:pt idx="27">
                  <c:v>-12.000257763975155</c:v>
                </c:pt>
                <c:pt idx="28">
                  <c:v>-11.438509316770187</c:v>
                </c:pt>
                <c:pt idx="29">
                  <c:v>-18.55422670807453</c:v>
                </c:pt>
                <c:pt idx="30">
                  <c:v>-10.843788819875774</c:v>
                </c:pt>
                <c:pt idx="31">
                  <c:v>-17.894236024844719</c:v>
                </c:pt>
                <c:pt idx="32">
                  <c:v>-24.447204968944099</c:v>
                </c:pt>
                <c:pt idx="33">
                  <c:v>-15.852931677018633</c:v>
                </c:pt>
                <c:pt idx="34">
                  <c:v>-17.290683229813663</c:v>
                </c:pt>
                <c:pt idx="35">
                  <c:v>-11.739388198757764</c:v>
                </c:pt>
                <c:pt idx="36">
                  <c:v>-10.153105590062109</c:v>
                </c:pt>
                <c:pt idx="37">
                  <c:v>-5.3324875776397525</c:v>
                </c:pt>
                <c:pt idx="38">
                  <c:v>-19.182919254658383</c:v>
                </c:pt>
                <c:pt idx="39">
                  <c:v>-16.278139751552793</c:v>
                </c:pt>
                <c:pt idx="40">
                  <c:v>-8.8372670807453417</c:v>
                </c:pt>
                <c:pt idx="41">
                  <c:v>-12.860559006211181</c:v>
                </c:pt>
                <c:pt idx="42">
                  <c:v>-14.739009316770183</c:v>
                </c:pt>
                <c:pt idx="43">
                  <c:v>-4.631366459627329</c:v>
                </c:pt>
                <c:pt idx="44">
                  <c:v>-23.805279503105588</c:v>
                </c:pt>
                <c:pt idx="45">
                  <c:v>-10.801552795031053</c:v>
                </c:pt>
                <c:pt idx="46">
                  <c:v>-8.953726708074532</c:v>
                </c:pt>
                <c:pt idx="47">
                  <c:v>-12.156211180124222</c:v>
                </c:pt>
                <c:pt idx="48">
                  <c:v>-17.671496894409938</c:v>
                </c:pt>
                <c:pt idx="49">
                  <c:v>-6.892701863354036</c:v>
                </c:pt>
                <c:pt idx="50">
                  <c:v>-4.6736024844720498</c:v>
                </c:pt>
                <c:pt idx="51">
                  <c:v>-16.945031055900621</c:v>
                </c:pt>
                <c:pt idx="52">
                  <c:v>-11.269875776397518</c:v>
                </c:pt>
                <c:pt idx="53">
                  <c:v>-19.103605590062109</c:v>
                </c:pt>
                <c:pt idx="54">
                  <c:v>-7.4732919254658379</c:v>
                </c:pt>
                <c:pt idx="55">
                  <c:v>-11.374844720496894</c:v>
                </c:pt>
                <c:pt idx="56">
                  <c:v>-15.297204968944099</c:v>
                </c:pt>
                <c:pt idx="57">
                  <c:v>-12.836801242236026</c:v>
                </c:pt>
                <c:pt idx="58">
                  <c:v>-8.204192546583851</c:v>
                </c:pt>
                <c:pt idx="59">
                  <c:v>-3.8922360248447205</c:v>
                </c:pt>
                <c:pt idx="60">
                  <c:v>-10.980434782608695</c:v>
                </c:pt>
                <c:pt idx="61">
                  <c:v>-10.955900621118012</c:v>
                </c:pt>
                <c:pt idx="62">
                  <c:v>-27.744720496894409</c:v>
                </c:pt>
                <c:pt idx="63">
                  <c:v>-8.613975155279503</c:v>
                </c:pt>
                <c:pt idx="64">
                  <c:v>-10.980434782608695</c:v>
                </c:pt>
                <c:pt idx="65">
                  <c:v>-36.760559006211182</c:v>
                </c:pt>
                <c:pt idx="66">
                  <c:v>-38.265217391304347</c:v>
                </c:pt>
                <c:pt idx="67">
                  <c:v>-6.1296583850931681</c:v>
                </c:pt>
                <c:pt idx="68">
                  <c:v>-31.447204968944103</c:v>
                </c:pt>
                <c:pt idx="69">
                  <c:v>-18.066770186335408</c:v>
                </c:pt>
                <c:pt idx="70">
                  <c:v>-18.532608695652179</c:v>
                </c:pt>
                <c:pt idx="71">
                  <c:v>-47.284661490683241</c:v>
                </c:pt>
                <c:pt idx="72">
                  <c:v>-39.977639751552807</c:v>
                </c:pt>
                <c:pt idx="73">
                  <c:v>-25.727639751552793</c:v>
                </c:pt>
                <c:pt idx="74">
                  <c:v>-25.393478260869568</c:v>
                </c:pt>
                <c:pt idx="75">
                  <c:v>-44.512922360248453</c:v>
                </c:pt>
                <c:pt idx="76">
                  <c:v>-32.004347826086956</c:v>
                </c:pt>
                <c:pt idx="77">
                  <c:v>-44.082608695652176</c:v>
                </c:pt>
                <c:pt idx="78">
                  <c:v>-15.357608695652175</c:v>
                </c:pt>
                <c:pt idx="79">
                  <c:v>-22.471118012422362</c:v>
                </c:pt>
                <c:pt idx="80">
                  <c:v>-18.331987577639755</c:v>
                </c:pt>
                <c:pt idx="81">
                  <c:v>-13.812422360248448</c:v>
                </c:pt>
                <c:pt idx="82">
                  <c:v>-2.1565217391304348</c:v>
                </c:pt>
                <c:pt idx="83">
                  <c:v>-11.817391304347826</c:v>
                </c:pt>
                <c:pt idx="84">
                  <c:v>-8.9096273291925474</c:v>
                </c:pt>
                <c:pt idx="85">
                  <c:v>-5.568944099378883</c:v>
                </c:pt>
                <c:pt idx="86">
                  <c:v>-18.72639751552795</c:v>
                </c:pt>
                <c:pt idx="87">
                  <c:v>-1.5751552795031052</c:v>
                </c:pt>
                <c:pt idx="88">
                  <c:v>-7.6015527950310569</c:v>
                </c:pt>
                <c:pt idx="89">
                  <c:v>-2.3815217391304344</c:v>
                </c:pt>
                <c:pt idx="90">
                  <c:v>-10.677639751552794</c:v>
                </c:pt>
                <c:pt idx="91">
                  <c:v>-17.679813664596274</c:v>
                </c:pt>
                <c:pt idx="92">
                  <c:v>-1.8701863354037278</c:v>
                </c:pt>
                <c:pt idx="93">
                  <c:v>-15.378416149068324</c:v>
                </c:pt>
                <c:pt idx="94">
                  <c:v>-12.084782608695653</c:v>
                </c:pt>
                <c:pt idx="95">
                  <c:v>-17.596583850931676</c:v>
                </c:pt>
                <c:pt idx="96">
                  <c:v>-12.38555900621118</c:v>
                </c:pt>
                <c:pt idx="97">
                  <c:v>-13.234161490683229</c:v>
                </c:pt>
                <c:pt idx="98">
                  <c:v>-9.8090062111801242</c:v>
                </c:pt>
                <c:pt idx="99">
                  <c:v>-1.5861801242236024</c:v>
                </c:pt>
                <c:pt idx="100">
                  <c:v>-13.912422360248447</c:v>
                </c:pt>
                <c:pt idx="101">
                  <c:v>-14.140683229813664</c:v>
                </c:pt>
                <c:pt idx="102">
                  <c:v>-5.7079192546583846</c:v>
                </c:pt>
                <c:pt idx="103">
                  <c:v>-10.841304347826087</c:v>
                </c:pt>
                <c:pt idx="104">
                  <c:v>-15.493478260869567</c:v>
                </c:pt>
                <c:pt idx="105">
                  <c:v>-14.66614906832298</c:v>
                </c:pt>
                <c:pt idx="106">
                  <c:v>-1.7489130434782607</c:v>
                </c:pt>
                <c:pt idx="107">
                  <c:v>-4.9656832298136644</c:v>
                </c:pt>
                <c:pt idx="108">
                  <c:v>-9.5260869565217412</c:v>
                </c:pt>
                <c:pt idx="109">
                  <c:v>-4.2086956521739127</c:v>
                </c:pt>
                <c:pt idx="110">
                  <c:v>-5.9554347826086955</c:v>
                </c:pt>
                <c:pt idx="111">
                  <c:v>-7.0413043478260873</c:v>
                </c:pt>
                <c:pt idx="112">
                  <c:v>-4.0428571428571436</c:v>
                </c:pt>
                <c:pt idx="113">
                  <c:v>-8.2717391304347849</c:v>
                </c:pt>
                <c:pt idx="114">
                  <c:v>-2.1586956521739129</c:v>
                </c:pt>
                <c:pt idx="115">
                  <c:v>-0.94021739130434778</c:v>
                </c:pt>
                <c:pt idx="116">
                  <c:v>-2.4</c:v>
                </c:pt>
                <c:pt idx="117">
                  <c:v>-7.3630434782608685</c:v>
                </c:pt>
                <c:pt idx="118">
                  <c:v>-7.3695652173913047</c:v>
                </c:pt>
                <c:pt idx="119">
                  <c:v>-4.6880434782608704</c:v>
                </c:pt>
                <c:pt idx="120">
                  <c:v>-3.2336956521739131</c:v>
                </c:pt>
                <c:pt idx="121">
                  <c:v>-5.0065217391304353</c:v>
                </c:pt>
                <c:pt idx="122">
                  <c:v>-23.743478260869566</c:v>
                </c:pt>
                <c:pt idx="123">
                  <c:v>-29.852173913043476</c:v>
                </c:pt>
                <c:pt idx="124">
                  <c:v>-42.923913043478265</c:v>
                </c:pt>
                <c:pt idx="125">
                  <c:v>-56.449999999999996</c:v>
                </c:pt>
                <c:pt idx="126">
                  <c:v>-23.432608695652178</c:v>
                </c:pt>
                <c:pt idx="127">
                  <c:v>-29.304347826086953</c:v>
                </c:pt>
                <c:pt idx="128">
                  <c:v>-42.647826086956528</c:v>
                </c:pt>
                <c:pt idx="129">
                  <c:v>-55.7</c:v>
                </c:pt>
                <c:pt idx="130">
                  <c:v>-21.052173913043479</c:v>
                </c:pt>
                <c:pt idx="131">
                  <c:v>-26.415217391304349</c:v>
                </c:pt>
                <c:pt idx="132">
                  <c:v>-38.341304347826089</c:v>
                </c:pt>
                <c:pt idx="133">
                  <c:v>-49.92173913043478</c:v>
                </c:pt>
                <c:pt idx="134">
                  <c:v>-27.086956521739129</c:v>
                </c:pt>
                <c:pt idx="135">
                  <c:v>-33.704347826086959</c:v>
                </c:pt>
                <c:pt idx="136">
                  <c:v>-49.156521739130433</c:v>
                </c:pt>
                <c:pt idx="137">
                  <c:v>-64.500000000000014</c:v>
                </c:pt>
                <c:pt idx="138">
                  <c:v>-24.997826086956522</c:v>
                </c:pt>
                <c:pt idx="139">
                  <c:v>-31.160869565217396</c:v>
                </c:pt>
                <c:pt idx="140">
                  <c:v>-45.08695652173914</c:v>
                </c:pt>
                <c:pt idx="141">
                  <c:v>-59.41304347826086</c:v>
                </c:pt>
                <c:pt idx="142">
                  <c:v>-25.052173913043475</c:v>
                </c:pt>
                <c:pt idx="143">
                  <c:v>-31.560869565217395</c:v>
                </c:pt>
                <c:pt idx="144">
                  <c:v>-45.541304347826092</c:v>
                </c:pt>
                <c:pt idx="145">
                  <c:v>-59.867391304347827</c:v>
                </c:pt>
                <c:pt idx="146">
                  <c:v>-24.815217391304348</c:v>
                </c:pt>
                <c:pt idx="147">
                  <c:v>-31.032608695652179</c:v>
                </c:pt>
                <c:pt idx="148">
                  <c:v>-45.067391304347836</c:v>
                </c:pt>
                <c:pt idx="149">
                  <c:v>-59.156521739130433</c:v>
                </c:pt>
                <c:pt idx="150">
                  <c:v>-0.65217391304347827</c:v>
                </c:pt>
                <c:pt idx="151">
                  <c:v>-0.76086956521739135</c:v>
                </c:pt>
                <c:pt idx="152">
                  <c:v>-1.1413043478260869</c:v>
                </c:pt>
                <c:pt idx="153">
                  <c:v>-1.4673913043478262</c:v>
                </c:pt>
                <c:pt idx="154">
                  <c:v>-13.999999999999998</c:v>
                </c:pt>
                <c:pt idx="155">
                  <c:v>-19.600000000000001</c:v>
                </c:pt>
                <c:pt idx="156">
                  <c:v>-28.4</c:v>
                </c:pt>
                <c:pt idx="157">
                  <c:v>-8.2717391304347849</c:v>
                </c:pt>
                <c:pt idx="158">
                  <c:v>-14.543478260869563</c:v>
                </c:pt>
                <c:pt idx="159">
                  <c:v>-0.61739130434782474</c:v>
                </c:pt>
                <c:pt idx="160">
                  <c:v>-1.7369565217391294</c:v>
                </c:pt>
                <c:pt idx="161">
                  <c:v>-0.44130434782608674</c:v>
                </c:pt>
                <c:pt idx="162">
                  <c:v>-0.40652173913043521</c:v>
                </c:pt>
                <c:pt idx="163">
                  <c:v>-1.9152173913043473</c:v>
                </c:pt>
                <c:pt idx="164">
                  <c:v>-1.0010869565217391</c:v>
                </c:pt>
                <c:pt idx="165">
                  <c:v>-5.4204968944099363</c:v>
                </c:pt>
                <c:pt idx="166">
                  <c:v>-0.85760869565217401</c:v>
                </c:pt>
                <c:pt idx="167">
                  <c:v>-2.5836956521739127</c:v>
                </c:pt>
                <c:pt idx="168">
                  <c:v>-2.2917701863354036</c:v>
                </c:pt>
                <c:pt idx="169">
                  <c:v>-6.4743788819875787</c:v>
                </c:pt>
                <c:pt idx="170">
                  <c:v>-4.1163043478260875</c:v>
                </c:pt>
                <c:pt idx="171">
                  <c:v>-2.6304347826086949</c:v>
                </c:pt>
                <c:pt idx="172">
                  <c:v>-0.67111801242236035</c:v>
                </c:pt>
                <c:pt idx="173">
                  <c:v>-5.3771739130434781</c:v>
                </c:pt>
                <c:pt idx="174">
                  <c:v>-3.3304347826086955</c:v>
                </c:pt>
                <c:pt idx="175">
                  <c:v>-2.7830745341614906</c:v>
                </c:pt>
                <c:pt idx="176">
                  <c:v>-18.084627329192546</c:v>
                </c:pt>
                <c:pt idx="177">
                  <c:v>-6.8591614906832286</c:v>
                </c:pt>
                <c:pt idx="178">
                  <c:v>-4.3336956521739136</c:v>
                </c:pt>
                <c:pt idx="179">
                  <c:v>5.5900621118011307E-3</c:v>
                </c:pt>
                <c:pt idx="180">
                  <c:v>-4.8695652173913038</c:v>
                </c:pt>
                <c:pt idx="181">
                  <c:v>-7.0000000000000009</c:v>
                </c:pt>
                <c:pt idx="182">
                  <c:v>-0.88043478260869534</c:v>
                </c:pt>
                <c:pt idx="183">
                  <c:v>-2.739130434782608</c:v>
                </c:pt>
                <c:pt idx="184">
                  <c:v>-2.1956521739130426</c:v>
                </c:pt>
                <c:pt idx="185">
                  <c:v>-2.7793478260869566</c:v>
                </c:pt>
                <c:pt idx="186">
                  <c:v>-8.3652173913043484</c:v>
                </c:pt>
                <c:pt idx="187">
                  <c:v>-10.3444099378882</c:v>
                </c:pt>
                <c:pt idx="188">
                  <c:v>-35.522049689440991</c:v>
                </c:pt>
                <c:pt idx="189">
                  <c:v>-19.503726708074531</c:v>
                </c:pt>
                <c:pt idx="190">
                  <c:v>-10.063509316770183</c:v>
                </c:pt>
                <c:pt idx="191">
                  <c:v>-10.392391304347825</c:v>
                </c:pt>
                <c:pt idx="192">
                  <c:v>-2.7445652173913038</c:v>
                </c:pt>
                <c:pt idx="193">
                  <c:v>-3.1326086956521735</c:v>
                </c:pt>
                <c:pt idx="194">
                  <c:v>-7.2944099378881955</c:v>
                </c:pt>
                <c:pt idx="195">
                  <c:v>-5.7439440993788837</c:v>
                </c:pt>
                <c:pt idx="196">
                  <c:v>-14.104347826086958</c:v>
                </c:pt>
                <c:pt idx="197">
                  <c:v>-4.0113354037267088</c:v>
                </c:pt>
                <c:pt idx="198">
                  <c:v>-14.896739130434781</c:v>
                </c:pt>
                <c:pt idx="199">
                  <c:v>-5.4069875776397511</c:v>
                </c:pt>
                <c:pt idx="200">
                  <c:v>-10.022826086956522</c:v>
                </c:pt>
                <c:pt idx="201">
                  <c:v>-12.173291925465836</c:v>
                </c:pt>
                <c:pt idx="202">
                  <c:v>-3.6249999999999996</c:v>
                </c:pt>
                <c:pt idx="203">
                  <c:v>-7.2548136645962726</c:v>
                </c:pt>
                <c:pt idx="204">
                  <c:v>-7.1243788819875773</c:v>
                </c:pt>
                <c:pt idx="205">
                  <c:v>-3.5591614906832296</c:v>
                </c:pt>
                <c:pt idx="206">
                  <c:v>-12.346739130434781</c:v>
                </c:pt>
                <c:pt idx="207">
                  <c:v>-9.6170807453416121</c:v>
                </c:pt>
                <c:pt idx="208">
                  <c:v>-4.0787267080745346</c:v>
                </c:pt>
                <c:pt idx="209">
                  <c:v>-7.9363354037267095</c:v>
                </c:pt>
                <c:pt idx="210">
                  <c:v>-7.6591614906832293</c:v>
                </c:pt>
                <c:pt idx="211">
                  <c:v>-14.918322981366458</c:v>
                </c:pt>
                <c:pt idx="212">
                  <c:v>-6.1841614906832278</c:v>
                </c:pt>
                <c:pt idx="213">
                  <c:v>-7.5998447204968942</c:v>
                </c:pt>
                <c:pt idx="214">
                  <c:v>-2.3894409937888197</c:v>
                </c:pt>
                <c:pt idx="215">
                  <c:v>-1.9999999999999998</c:v>
                </c:pt>
                <c:pt idx="216">
                  <c:v>-19.571739130434786</c:v>
                </c:pt>
                <c:pt idx="217">
                  <c:v>-6.5888881987577639</c:v>
                </c:pt>
                <c:pt idx="218">
                  <c:v>-6.2309006211180131</c:v>
                </c:pt>
                <c:pt idx="219">
                  <c:v>1.1913043478260872</c:v>
                </c:pt>
                <c:pt idx="220">
                  <c:v>-20.500621118012425</c:v>
                </c:pt>
                <c:pt idx="221">
                  <c:v>-4.6950310559006221</c:v>
                </c:pt>
                <c:pt idx="222">
                  <c:v>-8.368322981366461</c:v>
                </c:pt>
                <c:pt idx="223">
                  <c:v>-23.444720496894412</c:v>
                </c:pt>
                <c:pt idx="224">
                  <c:v>-1.0673913043478263</c:v>
                </c:pt>
                <c:pt idx="225">
                  <c:v>-8.3280186335403723</c:v>
                </c:pt>
                <c:pt idx="226">
                  <c:v>9.4099378881987494E-2</c:v>
                </c:pt>
                <c:pt idx="227">
                  <c:v>-8.5714285714285632E-2</c:v>
                </c:pt>
                <c:pt idx="228">
                  <c:v>0.31428571428571428</c:v>
                </c:pt>
                <c:pt idx="229">
                  <c:v>-5.0565217391304342</c:v>
                </c:pt>
                <c:pt idx="230">
                  <c:v>-4.9450310559006221</c:v>
                </c:pt>
                <c:pt idx="231">
                  <c:v>-6.0200310559006223</c:v>
                </c:pt>
                <c:pt idx="232">
                  <c:v>-25.259316770186334</c:v>
                </c:pt>
                <c:pt idx="233">
                  <c:v>-12.133229813664599</c:v>
                </c:pt>
                <c:pt idx="234">
                  <c:v>-2.9548136645962733</c:v>
                </c:pt>
                <c:pt idx="235">
                  <c:v>-12.627639751552795</c:v>
                </c:pt>
                <c:pt idx="236">
                  <c:v>-10.385093167701864</c:v>
                </c:pt>
                <c:pt idx="237">
                  <c:v>-26.848757763975158</c:v>
                </c:pt>
                <c:pt idx="238">
                  <c:v>-6.7836956521739138</c:v>
                </c:pt>
                <c:pt idx="239">
                  <c:v>-13.340062111801243</c:v>
                </c:pt>
                <c:pt idx="240">
                  <c:v>-13.218944099378881</c:v>
                </c:pt>
                <c:pt idx="241">
                  <c:v>-12.925465838509316</c:v>
                </c:pt>
                <c:pt idx="242">
                  <c:v>-15.733074534161485</c:v>
                </c:pt>
                <c:pt idx="243">
                  <c:v>-14.925000000000001</c:v>
                </c:pt>
                <c:pt idx="244">
                  <c:v>-9.9478260869565229</c:v>
                </c:pt>
                <c:pt idx="245">
                  <c:v>-6.5467391304347817</c:v>
                </c:pt>
                <c:pt idx="246">
                  <c:v>-5.7537267080745345</c:v>
                </c:pt>
                <c:pt idx="247">
                  <c:v>-7.5195652173913041</c:v>
                </c:pt>
                <c:pt idx="248">
                  <c:v>-6.802173913043478</c:v>
                </c:pt>
                <c:pt idx="249">
                  <c:v>-15.32111801242236</c:v>
                </c:pt>
                <c:pt idx="250">
                  <c:v>-18.032608695652172</c:v>
                </c:pt>
                <c:pt idx="251">
                  <c:v>-23.035869565217389</c:v>
                </c:pt>
                <c:pt idx="252">
                  <c:v>-4.8279503105590065</c:v>
                </c:pt>
                <c:pt idx="253">
                  <c:v>-4.3628881987577639</c:v>
                </c:pt>
                <c:pt idx="254">
                  <c:v>-3.2913043478260868</c:v>
                </c:pt>
                <c:pt idx="255">
                  <c:v>-5.9434782608695658</c:v>
                </c:pt>
                <c:pt idx="256">
                  <c:v>-6.0304347826086957</c:v>
                </c:pt>
                <c:pt idx="257">
                  <c:v>-0.75543478260869568</c:v>
                </c:pt>
                <c:pt idx="258">
                  <c:v>-2.9086956521739133</c:v>
                </c:pt>
                <c:pt idx="259">
                  <c:v>-4.0793478260869565</c:v>
                </c:pt>
                <c:pt idx="260">
                  <c:v>-2.0000000000000004</c:v>
                </c:pt>
                <c:pt idx="261">
                  <c:v>-5.1173913043478265</c:v>
                </c:pt>
                <c:pt idx="262">
                  <c:v>-4.2228260869565215</c:v>
                </c:pt>
                <c:pt idx="263">
                  <c:v>-0.21739130434782608</c:v>
                </c:pt>
                <c:pt idx="264">
                  <c:v>-3.633695652173913</c:v>
                </c:pt>
                <c:pt idx="265">
                  <c:v>-2.4</c:v>
                </c:pt>
                <c:pt idx="266">
                  <c:v>-8.2717391304347849</c:v>
                </c:pt>
                <c:pt idx="267">
                  <c:v>-2.842857142857143</c:v>
                </c:pt>
                <c:pt idx="268">
                  <c:v>-14.543478260869563</c:v>
                </c:pt>
                <c:pt idx="269">
                  <c:v>-19.160869565217393</c:v>
                </c:pt>
                <c:pt idx="270">
                  <c:v>-24.123913043478261</c:v>
                </c:pt>
                <c:pt idx="271">
                  <c:v>-36.158695652173918</c:v>
                </c:pt>
                <c:pt idx="272">
                  <c:v>-99.678260869565207</c:v>
                </c:pt>
                <c:pt idx="273">
                  <c:v>-16.613043478260874</c:v>
                </c:pt>
                <c:pt idx="274">
                  <c:v>-18.943478260869568</c:v>
                </c:pt>
                <c:pt idx="275">
                  <c:v>-25.506521739130434</c:v>
                </c:pt>
                <c:pt idx="276">
                  <c:v>-31.723913043478266</c:v>
                </c:pt>
                <c:pt idx="277">
                  <c:v>-47.358695652173914</c:v>
                </c:pt>
                <c:pt idx="278">
                  <c:v>-0.59782608695652173</c:v>
                </c:pt>
                <c:pt idx="279">
                  <c:v>-0.81521739130434778</c:v>
                </c:pt>
                <c:pt idx="280">
                  <c:v>-1.3782608695652177</c:v>
                </c:pt>
                <c:pt idx="281">
                  <c:v>-1.9217391304347826</c:v>
                </c:pt>
                <c:pt idx="282">
                  <c:v>-15.689130434782612</c:v>
                </c:pt>
                <c:pt idx="283">
                  <c:v>-21.052173913043479</c:v>
                </c:pt>
                <c:pt idx="284">
                  <c:v>-26.415217391304349</c:v>
                </c:pt>
                <c:pt idx="285">
                  <c:v>-39.595652173913045</c:v>
                </c:pt>
                <c:pt idx="286">
                  <c:v>-9.234782608695653</c:v>
                </c:pt>
                <c:pt idx="287">
                  <c:v>-12.197826086956521</c:v>
                </c:pt>
                <c:pt idx="288">
                  <c:v>-15.160869565217389</c:v>
                </c:pt>
                <c:pt idx="289">
                  <c:v>-22.741304347826087</c:v>
                </c:pt>
                <c:pt idx="290">
                  <c:v>-8.4891304347826111</c:v>
                </c:pt>
                <c:pt idx="291">
                  <c:v>-10.997826086956522</c:v>
                </c:pt>
                <c:pt idx="292">
                  <c:v>-13.960869565217392</c:v>
                </c:pt>
                <c:pt idx="293">
                  <c:v>-20.795652173913044</c:v>
                </c:pt>
                <c:pt idx="294">
                  <c:v>-8.8891304347826097</c:v>
                </c:pt>
                <c:pt idx="295">
                  <c:v>-12.306521739130435</c:v>
                </c:pt>
                <c:pt idx="296">
                  <c:v>-15.269565217391303</c:v>
                </c:pt>
                <c:pt idx="297">
                  <c:v>-22.904347826086958</c:v>
                </c:pt>
                <c:pt idx="298">
                  <c:v>-17.180434782608696</c:v>
                </c:pt>
                <c:pt idx="299">
                  <c:v>-23.289130434782606</c:v>
                </c:pt>
                <c:pt idx="300">
                  <c:v>-28.997826086956522</c:v>
                </c:pt>
                <c:pt idx="301">
                  <c:v>-43.26956521739131</c:v>
                </c:pt>
                <c:pt idx="302">
                  <c:v>-18.360869565217392</c:v>
                </c:pt>
                <c:pt idx="303">
                  <c:v>-24.232608695652175</c:v>
                </c:pt>
                <c:pt idx="304">
                  <c:v>-30.504347826086956</c:v>
                </c:pt>
                <c:pt idx="305">
                  <c:v>-45.556521739130446</c:v>
                </c:pt>
                <c:pt idx="306">
                  <c:v>-16.780434782608697</c:v>
                </c:pt>
                <c:pt idx="307">
                  <c:v>-22.089130434782611</c:v>
                </c:pt>
                <c:pt idx="308">
                  <c:v>-27.797826086956526</c:v>
                </c:pt>
                <c:pt idx="309">
                  <c:v>-41.26956521739131</c:v>
                </c:pt>
                <c:pt idx="310">
                  <c:v>-12.065217391304348</c:v>
                </c:pt>
                <c:pt idx="311">
                  <c:v>-18.143478260869568</c:v>
                </c:pt>
                <c:pt idx="312">
                  <c:v>-23.96086956521739</c:v>
                </c:pt>
                <c:pt idx="313">
                  <c:v>-30.123913043478261</c:v>
                </c:pt>
                <c:pt idx="314">
                  <c:v>-44.958695652173922</c:v>
                </c:pt>
                <c:pt idx="315">
                  <c:v>-16.089130434782611</c:v>
                </c:pt>
                <c:pt idx="316">
                  <c:v>-21.452173913043477</c:v>
                </c:pt>
                <c:pt idx="317">
                  <c:v>-26.815217391304348</c:v>
                </c:pt>
                <c:pt idx="318">
                  <c:v>-40.395652173913049</c:v>
                </c:pt>
                <c:pt idx="319">
                  <c:v>-1.0326086956521738</c:v>
                </c:pt>
                <c:pt idx="320">
                  <c:v>-16.72608695652174</c:v>
                </c:pt>
                <c:pt idx="321">
                  <c:v>-22.489130434782613</c:v>
                </c:pt>
                <c:pt idx="322">
                  <c:v>-28.197826086956521</c:v>
                </c:pt>
                <c:pt idx="323">
                  <c:v>-42.069565217391307</c:v>
                </c:pt>
                <c:pt idx="324">
                  <c:v>-1.3043478260869565</c:v>
                </c:pt>
                <c:pt idx="325">
                  <c:v>-114.18695652173913</c:v>
                </c:pt>
                <c:pt idx="326">
                  <c:v>-19.013043478260872</c:v>
                </c:pt>
                <c:pt idx="327">
                  <c:v>-18.380434782608699</c:v>
                </c:pt>
                <c:pt idx="328">
                  <c:v>-24.489130434782609</c:v>
                </c:pt>
                <c:pt idx="329">
                  <c:v>-30.65217391304348</c:v>
                </c:pt>
                <c:pt idx="330">
                  <c:v>-45.778260869565223</c:v>
                </c:pt>
                <c:pt idx="331">
                  <c:v>-3.804347826086957</c:v>
                </c:pt>
                <c:pt idx="332">
                  <c:v>-17.739130434782613</c:v>
                </c:pt>
                <c:pt idx="333">
                  <c:v>-23.482608695652175</c:v>
                </c:pt>
                <c:pt idx="334">
                  <c:v>-29.626086956521739</c:v>
                </c:pt>
                <c:pt idx="335">
                  <c:v>-44.239130434782609</c:v>
                </c:pt>
                <c:pt idx="336">
                  <c:v>-18.780434782608697</c:v>
                </c:pt>
                <c:pt idx="337">
                  <c:v>-24.943478260869565</c:v>
                </c:pt>
                <c:pt idx="338">
                  <c:v>-31.052173913043482</c:v>
                </c:pt>
                <c:pt idx="339">
                  <c:v>-46.578260869565213</c:v>
                </c:pt>
                <c:pt idx="340">
                  <c:v>-17.126086956521739</c:v>
                </c:pt>
                <c:pt idx="341">
                  <c:v>-22.834782608695654</c:v>
                </c:pt>
                <c:pt idx="342">
                  <c:v>-28.543478260869563</c:v>
                </c:pt>
                <c:pt idx="343">
                  <c:v>-42.869565217391312</c:v>
                </c:pt>
                <c:pt idx="344">
                  <c:v>-5.3524844720496887</c:v>
                </c:pt>
                <c:pt idx="345">
                  <c:v>-6.3068322981366469</c:v>
                </c:pt>
                <c:pt idx="346">
                  <c:v>-3.3239130434782602</c:v>
                </c:pt>
                <c:pt idx="347">
                  <c:v>-4.3956521739130441</c:v>
                </c:pt>
                <c:pt idx="348">
                  <c:v>-4.8130434782608704</c:v>
                </c:pt>
                <c:pt idx="349">
                  <c:v>-4.6500000000000004</c:v>
                </c:pt>
                <c:pt idx="350">
                  <c:v>-6.5391304347826082</c:v>
                </c:pt>
                <c:pt idx="351">
                  <c:v>-3.2869565217391301</c:v>
                </c:pt>
                <c:pt idx="352">
                  <c:v>-4.0130434782608706</c:v>
                </c:pt>
                <c:pt idx="353">
                  <c:v>-4.4304347826086961</c:v>
                </c:pt>
                <c:pt idx="354">
                  <c:v>-5.1391304347826088</c:v>
                </c:pt>
                <c:pt idx="355">
                  <c:v>-5.8652173913043475</c:v>
                </c:pt>
                <c:pt idx="356">
                  <c:v>-2.5608695652173914</c:v>
                </c:pt>
                <c:pt idx="357">
                  <c:v>-3.3782608695652172</c:v>
                </c:pt>
                <c:pt idx="358">
                  <c:v>-4.1413043478260869</c:v>
                </c:pt>
                <c:pt idx="359">
                  <c:v>-2.1239130434782609</c:v>
                </c:pt>
                <c:pt idx="360">
                  <c:v>-2.4869565217391303</c:v>
                </c:pt>
                <c:pt idx="361">
                  <c:v>-3.4130434782608701</c:v>
                </c:pt>
                <c:pt idx="362">
                  <c:v>-7.4419254658385103</c:v>
                </c:pt>
                <c:pt idx="363">
                  <c:v>-5.5217391304347831</c:v>
                </c:pt>
                <c:pt idx="364">
                  <c:v>-4.4130434782608692</c:v>
                </c:pt>
                <c:pt idx="365">
                  <c:v>-7.5909937888198744</c:v>
                </c:pt>
                <c:pt idx="366">
                  <c:v>-4.9336956521739133</c:v>
                </c:pt>
                <c:pt idx="367">
                  <c:v>-6.3840062111801243</c:v>
                </c:pt>
                <c:pt idx="368">
                  <c:v>-7.5720496894409965</c:v>
                </c:pt>
                <c:pt idx="369">
                  <c:v>-1.7100931677018634</c:v>
                </c:pt>
                <c:pt idx="370">
                  <c:v>-7.975776397515526</c:v>
                </c:pt>
                <c:pt idx="371">
                  <c:v>-5.7844720496894411</c:v>
                </c:pt>
                <c:pt idx="372">
                  <c:v>-7.2135093167701863</c:v>
                </c:pt>
                <c:pt idx="373">
                  <c:v>-7.9395962732919267</c:v>
                </c:pt>
                <c:pt idx="374">
                  <c:v>-6.8645962732919275</c:v>
                </c:pt>
                <c:pt idx="375">
                  <c:v>-12.681071428571432</c:v>
                </c:pt>
                <c:pt idx="376">
                  <c:v>-2.8644409937888193</c:v>
                </c:pt>
                <c:pt idx="377">
                  <c:v>-8.4571428571428591</c:v>
                </c:pt>
                <c:pt idx="378">
                  <c:v>-9.1885093167701868</c:v>
                </c:pt>
                <c:pt idx="379">
                  <c:v>-7.0487577639751544</c:v>
                </c:pt>
                <c:pt idx="380">
                  <c:v>-3.7445652173913038</c:v>
                </c:pt>
                <c:pt idx="381">
                  <c:v>-12.160869565217389</c:v>
                </c:pt>
                <c:pt idx="382">
                  <c:v>-7.2532608695652181</c:v>
                </c:pt>
                <c:pt idx="383">
                  <c:v>-9.940819875776393</c:v>
                </c:pt>
                <c:pt idx="384">
                  <c:v>-5.0663043478260867</c:v>
                </c:pt>
                <c:pt idx="385">
                  <c:v>-21.523428571428571</c:v>
                </c:pt>
                <c:pt idx="386">
                  <c:v>-12.664854037267078</c:v>
                </c:pt>
                <c:pt idx="387">
                  <c:v>-12.337214285714287</c:v>
                </c:pt>
                <c:pt idx="388">
                  <c:v>-9.6867142857142863</c:v>
                </c:pt>
                <c:pt idx="389">
                  <c:v>-22.429950310559011</c:v>
                </c:pt>
                <c:pt idx="390">
                  <c:v>-6.1130434782608702</c:v>
                </c:pt>
                <c:pt idx="391">
                  <c:v>-6.6565217391304348</c:v>
                </c:pt>
                <c:pt idx="392">
                  <c:v>-3.2913043478260864</c:v>
                </c:pt>
                <c:pt idx="393">
                  <c:v>-4.2880434782608701</c:v>
                </c:pt>
                <c:pt idx="394">
                  <c:v>-11.032987577639751</c:v>
                </c:pt>
                <c:pt idx="395">
                  <c:v>-4.9586956521739136</c:v>
                </c:pt>
                <c:pt idx="396">
                  <c:v>-17.051689440993787</c:v>
                </c:pt>
                <c:pt idx="397">
                  <c:v>-5.0663043478260867</c:v>
                </c:pt>
                <c:pt idx="398">
                  <c:v>-5.6641304347826082</c:v>
                </c:pt>
                <c:pt idx="399">
                  <c:v>-9.9148540372670801</c:v>
                </c:pt>
                <c:pt idx="400">
                  <c:v>-9.848291925465837</c:v>
                </c:pt>
                <c:pt idx="401">
                  <c:v>-11.865596273291928</c:v>
                </c:pt>
                <c:pt idx="402">
                  <c:v>-7.5804347826086955</c:v>
                </c:pt>
                <c:pt idx="403">
                  <c:v>-7.1561583850931694</c:v>
                </c:pt>
                <c:pt idx="404">
                  <c:v>-6.1219968944099383</c:v>
                </c:pt>
                <c:pt idx="405">
                  <c:v>-8.6020186335403732</c:v>
                </c:pt>
                <c:pt idx="406">
                  <c:v>-8.3383881987577659</c:v>
                </c:pt>
                <c:pt idx="407">
                  <c:v>-11.922049689440994</c:v>
                </c:pt>
                <c:pt idx="408">
                  <c:v>-11.662267080745341</c:v>
                </c:pt>
                <c:pt idx="409">
                  <c:v>-0.35155279503105602</c:v>
                </c:pt>
                <c:pt idx="410">
                  <c:v>-15.303484472049691</c:v>
                </c:pt>
                <c:pt idx="411">
                  <c:v>-4.3239130434782602</c:v>
                </c:pt>
                <c:pt idx="412">
                  <c:v>-6.3130434782608704</c:v>
                </c:pt>
                <c:pt idx="413">
                  <c:v>-3.6913043478260867</c:v>
                </c:pt>
                <c:pt idx="414">
                  <c:v>-4.6880434782608686</c:v>
                </c:pt>
                <c:pt idx="415">
                  <c:v>-5.6804347826086961</c:v>
                </c:pt>
                <c:pt idx="416">
                  <c:v>-2.9315217391304351</c:v>
                </c:pt>
                <c:pt idx="417">
                  <c:v>-4.8663043478260875</c:v>
                </c:pt>
                <c:pt idx="418">
                  <c:v>-2.3695652173913042</c:v>
                </c:pt>
                <c:pt idx="419">
                  <c:v>-9.7480838509316765</c:v>
                </c:pt>
                <c:pt idx="420">
                  <c:v>-7.8613354037267085</c:v>
                </c:pt>
                <c:pt idx="421">
                  <c:v>-5.8133881987577647</c:v>
                </c:pt>
                <c:pt idx="422">
                  <c:v>-2.255900621118013</c:v>
                </c:pt>
                <c:pt idx="423">
                  <c:v>-9.7644409937888224</c:v>
                </c:pt>
                <c:pt idx="424">
                  <c:v>-5.9183229813664591</c:v>
                </c:pt>
                <c:pt idx="425">
                  <c:v>-8.3857142857142879</c:v>
                </c:pt>
                <c:pt idx="426">
                  <c:v>-3.6624223602484478</c:v>
                </c:pt>
                <c:pt idx="427">
                  <c:v>-11.760714285714286</c:v>
                </c:pt>
                <c:pt idx="428">
                  <c:v>-11.334419254658384</c:v>
                </c:pt>
                <c:pt idx="429">
                  <c:v>-7.093857142857142</c:v>
                </c:pt>
                <c:pt idx="430">
                  <c:v>0.63214285714285712</c:v>
                </c:pt>
                <c:pt idx="431">
                  <c:v>-13.737767080745343</c:v>
                </c:pt>
                <c:pt idx="432">
                  <c:v>-12.080745341614907</c:v>
                </c:pt>
                <c:pt idx="433">
                  <c:v>-1.1875776397515527</c:v>
                </c:pt>
                <c:pt idx="434">
                  <c:v>-13.309506211180123</c:v>
                </c:pt>
                <c:pt idx="435">
                  <c:v>-19.451086956521742</c:v>
                </c:pt>
                <c:pt idx="436">
                  <c:v>-8.0461180124223581</c:v>
                </c:pt>
                <c:pt idx="437">
                  <c:v>-8.3722049689440983</c:v>
                </c:pt>
                <c:pt idx="438">
                  <c:v>-11.911801242236027</c:v>
                </c:pt>
                <c:pt idx="439">
                  <c:v>-7.5722049689441002</c:v>
                </c:pt>
                <c:pt idx="440">
                  <c:v>-14.630434782608694</c:v>
                </c:pt>
                <c:pt idx="441">
                  <c:v>-23.992391304347823</c:v>
                </c:pt>
                <c:pt idx="442">
                  <c:v>-18.156521739130437</c:v>
                </c:pt>
                <c:pt idx="443">
                  <c:v>-17.850000000000001</c:v>
                </c:pt>
                <c:pt idx="444">
                  <c:v>-17.850000000000001</c:v>
                </c:pt>
                <c:pt idx="445">
                  <c:v>-8.8145962732919259</c:v>
                </c:pt>
                <c:pt idx="446">
                  <c:v>-13.272826086956522</c:v>
                </c:pt>
                <c:pt idx="447">
                  <c:v>-6.1172360248447211</c:v>
                </c:pt>
                <c:pt idx="448">
                  <c:v>-8.2574534161490689</c:v>
                </c:pt>
                <c:pt idx="449">
                  <c:v>-14.432608695652172</c:v>
                </c:pt>
                <c:pt idx="450">
                  <c:v>-14.432608695652172</c:v>
                </c:pt>
                <c:pt idx="451">
                  <c:v>-21.591304347826089</c:v>
                </c:pt>
                <c:pt idx="452">
                  <c:v>-21.467391304347828</c:v>
                </c:pt>
                <c:pt idx="453">
                  <c:v>-21.467391304347828</c:v>
                </c:pt>
                <c:pt idx="454">
                  <c:v>-8.524844720496894</c:v>
                </c:pt>
                <c:pt idx="455">
                  <c:v>-15.73509316770186</c:v>
                </c:pt>
                <c:pt idx="456">
                  <c:v>-14.865217391304348</c:v>
                </c:pt>
                <c:pt idx="457">
                  <c:v>-16.198913043478264</c:v>
                </c:pt>
                <c:pt idx="458">
                  <c:v>-19.300000000000004</c:v>
                </c:pt>
                <c:pt idx="459">
                  <c:v>-13.400310559006211</c:v>
                </c:pt>
                <c:pt idx="460">
                  <c:v>-13.0944099378882</c:v>
                </c:pt>
                <c:pt idx="461">
                  <c:v>-16.350931677018632</c:v>
                </c:pt>
                <c:pt idx="462">
                  <c:v>-19.068322981366457</c:v>
                </c:pt>
                <c:pt idx="463">
                  <c:v>-19.540217391304349</c:v>
                </c:pt>
                <c:pt idx="464">
                  <c:v>-12.703105590062112</c:v>
                </c:pt>
                <c:pt idx="465">
                  <c:v>-16.932298136645962</c:v>
                </c:pt>
                <c:pt idx="466">
                  <c:v>-0.76459627329192559</c:v>
                </c:pt>
                <c:pt idx="467">
                  <c:v>-13.104347826086958</c:v>
                </c:pt>
                <c:pt idx="468">
                  <c:v>-13.360869565217392</c:v>
                </c:pt>
                <c:pt idx="469">
                  <c:v>-13.360869565217392</c:v>
                </c:pt>
                <c:pt idx="470">
                  <c:v>-13.104347826086958</c:v>
                </c:pt>
                <c:pt idx="471">
                  <c:v>-12.960869565217392</c:v>
                </c:pt>
                <c:pt idx="472">
                  <c:v>-12.960869565217392</c:v>
                </c:pt>
                <c:pt idx="473">
                  <c:v>-25.576708074534167</c:v>
                </c:pt>
                <c:pt idx="474">
                  <c:v>-15.471739130434782</c:v>
                </c:pt>
                <c:pt idx="475">
                  <c:v>-14.191614906832296</c:v>
                </c:pt>
                <c:pt idx="476">
                  <c:v>-16.830434782608698</c:v>
                </c:pt>
                <c:pt idx="477">
                  <c:v>-16.978260869565222</c:v>
                </c:pt>
                <c:pt idx="478">
                  <c:v>-16.57826086956522</c:v>
                </c:pt>
                <c:pt idx="479">
                  <c:v>-16.4304347826087</c:v>
                </c:pt>
                <c:pt idx="480">
                  <c:v>-16.469565217391306</c:v>
                </c:pt>
                <c:pt idx="481">
                  <c:v>-16.123913043478264</c:v>
                </c:pt>
                <c:pt idx="482">
                  <c:v>-26.665217391304349</c:v>
                </c:pt>
                <c:pt idx="483">
                  <c:v>-2.2541925465838508</c:v>
                </c:pt>
                <c:pt idx="484">
                  <c:v>-14.332919254658387</c:v>
                </c:pt>
                <c:pt idx="485">
                  <c:v>-20.156521739130437</c:v>
                </c:pt>
                <c:pt idx="486">
                  <c:v>-20.086956521739133</c:v>
                </c:pt>
                <c:pt idx="487">
                  <c:v>-20.086956521739133</c:v>
                </c:pt>
                <c:pt idx="488">
                  <c:v>-15.121739130434781</c:v>
                </c:pt>
                <c:pt idx="489">
                  <c:v>-14.978260869565217</c:v>
                </c:pt>
                <c:pt idx="490">
                  <c:v>-14.978260869565217</c:v>
                </c:pt>
                <c:pt idx="491">
                  <c:v>-20.940217391304348</c:v>
                </c:pt>
                <c:pt idx="492">
                  <c:v>-11.721739130434784</c:v>
                </c:pt>
                <c:pt idx="493">
                  <c:v>-14.36304347826087</c:v>
                </c:pt>
                <c:pt idx="494">
                  <c:v>-13.387267080745341</c:v>
                </c:pt>
                <c:pt idx="495">
                  <c:v>-17.814130434782609</c:v>
                </c:pt>
                <c:pt idx="496">
                  <c:v>-18.572826086956525</c:v>
                </c:pt>
                <c:pt idx="497">
                  <c:v>-18.720652173913045</c:v>
                </c:pt>
                <c:pt idx="498">
                  <c:v>-18.320652173913043</c:v>
                </c:pt>
                <c:pt idx="499">
                  <c:v>-23.891804347826085</c:v>
                </c:pt>
                <c:pt idx="500">
                  <c:v>-14.130434782608695</c:v>
                </c:pt>
                <c:pt idx="501">
                  <c:v>-20.791804347826087</c:v>
                </c:pt>
                <c:pt idx="502">
                  <c:v>-21.190217391304348</c:v>
                </c:pt>
                <c:pt idx="503">
                  <c:v>-17.306521739130435</c:v>
                </c:pt>
                <c:pt idx="504">
                  <c:v>-22.132608695652177</c:v>
                </c:pt>
                <c:pt idx="505">
                  <c:v>-22.063043478260873</c:v>
                </c:pt>
                <c:pt idx="506">
                  <c:v>-22.063043478260873</c:v>
                </c:pt>
                <c:pt idx="507">
                  <c:v>-7.552173913043478</c:v>
                </c:pt>
                <c:pt idx="508">
                  <c:v>-15.617391304347825</c:v>
                </c:pt>
                <c:pt idx="509">
                  <c:v>-15.339130434782609</c:v>
                </c:pt>
                <c:pt idx="510">
                  <c:v>-20.098326086956522</c:v>
                </c:pt>
                <c:pt idx="511">
                  <c:v>-13.585869565217392</c:v>
                </c:pt>
                <c:pt idx="512">
                  <c:v>-20.933108695652177</c:v>
                </c:pt>
                <c:pt idx="513">
                  <c:v>-16.281366459627332</c:v>
                </c:pt>
                <c:pt idx="514">
                  <c:v>-17.3054347826087</c:v>
                </c:pt>
                <c:pt idx="515">
                  <c:v>-16.998913043478264</c:v>
                </c:pt>
                <c:pt idx="516">
                  <c:v>-16.998913043478264</c:v>
                </c:pt>
                <c:pt idx="517">
                  <c:v>-15.246739130434781</c:v>
                </c:pt>
                <c:pt idx="518">
                  <c:v>-12.624844720496897</c:v>
                </c:pt>
                <c:pt idx="519">
                  <c:v>-8.4167701863354019</c:v>
                </c:pt>
                <c:pt idx="520">
                  <c:v>-13.908695652173915</c:v>
                </c:pt>
                <c:pt idx="521">
                  <c:v>-17.3054347826087</c:v>
                </c:pt>
                <c:pt idx="522">
                  <c:v>-14.110869565217392</c:v>
                </c:pt>
                <c:pt idx="523">
                  <c:v>-17.398913043478263</c:v>
                </c:pt>
                <c:pt idx="524">
                  <c:v>-14.110869565217392</c:v>
                </c:pt>
                <c:pt idx="525">
                  <c:v>-17.398913043478263</c:v>
                </c:pt>
                <c:pt idx="526">
                  <c:v>-21.665717391304348</c:v>
                </c:pt>
                <c:pt idx="527">
                  <c:v>-12.36304347826087</c:v>
                </c:pt>
                <c:pt idx="528">
                  <c:v>-20.592236024844716</c:v>
                </c:pt>
                <c:pt idx="529">
                  <c:v>-21.26630434782609</c:v>
                </c:pt>
                <c:pt idx="530">
                  <c:v>-21.26630434782609</c:v>
                </c:pt>
                <c:pt idx="531">
                  <c:v>-26.113543478260869</c:v>
                </c:pt>
                <c:pt idx="532">
                  <c:v>-30.266217391304338</c:v>
                </c:pt>
                <c:pt idx="533">
                  <c:v>-18.559627329192548</c:v>
                </c:pt>
                <c:pt idx="534">
                  <c:v>-46.78081366459628</c:v>
                </c:pt>
                <c:pt idx="535">
                  <c:v>-70.631192546583847</c:v>
                </c:pt>
                <c:pt idx="536">
                  <c:v>-34.848826086956521</c:v>
                </c:pt>
                <c:pt idx="537">
                  <c:v>-46.251000000000005</c:v>
                </c:pt>
                <c:pt idx="538">
                  <c:v>-40.468391304347826</c:v>
                </c:pt>
                <c:pt idx="539">
                  <c:v>-14.113354037267081</c:v>
                </c:pt>
                <c:pt idx="540">
                  <c:v>-9.8416149068322998</c:v>
                </c:pt>
                <c:pt idx="541">
                  <c:v>-26.408574534161488</c:v>
                </c:pt>
                <c:pt idx="542">
                  <c:v>-16.121739130434783</c:v>
                </c:pt>
                <c:pt idx="543">
                  <c:v>-70.006347826086952</c:v>
                </c:pt>
                <c:pt idx="544">
                  <c:v>-61.023739130434777</c:v>
                </c:pt>
                <c:pt idx="545">
                  <c:v>-31.507832298136638</c:v>
                </c:pt>
                <c:pt idx="546">
                  <c:v>-35.361248447204972</c:v>
                </c:pt>
                <c:pt idx="547">
                  <c:v>-2.5423913043478259</c:v>
                </c:pt>
                <c:pt idx="548">
                  <c:v>-2.7369565217391307</c:v>
                </c:pt>
                <c:pt idx="549">
                  <c:v>-13.529347826086957</c:v>
                </c:pt>
                <c:pt idx="550">
                  <c:v>-13.731521739130436</c:v>
                </c:pt>
                <c:pt idx="551">
                  <c:v>-18.475465838509322</c:v>
                </c:pt>
                <c:pt idx="552">
                  <c:v>-22.822239130434781</c:v>
                </c:pt>
                <c:pt idx="553">
                  <c:v>-12.541304347826086</c:v>
                </c:pt>
                <c:pt idx="554">
                  <c:v>-12.743478260869566</c:v>
                </c:pt>
                <c:pt idx="555">
                  <c:v>-12.343478260869565</c:v>
                </c:pt>
                <c:pt idx="556">
                  <c:v>-14.858695652173914</c:v>
                </c:pt>
                <c:pt idx="557">
                  <c:v>-18.380434782608699</c:v>
                </c:pt>
                <c:pt idx="558">
                  <c:v>-40.763732919254657</c:v>
                </c:pt>
                <c:pt idx="559">
                  <c:v>-24.999257763975152</c:v>
                </c:pt>
                <c:pt idx="560">
                  <c:v>-52.577586956521742</c:v>
                </c:pt>
                <c:pt idx="561">
                  <c:v>-42.104726708074537</c:v>
                </c:pt>
                <c:pt idx="562">
                  <c:v>-18.831987577639755</c:v>
                </c:pt>
                <c:pt idx="563">
                  <c:v>-35.392304347826091</c:v>
                </c:pt>
                <c:pt idx="564">
                  <c:v>-44.23628260869566</c:v>
                </c:pt>
                <c:pt idx="565">
                  <c:v>-52.216096273291924</c:v>
                </c:pt>
                <c:pt idx="566">
                  <c:v>-42.483608695652173</c:v>
                </c:pt>
                <c:pt idx="567">
                  <c:v>-33.74882608695652</c:v>
                </c:pt>
                <c:pt idx="568">
                  <c:v>-6.1642857142857128</c:v>
                </c:pt>
                <c:pt idx="569">
                  <c:v>-9.5128881987577643</c:v>
                </c:pt>
                <c:pt idx="570">
                  <c:v>-33.352552795031059</c:v>
                </c:pt>
                <c:pt idx="571">
                  <c:v>-12.461956521739131</c:v>
                </c:pt>
                <c:pt idx="572">
                  <c:v>-12.66413043478261</c:v>
                </c:pt>
                <c:pt idx="573">
                  <c:v>-12.66413043478261</c:v>
                </c:pt>
                <c:pt idx="574">
                  <c:v>-27.948826086956526</c:v>
                </c:pt>
                <c:pt idx="575">
                  <c:v>-12.253416149068324</c:v>
                </c:pt>
                <c:pt idx="576">
                  <c:v>-4.2031055900621119</c:v>
                </c:pt>
                <c:pt idx="577">
                  <c:v>-8.1347826086956534</c:v>
                </c:pt>
                <c:pt idx="578">
                  <c:v>-1.8358695652173915</c:v>
                </c:pt>
                <c:pt idx="579">
                  <c:v>-3.6717391304347831</c:v>
                </c:pt>
                <c:pt idx="580">
                  <c:v>-15.000000000000004</c:v>
                </c:pt>
                <c:pt idx="581">
                  <c:v>-25.306900621118018</c:v>
                </c:pt>
                <c:pt idx="582">
                  <c:v>-7.9287267080745343</c:v>
                </c:pt>
                <c:pt idx="583">
                  <c:v>-39.875413043478261</c:v>
                </c:pt>
                <c:pt idx="584">
                  <c:v>-39.117770186335406</c:v>
                </c:pt>
                <c:pt idx="585">
                  <c:v>-32.290130434782604</c:v>
                </c:pt>
                <c:pt idx="586">
                  <c:v>-22.454347826086956</c:v>
                </c:pt>
                <c:pt idx="587">
                  <c:v>-31.532987577639741</c:v>
                </c:pt>
                <c:pt idx="588">
                  <c:v>-6.5352484472049692</c:v>
                </c:pt>
                <c:pt idx="589">
                  <c:v>-11.6</c:v>
                </c:pt>
                <c:pt idx="590">
                  <c:v>-26.318391304347827</c:v>
                </c:pt>
                <c:pt idx="591">
                  <c:v>-0.44270186335403694</c:v>
                </c:pt>
                <c:pt idx="592">
                  <c:v>-16.80031055900621</c:v>
                </c:pt>
                <c:pt idx="593">
                  <c:v>-7.0961180124223606</c:v>
                </c:pt>
                <c:pt idx="594">
                  <c:v>-6.054347826086957</c:v>
                </c:pt>
                <c:pt idx="595">
                  <c:v>-1.336490683229814</c:v>
                </c:pt>
                <c:pt idx="596">
                  <c:v>-20.35186335403727</c:v>
                </c:pt>
                <c:pt idx="597">
                  <c:v>-0.97406832298136647</c:v>
                </c:pt>
                <c:pt idx="598">
                  <c:v>-6.7097826086956518</c:v>
                </c:pt>
                <c:pt idx="599">
                  <c:v>-12.9</c:v>
                </c:pt>
                <c:pt idx="600">
                  <c:v>-13.102173913043478</c:v>
                </c:pt>
                <c:pt idx="601">
                  <c:v>-12.702173913043479</c:v>
                </c:pt>
                <c:pt idx="602">
                  <c:v>-4.945652173913043</c:v>
                </c:pt>
                <c:pt idx="603">
                  <c:v>-13.502173913043478</c:v>
                </c:pt>
                <c:pt idx="604">
                  <c:v>-16.866149068322983</c:v>
                </c:pt>
                <c:pt idx="605">
                  <c:v>-16.454658385093168</c:v>
                </c:pt>
                <c:pt idx="606">
                  <c:v>-26.185559006211179</c:v>
                </c:pt>
                <c:pt idx="607">
                  <c:v>-26.694254658385091</c:v>
                </c:pt>
                <c:pt idx="608">
                  <c:v>-6.9692546583850934</c:v>
                </c:pt>
                <c:pt idx="609">
                  <c:v>-9.5445652173913071</c:v>
                </c:pt>
                <c:pt idx="610">
                  <c:v>-9.5097826086956534</c:v>
                </c:pt>
                <c:pt idx="611">
                  <c:v>-9.5097826086956534</c:v>
                </c:pt>
                <c:pt idx="612">
                  <c:v>-20.563354037267082</c:v>
                </c:pt>
                <c:pt idx="613">
                  <c:v>-19.489130434782613</c:v>
                </c:pt>
                <c:pt idx="614">
                  <c:v>-19.473913043478266</c:v>
                </c:pt>
                <c:pt idx="615">
                  <c:v>-19.419565217391309</c:v>
                </c:pt>
                <c:pt idx="616">
                  <c:v>-9.9097826086956537</c:v>
                </c:pt>
                <c:pt idx="617">
                  <c:v>-20.273913043478267</c:v>
                </c:pt>
                <c:pt idx="618">
                  <c:v>-2.8302795031055896</c:v>
                </c:pt>
                <c:pt idx="619">
                  <c:v>-14.308695652173911</c:v>
                </c:pt>
                <c:pt idx="620">
                  <c:v>-7.7858695652173919</c:v>
                </c:pt>
                <c:pt idx="621">
                  <c:v>-17.908695652173918</c:v>
                </c:pt>
                <c:pt idx="622">
                  <c:v>-27.56304347826087</c:v>
                </c:pt>
                <c:pt idx="623">
                  <c:v>-1.9956521739130435</c:v>
                </c:pt>
                <c:pt idx="624">
                  <c:v>-2.9347826086956523</c:v>
                </c:pt>
                <c:pt idx="625">
                  <c:v>-6.8260869565217401</c:v>
                </c:pt>
                <c:pt idx="626">
                  <c:v>-4.4000000000000004</c:v>
                </c:pt>
                <c:pt idx="627">
                  <c:v>-5.6304347826086962</c:v>
                </c:pt>
                <c:pt idx="628">
                  <c:v>-8.5885093167701854</c:v>
                </c:pt>
                <c:pt idx="629">
                  <c:v>-4.0847826086956527</c:v>
                </c:pt>
                <c:pt idx="630">
                  <c:v>-4.7217391304347824</c:v>
                </c:pt>
                <c:pt idx="631">
                  <c:v>-6.3254658385093174</c:v>
                </c:pt>
                <c:pt idx="632">
                  <c:v>-9.1347826086956516</c:v>
                </c:pt>
                <c:pt idx="633">
                  <c:v>-13.017391304347827</c:v>
                </c:pt>
                <c:pt idx="634">
                  <c:v>-0.97282608695652173</c:v>
                </c:pt>
                <c:pt idx="635">
                  <c:v>-3.5999999999999996</c:v>
                </c:pt>
                <c:pt idx="636">
                  <c:v>-3.5999999999999996</c:v>
                </c:pt>
                <c:pt idx="637">
                  <c:v>-3.9804347826086954</c:v>
                </c:pt>
                <c:pt idx="638">
                  <c:v>-6.3804347826086953</c:v>
                </c:pt>
                <c:pt idx="639">
                  <c:v>-8.9630434782608699</c:v>
                </c:pt>
                <c:pt idx="640">
                  <c:v>-11.654347826086957</c:v>
                </c:pt>
                <c:pt idx="641">
                  <c:v>-16.108695652173918</c:v>
                </c:pt>
                <c:pt idx="642">
                  <c:v>-23.36304347826087</c:v>
                </c:pt>
                <c:pt idx="643">
                  <c:v>-34.617391304347834</c:v>
                </c:pt>
                <c:pt idx="644">
                  <c:v>-11.526086956521739</c:v>
                </c:pt>
                <c:pt idx="645">
                  <c:v>-16.034782608695654</c:v>
                </c:pt>
                <c:pt idx="646">
                  <c:v>-22.997826086956525</c:v>
                </c:pt>
                <c:pt idx="647">
                  <c:v>-34.069565217391307</c:v>
                </c:pt>
                <c:pt idx="648">
                  <c:v>-12.8</c:v>
                </c:pt>
                <c:pt idx="649">
                  <c:v>-17.654347826086958</c:v>
                </c:pt>
                <c:pt idx="650">
                  <c:v>-25.708695652173915</c:v>
                </c:pt>
                <c:pt idx="651">
                  <c:v>-37.708695652173915</c:v>
                </c:pt>
                <c:pt idx="652">
                  <c:v>-7.1065217391304349</c:v>
                </c:pt>
                <c:pt idx="653">
                  <c:v>-9.323913043478262</c:v>
                </c:pt>
                <c:pt idx="654">
                  <c:v>-13.81304347826087</c:v>
                </c:pt>
                <c:pt idx="655">
                  <c:v>-20.46521739130435</c:v>
                </c:pt>
                <c:pt idx="656">
                  <c:v>-0.21739130434782608</c:v>
                </c:pt>
                <c:pt idx="657">
                  <c:v>-0.53804347826086962</c:v>
                </c:pt>
                <c:pt idx="658">
                  <c:v>-1.6</c:v>
                </c:pt>
                <c:pt idx="659">
                  <c:v>-0.4</c:v>
                </c:pt>
                <c:pt idx="660">
                  <c:v>-0.4</c:v>
                </c:pt>
                <c:pt idx="661">
                  <c:v>-10.854347826086958</c:v>
                </c:pt>
                <c:pt idx="662">
                  <c:v>-1.9526397515527951</c:v>
                </c:pt>
                <c:pt idx="663">
                  <c:v>-4.4329192546583851</c:v>
                </c:pt>
                <c:pt idx="664">
                  <c:v>-3.3298136645962737</c:v>
                </c:pt>
                <c:pt idx="665">
                  <c:v>-3.8226708074534166</c:v>
                </c:pt>
                <c:pt idx="666">
                  <c:v>-3.1972049689440998</c:v>
                </c:pt>
                <c:pt idx="667">
                  <c:v>-3.7781055900621121</c:v>
                </c:pt>
                <c:pt idx="668">
                  <c:v>-5.8357142857142845</c:v>
                </c:pt>
                <c:pt idx="669">
                  <c:v>-4.0552795031055906</c:v>
                </c:pt>
                <c:pt idx="670">
                  <c:v>-6.5291925465838512</c:v>
                </c:pt>
                <c:pt idx="671">
                  <c:v>-2.9422360248447204</c:v>
                </c:pt>
                <c:pt idx="672">
                  <c:v>-2.8498447204968942</c:v>
                </c:pt>
                <c:pt idx="673">
                  <c:v>-2.7998447204968939</c:v>
                </c:pt>
                <c:pt idx="674">
                  <c:v>-3.4009316770186322</c:v>
                </c:pt>
                <c:pt idx="675">
                  <c:v>-3.3048136645962733</c:v>
                </c:pt>
                <c:pt idx="676">
                  <c:v>-3.0374223602484469</c:v>
                </c:pt>
                <c:pt idx="677">
                  <c:v>-6.1715838509316763</c:v>
                </c:pt>
                <c:pt idx="678">
                  <c:v>-1.8026397515527948</c:v>
                </c:pt>
                <c:pt idx="679">
                  <c:v>-5.0726708074534175</c:v>
                </c:pt>
                <c:pt idx="680">
                  <c:v>-5.6270186335403727</c:v>
                </c:pt>
                <c:pt idx="681">
                  <c:v>-3.3054347826086952</c:v>
                </c:pt>
                <c:pt idx="682">
                  <c:v>-1.6602484472049688</c:v>
                </c:pt>
                <c:pt idx="683">
                  <c:v>-1.7689440993788819</c:v>
                </c:pt>
                <c:pt idx="684">
                  <c:v>-6.3720496894409937</c:v>
                </c:pt>
                <c:pt idx="685">
                  <c:v>-6.1520186335403722</c:v>
                </c:pt>
                <c:pt idx="686">
                  <c:v>-4.6748447204968935</c:v>
                </c:pt>
                <c:pt idx="687">
                  <c:v>-3.2172360248447207</c:v>
                </c:pt>
                <c:pt idx="688">
                  <c:v>-4.5976708074534169</c:v>
                </c:pt>
                <c:pt idx="689">
                  <c:v>-5.1813664596273297</c:v>
                </c:pt>
                <c:pt idx="690">
                  <c:v>-4.2481366459627328</c:v>
                </c:pt>
                <c:pt idx="691">
                  <c:v>-5.764596273291926</c:v>
                </c:pt>
                <c:pt idx="692">
                  <c:v>-5.8096273291925478</c:v>
                </c:pt>
                <c:pt idx="693">
                  <c:v>-3.5194099378881996</c:v>
                </c:pt>
                <c:pt idx="694">
                  <c:v>-3.7395962732919252</c:v>
                </c:pt>
                <c:pt idx="695">
                  <c:v>-3.6444099378881996</c:v>
                </c:pt>
                <c:pt idx="696">
                  <c:v>-4.5465838509316781</c:v>
                </c:pt>
                <c:pt idx="697">
                  <c:v>-3.5020186335403727</c:v>
                </c:pt>
                <c:pt idx="698">
                  <c:v>-5.7422360248447193</c:v>
                </c:pt>
                <c:pt idx="699">
                  <c:v>-5.7385093167701866</c:v>
                </c:pt>
                <c:pt idx="700">
                  <c:v>-2.3624223602484471</c:v>
                </c:pt>
                <c:pt idx="701">
                  <c:v>-5.2763975155279503</c:v>
                </c:pt>
                <c:pt idx="702">
                  <c:v>-5.9683229813664598</c:v>
                </c:pt>
                <c:pt idx="703">
                  <c:v>-7.3503105590062123</c:v>
                </c:pt>
                <c:pt idx="704">
                  <c:v>-4.8900621118012415</c:v>
                </c:pt>
                <c:pt idx="705">
                  <c:v>-5.0416149068322991</c:v>
                </c:pt>
                <c:pt idx="706">
                  <c:v>-7.418201863354037</c:v>
                </c:pt>
                <c:pt idx="707">
                  <c:v>-7.5748447204968938</c:v>
                </c:pt>
                <c:pt idx="708">
                  <c:v>-4.7678571428571432</c:v>
                </c:pt>
                <c:pt idx="709">
                  <c:v>-2.8950310559006209</c:v>
                </c:pt>
                <c:pt idx="710">
                  <c:v>-3.2602484472049684</c:v>
                </c:pt>
                <c:pt idx="711">
                  <c:v>-4.66552795031056</c:v>
                </c:pt>
                <c:pt idx="712">
                  <c:v>-6.8618012422360257</c:v>
                </c:pt>
                <c:pt idx="713">
                  <c:v>-5.3177018633540367</c:v>
                </c:pt>
                <c:pt idx="714">
                  <c:v>-4.4720496894409942</c:v>
                </c:pt>
                <c:pt idx="715">
                  <c:v>-7.4509316770186347</c:v>
                </c:pt>
                <c:pt idx="716">
                  <c:v>-3.9194099378881981</c:v>
                </c:pt>
                <c:pt idx="717">
                  <c:v>-3.9770186335403723</c:v>
                </c:pt>
                <c:pt idx="718">
                  <c:v>-1.9178571428571423</c:v>
                </c:pt>
                <c:pt idx="719">
                  <c:v>-5.1987577639751548</c:v>
                </c:pt>
                <c:pt idx="720">
                  <c:v>-3.7059006211180123</c:v>
                </c:pt>
                <c:pt idx="721">
                  <c:v>-6.6791925465838506</c:v>
                </c:pt>
                <c:pt idx="722">
                  <c:v>-3.4509316770186338</c:v>
                </c:pt>
                <c:pt idx="723">
                  <c:v>-5.3770186335403718</c:v>
                </c:pt>
                <c:pt idx="724">
                  <c:v>-4.5704968944099376</c:v>
                </c:pt>
                <c:pt idx="725">
                  <c:v>-5.54223602484472</c:v>
                </c:pt>
                <c:pt idx="726">
                  <c:v>-5.9770186335403723</c:v>
                </c:pt>
                <c:pt idx="727">
                  <c:v>-9.0031055900621126</c:v>
                </c:pt>
                <c:pt idx="728">
                  <c:v>-5.8198757763975149</c:v>
                </c:pt>
                <c:pt idx="729">
                  <c:v>-3.2374223602484471</c:v>
                </c:pt>
                <c:pt idx="730">
                  <c:v>-3.9194099378881981</c:v>
                </c:pt>
                <c:pt idx="731">
                  <c:v>-2.5113354037267084</c:v>
                </c:pt>
                <c:pt idx="732">
                  <c:v>-1.7852484472049688</c:v>
                </c:pt>
                <c:pt idx="733">
                  <c:v>-3.1324534161490676</c:v>
                </c:pt>
                <c:pt idx="734">
                  <c:v>-3.7259316770186333</c:v>
                </c:pt>
                <c:pt idx="735">
                  <c:v>-3.1395962732919247</c:v>
                </c:pt>
                <c:pt idx="736">
                  <c:v>0.4</c:v>
                </c:pt>
                <c:pt idx="737">
                  <c:v>0.4</c:v>
                </c:pt>
                <c:pt idx="738">
                  <c:v>-4.7880434782608701</c:v>
                </c:pt>
                <c:pt idx="739">
                  <c:v>-3.6619565217391301</c:v>
                </c:pt>
                <c:pt idx="740">
                  <c:v>-3.7026397515527951</c:v>
                </c:pt>
                <c:pt idx="741">
                  <c:v>-4.0128881987577634</c:v>
                </c:pt>
                <c:pt idx="742">
                  <c:v>-3.7537267080745349</c:v>
                </c:pt>
                <c:pt idx="743">
                  <c:v>-7.6434782608695642</c:v>
                </c:pt>
                <c:pt idx="744">
                  <c:v>-7.6434782608695642</c:v>
                </c:pt>
                <c:pt idx="745">
                  <c:v>-10.558885093167699</c:v>
                </c:pt>
                <c:pt idx="746">
                  <c:v>-7.5500000000000007</c:v>
                </c:pt>
                <c:pt idx="747">
                  <c:v>-10.341493788819875</c:v>
                </c:pt>
                <c:pt idx="748">
                  <c:v>-8.133074534161489</c:v>
                </c:pt>
                <c:pt idx="749">
                  <c:v>-3.9633540372670817</c:v>
                </c:pt>
                <c:pt idx="750">
                  <c:v>-3.4096273291925465</c:v>
                </c:pt>
                <c:pt idx="751">
                  <c:v>-8.5978260869565215</c:v>
                </c:pt>
                <c:pt idx="752">
                  <c:v>-4.2476708074534155</c:v>
                </c:pt>
                <c:pt idx="753">
                  <c:v>-10.860559006211179</c:v>
                </c:pt>
                <c:pt idx="754">
                  <c:v>-4.6307453416149063</c:v>
                </c:pt>
                <c:pt idx="755">
                  <c:v>-4.6307453416149063</c:v>
                </c:pt>
                <c:pt idx="756">
                  <c:v>-1.5731366459627332</c:v>
                </c:pt>
                <c:pt idx="757">
                  <c:v>-2.1166149068322984</c:v>
                </c:pt>
                <c:pt idx="758">
                  <c:v>-6.8661490683229793</c:v>
                </c:pt>
                <c:pt idx="759">
                  <c:v>-4.2465838509316773</c:v>
                </c:pt>
                <c:pt idx="760">
                  <c:v>-6.8661490683229793</c:v>
                </c:pt>
                <c:pt idx="761">
                  <c:v>-8.7149068322981389</c:v>
                </c:pt>
                <c:pt idx="762">
                  <c:v>-11.493167701863351</c:v>
                </c:pt>
                <c:pt idx="763">
                  <c:v>-2.9492236024844711</c:v>
                </c:pt>
                <c:pt idx="764">
                  <c:v>-3.3840062111801235</c:v>
                </c:pt>
                <c:pt idx="765">
                  <c:v>-10.843167701863353</c:v>
                </c:pt>
                <c:pt idx="766">
                  <c:v>-8.7509316770186309</c:v>
                </c:pt>
                <c:pt idx="767">
                  <c:v>-9.3327981366459642</c:v>
                </c:pt>
                <c:pt idx="768">
                  <c:v>-13.030124223602487</c:v>
                </c:pt>
                <c:pt idx="769">
                  <c:v>-5.4840062111801249</c:v>
                </c:pt>
                <c:pt idx="770">
                  <c:v>-7.5539161490683195</c:v>
                </c:pt>
                <c:pt idx="771">
                  <c:v>-5.4840062111801249</c:v>
                </c:pt>
                <c:pt idx="772">
                  <c:v>4.0372670807451438E-3</c:v>
                </c:pt>
                <c:pt idx="773">
                  <c:v>-5.4840062111801249</c:v>
                </c:pt>
                <c:pt idx="774">
                  <c:v>-10.37142857142857</c:v>
                </c:pt>
                <c:pt idx="775">
                  <c:v>-13.012732919254658</c:v>
                </c:pt>
                <c:pt idx="776">
                  <c:v>-4.5083850931677016</c:v>
                </c:pt>
                <c:pt idx="777">
                  <c:v>-6.4159937888198755</c:v>
                </c:pt>
                <c:pt idx="778">
                  <c:v>-8.4672360248447198</c:v>
                </c:pt>
                <c:pt idx="779">
                  <c:v>-11.47577639751553</c:v>
                </c:pt>
                <c:pt idx="780">
                  <c:v>-10.522670807453414</c:v>
                </c:pt>
                <c:pt idx="781">
                  <c:v>-12.101863354037265</c:v>
                </c:pt>
                <c:pt idx="782">
                  <c:v>-13.56633850931677</c:v>
                </c:pt>
                <c:pt idx="783">
                  <c:v>-7.4704968944099379</c:v>
                </c:pt>
                <c:pt idx="784">
                  <c:v>-10.554037267080746</c:v>
                </c:pt>
                <c:pt idx="785">
                  <c:v>-12.375776397515528</c:v>
                </c:pt>
                <c:pt idx="786">
                  <c:v>-2.8381987577639749</c:v>
                </c:pt>
                <c:pt idx="787">
                  <c:v>-11.600621118012423</c:v>
                </c:pt>
                <c:pt idx="788">
                  <c:v>-11.895652173913042</c:v>
                </c:pt>
                <c:pt idx="789">
                  <c:v>-7.1557453416149066</c:v>
                </c:pt>
                <c:pt idx="790">
                  <c:v>-12.473602484472048</c:v>
                </c:pt>
                <c:pt idx="791">
                  <c:v>-4.8829192546583853</c:v>
                </c:pt>
                <c:pt idx="792">
                  <c:v>-9.1649068322981364</c:v>
                </c:pt>
                <c:pt idx="793">
                  <c:v>-4.8829192546583853</c:v>
                </c:pt>
                <c:pt idx="794">
                  <c:v>-5.8956521739130441</c:v>
                </c:pt>
                <c:pt idx="795">
                  <c:v>-9.8069875776397524</c:v>
                </c:pt>
                <c:pt idx="796">
                  <c:v>-7.265217391304347</c:v>
                </c:pt>
                <c:pt idx="797">
                  <c:v>-1.2496894409937884</c:v>
                </c:pt>
                <c:pt idx="798">
                  <c:v>-6.6059006211180105</c:v>
                </c:pt>
                <c:pt idx="799">
                  <c:v>-12.580745341614907</c:v>
                </c:pt>
                <c:pt idx="800">
                  <c:v>-11.017391304347827</c:v>
                </c:pt>
                <c:pt idx="801">
                  <c:v>-5.7942546583850936</c:v>
                </c:pt>
                <c:pt idx="802">
                  <c:v>-4.9695652173913043</c:v>
                </c:pt>
                <c:pt idx="803">
                  <c:v>-29.197962732919251</c:v>
                </c:pt>
                <c:pt idx="804">
                  <c:v>-2.7781055900621117</c:v>
                </c:pt>
                <c:pt idx="805">
                  <c:v>-2.2704968944099377</c:v>
                </c:pt>
                <c:pt idx="806">
                  <c:v>-2.2704968944099377</c:v>
                </c:pt>
                <c:pt idx="807">
                  <c:v>-7.2826086956521738</c:v>
                </c:pt>
                <c:pt idx="808">
                  <c:v>-12.380434782608695</c:v>
                </c:pt>
                <c:pt idx="809">
                  <c:v>-15.634782608695655</c:v>
                </c:pt>
                <c:pt idx="810">
                  <c:v>-13.980434782608697</c:v>
                </c:pt>
                <c:pt idx="811">
                  <c:v>-17.234782608695653</c:v>
                </c:pt>
                <c:pt idx="812">
                  <c:v>-12.380434782608695</c:v>
                </c:pt>
                <c:pt idx="813">
                  <c:v>-15.634782608695655</c:v>
                </c:pt>
                <c:pt idx="814">
                  <c:v>-19.343478260869567</c:v>
                </c:pt>
                <c:pt idx="815">
                  <c:v>-23.452173913043474</c:v>
                </c:pt>
                <c:pt idx="816">
                  <c:v>-13.980434782608697</c:v>
                </c:pt>
                <c:pt idx="817">
                  <c:v>-17.234782608695653</c:v>
                </c:pt>
                <c:pt idx="818">
                  <c:v>-16.889130434782611</c:v>
                </c:pt>
                <c:pt idx="819">
                  <c:v>-20.997826086956525</c:v>
                </c:pt>
                <c:pt idx="820">
                  <c:v>-16.834782608695654</c:v>
                </c:pt>
                <c:pt idx="821">
                  <c:v>-20.997826086956525</c:v>
                </c:pt>
                <c:pt idx="822">
                  <c:v>-10.682177018633533</c:v>
                </c:pt>
                <c:pt idx="823">
                  <c:v>-4.8503105590062123</c:v>
                </c:pt>
                <c:pt idx="824">
                  <c:v>-13.872826086956522</c:v>
                </c:pt>
                <c:pt idx="825">
                  <c:v>-6.9496894409937884</c:v>
                </c:pt>
                <c:pt idx="826">
                  <c:v>-7.7394409937888202</c:v>
                </c:pt>
                <c:pt idx="827">
                  <c:v>-6.4349378881987551</c:v>
                </c:pt>
                <c:pt idx="828">
                  <c:v>-4.1163043478260875</c:v>
                </c:pt>
                <c:pt idx="829">
                  <c:v>-4.1141304347826084</c:v>
                </c:pt>
                <c:pt idx="830">
                  <c:v>-9.5489130434782616</c:v>
                </c:pt>
                <c:pt idx="831">
                  <c:v>-4.3172360248447195</c:v>
                </c:pt>
                <c:pt idx="832">
                  <c:v>-4.3172360248447195</c:v>
                </c:pt>
                <c:pt idx="833">
                  <c:v>-14.006521739130436</c:v>
                </c:pt>
                <c:pt idx="834">
                  <c:v>-6.8032608695652188</c:v>
                </c:pt>
                <c:pt idx="835">
                  <c:v>-7.910869565217391</c:v>
                </c:pt>
                <c:pt idx="836">
                  <c:v>-4.21055900621118</c:v>
                </c:pt>
                <c:pt idx="837">
                  <c:v>-18.736956521739131</c:v>
                </c:pt>
                <c:pt idx="838">
                  <c:v>-13.767354037267081</c:v>
                </c:pt>
                <c:pt idx="839">
                  <c:v>-7.3378354037267082</c:v>
                </c:pt>
                <c:pt idx="840">
                  <c:v>-14.406105590062115</c:v>
                </c:pt>
                <c:pt idx="841">
                  <c:v>-11.244614906832295</c:v>
                </c:pt>
                <c:pt idx="842">
                  <c:v>-10.349689440993791</c:v>
                </c:pt>
                <c:pt idx="843">
                  <c:v>-12.404726708074532</c:v>
                </c:pt>
                <c:pt idx="844">
                  <c:v>-14.31335403726708</c:v>
                </c:pt>
                <c:pt idx="845">
                  <c:v>-7.5177701863354045</c:v>
                </c:pt>
                <c:pt idx="846">
                  <c:v>-7.2420807453416156</c:v>
                </c:pt>
                <c:pt idx="847">
                  <c:v>-12.251863354037264</c:v>
                </c:pt>
                <c:pt idx="848">
                  <c:v>-7.7950310559006217</c:v>
                </c:pt>
                <c:pt idx="849">
                  <c:v>-6.8234813664596263</c:v>
                </c:pt>
                <c:pt idx="850">
                  <c:v>-9.2285714285714295</c:v>
                </c:pt>
                <c:pt idx="851">
                  <c:v>-3.722704968944099</c:v>
                </c:pt>
                <c:pt idx="852">
                  <c:v>-12.950257763975154</c:v>
                </c:pt>
                <c:pt idx="853">
                  <c:v>-6.0129223602484485</c:v>
                </c:pt>
                <c:pt idx="854">
                  <c:v>-2.3956521739130432</c:v>
                </c:pt>
                <c:pt idx="855">
                  <c:v>-2.3956521739130432</c:v>
                </c:pt>
                <c:pt idx="856">
                  <c:v>-11.845288819875774</c:v>
                </c:pt>
                <c:pt idx="857">
                  <c:v>-5.7319875776397504</c:v>
                </c:pt>
                <c:pt idx="858">
                  <c:v>-3.4613354037267081</c:v>
                </c:pt>
                <c:pt idx="859">
                  <c:v>-7.235161490683228</c:v>
                </c:pt>
                <c:pt idx="860">
                  <c:v>-6.9748447204968942</c:v>
                </c:pt>
                <c:pt idx="861">
                  <c:v>-20.262180124223601</c:v>
                </c:pt>
                <c:pt idx="862">
                  <c:v>-9.1118012422360248</c:v>
                </c:pt>
                <c:pt idx="863">
                  <c:v>-9.0428571428571427</c:v>
                </c:pt>
                <c:pt idx="864">
                  <c:v>-18.37701863354037</c:v>
                </c:pt>
                <c:pt idx="865">
                  <c:v>-7.8106273291925463</c:v>
                </c:pt>
                <c:pt idx="866">
                  <c:v>-10.022826086956522</c:v>
                </c:pt>
                <c:pt idx="867">
                  <c:v>-15.653105590062113</c:v>
                </c:pt>
                <c:pt idx="868">
                  <c:v>-10.945031055900621</c:v>
                </c:pt>
                <c:pt idx="869">
                  <c:v>-5.3574534161490677</c:v>
                </c:pt>
                <c:pt idx="870">
                  <c:v>-5.1102484472049685</c:v>
                </c:pt>
                <c:pt idx="871">
                  <c:v>-14.848326086956522</c:v>
                </c:pt>
                <c:pt idx="872">
                  <c:v>-3.1782608695652179</c:v>
                </c:pt>
                <c:pt idx="873">
                  <c:v>-14.616770186335401</c:v>
                </c:pt>
                <c:pt idx="874">
                  <c:v>-12.930124223602485</c:v>
                </c:pt>
                <c:pt idx="875">
                  <c:v>-12.436335403726709</c:v>
                </c:pt>
                <c:pt idx="876">
                  <c:v>-16.597204968944098</c:v>
                </c:pt>
                <c:pt idx="877">
                  <c:v>-5.3633540372670812</c:v>
                </c:pt>
                <c:pt idx="878">
                  <c:v>-15.81055900621118</c:v>
                </c:pt>
                <c:pt idx="879">
                  <c:v>-4.5369565217391301</c:v>
                </c:pt>
                <c:pt idx="880">
                  <c:v>-5.975034161490683</c:v>
                </c:pt>
                <c:pt idx="881">
                  <c:v>-1.1391304347826088</c:v>
                </c:pt>
                <c:pt idx="882">
                  <c:v>-11.328260869565218</c:v>
                </c:pt>
                <c:pt idx="883">
                  <c:v>-34.326586956521751</c:v>
                </c:pt>
                <c:pt idx="884">
                  <c:v>-4.7996894409937898</c:v>
                </c:pt>
                <c:pt idx="885">
                  <c:v>-0.80108695652173922</c:v>
                </c:pt>
                <c:pt idx="886">
                  <c:v>-19.930434782608696</c:v>
                </c:pt>
                <c:pt idx="887">
                  <c:v>-5.4857142857142849</c:v>
                </c:pt>
                <c:pt idx="888">
                  <c:v>-27.683108695652169</c:v>
                </c:pt>
                <c:pt idx="889">
                  <c:v>-27.083108695652175</c:v>
                </c:pt>
                <c:pt idx="890">
                  <c:v>-12.167080745341615</c:v>
                </c:pt>
                <c:pt idx="891">
                  <c:v>-20.239130434782609</c:v>
                </c:pt>
                <c:pt idx="892">
                  <c:v>-11.653260869565218</c:v>
                </c:pt>
                <c:pt idx="893">
                  <c:v>-33.526586956521747</c:v>
                </c:pt>
                <c:pt idx="894">
                  <c:v>2.4282608695652179</c:v>
                </c:pt>
                <c:pt idx="895">
                  <c:v>1.4945652173913042</c:v>
                </c:pt>
                <c:pt idx="896">
                  <c:v>-13.971118012422361</c:v>
                </c:pt>
                <c:pt idx="897">
                  <c:v>-28.035093167701863</c:v>
                </c:pt>
                <c:pt idx="898">
                  <c:v>-18.80310559006211</c:v>
                </c:pt>
                <c:pt idx="899">
                  <c:v>-6.6986024844720493</c:v>
                </c:pt>
                <c:pt idx="900">
                  <c:v>-1.6746894409937882</c:v>
                </c:pt>
                <c:pt idx="901">
                  <c:v>-2.4545031055900615</c:v>
                </c:pt>
                <c:pt idx="902">
                  <c:v>-12.284782608695654</c:v>
                </c:pt>
                <c:pt idx="903">
                  <c:v>-9.6212732919254673</c:v>
                </c:pt>
                <c:pt idx="904">
                  <c:v>-10.421428571428571</c:v>
                </c:pt>
                <c:pt idx="905">
                  <c:v>-3.2343167701863353</c:v>
                </c:pt>
                <c:pt idx="906">
                  <c:v>1.0083850931677016</c:v>
                </c:pt>
                <c:pt idx="907">
                  <c:v>-5.7377329192546584</c:v>
                </c:pt>
                <c:pt idx="908">
                  <c:v>-15.539130434782608</c:v>
                </c:pt>
                <c:pt idx="909">
                  <c:v>-10.401086956521739</c:v>
                </c:pt>
                <c:pt idx="910">
                  <c:v>-16.684782608695652</c:v>
                </c:pt>
                <c:pt idx="911">
                  <c:v>-10.801086956521738</c:v>
                </c:pt>
                <c:pt idx="912">
                  <c:v>-11.20108695652174</c:v>
                </c:pt>
                <c:pt idx="913">
                  <c:v>-12.56832298136646</c:v>
                </c:pt>
                <c:pt idx="914">
                  <c:v>-13.903726708074533</c:v>
                </c:pt>
                <c:pt idx="915">
                  <c:v>-2.9906832298136643</c:v>
                </c:pt>
                <c:pt idx="916">
                  <c:v>-2.0857142857142859</c:v>
                </c:pt>
                <c:pt idx="917">
                  <c:v>-0.84285714285714275</c:v>
                </c:pt>
                <c:pt idx="918">
                  <c:v>-37.200000000000003</c:v>
                </c:pt>
                <c:pt idx="919">
                  <c:v>-32.400000000000006</c:v>
                </c:pt>
                <c:pt idx="920">
                  <c:v>-18.8</c:v>
                </c:pt>
                <c:pt idx="921">
                  <c:v>-32.652173913043484</c:v>
                </c:pt>
                <c:pt idx="922">
                  <c:v>-29.743478260869566</c:v>
                </c:pt>
                <c:pt idx="923">
                  <c:v>-17.126086956521739</c:v>
                </c:pt>
                <c:pt idx="924">
                  <c:v>-50.756521739130434</c:v>
                </c:pt>
                <c:pt idx="925">
                  <c:v>-40.830434782608698</c:v>
                </c:pt>
                <c:pt idx="926">
                  <c:v>-25.378260869565217</c:v>
                </c:pt>
                <c:pt idx="927">
                  <c:v>-0.27173913043478259</c:v>
                </c:pt>
                <c:pt idx="928">
                  <c:v>-0.16304347826086957</c:v>
                </c:pt>
                <c:pt idx="929">
                  <c:v>-0.10869565217391304</c:v>
                </c:pt>
                <c:pt idx="930">
                  <c:v>-44.578260869565227</c:v>
                </c:pt>
                <c:pt idx="931">
                  <c:v>-35.560869565217395</c:v>
                </c:pt>
                <c:pt idx="932">
                  <c:v>-22.089130434782611</c:v>
                </c:pt>
                <c:pt idx="933">
                  <c:v>-1.0869565217391304</c:v>
                </c:pt>
                <c:pt idx="934">
                  <c:v>-0.86956521739130432</c:v>
                </c:pt>
                <c:pt idx="935">
                  <c:v>-0.54347826086956519</c:v>
                </c:pt>
                <c:pt idx="936">
                  <c:v>-1.3586956521739131</c:v>
                </c:pt>
                <c:pt idx="937">
                  <c:v>-1.0869565217391304</c:v>
                </c:pt>
                <c:pt idx="938">
                  <c:v>-0.48913043478260876</c:v>
                </c:pt>
                <c:pt idx="939">
                  <c:v>-26.360869565217392</c:v>
                </c:pt>
                <c:pt idx="940">
                  <c:v>-20.997826086956525</c:v>
                </c:pt>
                <c:pt idx="941">
                  <c:v>-13.180434782608696</c:v>
                </c:pt>
                <c:pt idx="942">
                  <c:v>-47.195652173913047</c:v>
                </c:pt>
                <c:pt idx="943">
                  <c:v>-37.723913043478262</c:v>
                </c:pt>
                <c:pt idx="944">
                  <c:v>-23.797826086956523</c:v>
                </c:pt>
                <c:pt idx="945">
                  <c:v>-46.721739130434777</c:v>
                </c:pt>
                <c:pt idx="946">
                  <c:v>-37.250000000000007</c:v>
                </c:pt>
                <c:pt idx="947">
                  <c:v>-23.160869565217393</c:v>
                </c:pt>
                <c:pt idx="948">
                  <c:v>-12.197826086956521</c:v>
                </c:pt>
                <c:pt idx="949">
                  <c:v>-9.234782608695653</c:v>
                </c:pt>
                <c:pt idx="950">
                  <c:v>-5.8717391304347828</c:v>
                </c:pt>
                <c:pt idx="951">
                  <c:v>0</c:v>
                </c:pt>
                <c:pt idx="952">
                  <c:v>-44.997826086956529</c:v>
                </c:pt>
                <c:pt idx="953">
                  <c:v>-37.689130434782612</c:v>
                </c:pt>
                <c:pt idx="954">
                  <c:v>-22.72608695652174</c:v>
                </c:pt>
                <c:pt idx="955">
                  <c:v>-0.10869565217391304</c:v>
                </c:pt>
                <c:pt idx="956">
                  <c:v>-0.10869565217391304</c:v>
                </c:pt>
                <c:pt idx="957">
                  <c:v>-5.434782608695652E-2</c:v>
                </c:pt>
                <c:pt idx="958">
                  <c:v>-31.052173913043482</c:v>
                </c:pt>
                <c:pt idx="959">
                  <c:v>-28.543478260869563</c:v>
                </c:pt>
                <c:pt idx="960">
                  <c:v>-16.326086956521742</c:v>
                </c:pt>
                <c:pt idx="961">
                  <c:v>-22.178260869565221</c:v>
                </c:pt>
                <c:pt idx="962">
                  <c:v>-43.956521739130444</c:v>
                </c:pt>
                <c:pt idx="963">
                  <c:v>-35.121739130434783</c:v>
                </c:pt>
                <c:pt idx="964">
                  <c:v>-46.197826086956518</c:v>
                </c:pt>
                <c:pt idx="965">
                  <c:v>-37.289130434782614</c:v>
                </c:pt>
                <c:pt idx="966">
                  <c:v>-21.92608695652174</c:v>
                </c:pt>
                <c:pt idx="967">
                  <c:v>-26.963043478260872</c:v>
                </c:pt>
                <c:pt idx="968">
                  <c:v>-23.763043478260869</c:v>
                </c:pt>
                <c:pt idx="969">
                  <c:v>-14.10869565217391</c:v>
                </c:pt>
                <c:pt idx="970">
                  <c:v>-8.2173913043478279</c:v>
                </c:pt>
                <c:pt idx="971">
                  <c:v>-5.7630434782608697</c:v>
                </c:pt>
                <c:pt idx="972">
                  <c:v>-4.108695652173914</c:v>
                </c:pt>
                <c:pt idx="973">
                  <c:v>-30.271739130434785</c:v>
                </c:pt>
                <c:pt idx="974">
                  <c:v>-22.617391304347827</c:v>
                </c:pt>
                <c:pt idx="975">
                  <c:v>-16.108695652173918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8-470A-A1E3-E69516E31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411848"/>
        <c:axId val="253415944"/>
      </c:scatterChart>
      <c:valAx>
        <c:axId val="25341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per 100cal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15944"/>
        <c:crosses val="autoZero"/>
        <c:crossBetween val="midCat"/>
      </c:valAx>
      <c:valAx>
        <c:axId val="25341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HealthScore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11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'HealthScore weight' and Field: 'added sugar' appear highly correlated with </a:t>
            </a:r>
            <a:r>
              <a:rPr lang="en-US">
                <a:solidFill>
                  <a:srgbClr val="DD5A13"/>
                </a:solidFill>
              </a:rPr>
              <a:t>3</a:t>
            </a:r>
            <a:r>
              <a:rPr lang="en-US"/>
              <a:t> outliers.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'just numbers (HaoBS)'!$V$1</c:f>
              <c:strCache>
                <c:ptCount val="1"/>
                <c:pt idx="0">
                  <c:v>added sugar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1919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65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33C-407F-B2B4-83A598DBC13C}"/>
              </c:ext>
            </c:extLst>
          </c:dPt>
          <c:dPt>
            <c:idx val="27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33C-407F-B2B4-83A598DBC13C}"/>
              </c:ext>
            </c:extLst>
          </c:dPt>
          <c:dPt>
            <c:idx val="325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33C-407F-B2B4-83A598DBC13C}"/>
              </c:ext>
            </c:extLst>
          </c:dPt>
          <c:trendline>
            <c:spPr>
              <a:ln w="19050" cap="rnd">
                <a:solidFill>
                  <a:srgbClr val="91919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'just numbers (HaoBS)'!$S$2:$S$977</c:f>
              <c:numCache>
                <c:formatCode>General</c:formatCode>
                <c:ptCount val="976"/>
                <c:pt idx="0">
                  <c:v>-4.3586956521739131</c:v>
                </c:pt>
                <c:pt idx="1">
                  <c:v>-1.3004658385093164</c:v>
                </c:pt>
                <c:pt idx="2">
                  <c:v>-17.651757763975148</c:v>
                </c:pt>
                <c:pt idx="3">
                  <c:v>-4.0503788819875766</c:v>
                </c:pt>
                <c:pt idx="4">
                  <c:v>-7.9878354037267085</c:v>
                </c:pt>
                <c:pt idx="5">
                  <c:v>-9.4636273291925512</c:v>
                </c:pt>
                <c:pt idx="6">
                  <c:v>-6.5074006211180144</c:v>
                </c:pt>
                <c:pt idx="7">
                  <c:v>-13.468475155279505</c:v>
                </c:pt>
                <c:pt idx="8">
                  <c:v>-19.172444099378882</c:v>
                </c:pt>
                <c:pt idx="9">
                  <c:v>-12.22857142857143</c:v>
                </c:pt>
                <c:pt idx="10">
                  <c:v>-7.3872670807453407</c:v>
                </c:pt>
                <c:pt idx="11">
                  <c:v>-14.376344720496895</c:v>
                </c:pt>
                <c:pt idx="12">
                  <c:v>-4.4487919254658381</c:v>
                </c:pt>
                <c:pt idx="13">
                  <c:v>-20.117475155279504</c:v>
                </c:pt>
                <c:pt idx="14">
                  <c:v>-7.0303136645962754</c:v>
                </c:pt>
                <c:pt idx="15">
                  <c:v>-10.501757763975153</c:v>
                </c:pt>
                <c:pt idx="16">
                  <c:v>-8.5107484472049695</c:v>
                </c:pt>
                <c:pt idx="17">
                  <c:v>-14.614801242236027</c:v>
                </c:pt>
                <c:pt idx="18">
                  <c:v>-22.208779503105593</c:v>
                </c:pt>
                <c:pt idx="19">
                  <c:v>-15.427465838509313</c:v>
                </c:pt>
                <c:pt idx="20">
                  <c:v>-10.405434782608696</c:v>
                </c:pt>
                <c:pt idx="21">
                  <c:v>-2.0565217391304351</c:v>
                </c:pt>
                <c:pt idx="22">
                  <c:v>-1.7874223602484469</c:v>
                </c:pt>
                <c:pt idx="23">
                  <c:v>-16.873791925465834</c:v>
                </c:pt>
                <c:pt idx="24">
                  <c:v>-4.8889751552795015</c:v>
                </c:pt>
                <c:pt idx="25">
                  <c:v>-7.3069875776397515</c:v>
                </c:pt>
                <c:pt idx="26">
                  <c:v>-2.976552795031056</c:v>
                </c:pt>
                <c:pt idx="27">
                  <c:v>-12.000257763975155</c:v>
                </c:pt>
                <c:pt idx="28">
                  <c:v>-11.438509316770187</c:v>
                </c:pt>
                <c:pt idx="29">
                  <c:v>-18.55422670807453</c:v>
                </c:pt>
                <c:pt idx="30">
                  <c:v>-10.843788819875774</c:v>
                </c:pt>
                <c:pt idx="31">
                  <c:v>-17.894236024844719</c:v>
                </c:pt>
                <c:pt idx="32">
                  <c:v>-24.447204968944099</c:v>
                </c:pt>
                <c:pt idx="33">
                  <c:v>-15.852931677018633</c:v>
                </c:pt>
                <c:pt idx="34">
                  <c:v>-17.290683229813663</c:v>
                </c:pt>
                <c:pt idx="35">
                  <c:v>-11.739388198757764</c:v>
                </c:pt>
                <c:pt idx="36">
                  <c:v>-10.153105590062109</c:v>
                </c:pt>
                <c:pt idx="37">
                  <c:v>-5.3324875776397525</c:v>
                </c:pt>
                <c:pt idx="38">
                  <c:v>-19.182919254658383</c:v>
                </c:pt>
                <c:pt idx="39">
                  <c:v>-16.278139751552793</c:v>
                </c:pt>
                <c:pt idx="40">
                  <c:v>-8.8372670807453417</c:v>
                </c:pt>
                <c:pt idx="41">
                  <c:v>-12.860559006211181</c:v>
                </c:pt>
                <c:pt idx="42">
                  <c:v>-14.739009316770183</c:v>
                </c:pt>
                <c:pt idx="43">
                  <c:v>-4.631366459627329</c:v>
                </c:pt>
                <c:pt idx="44">
                  <c:v>-23.805279503105588</c:v>
                </c:pt>
                <c:pt idx="45">
                  <c:v>-10.801552795031053</c:v>
                </c:pt>
                <c:pt idx="46">
                  <c:v>-8.953726708074532</c:v>
                </c:pt>
                <c:pt idx="47">
                  <c:v>-12.156211180124222</c:v>
                </c:pt>
                <c:pt idx="48">
                  <c:v>-17.671496894409938</c:v>
                </c:pt>
                <c:pt idx="49">
                  <c:v>-6.892701863354036</c:v>
                </c:pt>
                <c:pt idx="50">
                  <c:v>-4.6736024844720498</c:v>
                </c:pt>
                <c:pt idx="51">
                  <c:v>-16.945031055900621</c:v>
                </c:pt>
                <c:pt idx="52">
                  <c:v>-11.269875776397518</c:v>
                </c:pt>
                <c:pt idx="53">
                  <c:v>-19.103605590062109</c:v>
                </c:pt>
                <c:pt idx="54">
                  <c:v>-7.4732919254658379</c:v>
                </c:pt>
                <c:pt idx="55">
                  <c:v>-11.374844720496894</c:v>
                </c:pt>
                <c:pt idx="56">
                  <c:v>-15.297204968944099</c:v>
                </c:pt>
                <c:pt idx="57">
                  <c:v>-12.836801242236026</c:v>
                </c:pt>
                <c:pt idx="58">
                  <c:v>-8.204192546583851</c:v>
                </c:pt>
                <c:pt idx="59">
                  <c:v>-3.8922360248447205</c:v>
                </c:pt>
                <c:pt idx="60">
                  <c:v>-10.980434782608695</c:v>
                </c:pt>
                <c:pt idx="61">
                  <c:v>-10.955900621118012</c:v>
                </c:pt>
                <c:pt idx="62">
                  <c:v>-27.744720496894409</c:v>
                </c:pt>
                <c:pt idx="63">
                  <c:v>-8.613975155279503</c:v>
                </c:pt>
                <c:pt idx="64">
                  <c:v>-10.980434782608695</c:v>
                </c:pt>
                <c:pt idx="65">
                  <c:v>-36.760559006211182</c:v>
                </c:pt>
                <c:pt idx="66">
                  <c:v>-38.265217391304347</c:v>
                </c:pt>
                <c:pt idx="67">
                  <c:v>-6.1296583850931681</c:v>
                </c:pt>
                <c:pt idx="68">
                  <c:v>-31.447204968944103</c:v>
                </c:pt>
                <c:pt idx="69">
                  <c:v>-18.066770186335408</c:v>
                </c:pt>
                <c:pt idx="70">
                  <c:v>-18.532608695652179</c:v>
                </c:pt>
                <c:pt idx="71">
                  <c:v>-47.284661490683241</c:v>
                </c:pt>
                <c:pt idx="72">
                  <c:v>-39.977639751552807</c:v>
                </c:pt>
                <c:pt idx="73">
                  <c:v>-25.727639751552793</c:v>
                </c:pt>
                <c:pt idx="74">
                  <c:v>-25.393478260869568</c:v>
                </c:pt>
                <c:pt idx="75">
                  <c:v>-44.512922360248453</c:v>
                </c:pt>
                <c:pt idx="76">
                  <c:v>-32.004347826086956</c:v>
                </c:pt>
                <c:pt idx="77">
                  <c:v>-44.082608695652176</c:v>
                </c:pt>
                <c:pt idx="78">
                  <c:v>-15.357608695652175</c:v>
                </c:pt>
                <c:pt idx="79">
                  <c:v>-22.471118012422362</c:v>
                </c:pt>
                <c:pt idx="80">
                  <c:v>-18.331987577639755</c:v>
                </c:pt>
                <c:pt idx="81">
                  <c:v>-13.812422360248448</c:v>
                </c:pt>
                <c:pt idx="82">
                  <c:v>-2.1565217391304348</c:v>
                </c:pt>
                <c:pt idx="83">
                  <c:v>-11.817391304347826</c:v>
                </c:pt>
                <c:pt idx="84">
                  <c:v>-8.9096273291925474</c:v>
                </c:pt>
                <c:pt idx="85">
                  <c:v>-5.568944099378883</c:v>
                </c:pt>
                <c:pt idx="86">
                  <c:v>-18.72639751552795</c:v>
                </c:pt>
                <c:pt idx="87">
                  <c:v>-1.5751552795031052</c:v>
                </c:pt>
                <c:pt idx="88">
                  <c:v>-7.6015527950310569</c:v>
                </c:pt>
                <c:pt idx="89">
                  <c:v>-2.3815217391304344</c:v>
                </c:pt>
                <c:pt idx="90">
                  <c:v>-10.677639751552794</c:v>
                </c:pt>
                <c:pt idx="91">
                  <c:v>-17.679813664596274</c:v>
                </c:pt>
                <c:pt idx="92">
                  <c:v>-1.8701863354037278</c:v>
                </c:pt>
                <c:pt idx="93">
                  <c:v>-15.378416149068324</c:v>
                </c:pt>
                <c:pt idx="94">
                  <c:v>-12.084782608695653</c:v>
                </c:pt>
                <c:pt idx="95">
                  <c:v>-17.596583850931676</c:v>
                </c:pt>
                <c:pt idx="96">
                  <c:v>-12.38555900621118</c:v>
                </c:pt>
                <c:pt idx="97">
                  <c:v>-13.234161490683229</c:v>
                </c:pt>
                <c:pt idx="98">
                  <c:v>-9.8090062111801242</c:v>
                </c:pt>
                <c:pt idx="99">
                  <c:v>-1.5861801242236024</c:v>
                </c:pt>
                <c:pt idx="100">
                  <c:v>-13.912422360248447</c:v>
                </c:pt>
                <c:pt idx="101">
                  <c:v>-14.140683229813664</c:v>
                </c:pt>
                <c:pt idx="102">
                  <c:v>-5.7079192546583846</c:v>
                </c:pt>
                <c:pt idx="103">
                  <c:v>-10.841304347826087</c:v>
                </c:pt>
                <c:pt idx="104">
                  <c:v>-15.493478260869567</c:v>
                </c:pt>
                <c:pt idx="105">
                  <c:v>-14.66614906832298</c:v>
                </c:pt>
                <c:pt idx="106">
                  <c:v>-1.7489130434782607</c:v>
                </c:pt>
                <c:pt idx="107">
                  <c:v>-4.9656832298136644</c:v>
                </c:pt>
                <c:pt idx="108">
                  <c:v>-9.5260869565217412</c:v>
                </c:pt>
                <c:pt idx="109">
                  <c:v>-4.2086956521739127</c:v>
                </c:pt>
                <c:pt idx="110">
                  <c:v>-5.9554347826086955</c:v>
                </c:pt>
                <c:pt idx="111">
                  <c:v>-7.0413043478260873</c:v>
                </c:pt>
                <c:pt idx="112">
                  <c:v>-4.0428571428571436</c:v>
                </c:pt>
                <c:pt idx="113">
                  <c:v>-8.2717391304347849</c:v>
                </c:pt>
                <c:pt idx="114">
                  <c:v>-2.1586956521739129</c:v>
                </c:pt>
                <c:pt idx="115">
                  <c:v>-0.94021739130434778</c:v>
                </c:pt>
                <c:pt idx="116">
                  <c:v>-2.4</c:v>
                </c:pt>
                <c:pt idx="117">
                  <c:v>-7.3630434782608685</c:v>
                </c:pt>
                <c:pt idx="118">
                  <c:v>-7.3695652173913047</c:v>
                </c:pt>
                <c:pt idx="119">
                  <c:v>-4.6880434782608704</c:v>
                </c:pt>
                <c:pt idx="120">
                  <c:v>-3.2336956521739131</c:v>
                </c:pt>
                <c:pt idx="121">
                  <c:v>-5.0065217391304353</c:v>
                </c:pt>
                <c:pt idx="122">
                  <c:v>-23.743478260869566</c:v>
                </c:pt>
                <c:pt idx="123">
                  <c:v>-29.852173913043476</c:v>
                </c:pt>
                <c:pt idx="124">
                  <c:v>-42.923913043478265</c:v>
                </c:pt>
                <c:pt idx="125">
                  <c:v>-56.449999999999996</c:v>
                </c:pt>
                <c:pt idx="126">
                  <c:v>-23.432608695652178</c:v>
                </c:pt>
                <c:pt idx="127">
                  <c:v>-29.304347826086953</c:v>
                </c:pt>
                <c:pt idx="128">
                  <c:v>-42.647826086956528</c:v>
                </c:pt>
                <c:pt idx="129">
                  <c:v>-55.7</c:v>
                </c:pt>
                <c:pt idx="130">
                  <c:v>-21.052173913043479</c:v>
                </c:pt>
                <c:pt idx="131">
                  <c:v>-26.415217391304349</c:v>
                </c:pt>
                <c:pt idx="132">
                  <c:v>-38.341304347826089</c:v>
                </c:pt>
                <c:pt idx="133">
                  <c:v>-49.92173913043478</c:v>
                </c:pt>
                <c:pt idx="134">
                  <c:v>-27.086956521739129</c:v>
                </c:pt>
                <c:pt idx="135">
                  <c:v>-33.704347826086959</c:v>
                </c:pt>
                <c:pt idx="136">
                  <c:v>-49.156521739130433</c:v>
                </c:pt>
                <c:pt idx="137">
                  <c:v>-64.500000000000014</c:v>
                </c:pt>
                <c:pt idx="138">
                  <c:v>-24.997826086956522</c:v>
                </c:pt>
                <c:pt idx="139">
                  <c:v>-31.160869565217396</c:v>
                </c:pt>
                <c:pt idx="140">
                  <c:v>-45.08695652173914</c:v>
                </c:pt>
                <c:pt idx="141">
                  <c:v>-59.41304347826086</c:v>
                </c:pt>
                <c:pt idx="142">
                  <c:v>-25.052173913043475</c:v>
                </c:pt>
                <c:pt idx="143">
                  <c:v>-31.560869565217395</c:v>
                </c:pt>
                <c:pt idx="144">
                  <c:v>-45.541304347826092</c:v>
                </c:pt>
                <c:pt idx="145">
                  <c:v>-59.867391304347827</c:v>
                </c:pt>
                <c:pt idx="146">
                  <c:v>-24.815217391304348</c:v>
                </c:pt>
                <c:pt idx="147">
                  <c:v>-31.032608695652179</c:v>
                </c:pt>
                <c:pt idx="148">
                  <c:v>-45.067391304347836</c:v>
                </c:pt>
                <c:pt idx="149">
                  <c:v>-59.156521739130433</c:v>
                </c:pt>
                <c:pt idx="150">
                  <c:v>-0.65217391304347827</c:v>
                </c:pt>
                <c:pt idx="151">
                  <c:v>-0.76086956521739135</c:v>
                </c:pt>
                <c:pt idx="152">
                  <c:v>-1.1413043478260869</c:v>
                </c:pt>
                <c:pt idx="153">
                  <c:v>-1.4673913043478262</c:v>
                </c:pt>
                <c:pt idx="154">
                  <c:v>-13.999999999999998</c:v>
                </c:pt>
                <c:pt idx="155">
                  <c:v>-19.600000000000001</c:v>
                </c:pt>
                <c:pt idx="156">
                  <c:v>-28.4</c:v>
                </c:pt>
                <c:pt idx="157">
                  <c:v>-8.2717391304347849</c:v>
                </c:pt>
                <c:pt idx="158">
                  <c:v>-14.543478260869563</c:v>
                </c:pt>
                <c:pt idx="159">
                  <c:v>-0.61739130434782474</c:v>
                </c:pt>
                <c:pt idx="160">
                  <c:v>-1.7369565217391294</c:v>
                </c:pt>
                <c:pt idx="161">
                  <c:v>-0.44130434782608674</c:v>
                </c:pt>
                <c:pt idx="162">
                  <c:v>-0.40652173913043521</c:v>
                </c:pt>
                <c:pt idx="163">
                  <c:v>-1.9152173913043473</c:v>
                </c:pt>
                <c:pt idx="164">
                  <c:v>-1.0010869565217391</c:v>
                </c:pt>
                <c:pt idx="165">
                  <c:v>-5.4204968944099363</c:v>
                </c:pt>
                <c:pt idx="166">
                  <c:v>-0.85760869565217401</c:v>
                </c:pt>
                <c:pt idx="167">
                  <c:v>-2.5836956521739127</c:v>
                </c:pt>
                <c:pt idx="168">
                  <c:v>-2.2917701863354036</c:v>
                </c:pt>
                <c:pt idx="169">
                  <c:v>-6.4743788819875787</c:v>
                </c:pt>
                <c:pt idx="170">
                  <c:v>-4.1163043478260875</c:v>
                </c:pt>
                <c:pt idx="171">
                  <c:v>-2.6304347826086949</c:v>
                </c:pt>
                <c:pt idx="172">
                  <c:v>-0.67111801242236035</c:v>
                </c:pt>
                <c:pt idx="173">
                  <c:v>-5.3771739130434781</c:v>
                </c:pt>
                <c:pt idx="174">
                  <c:v>-3.3304347826086955</c:v>
                </c:pt>
                <c:pt idx="175">
                  <c:v>-2.7830745341614906</c:v>
                </c:pt>
                <c:pt idx="176">
                  <c:v>-18.084627329192546</c:v>
                </c:pt>
                <c:pt idx="177">
                  <c:v>-6.8591614906832286</c:v>
                </c:pt>
                <c:pt idx="178">
                  <c:v>-4.3336956521739136</c:v>
                </c:pt>
                <c:pt idx="179">
                  <c:v>5.5900621118011307E-3</c:v>
                </c:pt>
                <c:pt idx="180">
                  <c:v>-4.8695652173913038</c:v>
                </c:pt>
                <c:pt idx="181">
                  <c:v>-7.0000000000000009</c:v>
                </c:pt>
                <c:pt idx="182">
                  <c:v>-0.88043478260869534</c:v>
                </c:pt>
                <c:pt idx="183">
                  <c:v>-2.739130434782608</c:v>
                </c:pt>
                <c:pt idx="184">
                  <c:v>-2.1956521739130426</c:v>
                </c:pt>
                <c:pt idx="185">
                  <c:v>-2.7793478260869566</c:v>
                </c:pt>
                <c:pt idx="186">
                  <c:v>-8.3652173913043484</c:v>
                </c:pt>
                <c:pt idx="187">
                  <c:v>-10.3444099378882</c:v>
                </c:pt>
                <c:pt idx="188">
                  <c:v>-35.522049689440991</c:v>
                </c:pt>
                <c:pt idx="189">
                  <c:v>-19.503726708074531</c:v>
                </c:pt>
                <c:pt idx="190">
                  <c:v>-10.063509316770183</c:v>
                </c:pt>
                <c:pt idx="191">
                  <c:v>-10.392391304347825</c:v>
                </c:pt>
                <c:pt idx="192">
                  <c:v>-2.7445652173913038</c:v>
                </c:pt>
                <c:pt idx="193">
                  <c:v>-3.1326086956521735</c:v>
                </c:pt>
                <c:pt idx="194">
                  <c:v>-7.2944099378881955</c:v>
                </c:pt>
                <c:pt idx="195">
                  <c:v>-5.7439440993788837</c:v>
                </c:pt>
                <c:pt idx="196">
                  <c:v>-14.104347826086958</c:v>
                </c:pt>
                <c:pt idx="197">
                  <c:v>-4.0113354037267088</c:v>
                </c:pt>
                <c:pt idx="198">
                  <c:v>-14.896739130434781</c:v>
                </c:pt>
                <c:pt idx="199">
                  <c:v>-5.4069875776397511</c:v>
                </c:pt>
                <c:pt idx="200">
                  <c:v>-10.022826086956522</c:v>
                </c:pt>
                <c:pt idx="201">
                  <c:v>-12.173291925465836</c:v>
                </c:pt>
                <c:pt idx="202">
                  <c:v>-3.6249999999999996</c:v>
                </c:pt>
                <c:pt idx="203">
                  <c:v>-7.2548136645962726</c:v>
                </c:pt>
                <c:pt idx="204">
                  <c:v>-7.1243788819875773</c:v>
                </c:pt>
                <c:pt idx="205">
                  <c:v>-3.5591614906832296</c:v>
                </c:pt>
                <c:pt idx="206">
                  <c:v>-12.346739130434781</c:v>
                </c:pt>
                <c:pt idx="207">
                  <c:v>-9.6170807453416121</c:v>
                </c:pt>
                <c:pt idx="208">
                  <c:v>-4.0787267080745346</c:v>
                </c:pt>
                <c:pt idx="209">
                  <c:v>-7.9363354037267095</c:v>
                </c:pt>
                <c:pt idx="210">
                  <c:v>-7.6591614906832293</c:v>
                </c:pt>
                <c:pt idx="211">
                  <c:v>-14.918322981366458</c:v>
                </c:pt>
                <c:pt idx="212">
                  <c:v>-6.1841614906832278</c:v>
                </c:pt>
                <c:pt idx="213">
                  <c:v>-7.5998447204968942</c:v>
                </c:pt>
                <c:pt idx="214">
                  <c:v>-2.3894409937888197</c:v>
                </c:pt>
                <c:pt idx="215">
                  <c:v>-1.9999999999999998</c:v>
                </c:pt>
                <c:pt idx="216">
                  <c:v>-19.571739130434786</c:v>
                </c:pt>
                <c:pt idx="217">
                  <c:v>-6.5888881987577639</c:v>
                </c:pt>
                <c:pt idx="218">
                  <c:v>-6.2309006211180131</c:v>
                </c:pt>
                <c:pt idx="219">
                  <c:v>1.1913043478260872</c:v>
                </c:pt>
                <c:pt idx="220">
                  <c:v>-20.500621118012425</c:v>
                </c:pt>
                <c:pt idx="221">
                  <c:v>-4.6950310559006221</c:v>
                </c:pt>
                <c:pt idx="222">
                  <c:v>-8.368322981366461</c:v>
                </c:pt>
                <c:pt idx="223">
                  <c:v>-23.444720496894412</c:v>
                </c:pt>
                <c:pt idx="224">
                  <c:v>-1.0673913043478263</c:v>
                </c:pt>
                <c:pt idx="225">
                  <c:v>-8.3280186335403723</c:v>
                </c:pt>
                <c:pt idx="226">
                  <c:v>9.4099378881987494E-2</c:v>
                </c:pt>
                <c:pt idx="227">
                  <c:v>-8.5714285714285632E-2</c:v>
                </c:pt>
                <c:pt idx="228">
                  <c:v>0.31428571428571428</c:v>
                </c:pt>
                <c:pt idx="229">
                  <c:v>-5.0565217391304342</c:v>
                </c:pt>
                <c:pt idx="230">
                  <c:v>-4.9450310559006221</c:v>
                </c:pt>
                <c:pt idx="231">
                  <c:v>-6.0200310559006223</c:v>
                </c:pt>
                <c:pt idx="232">
                  <c:v>-25.259316770186334</c:v>
                </c:pt>
                <c:pt idx="233">
                  <c:v>-12.133229813664599</c:v>
                </c:pt>
                <c:pt idx="234">
                  <c:v>-2.9548136645962733</c:v>
                </c:pt>
                <c:pt idx="235">
                  <c:v>-12.627639751552795</c:v>
                </c:pt>
                <c:pt idx="236">
                  <c:v>-10.385093167701864</c:v>
                </c:pt>
                <c:pt idx="237">
                  <c:v>-26.848757763975158</c:v>
                </c:pt>
                <c:pt idx="238">
                  <c:v>-6.7836956521739138</c:v>
                </c:pt>
                <c:pt idx="239">
                  <c:v>-13.340062111801243</c:v>
                </c:pt>
                <c:pt idx="240">
                  <c:v>-13.218944099378881</c:v>
                </c:pt>
                <c:pt idx="241">
                  <c:v>-12.925465838509316</c:v>
                </c:pt>
                <c:pt idx="242">
                  <c:v>-15.733074534161485</c:v>
                </c:pt>
                <c:pt idx="243">
                  <c:v>-14.925000000000001</c:v>
                </c:pt>
                <c:pt idx="244">
                  <c:v>-9.9478260869565229</c:v>
                </c:pt>
                <c:pt idx="245">
                  <c:v>-6.5467391304347817</c:v>
                </c:pt>
                <c:pt idx="246">
                  <c:v>-5.7537267080745345</c:v>
                </c:pt>
                <c:pt idx="247">
                  <c:v>-7.5195652173913041</c:v>
                </c:pt>
                <c:pt idx="248">
                  <c:v>-6.802173913043478</c:v>
                </c:pt>
                <c:pt idx="249">
                  <c:v>-15.32111801242236</c:v>
                </c:pt>
                <c:pt idx="250">
                  <c:v>-18.032608695652172</c:v>
                </c:pt>
                <c:pt idx="251">
                  <c:v>-23.035869565217389</c:v>
                </c:pt>
                <c:pt idx="252">
                  <c:v>-4.8279503105590065</c:v>
                </c:pt>
                <c:pt idx="253">
                  <c:v>-4.3628881987577639</c:v>
                </c:pt>
                <c:pt idx="254">
                  <c:v>-3.2913043478260868</c:v>
                </c:pt>
                <c:pt idx="255">
                  <c:v>-5.9434782608695658</c:v>
                </c:pt>
                <c:pt idx="256">
                  <c:v>-6.0304347826086957</c:v>
                </c:pt>
                <c:pt idx="257">
                  <c:v>-0.75543478260869568</c:v>
                </c:pt>
                <c:pt idx="258">
                  <c:v>-2.9086956521739133</c:v>
                </c:pt>
                <c:pt idx="259">
                  <c:v>-4.0793478260869565</c:v>
                </c:pt>
                <c:pt idx="260">
                  <c:v>-2.0000000000000004</c:v>
                </c:pt>
                <c:pt idx="261">
                  <c:v>-5.1173913043478265</c:v>
                </c:pt>
                <c:pt idx="262">
                  <c:v>-4.2228260869565215</c:v>
                </c:pt>
                <c:pt idx="263">
                  <c:v>-0.21739130434782608</c:v>
                </c:pt>
                <c:pt idx="264">
                  <c:v>-3.633695652173913</c:v>
                </c:pt>
                <c:pt idx="265">
                  <c:v>-2.4</c:v>
                </c:pt>
                <c:pt idx="266">
                  <c:v>-8.2717391304347849</c:v>
                </c:pt>
                <c:pt idx="267">
                  <c:v>-2.842857142857143</c:v>
                </c:pt>
                <c:pt idx="268">
                  <c:v>-14.543478260869563</c:v>
                </c:pt>
                <c:pt idx="269">
                  <c:v>-19.160869565217393</c:v>
                </c:pt>
                <c:pt idx="270">
                  <c:v>-24.123913043478261</c:v>
                </c:pt>
                <c:pt idx="271">
                  <c:v>-36.158695652173918</c:v>
                </c:pt>
                <c:pt idx="272">
                  <c:v>-99.678260869565207</c:v>
                </c:pt>
                <c:pt idx="273">
                  <c:v>-16.613043478260874</c:v>
                </c:pt>
                <c:pt idx="274">
                  <c:v>-18.943478260869568</c:v>
                </c:pt>
                <c:pt idx="275">
                  <c:v>-25.506521739130434</c:v>
                </c:pt>
                <c:pt idx="276">
                  <c:v>-31.723913043478266</c:v>
                </c:pt>
                <c:pt idx="277">
                  <c:v>-47.358695652173914</c:v>
                </c:pt>
                <c:pt idx="278">
                  <c:v>-0.59782608695652173</c:v>
                </c:pt>
                <c:pt idx="279">
                  <c:v>-0.81521739130434778</c:v>
                </c:pt>
                <c:pt idx="280">
                  <c:v>-1.3782608695652177</c:v>
                </c:pt>
                <c:pt idx="281">
                  <c:v>-1.9217391304347826</c:v>
                </c:pt>
                <c:pt idx="282">
                  <c:v>-15.689130434782612</c:v>
                </c:pt>
                <c:pt idx="283">
                  <c:v>-21.052173913043479</c:v>
                </c:pt>
                <c:pt idx="284">
                  <c:v>-26.415217391304349</c:v>
                </c:pt>
                <c:pt idx="285">
                  <c:v>-39.595652173913045</c:v>
                </c:pt>
                <c:pt idx="286">
                  <c:v>-9.234782608695653</c:v>
                </c:pt>
                <c:pt idx="287">
                  <c:v>-12.197826086956521</c:v>
                </c:pt>
                <c:pt idx="288">
                  <c:v>-15.160869565217389</c:v>
                </c:pt>
                <c:pt idx="289">
                  <c:v>-22.741304347826087</c:v>
                </c:pt>
                <c:pt idx="290">
                  <c:v>-8.4891304347826111</c:v>
                </c:pt>
                <c:pt idx="291">
                  <c:v>-10.997826086956522</c:v>
                </c:pt>
                <c:pt idx="292">
                  <c:v>-13.960869565217392</c:v>
                </c:pt>
                <c:pt idx="293">
                  <c:v>-20.795652173913044</c:v>
                </c:pt>
                <c:pt idx="294">
                  <c:v>-8.8891304347826097</c:v>
                </c:pt>
                <c:pt idx="295">
                  <c:v>-12.306521739130435</c:v>
                </c:pt>
                <c:pt idx="296">
                  <c:v>-15.269565217391303</c:v>
                </c:pt>
                <c:pt idx="297">
                  <c:v>-22.904347826086958</c:v>
                </c:pt>
                <c:pt idx="298">
                  <c:v>-17.180434782608696</c:v>
                </c:pt>
                <c:pt idx="299">
                  <c:v>-23.289130434782606</c:v>
                </c:pt>
                <c:pt idx="300">
                  <c:v>-28.997826086956522</c:v>
                </c:pt>
                <c:pt idx="301">
                  <c:v>-43.26956521739131</c:v>
                </c:pt>
                <c:pt idx="302">
                  <c:v>-18.360869565217392</c:v>
                </c:pt>
                <c:pt idx="303">
                  <c:v>-24.232608695652175</c:v>
                </c:pt>
                <c:pt idx="304">
                  <c:v>-30.504347826086956</c:v>
                </c:pt>
                <c:pt idx="305">
                  <c:v>-45.556521739130446</c:v>
                </c:pt>
                <c:pt idx="306">
                  <c:v>-16.780434782608697</c:v>
                </c:pt>
                <c:pt idx="307">
                  <c:v>-22.089130434782611</c:v>
                </c:pt>
                <c:pt idx="308">
                  <c:v>-27.797826086956526</c:v>
                </c:pt>
                <c:pt idx="309">
                  <c:v>-41.26956521739131</c:v>
                </c:pt>
                <c:pt idx="310">
                  <c:v>-12.065217391304348</c:v>
                </c:pt>
                <c:pt idx="311">
                  <c:v>-18.143478260869568</c:v>
                </c:pt>
                <c:pt idx="312">
                  <c:v>-23.96086956521739</c:v>
                </c:pt>
                <c:pt idx="313">
                  <c:v>-30.123913043478261</c:v>
                </c:pt>
                <c:pt idx="314">
                  <c:v>-44.958695652173922</c:v>
                </c:pt>
                <c:pt idx="315">
                  <c:v>-16.089130434782611</c:v>
                </c:pt>
                <c:pt idx="316">
                  <c:v>-21.452173913043477</c:v>
                </c:pt>
                <c:pt idx="317">
                  <c:v>-26.815217391304348</c:v>
                </c:pt>
                <c:pt idx="318">
                  <c:v>-40.395652173913049</c:v>
                </c:pt>
                <c:pt idx="319">
                  <c:v>-1.0326086956521738</c:v>
                </c:pt>
                <c:pt idx="320">
                  <c:v>-16.72608695652174</c:v>
                </c:pt>
                <c:pt idx="321">
                  <c:v>-22.489130434782613</c:v>
                </c:pt>
                <c:pt idx="322">
                  <c:v>-28.197826086956521</c:v>
                </c:pt>
                <c:pt idx="323">
                  <c:v>-42.069565217391307</c:v>
                </c:pt>
                <c:pt idx="324">
                  <c:v>-1.3043478260869565</c:v>
                </c:pt>
                <c:pt idx="325">
                  <c:v>-114.18695652173913</c:v>
                </c:pt>
                <c:pt idx="326">
                  <c:v>-19.013043478260872</c:v>
                </c:pt>
                <c:pt idx="327">
                  <c:v>-18.380434782608699</c:v>
                </c:pt>
                <c:pt idx="328">
                  <c:v>-24.489130434782609</c:v>
                </c:pt>
                <c:pt idx="329">
                  <c:v>-30.65217391304348</c:v>
                </c:pt>
                <c:pt idx="330">
                  <c:v>-45.778260869565223</c:v>
                </c:pt>
                <c:pt idx="331">
                  <c:v>-3.804347826086957</c:v>
                </c:pt>
                <c:pt idx="332">
                  <c:v>-17.739130434782613</c:v>
                </c:pt>
                <c:pt idx="333">
                  <c:v>-23.482608695652175</c:v>
                </c:pt>
                <c:pt idx="334">
                  <c:v>-29.626086956521739</c:v>
                </c:pt>
                <c:pt idx="335">
                  <c:v>-44.239130434782609</c:v>
                </c:pt>
                <c:pt idx="336">
                  <c:v>-18.780434782608697</c:v>
                </c:pt>
                <c:pt idx="337">
                  <c:v>-24.943478260869565</c:v>
                </c:pt>
                <c:pt idx="338">
                  <c:v>-31.052173913043482</c:v>
                </c:pt>
                <c:pt idx="339">
                  <c:v>-46.578260869565213</c:v>
                </c:pt>
                <c:pt idx="340">
                  <c:v>-17.126086956521739</c:v>
                </c:pt>
                <c:pt idx="341">
                  <c:v>-22.834782608695654</c:v>
                </c:pt>
                <c:pt idx="342">
                  <c:v>-28.543478260869563</c:v>
                </c:pt>
                <c:pt idx="343">
                  <c:v>-42.869565217391312</c:v>
                </c:pt>
                <c:pt idx="344">
                  <c:v>-5.3524844720496887</c:v>
                </c:pt>
                <c:pt idx="345">
                  <c:v>-6.3068322981366469</c:v>
                </c:pt>
                <c:pt idx="346">
                  <c:v>-3.3239130434782602</c:v>
                </c:pt>
                <c:pt idx="347">
                  <c:v>-4.3956521739130441</c:v>
                </c:pt>
                <c:pt idx="348">
                  <c:v>-4.8130434782608704</c:v>
                </c:pt>
                <c:pt idx="349">
                  <c:v>-4.6500000000000004</c:v>
                </c:pt>
                <c:pt idx="350">
                  <c:v>-6.5391304347826082</c:v>
                </c:pt>
                <c:pt idx="351">
                  <c:v>-3.2869565217391301</c:v>
                </c:pt>
                <c:pt idx="352">
                  <c:v>-4.0130434782608706</c:v>
                </c:pt>
                <c:pt idx="353">
                  <c:v>-4.4304347826086961</c:v>
                </c:pt>
                <c:pt idx="354">
                  <c:v>-5.1391304347826088</c:v>
                </c:pt>
                <c:pt idx="355">
                  <c:v>-5.8652173913043475</c:v>
                </c:pt>
                <c:pt idx="356">
                  <c:v>-2.5608695652173914</c:v>
                </c:pt>
                <c:pt idx="357">
                  <c:v>-3.3782608695652172</c:v>
                </c:pt>
                <c:pt idx="358">
                  <c:v>-4.1413043478260869</c:v>
                </c:pt>
                <c:pt idx="359">
                  <c:v>-2.1239130434782609</c:v>
                </c:pt>
                <c:pt idx="360">
                  <c:v>-2.4869565217391303</c:v>
                </c:pt>
                <c:pt idx="361">
                  <c:v>-3.4130434782608701</c:v>
                </c:pt>
                <c:pt idx="362">
                  <c:v>-7.4419254658385103</c:v>
                </c:pt>
                <c:pt idx="363">
                  <c:v>-5.5217391304347831</c:v>
                </c:pt>
                <c:pt idx="364">
                  <c:v>-4.4130434782608692</c:v>
                </c:pt>
                <c:pt idx="365">
                  <c:v>-7.5909937888198744</c:v>
                </c:pt>
                <c:pt idx="366">
                  <c:v>-4.9336956521739133</c:v>
                </c:pt>
                <c:pt idx="367">
                  <c:v>-6.3840062111801243</c:v>
                </c:pt>
                <c:pt idx="368">
                  <c:v>-7.5720496894409965</c:v>
                </c:pt>
                <c:pt idx="369">
                  <c:v>-1.7100931677018634</c:v>
                </c:pt>
                <c:pt idx="370">
                  <c:v>-7.975776397515526</c:v>
                </c:pt>
                <c:pt idx="371">
                  <c:v>-5.7844720496894411</c:v>
                </c:pt>
                <c:pt idx="372">
                  <c:v>-7.2135093167701863</c:v>
                </c:pt>
                <c:pt idx="373">
                  <c:v>-7.9395962732919267</c:v>
                </c:pt>
                <c:pt idx="374">
                  <c:v>-6.8645962732919275</c:v>
                </c:pt>
                <c:pt idx="375">
                  <c:v>-12.681071428571432</c:v>
                </c:pt>
                <c:pt idx="376">
                  <c:v>-2.8644409937888193</c:v>
                </c:pt>
                <c:pt idx="377">
                  <c:v>-8.4571428571428591</c:v>
                </c:pt>
                <c:pt idx="378">
                  <c:v>-9.1885093167701868</c:v>
                </c:pt>
                <c:pt idx="379">
                  <c:v>-7.0487577639751544</c:v>
                </c:pt>
                <c:pt idx="380">
                  <c:v>-3.7445652173913038</c:v>
                </c:pt>
                <c:pt idx="381">
                  <c:v>-12.160869565217389</c:v>
                </c:pt>
                <c:pt idx="382">
                  <c:v>-7.2532608695652181</c:v>
                </c:pt>
                <c:pt idx="383">
                  <c:v>-9.940819875776393</c:v>
                </c:pt>
                <c:pt idx="384">
                  <c:v>-5.0663043478260867</c:v>
                </c:pt>
                <c:pt idx="385">
                  <c:v>-21.523428571428571</c:v>
                </c:pt>
                <c:pt idx="386">
                  <c:v>-12.664854037267078</c:v>
                </c:pt>
                <c:pt idx="387">
                  <c:v>-12.337214285714287</c:v>
                </c:pt>
                <c:pt idx="388">
                  <c:v>-9.6867142857142863</c:v>
                </c:pt>
                <c:pt idx="389">
                  <c:v>-22.429950310559011</c:v>
                </c:pt>
                <c:pt idx="390">
                  <c:v>-6.1130434782608702</c:v>
                </c:pt>
                <c:pt idx="391">
                  <c:v>-6.6565217391304348</c:v>
                </c:pt>
                <c:pt idx="392">
                  <c:v>-3.2913043478260864</c:v>
                </c:pt>
                <c:pt idx="393">
                  <c:v>-4.2880434782608701</c:v>
                </c:pt>
                <c:pt idx="394">
                  <c:v>-11.032987577639751</c:v>
                </c:pt>
                <c:pt idx="395">
                  <c:v>-4.9586956521739136</c:v>
                </c:pt>
                <c:pt idx="396">
                  <c:v>-17.051689440993787</c:v>
                </c:pt>
                <c:pt idx="397">
                  <c:v>-5.0663043478260867</c:v>
                </c:pt>
                <c:pt idx="398">
                  <c:v>-5.6641304347826082</c:v>
                </c:pt>
                <c:pt idx="399">
                  <c:v>-9.9148540372670801</c:v>
                </c:pt>
                <c:pt idx="400">
                  <c:v>-9.848291925465837</c:v>
                </c:pt>
                <c:pt idx="401">
                  <c:v>-11.865596273291928</c:v>
                </c:pt>
                <c:pt idx="402">
                  <c:v>-7.5804347826086955</c:v>
                </c:pt>
                <c:pt idx="403">
                  <c:v>-7.1561583850931694</c:v>
                </c:pt>
                <c:pt idx="404">
                  <c:v>-6.1219968944099383</c:v>
                </c:pt>
                <c:pt idx="405">
                  <c:v>-8.6020186335403732</c:v>
                </c:pt>
                <c:pt idx="406">
                  <c:v>-8.3383881987577659</c:v>
                </c:pt>
                <c:pt idx="407">
                  <c:v>-11.922049689440994</c:v>
                </c:pt>
                <c:pt idx="408">
                  <c:v>-11.662267080745341</c:v>
                </c:pt>
                <c:pt idx="409">
                  <c:v>-0.35155279503105602</c:v>
                </c:pt>
                <c:pt idx="410">
                  <c:v>-15.303484472049691</c:v>
                </c:pt>
                <c:pt idx="411">
                  <c:v>-4.3239130434782602</c:v>
                </c:pt>
                <c:pt idx="412">
                  <c:v>-6.3130434782608704</c:v>
                </c:pt>
                <c:pt idx="413">
                  <c:v>-3.6913043478260867</c:v>
                </c:pt>
                <c:pt idx="414">
                  <c:v>-4.6880434782608686</c:v>
                </c:pt>
                <c:pt idx="415">
                  <c:v>-5.6804347826086961</c:v>
                </c:pt>
                <c:pt idx="416">
                  <c:v>-2.9315217391304351</c:v>
                </c:pt>
                <c:pt idx="417">
                  <c:v>-4.8663043478260875</c:v>
                </c:pt>
                <c:pt idx="418">
                  <c:v>-2.3695652173913042</c:v>
                </c:pt>
                <c:pt idx="419">
                  <c:v>-9.7480838509316765</c:v>
                </c:pt>
                <c:pt idx="420">
                  <c:v>-7.8613354037267085</c:v>
                </c:pt>
                <c:pt idx="421">
                  <c:v>-5.8133881987577647</c:v>
                </c:pt>
                <c:pt idx="422">
                  <c:v>-2.255900621118013</c:v>
                </c:pt>
                <c:pt idx="423">
                  <c:v>-9.7644409937888224</c:v>
                </c:pt>
                <c:pt idx="424">
                  <c:v>-5.9183229813664591</c:v>
                </c:pt>
                <c:pt idx="425">
                  <c:v>-8.3857142857142879</c:v>
                </c:pt>
                <c:pt idx="426">
                  <c:v>-3.6624223602484478</c:v>
                </c:pt>
                <c:pt idx="427">
                  <c:v>-11.760714285714286</c:v>
                </c:pt>
                <c:pt idx="428">
                  <c:v>-11.334419254658384</c:v>
                </c:pt>
                <c:pt idx="429">
                  <c:v>-7.093857142857142</c:v>
                </c:pt>
                <c:pt idx="430">
                  <c:v>0.63214285714285712</c:v>
                </c:pt>
                <c:pt idx="431">
                  <c:v>-13.737767080745343</c:v>
                </c:pt>
                <c:pt idx="432">
                  <c:v>-12.080745341614907</c:v>
                </c:pt>
                <c:pt idx="433">
                  <c:v>-1.1875776397515527</c:v>
                </c:pt>
                <c:pt idx="434">
                  <c:v>-13.309506211180123</c:v>
                </c:pt>
                <c:pt idx="435">
                  <c:v>-19.451086956521742</c:v>
                </c:pt>
                <c:pt idx="436">
                  <c:v>-8.0461180124223581</c:v>
                </c:pt>
                <c:pt idx="437">
                  <c:v>-8.3722049689440983</c:v>
                </c:pt>
                <c:pt idx="438">
                  <c:v>-11.911801242236027</c:v>
                </c:pt>
                <c:pt idx="439">
                  <c:v>-7.5722049689441002</c:v>
                </c:pt>
                <c:pt idx="440">
                  <c:v>-14.630434782608694</c:v>
                </c:pt>
                <c:pt idx="441">
                  <c:v>-23.992391304347823</c:v>
                </c:pt>
                <c:pt idx="442">
                  <c:v>-18.156521739130437</c:v>
                </c:pt>
                <c:pt idx="443">
                  <c:v>-17.850000000000001</c:v>
                </c:pt>
                <c:pt idx="444">
                  <c:v>-17.850000000000001</c:v>
                </c:pt>
                <c:pt idx="445">
                  <c:v>-8.8145962732919259</c:v>
                </c:pt>
                <c:pt idx="446">
                  <c:v>-13.272826086956522</c:v>
                </c:pt>
                <c:pt idx="447">
                  <c:v>-6.1172360248447211</c:v>
                </c:pt>
                <c:pt idx="448">
                  <c:v>-8.2574534161490689</c:v>
                </c:pt>
                <c:pt idx="449">
                  <c:v>-14.432608695652172</c:v>
                </c:pt>
                <c:pt idx="450">
                  <c:v>-14.432608695652172</c:v>
                </c:pt>
                <c:pt idx="451">
                  <c:v>-21.591304347826089</c:v>
                </c:pt>
                <c:pt idx="452">
                  <c:v>-21.467391304347828</c:v>
                </c:pt>
                <c:pt idx="453">
                  <c:v>-21.467391304347828</c:v>
                </c:pt>
                <c:pt idx="454">
                  <c:v>-8.524844720496894</c:v>
                </c:pt>
                <c:pt idx="455">
                  <c:v>-15.73509316770186</c:v>
                </c:pt>
                <c:pt idx="456">
                  <c:v>-14.865217391304348</c:v>
                </c:pt>
                <c:pt idx="457">
                  <c:v>-16.198913043478264</c:v>
                </c:pt>
                <c:pt idx="458">
                  <c:v>-19.300000000000004</c:v>
                </c:pt>
                <c:pt idx="459">
                  <c:v>-13.400310559006211</c:v>
                </c:pt>
                <c:pt idx="460">
                  <c:v>-13.0944099378882</c:v>
                </c:pt>
                <c:pt idx="461">
                  <c:v>-16.350931677018632</c:v>
                </c:pt>
                <c:pt idx="462">
                  <c:v>-19.068322981366457</c:v>
                </c:pt>
                <c:pt idx="463">
                  <c:v>-19.540217391304349</c:v>
                </c:pt>
                <c:pt idx="464">
                  <c:v>-12.703105590062112</c:v>
                </c:pt>
                <c:pt idx="465">
                  <c:v>-16.932298136645962</c:v>
                </c:pt>
                <c:pt idx="466">
                  <c:v>-0.76459627329192559</c:v>
                </c:pt>
                <c:pt idx="467">
                  <c:v>-13.104347826086958</c:v>
                </c:pt>
                <c:pt idx="468">
                  <c:v>-13.360869565217392</c:v>
                </c:pt>
                <c:pt idx="469">
                  <c:v>-13.360869565217392</c:v>
                </c:pt>
                <c:pt idx="470">
                  <c:v>-13.104347826086958</c:v>
                </c:pt>
                <c:pt idx="471">
                  <c:v>-12.960869565217392</c:v>
                </c:pt>
                <c:pt idx="472">
                  <c:v>-12.960869565217392</c:v>
                </c:pt>
                <c:pt idx="473">
                  <c:v>-25.576708074534167</c:v>
                </c:pt>
                <c:pt idx="474">
                  <c:v>-15.471739130434782</c:v>
                </c:pt>
                <c:pt idx="475">
                  <c:v>-14.191614906832296</c:v>
                </c:pt>
                <c:pt idx="476">
                  <c:v>-16.830434782608698</c:v>
                </c:pt>
                <c:pt idx="477">
                  <c:v>-16.978260869565222</c:v>
                </c:pt>
                <c:pt idx="478">
                  <c:v>-16.57826086956522</c:v>
                </c:pt>
                <c:pt idx="479">
                  <c:v>-16.4304347826087</c:v>
                </c:pt>
                <c:pt idx="480">
                  <c:v>-16.469565217391306</c:v>
                </c:pt>
                <c:pt idx="481">
                  <c:v>-16.123913043478264</c:v>
                </c:pt>
                <c:pt idx="482">
                  <c:v>-26.665217391304349</c:v>
                </c:pt>
                <c:pt idx="483">
                  <c:v>-2.2541925465838508</c:v>
                </c:pt>
                <c:pt idx="484">
                  <c:v>-14.332919254658387</c:v>
                </c:pt>
                <c:pt idx="485">
                  <c:v>-20.156521739130437</c:v>
                </c:pt>
                <c:pt idx="486">
                  <c:v>-20.086956521739133</c:v>
                </c:pt>
                <c:pt idx="487">
                  <c:v>-20.086956521739133</c:v>
                </c:pt>
                <c:pt idx="488">
                  <c:v>-15.121739130434781</c:v>
                </c:pt>
                <c:pt idx="489">
                  <c:v>-14.978260869565217</c:v>
                </c:pt>
                <c:pt idx="490">
                  <c:v>-14.978260869565217</c:v>
                </c:pt>
                <c:pt idx="491">
                  <c:v>-20.940217391304348</c:v>
                </c:pt>
                <c:pt idx="492">
                  <c:v>-11.721739130434784</c:v>
                </c:pt>
                <c:pt idx="493">
                  <c:v>-14.36304347826087</c:v>
                </c:pt>
                <c:pt idx="494">
                  <c:v>-13.387267080745341</c:v>
                </c:pt>
                <c:pt idx="495">
                  <c:v>-17.814130434782609</c:v>
                </c:pt>
                <c:pt idx="496">
                  <c:v>-18.572826086956525</c:v>
                </c:pt>
                <c:pt idx="497">
                  <c:v>-18.720652173913045</c:v>
                </c:pt>
                <c:pt idx="498">
                  <c:v>-18.320652173913043</c:v>
                </c:pt>
                <c:pt idx="499">
                  <c:v>-23.891804347826085</c:v>
                </c:pt>
                <c:pt idx="500">
                  <c:v>-14.130434782608695</c:v>
                </c:pt>
                <c:pt idx="501">
                  <c:v>-20.791804347826087</c:v>
                </c:pt>
                <c:pt idx="502">
                  <c:v>-21.190217391304348</c:v>
                </c:pt>
                <c:pt idx="503">
                  <c:v>-17.306521739130435</c:v>
                </c:pt>
                <c:pt idx="504">
                  <c:v>-22.132608695652177</c:v>
                </c:pt>
                <c:pt idx="505">
                  <c:v>-22.063043478260873</c:v>
                </c:pt>
                <c:pt idx="506">
                  <c:v>-22.063043478260873</c:v>
                </c:pt>
                <c:pt idx="507">
                  <c:v>-7.552173913043478</c:v>
                </c:pt>
                <c:pt idx="508">
                  <c:v>-15.617391304347825</c:v>
                </c:pt>
                <c:pt idx="509">
                  <c:v>-15.339130434782609</c:v>
                </c:pt>
                <c:pt idx="510">
                  <c:v>-20.098326086956522</c:v>
                </c:pt>
                <c:pt idx="511">
                  <c:v>-13.585869565217392</c:v>
                </c:pt>
                <c:pt idx="512">
                  <c:v>-20.933108695652177</c:v>
                </c:pt>
                <c:pt idx="513">
                  <c:v>-16.281366459627332</c:v>
                </c:pt>
                <c:pt idx="514">
                  <c:v>-17.3054347826087</c:v>
                </c:pt>
                <c:pt idx="515">
                  <c:v>-16.998913043478264</c:v>
                </c:pt>
                <c:pt idx="516">
                  <c:v>-16.998913043478264</c:v>
                </c:pt>
                <c:pt idx="517">
                  <c:v>-15.246739130434781</c:v>
                </c:pt>
                <c:pt idx="518">
                  <c:v>-12.624844720496897</c:v>
                </c:pt>
                <c:pt idx="519">
                  <c:v>-8.4167701863354019</c:v>
                </c:pt>
                <c:pt idx="520">
                  <c:v>-13.908695652173915</c:v>
                </c:pt>
                <c:pt idx="521">
                  <c:v>-17.3054347826087</c:v>
                </c:pt>
                <c:pt idx="522">
                  <c:v>-14.110869565217392</c:v>
                </c:pt>
                <c:pt idx="523">
                  <c:v>-17.398913043478263</c:v>
                </c:pt>
                <c:pt idx="524">
                  <c:v>-14.110869565217392</c:v>
                </c:pt>
                <c:pt idx="525">
                  <c:v>-17.398913043478263</c:v>
                </c:pt>
                <c:pt idx="526">
                  <c:v>-21.665717391304348</c:v>
                </c:pt>
                <c:pt idx="527">
                  <c:v>-12.36304347826087</c:v>
                </c:pt>
                <c:pt idx="528">
                  <c:v>-20.592236024844716</c:v>
                </c:pt>
                <c:pt idx="529">
                  <c:v>-21.26630434782609</c:v>
                </c:pt>
                <c:pt idx="530">
                  <c:v>-21.26630434782609</c:v>
                </c:pt>
                <c:pt idx="531">
                  <c:v>-26.113543478260869</c:v>
                </c:pt>
                <c:pt idx="532">
                  <c:v>-30.266217391304338</c:v>
                </c:pt>
                <c:pt idx="533">
                  <c:v>-18.559627329192548</c:v>
                </c:pt>
                <c:pt idx="534">
                  <c:v>-46.78081366459628</c:v>
                </c:pt>
                <c:pt idx="535">
                  <c:v>-70.631192546583847</c:v>
                </c:pt>
                <c:pt idx="536">
                  <c:v>-34.848826086956521</c:v>
                </c:pt>
                <c:pt idx="537">
                  <c:v>-46.251000000000005</c:v>
                </c:pt>
                <c:pt idx="538">
                  <c:v>-40.468391304347826</c:v>
                </c:pt>
                <c:pt idx="539">
                  <c:v>-14.113354037267081</c:v>
                </c:pt>
                <c:pt idx="540">
                  <c:v>-9.8416149068322998</c:v>
                </c:pt>
                <c:pt idx="541">
                  <c:v>-26.408574534161488</c:v>
                </c:pt>
                <c:pt idx="542">
                  <c:v>-16.121739130434783</c:v>
                </c:pt>
                <c:pt idx="543">
                  <c:v>-70.006347826086952</c:v>
                </c:pt>
                <c:pt idx="544">
                  <c:v>-61.023739130434777</c:v>
                </c:pt>
                <c:pt idx="545">
                  <c:v>-31.507832298136638</c:v>
                </c:pt>
                <c:pt idx="546">
                  <c:v>-35.361248447204972</c:v>
                </c:pt>
                <c:pt idx="547">
                  <c:v>-2.5423913043478259</c:v>
                </c:pt>
                <c:pt idx="548">
                  <c:v>-2.7369565217391307</c:v>
                </c:pt>
                <c:pt idx="549">
                  <c:v>-13.529347826086957</c:v>
                </c:pt>
                <c:pt idx="550">
                  <c:v>-13.731521739130436</c:v>
                </c:pt>
                <c:pt idx="551">
                  <c:v>-18.475465838509322</c:v>
                </c:pt>
                <c:pt idx="552">
                  <c:v>-22.822239130434781</c:v>
                </c:pt>
                <c:pt idx="553">
                  <c:v>-12.541304347826086</c:v>
                </c:pt>
                <c:pt idx="554">
                  <c:v>-12.743478260869566</c:v>
                </c:pt>
                <c:pt idx="555">
                  <c:v>-12.343478260869565</c:v>
                </c:pt>
                <c:pt idx="556">
                  <c:v>-14.858695652173914</c:v>
                </c:pt>
                <c:pt idx="557">
                  <c:v>-18.380434782608699</c:v>
                </c:pt>
                <c:pt idx="558">
                  <c:v>-40.763732919254657</c:v>
                </c:pt>
                <c:pt idx="559">
                  <c:v>-24.999257763975152</c:v>
                </c:pt>
                <c:pt idx="560">
                  <c:v>-52.577586956521742</c:v>
                </c:pt>
                <c:pt idx="561">
                  <c:v>-42.104726708074537</c:v>
                </c:pt>
                <c:pt idx="562">
                  <c:v>-18.831987577639755</c:v>
                </c:pt>
                <c:pt idx="563">
                  <c:v>-35.392304347826091</c:v>
                </c:pt>
                <c:pt idx="564">
                  <c:v>-44.23628260869566</c:v>
                </c:pt>
                <c:pt idx="565">
                  <c:v>-52.216096273291924</c:v>
                </c:pt>
                <c:pt idx="566">
                  <c:v>-42.483608695652173</c:v>
                </c:pt>
                <c:pt idx="567">
                  <c:v>-33.74882608695652</c:v>
                </c:pt>
                <c:pt idx="568">
                  <c:v>-6.1642857142857128</c:v>
                </c:pt>
                <c:pt idx="569">
                  <c:v>-9.5128881987577643</c:v>
                </c:pt>
                <c:pt idx="570">
                  <c:v>-33.352552795031059</c:v>
                </c:pt>
                <c:pt idx="571">
                  <c:v>-12.461956521739131</c:v>
                </c:pt>
                <c:pt idx="572">
                  <c:v>-12.66413043478261</c:v>
                </c:pt>
                <c:pt idx="573">
                  <c:v>-12.66413043478261</c:v>
                </c:pt>
                <c:pt idx="574">
                  <c:v>-27.948826086956526</c:v>
                </c:pt>
                <c:pt idx="575">
                  <c:v>-12.253416149068324</c:v>
                </c:pt>
                <c:pt idx="576">
                  <c:v>-4.2031055900621119</c:v>
                </c:pt>
                <c:pt idx="577">
                  <c:v>-8.1347826086956534</c:v>
                </c:pt>
                <c:pt idx="578">
                  <c:v>-1.8358695652173915</c:v>
                </c:pt>
                <c:pt idx="579">
                  <c:v>-3.6717391304347831</c:v>
                </c:pt>
                <c:pt idx="580">
                  <c:v>-15.000000000000004</c:v>
                </c:pt>
                <c:pt idx="581">
                  <c:v>-25.306900621118018</c:v>
                </c:pt>
                <c:pt idx="582">
                  <c:v>-7.9287267080745343</c:v>
                </c:pt>
                <c:pt idx="583">
                  <c:v>-39.875413043478261</c:v>
                </c:pt>
                <c:pt idx="584">
                  <c:v>-39.117770186335406</c:v>
                </c:pt>
                <c:pt idx="585">
                  <c:v>-32.290130434782604</c:v>
                </c:pt>
                <c:pt idx="586">
                  <c:v>-22.454347826086956</c:v>
                </c:pt>
                <c:pt idx="587">
                  <c:v>-31.532987577639741</c:v>
                </c:pt>
                <c:pt idx="588">
                  <c:v>-6.5352484472049692</c:v>
                </c:pt>
                <c:pt idx="589">
                  <c:v>-11.6</c:v>
                </c:pt>
                <c:pt idx="590">
                  <c:v>-26.318391304347827</c:v>
                </c:pt>
                <c:pt idx="591">
                  <c:v>-0.44270186335403694</c:v>
                </c:pt>
                <c:pt idx="592">
                  <c:v>-16.80031055900621</c:v>
                </c:pt>
                <c:pt idx="593">
                  <c:v>-7.0961180124223606</c:v>
                </c:pt>
                <c:pt idx="594">
                  <c:v>-6.054347826086957</c:v>
                </c:pt>
                <c:pt idx="595">
                  <c:v>-1.336490683229814</c:v>
                </c:pt>
                <c:pt idx="596">
                  <c:v>-20.35186335403727</c:v>
                </c:pt>
                <c:pt idx="597">
                  <c:v>-0.97406832298136647</c:v>
                </c:pt>
                <c:pt idx="598">
                  <c:v>-6.7097826086956518</c:v>
                </c:pt>
                <c:pt idx="599">
                  <c:v>-12.9</c:v>
                </c:pt>
                <c:pt idx="600">
                  <c:v>-13.102173913043478</c:v>
                </c:pt>
                <c:pt idx="601">
                  <c:v>-12.702173913043479</c:v>
                </c:pt>
                <c:pt idx="602">
                  <c:v>-4.945652173913043</c:v>
                </c:pt>
                <c:pt idx="603">
                  <c:v>-13.502173913043478</c:v>
                </c:pt>
                <c:pt idx="604">
                  <c:v>-16.866149068322983</c:v>
                </c:pt>
                <c:pt idx="605">
                  <c:v>-16.454658385093168</c:v>
                </c:pt>
                <c:pt idx="606">
                  <c:v>-26.185559006211179</c:v>
                </c:pt>
                <c:pt idx="607">
                  <c:v>-26.694254658385091</c:v>
                </c:pt>
                <c:pt idx="608">
                  <c:v>-6.9692546583850934</c:v>
                </c:pt>
                <c:pt idx="609">
                  <c:v>-9.5445652173913071</c:v>
                </c:pt>
                <c:pt idx="610">
                  <c:v>-9.5097826086956534</c:v>
                </c:pt>
                <c:pt idx="611">
                  <c:v>-9.5097826086956534</c:v>
                </c:pt>
                <c:pt idx="612">
                  <c:v>-20.563354037267082</c:v>
                </c:pt>
                <c:pt idx="613">
                  <c:v>-19.489130434782613</c:v>
                </c:pt>
                <c:pt idx="614">
                  <c:v>-19.473913043478266</c:v>
                </c:pt>
                <c:pt idx="615">
                  <c:v>-19.419565217391309</c:v>
                </c:pt>
                <c:pt idx="616">
                  <c:v>-9.9097826086956537</c:v>
                </c:pt>
                <c:pt idx="617">
                  <c:v>-20.273913043478267</c:v>
                </c:pt>
                <c:pt idx="618">
                  <c:v>-2.8302795031055896</c:v>
                </c:pt>
                <c:pt idx="619">
                  <c:v>-14.308695652173911</c:v>
                </c:pt>
                <c:pt idx="620">
                  <c:v>-7.7858695652173919</c:v>
                </c:pt>
                <c:pt idx="621">
                  <c:v>-17.908695652173918</c:v>
                </c:pt>
                <c:pt idx="622">
                  <c:v>-27.56304347826087</c:v>
                </c:pt>
                <c:pt idx="623">
                  <c:v>-1.9956521739130435</c:v>
                </c:pt>
                <c:pt idx="624">
                  <c:v>-2.9347826086956523</c:v>
                </c:pt>
                <c:pt idx="625">
                  <c:v>-6.8260869565217401</c:v>
                </c:pt>
                <c:pt idx="626">
                  <c:v>-4.4000000000000004</c:v>
                </c:pt>
                <c:pt idx="627">
                  <c:v>-5.6304347826086962</c:v>
                </c:pt>
                <c:pt idx="628">
                  <c:v>-8.5885093167701854</c:v>
                </c:pt>
                <c:pt idx="629">
                  <c:v>-4.0847826086956527</c:v>
                </c:pt>
                <c:pt idx="630">
                  <c:v>-4.7217391304347824</c:v>
                </c:pt>
                <c:pt idx="631">
                  <c:v>-6.3254658385093174</c:v>
                </c:pt>
                <c:pt idx="632">
                  <c:v>-9.1347826086956516</c:v>
                </c:pt>
                <c:pt idx="633">
                  <c:v>-13.017391304347827</c:v>
                </c:pt>
                <c:pt idx="634">
                  <c:v>-0.97282608695652173</c:v>
                </c:pt>
                <c:pt idx="635">
                  <c:v>-3.5999999999999996</c:v>
                </c:pt>
                <c:pt idx="636">
                  <c:v>-3.5999999999999996</c:v>
                </c:pt>
                <c:pt idx="637">
                  <c:v>-3.9804347826086954</c:v>
                </c:pt>
                <c:pt idx="638">
                  <c:v>-6.3804347826086953</c:v>
                </c:pt>
                <c:pt idx="639">
                  <c:v>-8.9630434782608699</c:v>
                </c:pt>
                <c:pt idx="640">
                  <c:v>-11.654347826086957</c:v>
                </c:pt>
                <c:pt idx="641">
                  <c:v>-16.108695652173918</c:v>
                </c:pt>
                <c:pt idx="642">
                  <c:v>-23.36304347826087</c:v>
                </c:pt>
                <c:pt idx="643">
                  <c:v>-34.617391304347834</c:v>
                </c:pt>
                <c:pt idx="644">
                  <c:v>-11.526086956521739</c:v>
                </c:pt>
                <c:pt idx="645">
                  <c:v>-16.034782608695654</c:v>
                </c:pt>
                <c:pt idx="646">
                  <c:v>-22.997826086956525</c:v>
                </c:pt>
                <c:pt idx="647">
                  <c:v>-34.069565217391307</c:v>
                </c:pt>
                <c:pt idx="648">
                  <c:v>-12.8</c:v>
                </c:pt>
                <c:pt idx="649">
                  <c:v>-17.654347826086958</c:v>
                </c:pt>
                <c:pt idx="650">
                  <c:v>-25.708695652173915</c:v>
                </c:pt>
                <c:pt idx="651">
                  <c:v>-37.708695652173915</c:v>
                </c:pt>
                <c:pt idx="652">
                  <c:v>-7.1065217391304349</c:v>
                </c:pt>
                <c:pt idx="653">
                  <c:v>-9.323913043478262</c:v>
                </c:pt>
                <c:pt idx="654">
                  <c:v>-13.81304347826087</c:v>
                </c:pt>
                <c:pt idx="655">
                  <c:v>-20.46521739130435</c:v>
                </c:pt>
                <c:pt idx="656">
                  <c:v>-0.21739130434782608</c:v>
                </c:pt>
                <c:pt idx="657">
                  <c:v>-0.53804347826086962</c:v>
                </c:pt>
                <c:pt idx="658">
                  <c:v>-1.6</c:v>
                </c:pt>
                <c:pt idx="659">
                  <c:v>-0.4</c:v>
                </c:pt>
                <c:pt idx="660">
                  <c:v>-0.4</c:v>
                </c:pt>
                <c:pt idx="661">
                  <c:v>-10.854347826086958</c:v>
                </c:pt>
                <c:pt idx="662">
                  <c:v>-1.9526397515527951</c:v>
                </c:pt>
                <c:pt idx="663">
                  <c:v>-4.4329192546583851</c:v>
                </c:pt>
                <c:pt idx="664">
                  <c:v>-3.3298136645962737</c:v>
                </c:pt>
                <c:pt idx="665">
                  <c:v>-3.8226708074534166</c:v>
                </c:pt>
                <c:pt idx="666">
                  <c:v>-3.1972049689440998</c:v>
                </c:pt>
                <c:pt idx="667">
                  <c:v>-3.7781055900621121</c:v>
                </c:pt>
                <c:pt idx="668">
                  <c:v>-5.8357142857142845</c:v>
                </c:pt>
                <c:pt idx="669">
                  <c:v>-4.0552795031055906</c:v>
                </c:pt>
                <c:pt idx="670">
                  <c:v>-6.5291925465838512</c:v>
                </c:pt>
                <c:pt idx="671">
                  <c:v>-2.9422360248447204</c:v>
                </c:pt>
                <c:pt idx="672">
                  <c:v>-2.8498447204968942</c:v>
                </c:pt>
                <c:pt idx="673">
                  <c:v>-2.7998447204968939</c:v>
                </c:pt>
                <c:pt idx="674">
                  <c:v>-3.4009316770186322</c:v>
                </c:pt>
                <c:pt idx="675">
                  <c:v>-3.3048136645962733</c:v>
                </c:pt>
                <c:pt idx="676">
                  <c:v>-3.0374223602484469</c:v>
                </c:pt>
                <c:pt idx="677">
                  <c:v>-6.1715838509316763</c:v>
                </c:pt>
                <c:pt idx="678">
                  <c:v>-1.8026397515527948</c:v>
                </c:pt>
                <c:pt idx="679">
                  <c:v>-5.0726708074534175</c:v>
                </c:pt>
                <c:pt idx="680">
                  <c:v>-5.6270186335403727</c:v>
                </c:pt>
                <c:pt idx="681">
                  <c:v>-3.3054347826086952</c:v>
                </c:pt>
                <c:pt idx="682">
                  <c:v>-1.6602484472049688</c:v>
                </c:pt>
                <c:pt idx="683">
                  <c:v>-1.7689440993788819</c:v>
                </c:pt>
                <c:pt idx="684">
                  <c:v>-6.3720496894409937</c:v>
                </c:pt>
                <c:pt idx="685">
                  <c:v>-6.1520186335403722</c:v>
                </c:pt>
                <c:pt idx="686">
                  <c:v>-4.6748447204968935</c:v>
                </c:pt>
                <c:pt idx="687">
                  <c:v>-3.2172360248447207</c:v>
                </c:pt>
                <c:pt idx="688">
                  <c:v>-4.5976708074534169</c:v>
                </c:pt>
                <c:pt idx="689">
                  <c:v>-5.1813664596273297</c:v>
                </c:pt>
                <c:pt idx="690">
                  <c:v>-4.2481366459627328</c:v>
                </c:pt>
                <c:pt idx="691">
                  <c:v>-5.764596273291926</c:v>
                </c:pt>
                <c:pt idx="692">
                  <c:v>-5.8096273291925478</c:v>
                </c:pt>
                <c:pt idx="693">
                  <c:v>-3.5194099378881996</c:v>
                </c:pt>
                <c:pt idx="694">
                  <c:v>-3.7395962732919252</c:v>
                </c:pt>
                <c:pt idx="695">
                  <c:v>-3.6444099378881996</c:v>
                </c:pt>
                <c:pt idx="696">
                  <c:v>-4.5465838509316781</c:v>
                </c:pt>
                <c:pt idx="697">
                  <c:v>-3.5020186335403727</c:v>
                </c:pt>
                <c:pt idx="698">
                  <c:v>-5.7422360248447193</c:v>
                </c:pt>
                <c:pt idx="699">
                  <c:v>-5.7385093167701866</c:v>
                </c:pt>
                <c:pt idx="700">
                  <c:v>-2.3624223602484471</c:v>
                </c:pt>
                <c:pt idx="701">
                  <c:v>-5.2763975155279503</c:v>
                </c:pt>
                <c:pt idx="702">
                  <c:v>-5.9683229813664598</c:v>
                </c:pt>
                <c:pt idx="703">
                  <c:v>-7.3503105590062123</c:v>
                </c:pt>
                <c:pt idx="704">
                  <c:v>-4.8900621118012415</c:v>
                </c:pt>
                <c:pt idx="705">
                  <c:v>-5.0416149068322991</c:v>
                </c:pt>
                <c:pt idx="706">
                  <c:v>-7.418201863354037</c:v>
                </c:pt>
                <c:pt idx="707">
                  <c:v>-7.5748447204968938</c:v>
                </c:pt>
                <c:pt idx="708">
                  <c:v>-4.7678571428571432</c:v>
                </c:pt>
                <c:pt idx="709">
                  <c:v>-2.8950310559006209</c:v>
                </c:pt>
                <c:pt idx="710">
                  <c:v>-3.2602484472049684</c:v>
                </c:pt>
                <c:pt idx="711">
                  <c:v>-4.66552795031056</c:v>
                </c:pt>
                <c:pt idx="712">
                  <c:v>-6.8618012422360257</c:v>
                </c:pt>
                <c:pt idx="713">
                  <c:v>-5.3177018633540367</c:v>
                </c:pt>
                <c:pt idx="714">
                  <c:v>-4.4720496894409942</c:v>
                </c:pt>
                <c:pt idx="715">
                  <c:v>-7.4509316770186347</c:v>
                </c:pt>
                <c:pt idx="716">
                  <c:v>-3.9194099378881981</c:v>
                </c:pt>
                <c:pt idx="717">
                  <c:v>-3.9770186335403723</c:v>
                </c:pt>
                <c:pt idx="718">
                  <c:v>-1.9178571428571423</c:v>
                </c:pt>
                <c:pt idx="719">
                  <c:v>-5.1987577639751548</c:v>
                </c:pt>
                <c:pt idx="720">
                  <c:v>-3.7059006211180123</c:v>
                </c:pt>
                <c:pt idx="721">
                  <c:v>-6.6791925465838506</c:v>
                </c:pt>
                <c:pt idx="722">
                  <c:v>-3.4509316770186338</c:v>
                </c:pt>
                <c:pt idx="723">
                  <c:v>-5.3770186335403718</c:v>
                </c:pt>
                <c:pt idx="724">
                  <c:v>-4.5704968944099376</c:v>
                </c:pt>
                <c:pt idx="725">
                  <c:v>-5.54223602484472</c:v>
                </c:pt>
                <c:pt idx="726">
                  <c:v>-5.9770186335403723</c:v>
                </c:pt>
                <c:pt idx="727">
                  <c:v>-9.0031055900621126</c:v>
                </c:pt>
                <c:pt idx="728">
                  <c:v>-5.8198757763975149</c:v>
                </c:pt>
                <c:pt idx="729">
                  <c:v>-3.2374223602484471</c:v>
                </c:pt>
                <c:pt idx="730">
                  <c:v>-3.9194099378881981</c:v>
                </c:pt>
                <c:pt idx="731">
                  <c:v>-2.5113354037267084</c:v>
                </c:pt>
                <c:pt idx="732">
                  <c:v>-1.7852484472049688</c:v>
                </c:pt>
                <c:pt idx="733">
                  <c:v>-3.1324534161490676</c:v>
                </c:pt>
                <c:pt idx="734">
                  <c:v>-3.7259316770186333</c:v>
                </c:pt>
                <c:pt idx="735">
                  <c:v>-3.1395962732919247</c:v>
                </c:pt>
                <c:pt idx="736">
                  <c:v>0.4</c:v>
                </c:pt>
                <c:pt idx="737">
                  <c:v>0.4</c:v>
                </c:pt>
                <c:pt idx="738">
                  <c:v>-4.7880434782608701</c:v>
                </c:pt>
                <c:pt idx="739">
                  <c:v>-3.6619565217391301</c:v>
                </c:pt>
                <c:pt idx="740">
                  <c:v>-3.7026397515527951</c:v>
                </c:pt>
                <c:pt idx="741">
                  <c:v>-4.0128881987577634</c:v>
                </c:pt>
                <c:pt idx="742">
                  <c:v>-3.7537267080745349</c:v>
                </c:pt>
                <c:pt idx="743">
                  <c:v>-7.6434782608695642</c:v>
                </c:pt>
                <c:pt idx="744">
                  <c:v>-7.6434782608695642</c:v>
                </c:pt>
                <c:pt idx="745">
                  <c:v>-10.558885093167699</c:v>
                </c:pt>
                <c:pt idx="746">
                  <c:v>-7.5500000000000007</c:v>
                </c:pt>
                <c:pt idx="747">
                  <c:v>-10.341493788819875</c:v>
                </c:pt>
                <c:pt idx="748">
                  <c:v>-8.133074534161489</c:v>
                </c:pt>
                <c:pt idx="749">
                  <c:v>-3.9633540372670817</c:v>
                </c:pt>
                <c:pt idx="750">
                  <c:v>-3.4096273291925465</c:v>
                </c:pt>
                <c:pt idx="751">
                  <c:v>-8.5978260869565215</c:v>
                </c:pt>
                <c:pt idx="752">
                  <c:v>-4.2476708074534155</c:v>
                </c:pt>
                <c:pt idx="753">
                  <c:v>-10.860559006211179</c:v>
                </c:pt>
                <c:pt idx="754">
                  <c:v>-4.6307453416149063</c:v>
                </c:pt>
                <c:pt idx="755">
                  <c:v>-4.6307453416149063</c:v>
                </c:pt>
                <c:pt idx="756">
                  <c:v>-1.5731366459627332</c:v>
                </c:pt>
                <c:pt idx="757">
                  <c:v>-2.1166149068322984</c:v>
                </c:pt>
                <c:pt idx="758">
                  <c:v>-6.8661490683229793</c:v>
                </c:pt>
                <c:pt idx="759">
                  <c:v>-4.2465838509316773</c:v>
                </c:pt>
                <c:pt idx="760">
                  <c:v>-6.8661490683229793</c:v>
                </c:pt>
                <c:pt idx="761">
                  <c:v>-8.7149068322981389</c:v>
                </c:pt>
                <c:pt idx="762">
                  <c:v>-11.493167701863351</c:v>
                </c:pt>
                <c:pt idx="763">
                  <c:v>-2.9492236024844711</c:v>
                </c:pt>
                <c:pt idx="764">
                  <c:v>-3.3840062111801235</c:v>
                </c:pt>
                <c:pt idx="765">
                  <c:v>-10.843167701863353</c:v>
                </c:pt>
                <c:pt idx="766">
                  <c:v>-8.7509316770186309</c:v>
                </c:pt>
                <c:pt idx="767">
                  <c:v>-9.3327981366459642</c:v>
                </c:pt>
                <c:pt idx="768">
                  <c:v>-13.030124223602487</c:v>
                </c:pt>
                <c:pt idx="769">
                  <c:v>-5.4840062111801249</c:v>
                </c:pt>
                <c:pt idx="770">
                  <c:v>-7.5539161490683195</c:v>
                </c:pt>
                <c:pt idx="771">
                  <c:v>-5.4840062111801249</c:v>
                </c:pt>
                <c:pt idx="772">
                  <c:v>4.0372670807451438E-3</c:v>
                </c:pt>
                <c:pt idx="773">
                  <c:v>-5.4840062111801249</c:v>
                </c:pt>
                <c:pt idx="774">
                  <c:v>-10.37142857142857</c:v>
                </c:pt>
                <c:pt idx="775">
                  <c:v>-13.012732919254658</c:v>
                </c:pt>
                <c:pt idx="776">
                  <c:v>-4.5083850931677016</c:v>
                </c:pt>
                <c:pt idx="777">
                  <c:v>-6.4159937888198755</c:v>
                </c:pt>
                <c:pt idx="778">
                  <c:v>-8.4672360248447198</c:v>
                </c:pt>
                <c:pt idx="779">
                  <c:v>-11.47577639751553</c:v>
                </c:pt>
                <c:pt idx="780">
                  <c:v>-10.522670807453414</c:v>
                </c:pt>
                <c:pt idx="781">
                  <c:v>-12.101863354037265</c:v>
                </c:pt>
                <c:pt idx="782">
                  <c:v>-13.56633850931677</c:v>
                </c:pt>
                <c:pt idx="783">
                  <c:v>-7.4704968944099379</c:v>
                </c:pt>
                <c:pt idx="784">
                  <c:v>-10.554037267080746</c:v>
                </c:pt>
                <c:pt idx="785">
                  <c:v>-12.375776397515528</c:v>
                </c:pt>
                <c:pt idx="786">
                  <c:v>-2.8381987577639749</c:v>
                </c:pt>
                <c:pt idx="787">
                  <c:v>-11.600621118012423</c:v>
                </c:pt>
                <c:pt idx="788">
                  <c:v>-11.895652173913042</c:v>
                </c:pt>
                <c:pt idx="789">
                  <c:v>-7.1557453416149066</c:v>
                </c:pt>
                <c:pt idx="790">
                  <c:v>-12.473602484472048</c:v>
                </c:pt>
                <c:pt idx="791">
                  <c:v>-4.8829192546583853</c:v>
                </c:pt>
                <c:pt idx="792">
                  <c:v>-9.1649068322981364</c:v>
                </c:pt>
                <c:pt idx="793">
                  <c:v>-4.8829192546583853</c:v>
                </c:pt>
                <c:pt idx="794">
                  <c:v>-5.8956521739130441</c:v>
                </c:pt>
                <c:pt idx="795">
                  <c:v>-9.8069875776397524</c:v>
                </c:pt>
                <c:pt idx="796">
                  <c:v>-7.265217391304347</c:v>
                </c:pt>
                <c:pt idx="797">
                  <c:v>-1.2496894409937884</c:v>
                </c:pt>
                <c:pt idx="798">
                  <c:v>-6.6059006211180105</c:v>
                </c:pt>
                <c:pt idx="799">
                  <c:v>-12.580745341614907</c:v>
                </c:pt>
                <c:pt idx="800">
                  <c:v>-11.017391304347827</c:v>
                </c:pt>
                <c:pt idx="801">
                  <c:v>-5.7942546583850936</c:v>
                </c:pt>
                <c:pt idx="802">
                  <c:v>-4.9695652173913043</c:v>
                </c:pt>
                <c:pt idx="803">
                  <c:v>-29.197962732919251</c:v>
                </c:pt>
                <c:pt idx="804">
                  <c:v>-2.7781055900621117</c:v>
                </c:pt>
                <c:pt idx="805">
                  <c:v>-2.2704968944099377</c:v>
                </c:pt>
                <c:pt idx="806">
                  <c:v>-2.2704968944099377</c:v>
                </c:pt>
                <c:pt idx="807">
                  <c:v>-7.2826086956521738</c:v>
                </c:pt>
                <c:pt idx="808">
                  <c:v>-12.380434782608695</c:v>
                </c:pt>
                <c:pt idx="809">
                  <c:v>-15.634782608695655</c:v>
                </c:pt>
                <c:pt idx="810">
                  <c:v>-13.980434782608697</c:v>
                </c:pt>
                <c:pt idx="811">
                  <c:v>-17.234782608695653</c:v>
                </c:pt>
                <c:pt idx="812">
                  <c:v>-12.380434782608695</c:v>
                </c:pt>
                <c:pt idx="813">
                  <c:v>-15.634782608695655</c:v>
                </c:pt>
                <c:pt idx="814">
                  <c:v>-19.343478260869567</c:v>
                </c:pt>
                <c:pt idx="815">
                  <c:v>-23.452173913043474</c:v>
                </c:pt>
                <c:pt idx="816">
                  <c:v>-13.980434782608697</c:v>
                </c:pt>
                <c:pt idx="817">
                  <c:v>-17.234782608695653</c:v>
                </c:pt>
                <c:pt idx="818">
                  <c:v>-16.889130434782611</c:v>
                </c:pt>
                <c:pt idx="819">
                  <c:v>-20.997826086956525</c:v>
                </c:pt>
                <c:pt idx="820">
                  <c:v>-16.834782608695654</c:v>
                </c:pt>
                <c:pt idx="821">
                  <c:v>-20.997826086956525</c:v>
                </c:pt>
                <c:pt idx="822">
                  <c:v>-10.682177018633533</c:v>
                </c:pt>
                <c:pt idx="823">
                  <c:v>-4.8503105590062123</c:v>
                </c:pt>
                <c:pt idx="824">
                  <c:v>-13.872826086956522</c:v>
                </c:pt>
                <c:pt idx="825">
                  <c:v>-6.9496894409937884</c:v>
                </c:pt>
                <c:pt idx="826">
                  <c:v>-7.7394409937888202</c:v>
                </c:pt>
                <c:pt idx="827">
                  <c:v>-6.4349378881987551</c:v>
                </c:pt>
                <c:pt idx="828">
                  <c:v>-4.1163043478260875</c:v>
                </c:pt>
                <c:pt idx="829">
                  <c:v>-4.1141304347826084</c:v>
                </c:pt>
                <c:pt idx="830">
                  <c:v>-9.5489130434782616</c:v>
                </c:pt>
                <c:pt idx="831">
                  <c:v>-4.3172360248447195</c:v>
                </c:pt>
                <c:pt idx="832">
                  <c:v>-4.3172360248447195</c:v>
                </c:pt>
                <c:pt idx="833">
                  <c:v>-14.006521739130436</c:v>
                </c:pt>
                <c:pt idx="834">
                  <c:v>-6.8032608695652188</c:v>
                </c:pt>
                <c:pt idx="835">
                  <c:v>-7.910869565217391</c:v>
                </c:pt>
                <c:pt idx="836">
                  <c:v>-4.21055900621118</c:v>
                </c:pt>
                <c:pt idx="837">
                  <c:v>-18.736956521739131</c:v>
                </c:pt>
                <c:pt idx="838">
                  <c:v>-13.767354037267081</c:v>
                </c:pt>
                <c:pt idx="839">
                  <c:v>-7.3378354037267082</c:v>
                </c:pt>
                <c:pt idx="840">
                  <c:v>-14.406105590062115</c:v>
                </c:pt>
                <c:pt idx="841">
                  <c:v>-11.244614906832295</c:v>
                </c:pt>
                <c:pt idx="842">
                  <c:v>-10.349689440993791</c:v>
                </c:pt>
                <c:pt idx="843">
                  <c:v>-12.404726708074532</c:v>
                </c:pt>
                <c:pt idx="844">
                  <c:v>-14.31335403726708</c:v>
                </c:pt>
                <c:pt idx="845">
                  <c:v>-7.5177701863354045</c:v>
                </c:pt>
                <c:pt idx="846">
                  <c:v>-7.2420807453416156</c:v>
                </c:pt>
                <c:pt idx="847">
                  <c:v>-12.251863354037264</c:v>
                </c:pt>
                <c:pt idx="848">
                  <c:v>-7.7950310559006217</c:v>
                </c:pt>
                <c:pt idx="849">
                  <c:v>-6.8234813664596263</c:v>
                </c:pt>
                <c:pt idx="850">
                  <c:v>-9.2285714285714295</c:v>
                </c:pt>
                <c:pt idx="851">
                  <c:v>-3.722704968944099</c:v>
                </c:pt>
                <c:pt idx="852">
                  <c:v>-12.950257763975154</c:v>
                </c:pt>
                <c:pt idx="853">
                  <c:v>-6.0129223602484485</c:v>
                </c:pt>
                <c:pt idx="854">
                  <c:v>-2.3956521739130432</c:v>
                </c:pt>
                <c:pt idx="855">
                  <c:v>-2.3956521739130432</c:v>
                </c:pt>
                <c:pt idx="856">
                  <c:v>-11.845288819875774</c:v>
                </c:pt>
                <c:pt idx="857">
                  <c:v>-5.7319875776397504</c:v>
                </c:pt>
                <c:pt idx="858">
                  <c:v>-3.4613354037267081</c:v>
                </c:pt>
                <c:pt idx="859">
                  <c:v>-7.235161490683228</c:v>
                </c:pt>
                <c:pt idx="860">
                  <c:v>-6.9748447204968942</c:v>
                </c:pt>
                <c:pt idx="861">
                  <c:v>-20.262180124223601</c:v>
                </c:pt>
                <c:pt idx="862">
                  <c:v>-9.1118012422360248</c:v>
                </c:pt>
                <c:pt idx="863">
                  <c:v>-9.0428571428571427</c:v>
                </c:pt>
                <c:pt idx="864">
                  <c:v>-18.37701863354037</c:v>
                </c:pt>
                <c:pt idx="865">
                  <c:v>-7.8106273291925463</c:v>
                </c:pt>
                <c:pt idx="866">
                  <c:v>-10.022826086956522</c:v>
                </c:pt>
                <c:pt idx="867">
                  <c:v>-15.653105590062113</c:v>
                </c:pt>
                <c:pt idx="868">
                  <c:v>-10.945031055900621</c:v>
                </c:pt>
                <c:pt idx="869">
                  <c:v>-5.3574534161490677</c:v>
                </c:pt>
                <c:pt idx="870">
                  <c:v>-5.1102484472049685</c:v>
                </c:pt>
                <c:pt idx="871">
                  <c:v>-14.848326086956522</c:v>
                </c:pt>
                <c:pt idx="872">
                  <c:v>-3.1782608695652179</c:v>
                </c:pt>
                <c:pt idx="873">
                  <c:v>-14.616770186335401</c:v>
                </c:pt>
                <c:pt idx="874">
                  <c:v>-12.930124223602485</c:v>
                </c:pt>
                <c:pt idx="875">
                  <c:v>-12.436335403726709</c:v>
                </c:pt>
                <c:pt idx="876">
                  <c:v>-16.597204968944098</c:v>
                </c:pt>
                <c:pt idx="877">
                  <c:v>-5.3633540372670812</c:v>
                </c:pt>
                <c:pt idx="878">
                  <c:v>-15.81055900621118</c:v>
                </c:pt>
                <c:pt idx="879">
                  <c:v>-4.5369565217391301</c:v>
                </c:pt>
                <c:pt idx="880">
                  <c:v>-5.975034161490683</c:v>
                </c:pt>
                <c:pt idx="881">
                  <c:v>-1.1391304347826088</c:v>
                </c:pt>
                <c:pt idx="882">
                  <c:v>-11.328260869565218</c:v>
                </c:pt>
                <c:pt idx="883">
                  <c:v>-34.326586956521751</c:v>
                </c:pt>
                <c:pt idx="884">
                  <c:v>-4.7996894409937898</c:v>
                </c:pt>
                <c:pt idx="885">
                  <c:v>-0.80108695652173922</c:v>
                </c:pt>
                <c:pt idx="886">
                  <c:v>-19.930434782608696</c:v>
                </c:pt>
                <c:pt idx="887">
                  <c:v>-5.4857142857142849</c:v>
                </c:pt>
                <c:pt idx="888">
                  <c:v>-27.683108695652169</c:v>
                </c:pt>
                <c:pt idx="889">
                  <c:v>-27.083108695652175</c:v>
                </c:pt>
                <c:pt idx="890">
                  <c:v>-12.167080745341615</c:v>
                </c:pt>
                <c:pt idx="891">
                  <c:v>-20.239130434782609</c:v>
                </c:pt>
                <c:pt idx="892">
                  <c:v>-11.653260869565218</c:v>
                </c:pt>
                <c:pt idx="893">
                  <c:v>-33.526586956521747</c:v>
                </c:pt>
                <c:pt idx="894">
                  <c:v>2.4282608695652179</c:v>
                </c:pt>
                <c:pt idx="895">
                  <c:v>1.4945652173913042</c:v>
                </c:pt>
                <c:pt idx="896">
                  <c:v>-13.971118012422361</c:v>
                </c:pt>
                <c:pt idx="897">
                  <c:v>-28.035093167701863</c:v>
                </c:pt>
                <c:pt idx="898">
                  <c:v>-18.80310559006211</c:v>
                </c:pt>
                <c:pt idx="899">
                  <c:v>-6.6986024844720493</c:v>
                </c:pt>
                <c:pt idx="900">
                  <c:v>-1.6746894409937882</c:v>
                </c:pt>
                <c:pt idx="901">
                  <c:v>-2.4545031055900615</c:v>
                </c:pt>
                <c:pt idx="902">
                  <c:v>-12.284782608695654</c:v>
                </c:pt>
                <c:pt idx="903">
                  <c:v>-9.6212732919254673</c:v>
                </c:pt>
                <c:pt idx="904">
                  <c:v>-10.421428571428571</c:v>
                </c:pt>
                <c:pt idx="905">
                  <c:v>-3.2343167701863353</c:v>
                </c:pt>
                <c:pt idx="906">
                  <c:v>1.0083850931677016</c:v>
                </c:pt>
                <c:pt idx="907">
                  <c:v>-5.7377329192546584</c:v>
                </c:pt>
                <c:pt idx="908">
                  <c:v>-15.539130434782608</c:v>
                </c:pt>
                <c:pt idx="909">
                  <c:v>-10.401086956521739</c:v>
                </c:pt>
                <c:pt idx="910">
                  <c:v>-16.684782608695652</c:v>
                </c:pt>
                <c:pt idx="911">
                  <c:v>-10.801086956521738</c:v>
                </c:pt>
                <c:pt idx="912">
                  <c:v>-11.20108695652174</c:v>
                </c:pt>
                <c:pt idx="913">
                  <c:v>-12.56832298136646</c:v>
                </c:pt>
                <c:pt idx="914">
                  <c:v>-13.903726708074533</c:v>
                </c:pt>
                <c:pt idx="915">
                  <c:v>-2.9906832298136643</c:v>
                </c:pt>
                <c:pt idx="916">
                  <c:v>-2.0857142857142859</c:v>
                </c:pt>
                <c:pt idx="917">
                  <c:v>-0.84285714285714275</c:v>
                </c:pt>
                <c:pt idx="918">
                  <c:v>-37.200000000000003</c:v>
                </c:pt>
                <c:pt idx="919">
                  <c:v>-32.400000000000006</c:v>
                </c:pt>
                <c:pt idx="920">
                  <c:v>-18.8</c:v>
                </c:pt>
                <c:pt idx="921">
                  <c:v>-32.652173913043484</c:v>
                </c:pt>
                <c:pt idx="922">
                  <c:v>-29.743478260869566</c:v>
                </c:pt>
                <c:pt idx="923">
                  <c:v>-17.126086956521739</c:v>
                </c:pt>
                <c:pt idx="924">
                  <c:v>-50.756521739130434</c:v>
                </c:pt>
                <c:pt idx="925">
                  <c:v>-40.830434782608698</c:v>
                </c:pt>
                <c:pt idx="926">
                  <c:v>-25.378260869565217</c:v>
                </c:pt>
                <c:pt idx="927">
                  <c:v>-0.27173913043478259</c:v>
                </c:pt>
                <c:pt idx="928">
                  <c:v>-0.16304347826086957</c:v>
                </c:pt>
                <c:pt idx="929">
                  <c:v>-0.10869565217391304</c:v>
                </c:pt>
                <c:pt idx="930">
                  <c:v>-44.578260869565227</c:v>
                </c:pt>
                <c:pt idx="931">
                  <c:v>-35.560869565217395</c:v>
                </c:pt>
                <c:pt idx="932">
                  <c:v>-22.089130434782611</c:v>
                </c:pt>
                <c:pt idx="933">
                  <c:v>-1.0869565217391304</c:v>
                </c:pt>
                <c:pt idx="934">
                  <c:v>-0.86956521739130432</c:v>
                </c:pt>
                <c:pt idx="935">
                  <c:v>-0.54347826086956519</c:v>
                </c:pt>
                <c:pt idx="936">
                  <c:v>-1.3586956521739131</c:v>
                </c:pt>
                <c:pt idx="937">
                  <c:v>-1.0869565217391304</c:v>
                </c:pt>
                <c:pt idx="938">
                  <c:v>-0.48913043478260876</c:v>
                </c:pt>
                <c:pt idx="939">
                  <c:v>-26.360869565217392</c:v>
                </c:pt>
                <c:pt idx="940">
                  <c:v>-20.997826086956525</c:v>
                </c:pt>
                <c:pt idx="941">
                  <c:v>-13.180434782608696</c:v>
                </c:pt>
                <c:pt idx="942">
                  <c:v>-47.195652173913047</c:v>
                </c:pt>
                <c:pt idx="943">
                  <c:v>-37.723913043478262</c:v>
                </c:pt>
                <c:pt idx="944">
                  <c:v>-23.797826086956523</c:v>
                </c:pt>
                <c:pt idx="945">
                  <c:v>-46.721739130434777</c:v>
                </c:pt>
                <c:pt idx="946">
                  <c:v>-37.250000000000007</c:v>
                </c:pt>
                <c:pt idx="947">
                  <c:v>-23.160869565217393</c:v>
                </c:pt>
                <c:pt idx="948">
                  <c:v>-12.197826086956521</c:v>
                </c:pt>
                <c:pt idx="949">
                  <c:v>-9.234782608695653</c:v>
                </c:pt>
                <c:pt idx="950">
                  <c:v>-5.8717391304347828</c:v>
                </c:pt>
                <c:pt idx="951">
                  <c:v>0</c:v>
                </c:pt>
                <c:pt idx="952">
                  <c:v>-44.997826086956529</c:v>
                </c:pt>
                <c:pt idx="953">
                  <c:v>-37.689130434782612</c:v>
                </c:pt>
                <c:pt idx="954">
                  <c:v>-22.72608695652174</c:v>
                </c:pt>
                <c:pt idx="955">
                  <c:v>-0.10869565217391304</c:v>
                </c:pt>
                <c:pt idx="956">
                  <c:v>-0.10869565217391304</c:v>
                </c:pt>
                <c:pt idx="957">
                  <c:v>-5.434782608695652E-2</c:v>
                </c:pt>
                <c:pt idx="958">
                  <c:v>-31.052173913043482</c:v>
                </c:pt>
                <c:pt idx="959">
                  <c:v>-28.543478260869563</c:v>
                </c:pt>
                <c:pt idx="960">
                  <c:v>-16.326086956521742</c:v>
                </c:pt>
                <c:pt idx="961">
                  <c:v>-22.178260869565221</c:v>
                </c:pt>
                <c:pt idx="962">
                  <c:v>-43.956521739130444</c:v>
                </c:pt>
                <c:pt idx="963">
                  <c:v>-35.121739130434783</c:v>
                </c:pt>
                <c:pt idx="964">
                  <c:v>-46.197826086956518</c:v>
                </c:pt>
                <c:pt idx="965">
                  <c:v>-37.289130434782614</c:v>
                </c:pt>
                <c:pt idx="966">
                  <c:v>-21.92608695652174</c:v>
                </c:pt>
                <c:pt idx="967">
                  <c:v>-26.963043478260872</c:v>
                </c:pt>
                <c:pt idx="968">
                  <c:v>-23.763043478260869</c:v>
                </c:pt>
                <c:pt idx="969">
                  <c:v>-14.10869565217391</c:v>
                </c:pt>
                <c:pt idx="970">
                  <c:v>-8.2173913043478279</c:v>
                </c:pt>
                <c:pt idx="971">
                  <c:v>-5.7630434782608697</c:v>
                </c:pt>
                <c:pt idx="972">
                  <c:v>-4.108695652173914</c:v>
                </c:pt>
                <c:pt idx="973">
                  <c:v>-30.271739130434785</c:v>
                </c:pt>
                <c:pt idx="974">
                  <c:v>-22.617391304347827</c:v>
                </c:pt>
                <c:pt idx="975">
                  <c:v>-16.108695652173918</c:v>
                </c:pt>
              </c:numCache>
            </c:numRef>
          </c:xVal>
          <c:yVal>
            <c:numRef>
              <c:f>'just numbers (HaoBS)'!$V$2:$V$977</c:f>
              <c:numCache>
                <c:formatCode>General</c:formatCode>
                <c:ptCount val="976"/>
                <c:pt idx="0">
                  <c:v>-4.8</c:v>
                </c:pt>
                <c:pt idx="1">
                  <c:v>-0.8</c:v>
                </c:pt>
                <c:pt idx="2">
                  <c:v>-4.4000000000000004</c:v>
                </c:pt>
                <c:pt idx="3">
                  <c:v>-2.4</c:v>
                </c:pt>
                <c:pt idx="4">
                  <c:v>-2.8000000000000003</c:v>
                </c:pt>
                <c:pt idx="5">
                  <c:v>-4.4000000000000004</c:v>
                </c:pt>
                <c:pt idx="6">
                  <c:v>-2.8000000000000003</c:v>
                </c:pt>
                <c:pt idx="7">
                  <c:v>-4.4000000000000004</c:v>
                </c:pt>
                <c:pt idx="8">
                  <c:v>-4.4000000000000004</c:v>
                </c:pt>
                <c:pt idx="9">
                  <c:v>-2.0000000000000004</c:v>
                </c:pt>
                <c:pt idx="10">
                  <c:v>-1.6</c:v>
                </c:pt>
                <c:pt idx="11">
                  <c:v>-4.0000000000000009</c:v>
                </c:pt>
                <c:pt idx="12">
                  <c:v>-2.4</c:v>
                </c:pt>
                <c:pt idx="13">
                  <c:v>-4.4000000000000004</c:v>
                </c:pt>
                <c:pt idx="14">
                  <c:v>-2.8000000000000003</c:v>
                </c:pt>
                <c:pt idx="15">
                  <c:v>-4.4000000000000004</c:v>
                </c:pt>
                <c:pt idx="16">
                  <c:v>-2.8000000000000003</c:v>
                </c:pt>
                <c:pt idx="17">
                  <c:v>-4.4000000000000004</c:v>
                </c:pt>
                <c:pt idx="18">
                  <c:v>-4.0000000000000009</c:v>
                </c:pt>
                <c:pt idx="19">
                  <c:v>-4.0000000000000009</c:v>
                </c:pt>
                <c:pt idx="20">
                  <c:v>-10</c:v>
                </c:pt>
                <c:pt idx="21">
                  <c:v>0</c:v>
                </c:pt>
                <c:pt idx="22">
                  <c:v>0</c:v>
                </c:pt>
                <c:pt idx="23">
                  <c:v>-2.0000000000000004</c:v>
                </c:pt>
                <c:pt idx="24">
                  <c:v>0</c:v>
                </c:pt>
                <c:pt idx="25">
                  <c:v>-0.4</c:v>
                </c:pt>
                <c:pt idx="26">
                  <c:v>0</c:v>
                </c:pt>
                <c:pt idx="27">
                  <c:v>-3.5999999999999996</c:v>
                </c:pt>
                <c:pt idx="28">
                  <c:v>-2.0000000000000004</c:v>
                </c:pt>
                <c:pt idx="29">
                  <c:v>-2.0000000000000004</c:v>
                </c:pt>
                <c:pt idx="30">
                  <c:v>-0.4</c:v>
                </c:pt>
                <c:pt idx="31">
                  <c:v>-4.4000000000000004</c:v>
                </c:pt>
                <c:pt idx="32">
                  <c:v>-1.6</c:v>
                </c:pt>
                <c:pt idx="33">
                  <c:v>-4.4000000000000004</c:v>
                </c:pt>
                <c:pt idx="34">
                  <c:v>-1.2</c:v>
                </c:pt>
                <c:pt idx="35">
                  <c:v>-4.4000000000000004</c:v>
                </c:pt>
                <c:pt idx="36">
                  <c:v>-2.0000000000000004</c:v>
                </c:pt>
                <c:pt idx="37">
                  <c:v>-2.8000000000000003</c:v>
                </c:pt>
                <c:pt idx="38">
                  <c:v>-1.6</c:v>
                </c:pt>
                <c:pt idx="39">
                  <c:v>-2.0000000000000004</c:v>
                </c:pt>
                <c:pt idx="40">
                  <c:v>-0.8</c:v>
                </c:pt>
                <c:pt idx="41">
                  <c:v>-4.8</c:v>
                </c:pt>
                <c:pt idx="42">
                  <c:v>-2.0000000000000004</c:v>
                </c:pt>
                <c:pt idx="43">
                  <c:v>0</c:v>
                </c:pt>
                <c:pt idx="44">
                  <c:v>-0.4</c:v>
                </c:pt>
                <c:pt idx="45">
                  <c:v>-1.6</c:v>
                </c:pt>
                <c:pt idx="46">
                  <c:v>-1.6</c:v>
                </c:pt>
                <c:pt idx="47">
                  <c:v>-0.4</c:v>
                </c:pt>
                <c:pt idx="48">
                  <c:v>-3.2</c:v>
                </c:pt>
                <c:pt idx="49">
                  <c:v>0</c:v>
                </c:pt>
                <c:pt idx="50">
                  <c:v>-4.4000000000000004</c:v>
                </c:pt>
                <c:pt idx="51">
                  <c:v>-1.2</c:v>
                </c:pt>
                <c:pt idx="52">
                  <c:v>-3.2</c:v>
                </c:pt>
                <c:pt idx="53">
                  <c:v>-5.2</c:v>
                </c:pt>
                <c:pt idx="54">
                  <c:v>-1.6</c:v>
                </c:pt>
                <c:pt idx="55">
                  <c:v>-3.2</c:v>
                </c:pt>
                <c:pt idx="56">
                  <c:v>-1.2</c:v>
                </c:pt>
                <c:pt idx="57">
                  <c:v>-2.8000000000000003</c:v>
                </c:pt>
                <c:pt idx="58">
                  <c:v>-2.4</c:v>
                </c:pt>
                <c:pt idx="59">
                  <c:v>-0.4</c:v>
                </c:pt>
                <c:pt idx="60">
                  <c:v>-9.6</c:v>
                </c:pt>
                <c:pt idx="61">
                  <c:v>-0.8</c:v>
                </c:pt>
                <c:pt idx="62">
                  <c:v>-12.4</c:v>
                </c:pt>
                <c:pt idx="63">
                  <c:v>-2.0000000000000004</c:v>
                </c:pt>
                <c:pt idx="64">
                  <c:v>-9.6</c:v>
                </c:pt>
                <c:pt idx="65">
                  <c:v>-16.000000000000004</c:v>
                </c:pt>
                <c:pt idx="66">
                  <c:v>-34</c:v>
                </c:pt>
                <c:pt idx="67">
                  <c:v>-4.8</c:v>
                </c:pt>
                <c:pt idx="68">
                  <c:v>-28.4</c:v>
                </c:pt>
                <c:pt idx="69">
                  <c:v>-16.400000000000002</c:v>
                </c:pt>
                <c:pt idx="70">
                  <c:v>-16.400000000000002</c:v>
                </c:pt>
                <c:pt idx="71">
                  <c:v>-40.400000000000006</c:v>
                </c:pt>
                <c:pt idx="72">
                  <c:v>-35.200000000000003</c:v>
                </c:pt>
                <c:pt idx="73">
                  <c:v>-23.2</c:v>
                </c:pt>
                <c:pt idx="74">
                  <c:v>-22.400000000000002</c:v>
                </c:pt>
                <c:pt idx="75">
                  <c:v>-39.200000000000003</c:v>
                </c:pt>
                <c:pt idx="76">
                  <c:v>-28.4</c:v>
                </c:pt>
                <c:pt idx="77">
                  <c:v>-39.6</c:v>
                </c:pt>
                <c:pt idx="78">
                  <c:v>-13.200000000000001</c:v>
                </c:pt>
                <c:pt idx="79">
                  <c:v>-12</c:v>
                </c:pt>
                <c:pt idx="80">
                  <c:v>-17.200000000000003</c:v>
                </c:pt>
                <c:pt idx="81">
                  <c:v>-10</c:v>
                </c:pt>
                <c:pt idx="82">
                  <c:v>-0.4</c:v>
                </c:pt>
                <c:pt idx="83">
                  <c:v>-12</c:v>
                </c:pt>
                <c:pt idx="84">
                  <c:v>-5.2</c:v>
                </c:pt>
                <c:pt idx="85">
                  <c:v>-3.2</c:v>
                </c:pt>
                <c:pt idx="86">
                  <c:v>-20</c:v>
                </c:pt>
                <c:pt idx="87">
                  <c:v>-0.4</c:v>
                </c:pt>
                <c:pt idx="88">
                  <c:v>-6</c:v>
                </c:pt>
                <c:pt idx="89">
                  <c:v>-0.8</c:v>
                </c:pt>
                <c:pt idx="90">
                  <c:v>-10</c:v>
                </c:pt>
                <c:pt idx="91">
                  <c:v>-12</c:v>
                </c:pt>
                <c:pt idx="92">
                  <c:v>-0.4</c:v>
                </c:pt>
                <c:pt idx="93">
                  <c:v>-2.8000000000000003</c:v>
                </c:pt>
                <c:pt idx="94">
                  <c:v>-10.8</c:v>
                </c:pt>
                <c:pt idx="95">
                  <c:v>-16.400000000000002</c:v>
                </c:pt>
                <c:pt idx="96">
                  <c:v>-2.0000000000000004</c:v>
                </c:pt>
                <c:pt idx="97">
                  <c:v>-8.8000000000000007</c:v>
                </c:pt>
                <c:pt idx="98">
                  <c:v>-1.6</c:v>
                </c:pt>
                <c:pt idx="99">
                  <c:v>-0.4</c:v>
                </c:pt>
                <c:pt idx="100">
                  <c:v>-10</c:v>
                </c:pt>
                <c:pt idx="101">
                  <c:v>-12.8</c:v>
                </c:pt>
                <c:pt idx="102">
                  <c:v>0</c:v>
                </c:pt>
                <c:pt idx="103">
                  <c:v>0</c:v>
                </c:pt>
                <c:pt idx="104">
                  <c:v>-13.600000000000001</c:v>
                </c:pt>
                <c:pt idx="105">
                  <c:v>0</c:v>
                </c:pt>
                <c:pt idx="106">
                  <c:v>-0.4</c:v>
                </c:pt>
                <c:pt idx="107">
                  <c:v>-0.8</c:v>
                </c:pt>
                <c:pt idx="108">
                  <c:v>-8.4</c:v>
                </c:pt>
                <c:pt idx="109">
                  <c:v>-0.8</c:v>
                </c:pt>
                <c:pt idx="110">
                  <c:v>-1.2</c:v>
                </c:pt>
                <c:pt idx="111">
                  <c:v>-4.4000000000000004</c:v>
                </c:pt>
                <c:pt idx="112">
                  <c:v>-4.4000000000000004</c:v>
                </c:pt>
                <c:pt idx="113">
                  <c:v>-8.0000000000000018</c:v>
                </c:pt>
                <c:pt idx="114">
                  <c:v>-0.8</c:v>
                </c:pt>
                <c:pt idx="115">
                  <c:v>0</c:v>
                </c:pt>
                <c:pt idx="116">
                  <c:v>-2.4</c:v>
                </c:pt>
                <c:pt idx="117">
                  <c:v>-7.1999999999999993</c:v>
                </c:pt>
                <c:pt idx="118">
                  <c:v>-4.0000000000000009</c:v>
                </c:pt>
                <c:pt idx="119">
                  <c:v>-0.4</c:v>
                </c:pt>
                <c:pt idx="120">
                  <c:v>0</c:v>
                </c:pt>
                <c:pt idx="121">
                  <c:v>-2.8000000000000003</c:v>
                </c:pt>
                <c:pt idx="122">
                  <c:v>-23.2</c:v>
                </c:pt>
                <c:pt idx="123">
                  <c:v>-29.2</c:v>
                </c:pt>
                <c:pt idx="124">
                  <c:v>-42.000000000000007</c:v>
                </c:pt>
                <c:pt idx="125">
                  <c:v>-55.199999999999996</c:v>
                </c:pt>
                <c:pt idx="126">
                  <c:v>-22.400000000000002</c:v>
                </c:pt>
                <c:pt idx="127">
                  <c:v>-27.999999999999996</c:v>
                </c:pt>
                <c:pt idx="128">
                  <c:v>-40.800000000000004</c:v>
                </c:pt>
                <c:pt idx="129">
                  <c:v>-53.2</c:v>
                </c:pt>
                <c:pt idx="130">
                  <c:v>-20.400000000000002</c:v>
                </c:pt>
                <c:pt idx="131">
                  <c:v>-25.6</c:v>
                </c:pt>
                <c:pt idx="132">
                  <c:v>-37.200000000000003</c:v>
                </c:pt>
                <c:pt idx="133">
                  <c:v>-48.4</c:v>
                </c:pt>
                <c:pt idx="134">
                  <c:v>-26</c:v>
                </c:pt>
                <c:pt idx="135">
                  <c:v>-32.400000000000006</c:v>
                </c:pt>
                <c:pt idx="136">
                  <c:v>-47.199999999999996</c:v>
                </c:pt>
                <c:pt idx="137">
                  <c:v>-62.000000000000014</c:v>
                </c:pt>
                <c:pt idx="138">
                  <c:v>-24.4</c:v>
                </c:pt>
                <c:pt idx="139">
                  <c:v>-30.400000000000006</c:v>
                </c:pt>
                <c:pt idx="140">
                  <c:v>-44.000000000000007</c:v>
                </c:pt>
                <c:pt idx="141">
                  <c:v>-57.999999999999993</c:v>
                </c:pt>
                <c:pt idx="142">
                  <c:v>-24.4</c:v>
                </c:pt>
                <c:pt idx="143">
                  <c:v>-30.800000000000004</c:v>
                </c:pt>
                <c:pt idx="144">
                  <c:v>-44.400000000000006</c:v>
                </c:pt>
                <c:pt idx="145">
                  <c:v>-58.4</c:v>
                </c:pt>
                <c:pt idx="146">
                  <c:v>-24</c:v>
                </c:pt>
                <c:pt idx="147">
                  <c:v>-30.000000000000004</c:v>
                </c:pt>
                <c:pt idx="148">
                  <c:v>-43.600000000000009</c:v>
                </c:pt>
                <c:pt idx="149">
                  <c:v>-57.199999999999996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-13.999999999999998</c:v>
                </c:pt>
                <c:pt idx="155">
                  <c:v>-19.600000000000001</c:v>
                </c:pt>
                <c:pt idx="156">
                  <c:v>-28.4</c:v>
                </c:pt>
                <c:pt idx="157">
                  <c:v>-8.0000000000000018</c:v>
                </c:pt>
                <c:pt idx="158">
                  <c:v>-13.999999999999998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-4.0000000000000009</c:v>
                </c:pt>
                <c:pt idx="171">
                  <c:v>0</c:v>
                </c:pt>
                <c:pt idx="172">
                  <c:v>-0.4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-8.8000000000000007</c:v>
                </c:pt>
                <c:pt idx="177">
                  <c:v>0</c:v>
                </c:pt>
                <c:pt idx="178">
                  <c:v>0</c:v>
                </c:pt>
                <c:pt idx="179">
                  <c:v>-0.8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-6</c:v>
                </c:pt>
                <c:pt idx="187">
                  <c:v>-0.4</c:v>
                </c:pt>
                <c:pt idx="188">
                  <c:v>-25.2</c:v>
                </c:pt>
                <c:pt idx="189">
                  <c:v>-2.4</c:v>
                </c:pt>
                <c:pt idx="190">
                  <c:v>-2.4</c:v>
                </c:pt>
                <c:pt idx="191">
                  <c:v>-1.6</c:v>
                </c:pt>
                <c:pt idx="192">
                  <c:v>0</c:v>
                </c:pt>
                <c:pt idx="193">
                  <c:v>-1.6</c:v>
                </c:pt>
                <c:pt idx="194">
                  <c:v>-1.2</c:v>
                </c:pt>
                <c:pt idx="195">
                  <c:v>0</c:v>
                </c:pt>
                <c:pt idx="196">
                  <c:v>-1.6</c:v>
                </c:pt>
                <c:pt idx="197">
                  <c:v>0</c:v>
                </c:pt>
                <c:pt idx="198">
                  <c:v>-4.8</c:v>
                </c:pt>
                <c:pt idx="199">
                  <c:v>-1.2</c:v>
                </c:pt>
                <c:pt idx="200">
                  <c:v>-9.2000000000000011</c:v>
                </c:pt>
                <c:pt idx="201">
                  <c:v>-0.4</c:v>
                </c:pt>
                <c:pt idx="202">
                  <c:v>0</c:v>
                </c:pt>
                <c:pt idx="203">
                  <c:v>-1.2</c:v>
                </c:pt>
                <c:pt idx="204">
                  <c:v>0</c:v>
                </c:pt>
                <c:pt idx="205">
                  <c:v>0</c:v>
                </c:pt>
                <c:pt idx="206">
                  <c:v>-2.0000000000000004</c:v>
                </c:pt>
                <c:pt idx="207">
                  <c:v>-1.2</c:v>
                </c:pt>
                <c:pt idx="208">
                  <c:v>0</c:v>
                </c:pt>
                <c:pt idx="209">
                  <c:v>-0.4</c:v>
                </c:pt>
                <c:pt idx="210">
                  <c:v>-2.8000000000000003</c:v>
                </c:pt>
                <c:pt idx="211">
                  <c:v>0</c:v>
                </c:pt>
                <c:pt idx="212">
                  <c:v>-1.2</c:v>
                </c:pt>
                <c:pt idx="213">
                  <c:v>-0.4</c:v>
                </c:pt>
                <c:pt idx="214">
                  <c:v>-0.4</c:v>
                </c:pt>
                <c:pt idx="215">
                  <c:v>0</c:v>
                </c:pt>
                <c:pt idx="216">
                  <c:v>-2.0000000000000004</c:v>
                </c:pt>
                <c:pt idx="217">
                  <c:v>0</c:v>
                </c:pt>
                <c:pt idx="218">
                  <c:v>-0.8</c:v>
                </c:pt>
                <c:pt idx="219">
                  <c:v>-3.2</c:v>
                </c:pt>
                <c:pt idx="220">
                  <c:v>-0.8</c:v>
                </c:pt>
                <c:pt idx="221">
                  <c:v>-0.4</c:v>
                </c:pt>
                <c:pt idx="222">
                  <c:v>-0.4</c:v>
                </c:pt>
                <c:pt idx="223">
                  <c:v>-3.2</c:v>
                </c:pt>
                <c:pt idx="224">
                  <c:v>0</c:v>
                </c:pt>
                <c:pt idx="225">
                  <c:v>0</c:v>
                </c:pt>
                <c:pt idx="226">
                  <c:v>-4.4000000000000004</c:v>
                </c:pt>
                <c:pt idx="227">
                  <c:v>-1.2</c:v>
                </c:pt>
                <c:pt idx="228">
                  <c:v>-0.8</c:v>
                </c:pt>
                <c:pt idx="229">
                  <c:v>-0.8</c:v>
                </c:pt>
                <c:pt idx="230">
                  <c:v>0</c:v>
                </c:pt>
                <c:pt idx="231">
                  <c:v>-0.4</c:v>
                </c:pt>
                <c:pt idx="232">
                  <c:v>-0.4</c:v>
                </c:pt>
                <c:pt idx="233">
                  <c:v>0</c:v>
                </c:pt>
                <c:pt idx="234">
                  <c:v>0</c:v>
                </c:pt>
                <c:pt idx="235">
                  <c:v>-8.8000000000000007</c:v>
                </c:pt>
                <c:pt idx="236">
                  <c:v>0</c:v>
                </c:pt>
                <c:pt idx="237">
                  <c:v>0</c:v>
                </c:pt>
                <c:pt idx="238">
                  <c:v>-4.4000000000000004</c:v>
                </c:pt>
                <c:pt idx="239">
                  <c:v>-6.8000000000000007</c:v>
                </c:pt>
                <c:pt idx="240">
                  <c:v>-10.8</c:v>
                </c:pt>
                <c:pt idx="241">
                  <c:v>-9.6</c:v>
                </c:pt>
                <c:pt idx="242">
                  <c:v>-13.999999999999998</c:v>
                </c:pt>
                <c:pt idx="243">
                  <c:v>-12.4</c:v>
                </c:pt>
                <c:pt idx="244">
                  <c:v>-8.0000000000000018</c:v>
                </c:pt>
                <c:pt idx="245">
                  <c:v>-4.8</c:v>
                </c:pt>
                <c:pt idx="246">
                  <c:v>-4.8</c:v>
                </c:pt>
                <c:pt idx="247">
                  <c:v>-0.8</c:v>
                </c:pt>
                <c:pt idx="248">
                  <c:v>-3.5999999999999996</c:v>
                </c:pt>
                <c:pt idx="249">
                  <c:v>-4.8</c:v>
                </c:pt>
                <c:pt idx="250">
                  <c:v>-14.799999999999999</c:v>
                </c:pt>
                <c:pt idx="251">
                  <c:v>-12</c:v>
                </c:pt>
                <c:pt idx="252">
                  <c:v>-4.0000000000000009</c:v>
                </c:pt>
                <c:pt idx="253">
                  <c:v>-1.2</c:v>
                </c:pt>
                <c:pt idx="254">
                  <c:v>-0.4</c:v>
                </c:pt>
                <c:pt idx="255">
                  <c:v>-0.4</c:v>
                </c:pt>
                <c:pt idx="256">
                  <c:v>-4.4000000000000004</c:v>
                </c:pt>
                <c:pt idx="257">
                  <c:v>0</c:v>
                </c:pt>
                <c:pt idx="258">
                  <c:v>-2.8000000000000003</c:v>
                </c:pt>
                <c:pt idx="259">
                  <c:v>-2.4</c:v>
                </c:pt>
                <c:pt idx="260">
                  <c:v>-2.0000000000000004</c:v>
                </c:pt>
                <c:pt idx="261">
                  <c:v>-2.4</c:v>
                </c:pt>
                <c:pt idx="262">
                  <c:v>-2.0000000000000004</c:v>
                </c:pt>
                <c:pt idx="263">
                  <c:v>0</c:v>
                </c:pt>
                <c:pt idx="264">
                  <c:v>-0.4</c:v>
                </c:pt>
                <c:pt idx="265">
                  <c:v>-2.4</c:v>
                </c:pt>
                <c:pt idx="266">
                  <c:v>-8.0000000000000018</c:v>
                </c:pt>
                <c:pt idx="267">
                  <c:v>-3.2</c:v>
                </c:pt>
                <c:pt idx="268">
                  <c:v>-13.999999999999998</c:v>
                </c:pt>
                <c:pt idx="269">
                  <c:v>-18.400000000000002</c:v>
                </c:pt>
                <c:pt idx="270">
                  <c:v>-23.2</c:v>
                </c:pt>
                <c:pt idx="271">
                  <c:v>-34.800000000000004</c:v>
                </c:pt>
                <c:pt idx="272">
                  <c:v>-91.199999999999989</c:v>
                </c:pt>
                <c:pt idx="273">
                  <c:v>-15.200000000000003</c:v>
                </c:pt>
                <c:pt idx="274">
                  <c:v>-18.400000000000002</c:v>
                </c:pt>
                <c:pt idx="275">
                  <c:v>-24.8</c:v>
                </c:pt>
                <c:pt idx="276">
                  <c:v>-30.800000000000004</c:v>
                </c:pt>
                <c:pt idx="277">
                  <c:v>-46</c:v>
                </c:pt>
                <c:pt idx="278">
                  <c:v>0</c:v>
                </c:pt>
                <c:pt idx="279">
                  <c:v>0</c:v>
                </c:pt>
                <c:pt idx="280">
                  <c:v>-0.4</c:v>
                </c:pt>
                <c:pt idx="281">
                  <c:v>-0.4</c:v>
                </c:pt>
                <c:pt idx="282">
                  <c:v>-15.200000000000003</c:v>
                </c:pt>
                <c:pt idx="283">
                  <c:v>-20.400000000000002</c:v>
                </c:pt>
                <c:pt idx="284">
                  <c:v>-25.6</c:v>
                </c:pt>
                <c:pt idx="285">
                  <c:v>-38.4</c:v>
                </c:pt>
                <c:pt idx="286">
                  <c:v>-8.8000000000000007</c:v>
                </c:pt>
                <c:pt idx="287">
                  <c:v>-11.6</c:v>
                </c:pt>
                <c:pt idx="288">
                  <c:v>-14.399999999999999</c:v>
                </c:pt>
                <c:pt idx="289">
                  <c:v>-21.6</c:v>
                </c:pt>
                <c:pt idx="290">
                  <c:v>-8.0000000000000018</c:v>
                </c:pt>
                <c:pt idx="291">
                  <c:v>-10.4</c:v>
                </c:pt>
                <c:pt idx="292">
                  <c:v>-13.200000000000001</c:v>
                </c:pt>
                <c:pt idx="293">
                  <c:v>-19.600000000000001</c:v>
                </c:pt>
                <c:pt idx="294">
                  <c:v>-8.4</c:v>
                </c:pt>
                <c:pt idx="295">
                  <c:v>-11.6</c:v>
                </c:pt>
                <c:pt idx="296">
                  <c:v>-14.399999999999999</c:v>
                </c:pt>
                <c:pt idx="297">
                  <c:v>-21.6</c:v>
                </c:pt>
                <c:pt idx="298">
                  <c:v>-16.8</c:v>
                </c:pt>
                <c:pt idx="299">
                  <c:v>-22.799999999999997</c:v>
                </c:pt>
                <c:pt idx="300">
                  <c:v>-28.4</c:v>
                </c:pt>
                <c:pt idx="301">
                  <c:v>-42.400000000000006</c:v>
                </c:pt>
                <c:pt idx="302">
                  <c:v>-17.600000000000001</c:v>
                </c:pt>
                <c:pt idx="303">
                  <c:v>-23.2</c:v>
                </c:pt>
                <c:pt idx="304">
                  <c:v>-29.2</c:v>
                </c:pt>
                <c:pt idx="305">
                  <c:v>-43.600000000000009</c:v>
                </c:pt>
                <c:pt idx="306">
                  <c:v>-16.400000000000002</c:v>
                </c:pt>
                <c:pt idx="307">
                  <c:v>-21.6</c:v>
                </c:pt>
                <c:pt idx="308">
                  <c:v>-27.200000000000003</c:v>
                </c:pt>
                <c:pt idx="309">
                  <c:v>-40.400000000000006</c:v>
                </c:pt>
                <c:pt idx="310">
                  <c:v>-10</c:v>
                </c:pt>
                <c:pt idx="311">
                  <c:v>-17.600000000000001</c:v>
                </c:pt>
                <c:pt idx="312">
                  <c:v>-23.2</c:v>
                </c:pt>
                <c:pt idx="313">
                  <c:v>-29.2</c:v>
                </c:pt>
                <c:pt idx="314">
                  <c:v>-43.600000000000009</c:v>
                </c:pt>
                <c:pt idx="315">
                  <c:v>-15.600000000000003</c:v>
                </c:pt>
                <c:pt idx="316">
                  <c:v>-20.8</c:v>
                </c:pt>
                <c:pt idx="317">
                  <c:v>-26</c:v>
                </c:pt>
                <c:pt idx="318">
                  <c:v>-39.200000000000003</c:v>
                </c:pt>
                <c:pt idx="319">
                  <c:v>0</c:v>
                </c:pt>
                <c:pt idx="320">
                  <c:v>-16.400000000000002</c:v>
                </c:pt>
                <c:pt idx="321">
                  <c:v>-22.000000000000004</c:v>
                </c:pt>
                <c:pt idx="322">
                  <c:v>-27.599999999999998</c:v>
                </c:pt>
                <c:pt idx="323">
                  <c:v>-41.2</c:v>
                </c:pt>
                <c:pt idx="324">
                  <c:v>0</c:v>
                </c:pt>
                <c:pt idx="325">
                  <c:v>-105.60000000000001</c:v>
                </c:pt>
                <c:pt idx="326">
                  <c:v>-17.600000000000001</c:v>
                </c:pt>
                <c:pt idx="327">
                  <c:v>-18.000000000000004</c:v>
                </c:pt>
                <c:pt idx="328">
                  <c:v>-24</c:v>
                </c:pt>
                <c:pt idx="329">
                  <c:v>-30.000000000000004</c:v>
                </c:pt>
                <c:pt idx="330">
                  <c:v>-44.800000000000004</c:v>
                </c:pt>
                <c:pt idx="331">
                  <c:v>0</c:v>
                </c:pt>
                <c:pt idx="332">
                  <c:v>-16.000000000000004</c:v>
                </c:pt>
                <c:pt idx="333">
                  <c:v>-21.200000000000003</c:v>
                </c:pt>
                <c:pt idx="334">
                  <c:v>-26.8</c:v>
                </c:pt>
                <c:pt idx="335">
                  <c:v>-40</c:v>
                </c:pt>
                <c:pt idx="336">
                  <c:v>-18.400000000000002</c:v>
                </c:pt>
                <c:pt idx="337">
                  <c:v>-24.4</c:v>
                </c:pt>
                <c:pt idx="338">
                  <c:v>-30.400000000000006</c:v>
                </c:pt>
                <c:pt idx="339">
                  <c:v>-45.599999999999994</c:v>
                </c:pt>
                <c:pt idx="340">
                  <c:v>-16.8</c:v>
                </c:pt>
                <c:pt idx="341">
                  <c:v>-22.400000000000002</c:v>
                </c:pt>
                <c:pt idx="342">
                  <c:v>-27.999999999999996</c:v>
                </c:pt>
                <c:pt idx="343">
                  <c:v>-42.000000000000007</c:v>
                </c:pt>
                <c:pt idx="344">
                  <c:v>-2.0000000000000004</c:v>
                </c:pt>
                <c:pt idx="345">
                  <c:v>-2.0000000000000004</c:v>
                </c:pt>
                <c:pt idx="346">
                  <c:v>-3.5999999999999996</c:v>
                </c:pt>
                <c:pt idx="347">
                  <c:v>-4.8</c:v>
                </c:pt>
                <c:pt idx="348">
                  <c:v>-5.2</c:v>
                </c:pt>
                <c:pt idx="349">
                  <c:v>-5.2</c:v>
                </c:pt>
                <c:pt idx="350">
                  <c:v>-7.1999999999999993</c:v>
                </c:pt>
                <c:pt idx="351">
                  <c:v>-3.2</c:v>
                </c:pt>
                <c:pt idx="352">
                  <c:v>-4.0000000000000009</c:v>
                </c:pt>
                <c:pt idx="353">
                  <c:v>-4.4000000000000004</c:v>
                </c:pt>
                <c:pt idx="354">
                  <c:v>-5.2</c:v>
                </c:pt>
                <c:pt idx="355">
                  <c:v>-6</c:v>
                </c:pt>
                <c:pt idx="356">
                  <c:v>-2.8000000000000003</c:v>
                </c:pt>
                <c:pt idx="357">
                  <c:v>-3.5999999999999996</c:v>
                </c:pt>
                <c:pt idx="358">
                  <c:v>-4.4000000000000004</c:v>
                </c:pt>
                <c:pt idx="359">
                  <c:v>-2.0000000000000004</c:v>
                </c:pt>
                <c:pt idx="360">
                  <c:v>-2.4</c:v>
                </c:pt>
                <c:pt idx="361">
                  <c:v>-3.2</c:v>
                </c:pt>
                <c:pt idx="362">
                  <c:v>-4.4000000000000004</c:v>
                </c:pt>
                <c:pt idx="363">
                  <c:v>-6</c:v>
                </c:pt>
                <c:pt idx="364">
                  <c:v>-4.4000000000000004</c:v>
                </c:pt>
                <c:pt idx="365">
                  <c:v>-3.5999999999999996</c:v>
                </c:pt>
                <c:pt idx="366">
                  <c:v>-4.8</c:v>
                </c:pt>
                <c:pt idx="367">
                  <c:v>-2.4</c:v>
                </c:pt>
                <c:pt idx="368">
                  <c:v>-2.4</c:v>
                </c:pt>
                <c:pt idx="369">
                  <c:v>-1.6</c:v>
                </c:pt>
                <c:pt idx="370">
                  <c:v>-3.5999999999999996</c:v>
                </c:pt>
                <c:pt idx="371">
                  <c:v>-3.2</c:v>
                </c:pt>
                <c:pt idx="372">
                  <c:v>-1.6</c:v>
                </c:pt>
                <c:pt idx="373">
                  <c:v>-2.0000000000000004</c:v>
                </c:pt>
                <c:pt idx="374">
                  <c:v>-0.8</c:v>
                </c:pt>
                <c:pt idx="375">
                  <c:v>-3.5999999999999996</c:v>
                </c:pt>
                <c:pt idx="376">
                  <c:v>-1.6</c:v>
                </c:pt>
                <c:pt idx="377">
                  <c:v>-4.8</c:v>
                </c:pt>
                <c:pt idx="378">
                  <c:v>-2.4</c:v>
                </c:pt>
                <c:pt idx="379">
                  <c:v>-1.2</c:v>
                </c:pt>
                <c:pt idx="380">
                  <c:v>-3.2</c:v>
                </c:pt>
                <c:pt idx="381">
                  <c:v>0</c:v>
                </c:pt>
                <c:pt idx="382">
                  <c:v>0</c:v>
                </c:pt>
                <c:pt idx="383">
                  <c:v>-3.2</c:v>
                </c:pt>
                <c:pt idx="384">
                  <c:v>-4.4000000000000004</c:v>
                </c:pt>
                <c:pt idx="385">
                  <c:v>-5.2</c:v>
                </c:pt>
                <c:pt idx="386">
                  <c:v>-3.5999999999999996</c:v>
                </c:pt>
                <c:pt idx="387">
                  <c:v>-2.8000000000000003</c:v>
                </c:pt>
                <c:pt idx="388">
                  <c:v>-2.8000000000000003</c:v>
                </c:pt>
                <c:pt idx="389">
                  <c:v>-6.4</c:v>
                </c:pt>
                <c:pt idx="390">
                  <c:v>-5.2</c:v>
                </c:pt>
                <c:pt idx="391">
                  <c:v>-5.2</c:v>
                </c:pt>
                <c:pt idx="392">
                  <c:v>-2.4</c:v>
                </c:pt>
                <c:pt idx="393">
                  <c:v>-3.2</c:v>
                </c:pt>
                <c:pt idx="394">
                  <c:v>-1.6</c:v>
                </c:pt>
                <c:pt idx="395">
                  <c:v>-4.0000000000000009</c:v>
                </c:pt>
                <c:pt idx="396">
                  <c:v>-4.0000000000000009</c:v>
                </c:pt>
                <c:pt idx="397">
                  <c:v>-4.4000000000000004</c:v>
                </c:pt>
                <c:pt idx="398">
                  <c:v>-4.4000000000000004</c:v>
                </c:pt>
                <c:pt idx="399">
                  <c:v>-3.2</c:v>
                </c:pt>
                <c:pt idx="400">
                  <c:v>-10</c:v>
                </c:pt>
                <c:pt idx="401">
                  <c:v>-2.4</c:v>
                </c:pt>
                <c:pt idx="402">
                  <c:v>-6.4</c:v>
                </c:pt>
                <c:pt idx="403">
                  <c:v>-3.2</c:v>
                </c:pt>
                <c:pt idx="404">
                  <c:v>-0.8</c:v>
                </c:pt>
                <c:pt idx="405">
                  <c:v>-5.6000000000000005</c:v>
                </c:pt>
                <c:pt idx="406">
                  <c:v>-2.4</c:v>
                </c:pt>
                <c:pt idx="407">
                  <c:v>-4.4000000000000004</c:v>
                </c:pt>
                <c:pt idx="408">
                  <c:v>-4.4000000000000004</c:v>
                </c:pt>
                <c:pt idx="409">
                  <c:v>-0.8</c:v>
                </c:pt>
                <c:pt idx="410">
                  <c:v>-2.8000000000000003</c:v>
                </c:pt>
                <c:pt idx="411">
                  <c:v>-3.5999999999999996</c:v>
                </c:pt>
                <c:pt idx="412">
                  <c:v>-5.2</c:v>
                </c:pt>
                <c:pt idx="413">
                  <c:v>-2.8000000000000003</c:v>
                </c:pt>
                <c:pt idx="414">
                  <c:v>-3.5999999999999996</c:v>
                </c:pt>
                <c:pt idx="415">
                  <c:v>-4.4000000000000004</c:v>
                </c:pt>
                <c:pt idx="416">
                  <c:v>-2.4</c:v>
                </c:pt>
                <c:pt idx="417">
                  <c:v>-4.0000000000000009</c:v>
                </c:pt>
                <c:pt idx="418">
                  <c:v>-1.6</c:v>
                </c:pt>
                <c:pt idx="419">
                  <c:v>-1.2</c:v>
                </c:pt>
                <c:pt idx="420">
                  <c:v>-5.6000000000000005</c:v>
                </c:pt>
                <c:pt idx="421">
                  <c:v>-2.4</c:v>
                </c:pt>
                <c:pt idx="422">
                  <c:v>0</c:v>
                </c:pt>
                <c:pt idx="423">
                  <c:v>-4.0000000000000009</c:v>
                </c:pt>
                <c:pt idx="424">
                  <c:v>0</c:v>
                </c:pt>
                <c:pt idx="425">
                  <c:v>-0.8</c:v>
                </c:pt>
                <c:pt idx="426">
                  <c:v>0</c:v>
                </c:pt>
                <c:pt idx="427">
                  <c:v>-8.0000000000000018</c:v>
                </c:pt>
                <c:pt idx="428">
                  <c:v>-3.5999999999999996</c:v>
                </c:pt>
                <c:pt idx="429">
                  <c:v>-1.2</c:v>
                </c:pt>
                <c:pt idx="430">
                  <c:v>0</c:v>
                </c:pt>
                <c:pt idx="431">
                  <c:v>-1.6</c:v>
                </c:pt>
                <c:pt idx="432">
                  <c:v>-4.4000000000000004</c:v>
                </c:pt>
                <c:pt idx="433">
                  <c:v>-2.4</c:v>
                </c:pt>
                <c:pt idx="434">
                  <c:v>-2.8000000000000003</c:v>
                </c:pt>
                <c:pt idx="435">
                  <c:v>-18.400000000000002</c:v>
                </c:pt>
                <c:pt idx="436">
                  <c:v>-1.6</c:v>
                </c:pt>
                <c:pt idx="437">
                  <c:v>-1.6</c:v>
                </c:pt>
                <c:pt idx="438">
                  <c:v>-1.2</c:v>
                </c:pt>
                <c:pt idx="439">
                  <c:v>-0.8</c:v>
                </c:pt>
                <c:pt idx="440">
                  <c:v>-14.399999999999999</c:v>
                </c:pt>
                <c:pt idx="441">
                  <c:v>-23.599999999999998</c:v>
                </c:pt>
                <c:pt idx="442">
                  <c:v>-18.000000000000004</c:v>
                </c:pt>
                <c:pt idx="443">
                  <c:v>-18.400000000000002</c:v>
                </c:pt>
                <c:pt idx="444">
                  <c:v>-18.400000000000002</c:v>
                </c:pt>
                <c:pt idx="445">
                  <c:v>-0.8</c:v>
                </c:pt>
                <c:pt idx="446">
                  <c:v>-12.4</c:v>
                </c:pt>
                <c:pt idx="447">
                  <c:v>-2.0000000000000004</c:v>
                </c:pt>
                <c:pt idx="448">
                  <c:v>-2.0000000000000004</c:v>
                </c:pt>
                <c:pt idx="449">
                  <c:v>-14.799999999999999</c:v>
                </c:pt>
                <c:pt idx="450">
                  <c:v>-14.799999999999999</c:v>
                </c:pt>
                <c:pt idx="451">
                  <c:v>-21.200000000000003</c:v>
                </c:pt>
                <c:pt idx="452">
                  <c:v>-22.000000000000004</c:v>
                </c:pt>
                <c:pt idx="453">
                  <c:v>-22.000000000000004</c:v>
                </c:pt>
                <c:pt idx="454">
                  <c:v>-0.8</c:v>
                </c:pt>
                <c:pt idx="455">
                  <c:v>-1.2</c:v>
                </c:pt>
                <c:pt idx="456">
                  <c:v>-13.600000000000001</c:v>
                </c:pt>
                <c:pt idx="457">
                  <c:v>-15.200000000000003</c:v>
                </c:pt>
                <c:pt idx="458">
                  <c:v>-18.000000000000004</c:v>
                </c:pt>
                <c:pt idx="459">
                  <c:v>-1.6</c:v>
                </c:pt>
                <c:pt idx="460">
                  <c:v>-1.2</c:v>
                </c:pt>
                <c:pt idx="461">
                  <c:v>-6</c:v>
                </c:pt>
                <c:pt idx="462">
                  <c:v>-6</c:v>
                </c:pt>
                <c:pt idx="463">
                  <c:v>-18.8</c:v>
                </c:pt>
                <c:pt idx="464">
                  <c:v>-0.8</c:v>
                </c:pt>
                <c:pt idx="465">
                  <c:v>-1.2</c:v>
                </c:pt>
                <c:pt idx="466">
                  <c:v>0</c:v>
                </c:pt>
                <c:pt idx="467">
                  <c:v>-12.8</c:v>
                </c:pt>
                <c:pt idx="468">
                  <c:v>-13.600000000000001</c:v>
                </c:pt>
                <c:pt idx="469">
                  <c:v>-13.600000000000001</c:v>
                </c:pt>
                <c:pt idx="470">
                  <c:v>-12.8</c:v>
                </c:pt>
                <c:pt idx="471">
                  <c:v>-13.200000000000001</c:v>
                </c:pt>
                <c:pt idx="472">
                  <c:v>-13.200000000000001</c:v>
                </c:pt>
                <c:pt idx="473">
                  <c:v>-6.8000000000000007</c:v>
                </c:pt>
                <c:pt idx="474">
                  <c:v>-14.799999999999999</c:v>
                </c:pt>
                <c:pt idx="475">
                  <c:v>-1.2</c:v>
                </c:pt>
                <c:pt idx="476">
                  <c:v>-16.400000000000002</c:v>
                </c:pt>
                <c:pt idx="477">
                  <c:v>-17.200000000000003</c:v>
                </c:pt>
                <c:pt idx="478">
                  <c:v>-16.8</c:v>
                </c:pt>
                <c:pt idx="479">
                  <c:v>-16.000000000000004</c:v>
                </c:pt>
                <c:pt idx="480">
                  <c:v>-16.8</c:v>
                </c:pt>
                <c:pt idx="481">
                  <c:v>-16.400000000000002</c:v>
                </c:pt>
                <c:pt idx="482">
                  <c:v>-6.8000000000000007</c:v>
                </c:pt>
                <c:pt idx="483">
                  <c:v>-0.8</c:v>
                </c:pt>
                <c:pt idx="484">
                  <c:v>-1.6</c:v>
                </c:pt>
                <c:pt idx="485">
                  <c:v>-19.600000000000001</c:v>
                </c:pt>
                <c:pt idx="486">
                  <c:v>-20.400000000000002</c:v>
                </c:pt>
                <c:pt idx="487">
                  <c:v>-20.400000000000002</c:v>
                </c:pt>
                <c:pt idx="488">
                  <c:v>-13.999999999999998</c:v>
                </c:pt>
                <c:pt idx="489">
                  <c:v>-14.399999999999999</c:v>
                </c:pt>
                <c:pt idx="490">
                  <c:v>-14.399999999999999</c:v>
                </c:pt>
                <c:pt idx="491">
                  <c:v>-20</c:v>
                </c:pt>
                <c:pt idx="492">
                  <c:v>-10.4</c:v>
                </c:pt>
                <c:pt idx="493">
                  <c:v>-13.600000000000001</c:v>
                </c:pt>
                <c:pt idx="494">
                  <c:v>-5.6000000000000005</c:v>
                </c:pt>
                <c:pt idx="495">
                  <c:v>-16.8</c:v>
                </c:pt>
                <c:pt idx="496">
                  <c:v>-17.200000000000003</c:v>
                </c:pt>
                <c:pt idx="497">
                  <c:v>-18.000000000000004</c:v>
                </c:pt>
                <c:pt idx="498">
                  <c:v>-17.600000000000001</c:v>
                </c:pt>
                <c:pt idx="499">
                  <c:v>-21.6</c:v>
                </c:pt>
                <c:pt idx="500">
                  <c:v>-12.4</c:v>
                </c:pt>
                <c:pt idx="501">
                  <c:v>-18.400000000000002</c:v>
                </c:pt>
                <c:pt idx="502">
                  <c:v>-19.600000000000001</c:v>
                </c:pt>
                <c:pt idx="503">
                  <c:v>-15.200000000000003</c:v>
                </c:pt>
                <c:pt idx="504">
                  <c:v>-20.400000000000002</c:v>
                </c:pt>
                <c:pt idx="505">
                  <c:v>-21.200000000000003</c:v>
                </c:pt>
                <c:pt idx="506">
                  <c:v>-21.200000000000003</c:v>
                </c:pt>
                <c:pt idx="507">
                  <c:v>-7.1999999999999993</c:v>
                </c:pt>
                <c:pt idx="508">
                  <c:v>-13.999999999999998</c:v>
                </c:pt>
                <c:pt idx="509">
                  <c:v>-13.200000000000001</c:v>
                </c:pt>
                <c:pt idx="510">
                  <c:v>-18.000000000000004</c:v>
                </c:pt>
                <c:pt idx="511">
                  <c:v>-13.200000000000001</c:v>
                </c:pt>
                <c:pt idx="512">
                  <c:v>-18.400000000000002</c:v>
                </c:pt>
                <c:pt idx="513">
                  <c:v>-6</c:v>
                </c:pt>
                <c:pt idx="514">
                  <c:v>-16.000000000000004</c:v>
                </c:pt>
                <c:pt idx="515">
                  <c:v>-16.400000000000002</c:v>
                </c:pt>
                <c:pt idx="516">
                  <c:v>-16.400000000000002</c:v>
                </c:pt>
                <c:pt idx="517">
                  <c:v>-13.999999999999998</c:v>
                </c:pt>
                <c:pt idx="518">
                  <c:v>-0.8</c:v>
                </c:pt>
                <c:pt idx="519">
                  <c:v>-8.4</c:v>
                </c:pt>
                <c:pt idx="520">
                  <c:v>-12.8</c:v>
                </c:pt>
                <c:pt idx="521">
                  <c:v>-16.000000000000004</c:v>
                </c:pt>
                <c:pt idx="522">
                  <c:v>-13.600000000000001</c:v>
                </c:pt>
                <c:pt idx="523">
                  <c:v>-16.8</c:v>
                </c:pt>
                <c:pt idx="524">
                  <c:v>-13.600000000000001</c:v>
                </c:pt>
                <c:pt idx="525">
                  <c:v>-16.8</c:v>
                </c:pt>
                <c:pt idx="526">
                  <c:v>-19.600000000000001</c:v>
                </c:pt>
                <c:pt idx="527">
                  <c:v>-10.4</c:v>
                </c:pt>
                <c:pt idx="528">
                  <c:v>-19.2</c:v>
                </c:pt>
                <c:pt idx="529">
                  <c:v>-20.400000000000002</c:v>
                </c:pt>
                <c:pt idx="530">
                  <c:v>-20.400000000000002</c:v>
                </c:pt>
                <c:pt idx="531">
                  <c:v>-25.2</c:v>
                </c:pt>
                <c:pt idx="532">
                  <c:v>-28.799999999999997</c:v>
                </c:pt>
                <c:pt idx="533">
                  <c:v>-17.200000000000003</c:v>
                </c:pt>
                <c:pt idx="534">
                  <c:v>-44.400000000000006</c:v>
                </c:pt>
                <c:pt idx="535">
                  <c:v>-67.2</c:v>
                </c:pt>
                <c:pt idx="536">
                  <c:v>-33.6</c:v>
                </c:pt>
                <c:pt idx="537">
                  <c:v>-44.400000000000006</c:v>
                </c:pt>
                <c:pt idx="538">
                  <c:v>-38.4</c:v>
                </c:pt>
                <c:pt idx="539">
                  <c:v>-1.2</c:v>
                </c:pt>
                <c:pt idx="540">
                  <c:v>-5.6000000000000005</c:v>
                </c:pt>
                <c:pt idx="541">
                  <c:v>-25.2</c:v>
                </c:pt>
                <c:pt idx="542">
                  <c:v>-13.999999999999998</c:v>
                </c:pt>
                <c:pt idx="543">
                  <c:v>-67.2</c:v>
                </c:pt>
                <c:pt idx="544">
                  <c:v>-57.999999999999993</c:v>
                </c:pt>
                <c:pt idx="545">
                  <c:v>-29.2</c:v>
                </c:pt>
                <c:pt idx="546">
                  <c:v>-33.6</c:v>
                </c:pt>
                <c:pt idx="547">
                  <c:v>-2.4</c:v>
                </c:pt>
                <c:pt idx="548">
                  <c:v>-0.8</c:v>
                </c:pt>
                <c:pt idx="549">
                  <c:v>-12.4</c:v>
                </c:pt>
                <c:pt idx="550">
                  <c:v>-13.200000000000001</c:v>
                </c:pt>
                <c:pt idx="551">
                  <c:v>-18.000000000000004</c:v>
                </c:pt>
                <c:pt idx="552">
                  <c:v>-21.6</c:v>
                </c:pt>
                <c:pt idx="553">
                  <c:v>-12</c:v>
                </c:pt>
                <c:pt idx="554">
                  <c:v>-12.8</c:v>
                </c:pt>
                <c:pt idx="555">
                  <c:v>-12.4</c:v>
                </c:pt>
                <c:pt idx="556">
                  <c:v>-13.200000000000001</c:v>
                </c:pt>
                <c:pt idx="557">
                  <c:v>-16.400000000000002</c:v>
                </c:pt>
                <c:pt idx="558">
                  <c:v>-38.800000000000004</c:v>
                </c:pt>
                <c:pt idx="559">
                  <c:v>-23.599999999999998</c:v>
                </c:pt>
                <c:pt idx="560">
                  <c:v>-49.6</c:v>
                </c:pt>
                <c:pt idx="561">
                  <c:v>-39.200000000000003</c:v>
                </c:pt>
                <c:pt idx="562">
                  <c:v>-17.600000000000001</c:v>
                </c:pt>
                <c:pt idx="563">
                  <c:v>-32.800000000000004</c:v>
                </c:pt>
                <c:pt idx="564">
                  <c:v>-41.2</c:v>
                </c:pt>
                <c:pt idx="565">
                  <c:v>-48.4</c:v>
                </c:pt>
                <c:pt idx="566">
                  <c:v>-40</c:v>
                </c:pt>
                <c:pt idx="567">
                  <c:v>-31.600000000000005</c:v>
                </c:pt>
                <c:pt idx="568">
                  <c:v>-7.1999999999999993</c:v>
                </c:pt>
                <c:pt idx="569">
                  <c:v>-10</c:v>
                </c:pt>
                <c:pt idx="570">
                  <c:v>-30.800000000000004</c:v>
                </c:pt>
                <c:pt idx="571">
                  <c:v>-11.6</c:v>
                </c:pt>
                <c:pt idx="572">
                  <c:v>-12.4</c:v>
                </c:pt>
                <c:pt idx="573">
                  <c:v>-12.4</c:v>
                </c:pt>
                <c:pt idx="574">
                  <c:v>-25.6</c:v>
                </c:pt>
                <c:pt idx="575">
                  <c:v>-12.8</c:v>
                </c:pt>
                <c:pt idx="576">
                  <c:v>-2.4</c:v>
                </c:pt>
                <c:pt idx="577">
                  <c:v>-0.4</c:v>
                </c:pt>
                <c:pt idx="578">
                  <c:v>-0.4</c:v>
                </c:pt>
                <c:pt idx="579">
                  <c:v>-0.8</c:v>
                </c:pt>
                <c:pt idx="580">
                  <c:v>-15.600000000000003</c:v>
                </c:pt>
                <c:pt idx="581">
                  <c:v>-22.400000000000002</c:v>
                </c:pt>
                <c:pt idx="582">
                  <c:v>-5.2</c:v>
                </c:pt>
                <c:pt idx="583">
                  <c:v>-35.200000000000003</c:v>
                </c:pt>
                <c:pt idx="584">
                  <c:v>-34.800000000000004</c:v>
                </c:pt>
                <c:pt idx="585">
                  <c:v>-28.4</c:v>
                </c:pt>
                <c:pt idx="586">
                  <c:v>-23.2</c:v>
                </c:pt>
                <c:pt idx="587">
                  <c:v>-27.999999999999996</c:v>
                </c:pt>
                <c:pt idx="588">
                  <c:v>-5.2</c:v>
                </c:pt>
                <c:pt idx="589">
                  <c:v>-12</c:v>
                </c:pt>
                <c:pt idx="590">
                  <c:v>-22.799999999999997</c:v>
                </c:pt>
                <c:pt idx="591">
                  <c:v>0</c:v>
                </c:pt>
                <c:pt idx="592">
                  <c:v>-12.8</c:v>
                </c:pt>
                <c:pt idx="593">
                  <c:v>-6</c:v>
                </c:pt>
                <c:pt idx="594">
                  <c:v>-4.4000000000000004</c:v>
                </c:pt>
                <c:pt idx="595">
                  <c:v>0</c:v>
                </c:pt>
                <c:pt idx="596">
                  <c:v>-22.000000000000004</c:v>
                </c:pt>
                <c:pt idx="597">
                  <c:v>0</c:v>
                </c:pt>
                <c:pt idx="598">
                  <c:v>-0.8</c:v>
                </c:pt>
                <c:pt idx="599">
                  <c:v>-10.8</c:v>
                </c:pt>
                <c:pt idx="600">
                  <c:v>-11.6</c:v>
                </c:pt>
                <c:pt idx="601">
                  <c:v>-11.200000000000001</c:v>
                </c:pt>
                <c:pt idx="602">
                  <c:v>-1.2</c:v>
                </c:pt>
                <c:pt idx="603">
                  <c:v>-12</c:v>
                </c:pt>
                <c:pt idx="604">
                  <c:v>-17.600000000000001</c:v>
                </c:pt>
                <c:pt idx="605">
                  <c:v>-17.600000000000001</c:v>
                </c:pt>
                <c:pt idx="606">
                  <c:v>-27.599999999999998</c:v>
                </c:pt>
                <c:pt idx="607">
                  <c:v>-27.999999999999996</c:v>
                </c:pt>
                <c:pt idx="608">
                  <c:v>-5.2</c:v>
                </c:pt>
                <c:pt idx="609">
                  <c:v>-8.0000000000000018</c:v>
                </c:pt>
                <c:pt idx="610">
                  <c:v>-8.4</c:v>
                </c:pt>
                <c:pt idx="611">
                  <c:v>-8.4</c:v>
                </c:pt>
                <c:pt idx="612">
                  <c:v>-21.6</c:v>
                </c:pt>
                <c:pt idx="613">
                  <c:v>-16.400000000000002</c:v>
                </c:pt>
                <c:pt idx="614">
                  <c:v>-17.200000000000003</c:v>
                </c:pt>
                <c:pt idx="615">
                  <c:v>-17.200000000000003</c:v>
                </c:pt>
                <c:pt idx="616">
                  <c:v>-8.8000000000000007</c:v>
                </c:pt>
                <c:pt idx="617">
                  <c:v>-18.000000000000004</c:v>
                </c:pt>
                <c:pt idx="618">
                  <c:v>0</c:v>
                </c:pt>
                <c:pt idx="619">
                  <c:v>-14.399999999999999</c:v>
                </c:pt>
                <c:pt idx="620">
                  <c:v>-1.6</c:v>
                </c:pt>
                <c:pt idx="621">
                  <c:v>-18.000000000000004</c:v>
                </c:pt>
                <c:pt idx="622">
                  <c:v>-27.599999999999998</c:v>
                </c:pt>
                <c:pt idx="623">
                  <c:v>-0.8</c:v>
                </c:pt>
                <c:pt idx="624">
                  <c:v>0</c:v>
                </c:pt>
                <c:pt idx="625">
                  <c:v>-4.0000000000000009</c:v>
                </c:pt>
                <c:pt idx="626">
                  <c:v>-4.4000000000000004</c:v>
                </c:pt>
                <c:pt idx="627">
                  <c:v>-4.0000000000000009</c:v>
                </c:pt>
                <c:pt idx="628">
                  <c:v>0</c:v>
                </c:pt>
                <c:pt idx="629">
                  <c:v>-0.4</c:v>
                </c:pt>
                <c:pt idx="630">
                  <c:v>-3.2</c:v>
                </c:pt>
                <c:pt idx="631">
                  <c:v>-4.4000000000000004</c:v>
                </c:pt>
                <c:pt idx="632">
                  <c:v>-1.2</c:v>
                </c:pt>
                <c:pt idx="633">
                  <c:v>-12.8</c:v>
                </c:pt>
                <c:pt idx="634">
                  <c:v>0</c:v>
                </c:pt>
                <c:pt idx="635">
                  <c:v>-3.5999999999999996</c:v>
                </c:pt>
                <c:pt idx="636">
                  <c:v>-3.5999999999999996</c:v>
                </c:pt>
                <c:pt idx="637">
                  <c:v>-3.5999999999999996</c:v>
                </c:pt>
                <c:pt idx="638">
                  <c:v>-6</c:v>
                </c:pt>
                <c:pt idx="639">
                  <c:v>-8.8000000000000007</c:v>
                </c:pt>
                <c:pt idx="640">
                  <c:v>-11.6</c:v>
                </c:pt>
                <c:pt idx="641">
                  <c:v>-16.000000000000004</c:v>
                </c:pt>
                <c:pt idx="642">
                  <c:v>-23.2</c:v>
                </c:pt>
                <c:pt idx="643">
                  <c:v>-34.400000000000006</c:v>
                </c:pt>
                <c:pt idx="644">
                  <c:v>-11.200000000000001</c:v>
                </c:pt>
                <c:pt idx="645">
                  <c:v>-15.600000000000003</c:v>
                </c:pt>
                <c:pt idx="646">
                  <c:v>-22.400000000000002</c:v>
                </c:pt>
                <c:pt idx="647">
                  <c:v>-33.200000000000003</c:v>
                </c:pt>
                <c:pt idx="648">
                  <c:v>-12.8</c:v>
                </c:pt>
                <c:pt idx="649">
                  <c:v>-17.600000000000001</c:v>
                </c:pt>
                <c:pt idx="650">
                  <c:v>-25.6</c:v>
                </c:pt>
                <c:pt idx="651">
                  <c:v>-37.6</c:v>
                </c:pt>
                <c:pt idx="652">
                  <c:v>-6.4</c:v>
                </c:pt>
                <c:pt idx="653">
                  <c:v>-8.4</c:v>
                </c:pt>
                <c:pt idx="654">
                  <c:v>-12.4</c:v>
                </c:pt>
                <c:pt idx="655">
                  <c:v>-18.400000000000002</c:v>
                </c:pt>
                <c:pt idx="656">
                  <c:v>0</c:v>
                </c:pt>
                <c:pt idx="657">
                  <c:v>0</c:v>
                </c:pt>
                <c:pt idx="658">
                  <c:v>-1.6</c:v>
                </c:pt>
                <c:pt idx="659">
                  <c:v>-0.4</c:v>
                </c:pt>
                <c:pt idx="660">
                  <c:v>-0.4</c:v>
                </c:pt>
                <c:pt idx="661">
                  <c:v>-10.8</c:v>
                </c:pt>
                <c:pt idx="662">
                  <c:v>-0.4</c:v>
                </c:pt>
                <c:pt idx="663">
                  <c:v>-1.2</c:v>
                </c:pt>
                <c:pt idx="664">
                  <c:v>-1.2</c:v>
                </c:pt>
                <c:pt idx="665">
                  <c:v>-0.4</c:v>
                </c:pt>
                <c:pt idx="666">
                  <c:v>-0.8</c:v>
                </c:pt>
                <c:pt idx="667">
                  <c:v>-0.8</c:v>
                </c:pt>
                <c:pt idx="668">
                  <c:v>-1.2</c:v>
                </c:pt>
                <c:pt idx="669">
                  <c:v>-0.4</c:v>
                </c:pt>
                <c:pt idx="670">
                  <c:v>-0.8</c:v>
                </c:pt>
                <c:pt idx="671">
                  <c:v>-0.4</c:v>
                </c:pt>
                <c:pt idx="672">
                  <c:v>-0.4</c:v>
                </c:pt>
                <c:pt idx="673">
                  <c:v>-0.4</c:v>
                </c:pt>
                <c:pt idx="674">
                  <c:v>-0.8</c:v>
                </c:pt>
                <c:pt idx="675">
                  <c:v>-0.8</c:v>
                </c:pt>
                <c:pt idx="676">
                  <c:v>-0.8</c:v>
                </c:pt>
                <c:pt idx="677">
                  <c:v>-2.8000000000000003</c:v>
                </c:pt>
                <c:pt idx="678">
                  <c:v>0</c:v>
                </c:pt>
                <c:pt idx="679">
                  <c:v>-0.8</c:v>
                </c:pt>
                <c:pt idx="680">
                  <c:v>-0.8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-0.8</c:v>
                </c:pt>
                <c:pt idx="685">
                  <c:v>-0.8</c:v>
                </c:pt>
                <c:pt idx="686">
                  <c:v>-2.4</c:v>
                </c:pt>
                <c:pt idx="687">
                  <c:v>-0.4</c:v>
                </c:pt>
                <c:pt idx="688">
                  <c:v>-0.4</c:v>
                </c:pt>
                <c:pt idx="689">
                  <c:v>-0.8</c:v>
                </c:pt>
                <c:pt idx="690">
                  <c:v>-0.8</c:v>
                </c:pt>
                <c:pt idx="691">
                  <c:v>-3.2</c:v>
                </c:pt>
                <c:pt idx="692">
                  <c:v>-0.8</c:v>
                </c:pt>
                <c:pt idx="693">
                  <c:v>-0.4</c:v>
                </c:pt>
                <c:pt idx="694">
                  <c:v>-0.8</c:v>
                </c:pt>
                <c:pt idx="695">
                  <c:v>-0.4</c:v>
                </c:pt>
                <c:pt idx="696">
                  <c:v>-0.4</c:v>
                </c:pt>
                <c:pt idx="697">
                  <c:v>-0.4</c:v>
                </c:pt>
                <c:pt idx="698">
                  <c:v>-0.8</c:v>
                </c:pt>
                <c:pt idx="699">
                  <c:v>-0.8</c:v>
                </c:pt>
                <c:pt idx="700">
                  <c:v>0</c:v>
                </c:pt>
                <c:pt idx="701">
                  <c:v>-0.8</c:v>
                </c:pt>
                <c:pt idx="702">
                  <c:v>-0.8</c:v>
                </c:pt>
                <c:pt idx="703">
                  <c:v>-0.8</c:v>
                </c:pt>
                <c:pt idx="704">
                  <c:v>-0.4</c:v>
                </c:pt>
                <c:pt idx="705">
                  <c:v>-0.8</c:v>
                </c:pt>
                <c:pt idx="706">
                  <c:v>-0.8</c:v>
                </c:pt>
                <c:pt idx="707">
                  <c:v>-0.8</c:v>
                </c:pt>
                <c:pt idx="708">
                  <c:v>-0.8</c:v>
                </c:pt>
                <c:pt idx="709">
                  <c:v>-0.8</c:v>
                </c:pt>
                <c:pt idx="710">
                  <c:v>-1.6</c:v>
                </c:pt>
                <c:pt idx="711">
                  <c:v>-0.8</c:v>
                </c:pt>
                <c:pt idx="712">
                  <c:v>-0.8</c:v>
                </c:pt>
                <c:pt idx="713">
                  <c:v>-1.2</c:v>
                </c:pt>
                <c:pt idx="714">
                  <c:v>-1.2</c:v>
                </c:pt>
                <c:pt idx="715">
                  <c:v>-2.8000000000000003</c:v>
                </c:pt>
                <c:pt idx="716">
                  <c:v>-0.4</c:v>
                </c:pt>
                <c:pt idx="717">
                  <c:v>-0.8</c:v>
                </c:pt>
                <c:pt idx="718">
                  <c:v>-0.4</c:v>
                </c:pt>
                <c:pt idx="719">
                  <c:v>-0.4</c:v>
                </c:pt>
                <c:pt idx="720">
                  <c:v>-0.8</c:v>
                </c:pt>
                <c:pt idx="721">
                  <c:v>-0.8</c:v>
                </c:pt>
                <c:pt idx="722">
                  <c:v>-0.4</c:v>
                </c:pt>
                <c:pt idx="723">
                  <c:v>-2.4</c:v>
                </c:pt>
                <c:pt idx="724">
                  <c:v>-0.8</c:v>
                </c:pt>
                <c:pt idx="725">
                  <c:v>-0.4</c:v>
                </c:pt>
                <c:pt idx="726">
                  <c:v>-0.8</c:v>
                </c:pt>
                <c:pt idx="727">
                  <c:v>-0.8</c:v>
                </c:pt>
                <c:pt idx="728">
                  <c:v>-0.8</c:v>
                </c:pt>
                <c:pt idx="729">
                  <c:v>-0.8</c:v>
                </c:pt>
                <c:pt idx="730">
                  <c:v>-0.4</c:v>
                </c:pt>
                <c:pt idx="731">
                  <c:v>-0.4</c:v>
                </c:pt>
                <c:pt idx="732">
                  <c:v>0</c:v>
                </c:pt>
                <c:pt idx="733">
                  <c:v>-0.8</c:v>
                </c:pt>
                <c:pt idx="734">
                  <c:v>-0.8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-4.8</c:v>
                </c:pt>
                <c:pt idx="739">
                  <c:v>-3.5999999999999996</c:v>
                </c:pt>
                <c:pt idx="740">
                  <c:v>-0.4</c:v>
                </c:pt>
                <c:pt idx="741">
                  <c:v>-0.8</c:v>
                </c:pt>
                <c:pt idx="742">
                  <c:v>0</c:v>
                </c:pt>
                <c:pt idx="743">
                  <c:v>-0.8</c:v>
                </c:pt>
                <c:pt idx="744">
                  <c:v>-0.8</c:v>
                </c:pt>
                <c:pt idx="745">
                  <c:v>-0.8</c:v>
                </c:pt>
                <c:pt idx="746">
                  <c:v>-0.8</c:v>
                </c:pt>
                <c:pt idx="747">
                  <c:v>-0.8</c:v>
                </c:pt>
                <c:pt idx="748">
                  <c:v>-1.6</c:v>
                </c:pt>
                <c:pt idx="749">
                  <c:v>-0.4</c:v>
                </c:pt>
                <c:pt idx="750">
                  <c:v>0</c:v>
                </c:pt>
                <c:pt idx="751">
                  <c:v>-1.6</c:v>
                </c:pt>
                <c:pt idx="752">
                  <c:v>-1.2</c:v>
                </c:pt>
                <c:pt idx="753">
                  <c:v>-1.2</c:v>
                </c:pt>
                <c:pt idx="754">
                  <c:v>-0.8</c:v>
                </c:pt>
                <c:pt idx="755">
                  <c:v>-0.8</c:v>
                </c:pt>
                <c:pt idx="756">
                  <c:v>0</c:v>
                </c:pt>
                <c:pt idx="757">
                  <c:v>0</c:v>
                </c:pt>
                <c:pt idx="758">
                  <c:v>-1.2</c:v>
                </c:pt>
                <c:pt idx="759">
                  <c:v>-1.2</c:v>
                </c:pt>
                <c:pt idx="760">
                  <c:v>-1.2</c:v>
                </c:pt>
                <c:pt idx="761">
                  <c:v>-0.8</c:v>
                </c:pt>
                <c:pt idx="762">
                  <c:v>-1.2</c:v>
                </c:pt>
                <c:pt idx="763">
                  <c:v>-0.8</c:v>
                </c:pt>
                <c:pt idx="764">
                  <c:v>-0.8</c:v>
                </c:pt>
                <c:pt idx="765">
                  <c:v>-0.8</c:v>
                </c:pt>
                <c:pt idx="766">
                  <c:v>-1.6</c:v>
                </c:pt>
                <c:pt idx="767">
                  <c:v>-0.8</c:v>
                </c:pt>
                <c:pt idx="768">
                  <c:v>-1.6</c:v>
                </c:pt>
                <c:pt idx="769">
                  <c:v>-0.8</c:v>
                </c:pt>
                <c:pt idx="770">
                  <c:v>-1.6</c:v>
                </c:pt>
                <c:pt idx="771">
                  <c:v>-0.8</c:v>
                </c:pt>
                <c:pt idx="772">
                  <c:v>0</c:v>
                </c:pt>
                <c:pt idx="773">
                  <c:v>-0.8</c:v>
                </c:pt>
                <c:pt idx="774">
                  <c:v>-1.2</c:v>
                </c:pt>
                <c:pt idx="775">
                  <c:v>-1.6</c:v>
                </c:pt>
                <c:pt idx="776">
                  <c:v>-1.2</c:v>
                </c:pt>
                <c:pt idx="777">
                  <c:v>-1.2</c:v>
                </c:pt>
                <c:pt idx="778">
                  <c:v>-1.2</c:v>
                </c:pt>
                <c:pt idx="779">
                  <c:v>-0.8</c:v>
                </c:pt>
                <c:pt idx="780">
                  <c:v>-2.0000000000000004</c:v>
                </c:pt>
                <c:pt idx="781">
                  <c:v>-1.2</c:v>
                </c:pt>
                <c:pt idx="782">
                  <c:v>-2.0000000000000004</c:v>
                </c:pt>
                <c:pt idx="783">
                  <c:v>-1.2</c:v>
                </c:pt>
                <c:pt idx="784">
                  <c:v>-0.8</c:v>
                </c:pt>
                <c:pt idx="785">
                  <c:v>-1.2</c:v>
                </c:pt>
                <c:pt idx="786">
                  <c:v>-1.2</c:v>
                </c:pt>
                <c:pt idx="787">
                  <c:v>-2.4</c:v>
                </c:pt>
                <c:pt idx="788">
                  <c:v>-2.0000000000000004</c:v>
                </c:pt>
                <c:pt idx="789">
                  <c:v>-1.2</c:v>
                </c:pt>
                <c:pt idx="790">
                  <c:v>-1.2</c:v>
                </c:pt>
                <c:pt idx="791">
                  <c:v>-0.8</c:v>
                </c:pt>
                <c:pt idx="792">
                  <c:v>-1.2</c:v>
                </c:pt>
                <c:pt idx="793">
                  <c:v>-0.8</c:v>
                </c:pt>
                <c:pt idx="794">
                  <c:v>-2.0000000000000004</c:v>
                </c:pt>
                <c:pt idx="795">
                  <c:v>-2.4</c:v>
                </c:pt>
                <c:pt idx="796">
                  <c:v>-1.2</c:v>
                </c:pt>
                <c:pt idx="797">
                  <c:v>0</c:v>
                </c:pt>
                <c:pt idx="798">
                  <c:v>-2.0000000000000004</c:v>
                </c:pt>
                <c:pt idx="799">
                  <c:v>-1.6</c:v>
                </c:pt>
                <c:pt idx="800">
                  <c:v>-11.200000000000001</c:v>
                </c:pt>
                <c:pt idx="801">
                  <c:v>-0.8</c:v>
                </c:pt>
                <c:pt idx="802">
                  <c:v>-4.0000000000000009</c:v>
                </c:pt>
                <c:pt idx="803">
                  <c:v>-23.599999999999998</c:v>
                </c:pt>
                <c:pt idx="804">
                  <c:v>-0.8</c:v>
                </c:pt>
                <c:pt idx="805">
                  <c:v>0</c:v>
                </c:pt>
                <c:pt idx="806">
                  <c:v>0</c:v>
                </c:pt>
                <c:pt idx="807">
                  <c:v>-5.2</c:v>
                </c:pt>
                <c:pt idx="808">
                  <c:v>-12</c:v>
                </c:pt>
                <c:pt idx="809">
                  <c:v>-15.200000000000003</c:v>
                </c:pt>
                <c:pt idx="810">
                  <c:v>-13.600000000000001</c:v>
                </c:pt>
                <c:pt idx="811">
                  <c:v>-16.8</c:v>
                </c:pt>
                <c:pt idx="812">
                  <c:v>-12</c:v>
                </c:pt>
                <c:pt idx="813">
                  <c:v>-15.200000000000003</c:v>
                </c:pt>
                <c:pt idx="814">
                  <c:v>-18.8</c:v>
                </c:pt>
                <c:pt idx="815">
                  <c:v>-22.799999999999997</c:v>
                </c:pt>
                <c:pt idx="816">
                  <c:v>-13.600000000000001</c:v>
                </c:pt>
                <c:pt idx="817">
                  <c:v>-16.8</c:v>
                </c:pt>
                <c:pt idx="818">
                  <c:v>-16.400000000000002</c:v>
                </c:pt>
                <c:pt idx="819">
                  <c:v>-20.400000000000002</c:v>
                </c:pt>
                <c:pt idx="820">
                  <c:v>-16.400000000000002</c:v>
                </c:pt>
                <c:pt idx="821">
                  <c:v>-20.400000000000002</c:v>
                </c:pt>
                <c:pt idx="822">
                  <c:v>-3.5999999999999996</c:v>
                </c:pt>
                <c:pt idx="823">
                  <c:v>-3.2</c:v>
                </c:pt>
                <c:pt idx="824">
                  <c:v>-11.6</c:v>
                </c:pt>
                <c:pt idx="825">
                  <c:v>-2.4</c:v>
                </c:pt>
                <c:pt idx="826">
                  <c:v>-2.4</c:v>
                </c:pt>
                <c:pt idx="827">
                  <c:v>-6</c:v>
                </c:pt>
                <c:pt idx="828">
                  <c:v>-4.0000000000000009</c:v>
                </c:pt>
                <c:pt idx="829">
                  <c:v>0</c:v>
                </c:pt>
                <c:pt idx="830">
                  <c:v>-0.4</c:v>
                </c:pt>
                <c:pt idx="831">
                  <c:v>-1.2</c:v>
                </c:pt>
                <c:pt idx="832">
                  <c:v>-1.2</c:v>
                </c:pt>
                <c:pt idx="833">
                  <c:v>-0.4</c:v>
                </c:pt>
                <c:pt idx="834">
                  <c:v>0</c:v>
                </c:pt>
                <c:pt idx="835">
                  <c:v>-2.8000000000000003</c:v>
                </c:pt>
                <c:pt idx="836">
                  <c:v>-1.6</c:v>
                </c:pt>
                <c:pt idx="837">
                  <c:v>-16.000000000000004</c:v>
                </c:pt>
                <c:pt idx="838">
                  <c:v>-3.5999999999999996</c:v>
                </c:pt>
                <c:pt idx="839">
                  <c:v>-2.4</c:v>
                </c:pt>
                <c:pt idx="840">
                  <c:v>-3.2</c:v>
                </c:pt>
                <c:pt idx="841">
                  <c:v>-3.2</c:v>
                </c:pt>
                <c:pt idx="842">
                  <c:v>-8.8000000000000007</c:v>
                </c:pt>
                <c:pt idx="843">
                  <c:v>-2.4</c:v>
                </c:pt>
                <c:pt idx="844">
                  <c:v>-2.8000000000000003</c:v>
                </c:pt>
                <c:pt idx="845">
                  <c:v>-2.4</c:v>
                </c:pt>
                <c:pt idx="846">
                  <c:v>-2.4</c:v>
                </c:pt>
                <c:pt idx="847">
                  <c:v>-2.4</c:v>
                </c:pt>
                <c:pt idx="848">
                  <c:v>-1.6</c:v>
                </c:pt>
                <c:pt idx="849">
                  <c:v>-1.6</c:v>
                </c:pt>
                <c:pt idx="850">
                  <c:v>-2.4</c:v>
                </c:pt>
                <c:pt idx="851">
                  <c:v>-2.0000000000000004</c:v>
                </c:pt>
                <c:pt idx="852">
                  <c:v>-2.8000000000000003</c:v>
                </c:pt>
                <c:pt idx="853">
                  <c:v>-2.0000000000000004</c:v>
                </c:pt>
                <c:pt idx="854">
                  <c:v>0</c:v>
                </c:pt>
                <c:pt idx="855">
                  <c:v>0</c:v>
                </c:pt>
                <c:pt idx="856">
                  <c:v>-3.5999999999999996</c:v>
                </c:pt>
                <c:pt idx="857">
                  <c:v>0</c:v>
                </c:pt>
                <c:pt idx="858">
                  <c:v>0</c:v>
                </c:pt>
                <c:pt idx="859">
                  <c:v>-2.0000000000000004</c:v>
                </c:pt>
                <c:pt idx="860">
                  <c:v>-0.8</c:v>
                </c:pt>
                <c:pt idx="861">
                  <c:v>-7.1999999999999993</c:v>
                </c:pt>
                <c:pt idx="862">
                  <c:v>-2.0000000000000004</c:v>
                </c:pt>
                <c:pt idx="863">
                  <c:v>-0.8</c:v>
                </c:pt>
                <c:pt idx="864">
                  <c:v>-2.0000000000000004</c:v>
                </c:pt>
                <c:pt idx="865">
                  <c:v>-2.8000000000000003</c:v>
                </c:pt>
                <c:pt idx="866">
                  <c:v>-9.2000000000000011</c:v>
                </c:pt>
                <c:pt idx="867">
                  <c:v>-2.8000000000000003</c:v>
                </c:pt>
                <c:pt idx="868">
                  <c:v>-1.6</c:v>
                </c:pt>
                <c:pt idx="869">
                  <c:v>-1.6</c:v>
                </c:pt>
                <c:pt idx="870">
                  <c:v>-2.8000000000000003</c:v>
                </c:pt>
                <c:pt idx="871">
                  <c:v>-4.8</c:v>
                </c:pt>
                <c:pt idx="872">
                  <c:v>-1.6</c:v>
                </c:pt>
                <c:pt idx="873">
                  <c:v>-3.5999999999999996</c:v>
                </c:pt>
                <c:pt idx="874">
                  <c:v>-0.8</c:v>
                </c:pt>
                <c:pt idx="875">
                  <c:v>-2.0000000000000004</c:v>
                </c:pt>
                <c:pt idx="876">
                  <c:v>-2.4</c:v>
                </c:pt>
                <c:pt idx="877">
                  <c:v>-1.6</c:v>
                </c:pt>
                <c:pt idx="878">
                  <c:v>-1.2</c:v>
                </c:pt>
                <c:pt idx="879">
                  <c:v>-2.0000000000000004</c:v>
                </c:pt>
                <c:pt idx="880">
                  <c:v>-1.6</c:v>
                </c:pt>
                <c:pt idx="881">
                  <c:v>0</c:v>
                </c:pt>
                <c:pt idx="882">
                  <c:v>-10.8</c:v>
                </c:pt>
                <c:pt idx="883">
                  <c:v>-32.400000000000006</c:v>
                </c:pt>
                <c:pt idx="884">
                  <c:v>-0.8</c:v>
                </c:pt>
                <c:pt idx="885">
                  <c:v>0</c:v>
                </c:pt>
                <c:pt idx="886">
                  <c:v>-18.8</c:v>
                </c:pt>
                <c:pt idx="887">
                  <c:v>-1.6</c:v>
                </c:pt>
                <c:pt idx="888">
                  <c:v>-26</c:v>
                </c:pt>
                <c:pt idx="889">
                  <c:v>-25.2</c:v>
                </c:pt>
                <c:pt idx="890">
                  <c:v>-0.8</c:v>
                </c:pt>
                <c:pt idx="891">
                  <c:v>-18.8</c:v>
                </c:pt>
                <c:pt idx="892">
                  <c:v>-10.8</c:v>
                </c:pt>
                <c:pt idx="893">
                  <c:v>-31.200000000000006</c:v>
                </c:pt>
                <c:pt idx="894">
                  <c:v>-1.2</c:v>
                </c:pt>
                <c:pt idx="895">
                  <c:v>-1.6</c:v>
                </c:pt>
                <c:pt idx="896">
                  <c:v>-2.0000000000000004</c:v>
                </c:pt>
                <c:pt idx="897">
                  <c:v>-4.0000000000000009</c:v>
                </c:pt>
                <c:pt idx="898">
                  <c:v>-2.4</c:v>
                </c:pt>
                <c:pt idx="899">
                  <c:v>-0.4</c:v>
                </c:pt>
                <c:pt idx="900">
                  <c:v>0</c:v>
                </c:pt>
                <c:pt idx="901">
                  <c:v>0</c:v>
                </c:pt>
                <c:pt idx="902">
                  <c:v>-11.200000000000001</c:v>
                </c:pt>
                <c:pt idx="903">
                  <c:v>-0.4</c:v>
                </c:pt>
                <c:pt idx="904">
                  <c:v>-8.4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-14.399999999999999</c:v>
                </c:pt>
                <c:pt idx="909">
                  <c:v>-9.6</c:v>
                </c:pt>
                <c:pt idx="910">
                  <c:v>-15.600000000000003</c:v>
                </c:pt>
                <c:pt idx="911">
                  <c:v>-10</c:v>
                </c:pt>
                <c:pt idx="912">
                  <c:v>-10.4</c:v>
                </c:pt>
                <c:pt idx="913">
                  <c:v>-9.6</c:v>
                </c:pt>
                <c:pt idx="914">
                  <c:v>-9.6</c:v>
                </c:pt>
                <c:pt idx="915">
                  <c:v>-1.2</c:v>
                </c:pt>
                <c:pt idx="916">
                  <c:v>-2.8000000000000003</c:v>
                </c:pt>
                <c:pt idx="917">
                  <c:v>-1.2</c:v>
                </c:pt>
                <c:pt idx="918">
                  <c:v>-37.200000000000003</c:v>
                </c:pt>
                <c:pt idx="919">
                  <c:v>-32.400000000000006</c:v>
                </c:pt>
                <c:pt idx="920">
                  <c:v>-18.8</c:v>
                </c:pt>
                <c:pt idx="921">
                  <c:v>-32.000000000000007</c:v>
                </c:pt>
                <c:pt idx="922">
                  <c:v>-29.2</c:v>
                </c:pt>
                <c:pt idx="923">
                  <c:v>-16.8</c:v>
                </c:pt>
                <c:pt idx="924">
                  <c:v>-48.8</c:v>
                </c:pt>
                <c:pt idx="925">
                  <c:v>-39.200000000000003</c:v>
                </c:pt>
                <c:pt idx="926">
                  <c:v>-24.4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-43.600000000000009</c:v>
                </c:pt>
                <c:pt idx="931">
                  <c:v>-34.800000000000004</c:v>
                </c:pt>
                <c:pt idx="932">
                  <c:v>-21.6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-25.6</c:v>
                </c:pt>
                <c:pt idx="940">
                  <c:v>-20.400000000000002</c:v>
                </c:pt>
                <c:pt idx="941">
                  <c:v>-12.8</c:v>
                </c:pt>
                <c:pt idx="942">
                  <c:v>-46</c:v>
                </c:pt>
                <c:pt idx="943">
                  <c:v>-36.800000000000004</c:v>
                </c:pt>
                <c:pt idx="944">
                  <c:v>-23.2</c:v>
                </c:pt>
                <c:pt idx="945">
                  <c:v>-45.199999999999996</c:v>
                </c:pt>
                <c:pt idx="946">
                  <c:v>-36.000000000000007</c:v>
                </c:pt>
                <c:pt idx="947">
                  <c:v>-22.400000000000002</c:v>
                </c:pt>
                <c:pt idx="948">
                  <c:v>-11.6</c:v>
                </c:pt>
                <c:pt idx="949">
                  <c:v>-8.8000000000000007</c:v>
                </c:pt>
                <c:pt idx="950">
                  <c:v>-5.6000000000000005</c:v>
                </c:pt>
                <c:pt idx="951">
                  <c:v>0</c:v>
                </c:pt>
                <c:pt idx="952">
                  <c:v>-44.400000000000006</c:v>
                </c:pt>
                <c:pt idx="953">
                  <c:v>-37.200000000000003</c:v>
                </c:pt>
                <c:pt idx="954">
                  <c:v>-22.400000000000002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-30.400000000000006</c:v>
                </c:pt>
                <c:pt idx="959">
                  <c:v>-27.999999999999996</c:v>
                </c:pt>
                <c:pt idx="960">
                  <c:v>-16.000000000000004</c:v>
                </c:pt>
                <c:pt idx="961">
                  <c:v>-21.200000000000003</c:v>
                </c:pt>
                <c:pt idx="962">
                  <c:v>-42.000000000000007</c:v>
                </c:pt>
                <c:pt idx="963">
                  <c:v>-33.6</c:v>
                </c:pt>
                <c:pt idx="964">
                  <c:v>-45.599999999999994</c:v>
                </c:pt>
                <c:pt idx="965">
                  <c:v>-36.800000000000004</c:v>
                </c:pt>
                <c:pt idx="966">
                  <c:v>-21.6</c:v>
                </c:pt>
                <c:pt idx="967">
                  <c:v>-26.8</c:v>
                </c:pt>
                <c:pt idx="968">
                  <c:v>-23.599999999999998</c:v>
                </c:pt>
                <c:pt idx="969">
                  <c:v>-13.999999999999998</c:v>
                </c:pt>
                <c:pt idx="970">
                  <c:v>-8.0000000000000018</c:v>
                </c:pt>
                <c:pt idx="971">
                  <c:v>-5.6000000000000005</c:v>
                </c:pt>
                <c:pt idx="972">
                  <c:v>-4.0000000000000009</c:v>
                </c:pt>
                <c:pt idx="973">
                  <c:v>-30.000000000000004</c:v>
                </c:pt>
                <c:pt idx="974">
                  <c:v>-22.400000000000002</c:v>
                </c:pt>
                <c:pt idx="975">
                  <c:v>-16.000000000000004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3C-407F-B2B4-83A598DBC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225736"/>
        <c:axId val="273254920"/>
      </c:scatterChart>
      <c:valAx>
        <c:axId val="27322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HealthScore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54920"/>
        <c:crosses val="autoZero"/>
        <c:crossBetween val="midCat"/>
      </c:valAx>
      <c:valAx>
        <c:axId val="27325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added sugar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2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'HealthScore weight'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yVal>
            <c:numRef>
              <c:f>'just numbers (HaoBS)'!$S$2:$S$977</c:f>
              <c:numCache>
                <c:formatCode>General</c:formatCode>
                <c:ptCount val="976"/>
                <c:pt idx="0">
                  <c:v>-4.3586956521739131</c:v>
                </c:pt>
                <c:pt idx="1">
                  <c:v>-1.3004658385093164</c:v>
                </c:pt>
                <c:pt idx="2">
                  <c:v>-17.651757763975148</c:v>
                </c:pt>
                <c:pt idx="3">
                  <c:v>-4.0503788819875766</c:v>
                </c:pt>
                <c:pt idx="4">
                  <c:v>-7.9878354037267085</c:v>
                </c:pt>
                <c:pt idx="5">
                  <c:v>-9.4636273291925512</c:v>
                </c:pt>
                <c:pt idx="6">
                  <c:v>-6.5074006211180144</c:v>
                </c:pt>
                <c:pt idx="7">
                  <c:v>-13.468475155279505</c:v>
                </c:pt>
                <c:pt idx="8">
                  <c:v>-19.172444099378882</c:v>
                </c:pt>
                <c:pt idx="9">
                  <c:v>-12.22857142857143</c:v>
                </c:pt>
                <c:pt idx="10">
                  <c:v>-7.3872670807453407</c:v>
                </c:pt>
                <c:pt idx="11">
                  <c:v>-14.376344720496895</c:v>
                </c:pt>
                <c:pt idx="12">
                  <c:v>-4.4487919254658381</c:v>
                </c:pt>
                <c:pt idx="13">
                  <c:v>-20.117475155279504</c:v>
                </c:pt>
                <c:pt idx="14">
                  <c:v>-7.0303136645962754</c:v>
                </c:pt>
                <c:pt idx="15">
                  <c:v>-10.501757763975153</c:v>
                </c:pt>
                <c:pt idx="16">
                  <c:v>-8.5107484472049695</c:v>
                </c:pt>
                <c:pt idx="17">
                  <c:v>-14.614801242236027</c:v>
                </c:pt>
                <c:pt idx="18">
                  <c:v>-22.208779503105593</c:v>
                </c:pt>
                <c:pt idx="19">
                  <c:v>-15.427465838509313</c:v>
                </c:pt>
                <c:pt idx="20">
                  <c:v>-10.405434782608696</c:v>
                </c:pt>
                <c:pt idx="21">
                  <c:v>-2.0565217391304351</c:v>
                </c:pt>
                <c:pt idx="22">
                  <c:v>-1.7874223602484469</c:v>
                </c:pt>
                <c:pt idx="23">
                  <c:v>-16.873791925465834</c:v>
                </c:pt>
                <c:pt idx="24">
                  <c:v>-4.8889751552795015</c:v>
                </c:pt>
                <c:pt idx="25">
                  <c:v>-7.3069875776397515</c:v>
                </c:pt>
                <c:pt idx="26">
                  <c:v>-2.976552795031056</c:v>
                </c:pt>
                <c:pt idx="27">
                  <c:v>-12.000257763975155</c:v>
                </c:pt>
                <c:pt idx="28">
                  <c:v>-11.438509316770187</c:v>
                </c:pt>
                <c:pt idx="29">
                  <c:v>-18.55422670807453</c:v>
                </c:pt>
                <c:pt idx="30">
                  <c:v>-10.843788819875774</c:v>
                </c:pt>
                <c:pt idx="31">
                  <c:v>-17.894236024844719</c:v>
                </c:pt>
                <c:pt idx="32">
                  <c:v>-24.447204968944099</c:v>
                </c:pt>
                <c:pt idx="33">
                  <c:v>-15.852931677018633</c:v>
                </c:pt>
                <c:pt idx="34">
                  <c:v>-17.290683229813663</c:v>
                </c:pt>
                <c:pt idx="35">
                  <c:v>-11.739388198757764</c:v>
                </c:pt>
                <c:pt idx="36">
                  <c:v>-10.153105590062109</c:v>
                </c:pt>
                <c:pt idx="37">
                  <c:v>-5.3324875776397525</c:v>
                </c:pt>
                <c:pt idx="38">
                  <c:v>-19.182919254658383</c:v>
                </c:pt>
                <c:pt idx="39">
                  <c:v>-16.278139751552793</c:v>
                </c:pt>
                <c:pt idx="40">
                  <c:v>-8.8372670807453417</c:v>
                </c:pt>
                <c:pt idx="41">
                  <c:v>-12.860559006211181</c:v>
                </c:pt>
                <c:pt idx="42">
                  <c:v>-14.739009316770183</c:v>
                </c:pt>
                <c:pt idx="43">
                  <c:v>-4.631366459627329</c:v>
                </c:pt>
                <c:pt idx="44">
                  <c:v>-23.805279503105588</c:v>
                </c:pt>
                <c:pt idx="45">
                  <c:v>-10.801552795031053</c:v>
                </c:pt>
                <c:pt idx="46">
                  <c:v>-8.953726708074532</c:v>
                </c:pt>
                <c:pt idx="47">
                  <c:v>-12.156211180124222</c:v>
                </c:pt>
                <c:pt idx="48">
                  <c:v>-17.671496894409938</c:v>
                </c:pt>
                <c:pt idx="49">
                  <c:v>-6.892701863354036</c:v>
                </c:pt>
                <c:pt idx="50">
                  <c:v>-4.6736024844720498</c:v>
                </c:pt>
                <c:pt idx="51">
                  <c:v>-16.945031055900621</c:v>
                </c:pt>
                <c:pt idx="52">
                  <c:v>-11.269875776397518</c:v>
                </c:pt>
                <c:pt idx="53">
                  <c:v>-19.103605590062109</c:v>
                </c:pt>
                <c:pt idx="54">
                  <c:v>-7.4732919254658379</c:v>
                </c:pt>
                <c:pt idx="55">
                  <c:v>-11.374844720496894</c:v>
                </c:pt>
                <c:pt idx="56">
                  <c:v>-15.297204968944099</c:v>
                </c:pt>
                <c:pt idx="57">
                  <c:v>-12.836801242236026</c:v>
                </c:pt>
                <c:pt idx="58">
                  <c:v>-8.204192546583851</c:v>
                </c:pt>
                <c:pt idx="59">
                  <c:v>-3.8922360248447205</c:v>
                </c:pt>
                <c:pt idx="60">
                  <c:v>-10.980434782608695</c:v>
                </c:pt>
                <c:pt idx="61">
                  <c:v>-10.955900621118012</c:v>
                </c:pt>
                <c:pt idx="62">
                  <c:v>-27.744720496894409</c:v>
                </c:pt>
                <c:pt idx="63">
                  <c:v>-8.613975155279503</c:v>
                </c:pt>
                <c:pt idx="64">
                  <c:v>-10.980434782608695</c:v>
                </c:pt>
                <c:pt idx="65">
                  <c:v>-36.760559006211182</c:v>
                </c:pt>
                <c:pt idx="66">
                  <c:v>-38.265217391304347</c:v>
                </c:pt>
                <c:pt idx="67">
                  <c:v>-6.1296583850931681</c:v>
                </c:pt>
                <c:pt idx="68">
                  <c:v>-31.447204968944103</c:v>
                </c:pt>
                <c:pt idx="69">
                  <c:v>-18.066770186335408</c:v>
                </c:pt>
                <c:pt idx="70">
                  <c:v>-18.532608695652179</c:v>
                </c:pt>
                <c:pt idx="71">
                  <c:v>-47.284661490683241</c:v>
                </c:pt>
                <c:pt idx="72">
                  <c:v>-39.977639751552807</c:v>
                </c:pt>
                <c:pt idx="73">
                  <c:v>-25.727639751552793</c:v>
                </c:pt>
                <c:pt idx="74">
                  <c:v>-25.393478260869568</c:v>
                </c:pt>
                <c:pt idx="75">
                  <c:v>-44.512922360248453</c:v>
                </c:pt>
                <c:pt idx="76">
                  <c:v>-32.004347826086956</c:v>
                </c:pt>
                <c:pt idx="77">
                  <c:v>-44.082608695652176</c:v>
                </c:pt>
                <c:pt idx="78">
                  <c:v>-15.357608695652175</c:v>
                </c:pt>
                <c:pt idx="79">
                  <c:v>-22.471118012422362</c:v>
                </c:pt>
                <c:pt idx="80">
                  <c:v>-18.331987577639755</c:v>
                </c:pt>
                <c:pt idx="81">
                  <c:v>-13.812422360248448</c:v>
                </c:pt>
                <c:pt idx="82">
                  <c:v>-2.1565217391304348</c:v>
                </c:pt>
                <c:pt idx="83">
                  <c:v>-11.817391304347826</c:v>
                </c:pt>
                <c:pt idx="84">
                  <c:v>-8.9096273291925474</c:v>
                </c:pt>
                <c:pt idx="85">
                  <c:v>-5.568944099378883</c:v>
                </c:pt>
                <c:pt idx="86">
                  <c:v>-18.72639751552795</c:v>
                </c:pt>
                <c:pt idx="87">
                  <c:v>-1.5751552795031052</c:v>
                </c:pt>
                <c:pt idx="88">
                  <c:v>-7.6015527950310569</c:v>
                </c:pt>
                <c:pt idx="89">
                  <c:v>-2.3815217391304344</c:v>
                </c:pt>
                <c:pt idx="90">
                  <c:v>-10.677639751552794</c:v>
                </c:pt>
                <c:pt idx="91">
                  <c:v>-17.679813664596274</c:v>
                </c:pt>
                <c:pt idx="92">
                  <c:v>-1.8701863354037278</c:v>
                </c:pt>
                <c:pt idx="93">
                  <c:v>-15.378416149068324</c:v>
                </c:pt>
                <c:pt idx="94">
                  <c:v>-12.084782608695653</c:v>
                </c:pt>
                <c:pt idx="95">
                  <c:v>-17.596583850931676</c:v>
                </c:pt>
                <c:pt idx="96">
                  <c:v>-12.38555900621118</c:v>
                </c:pt>
                <c:pt idx="97">
                  <c:v>-13.234161490683229</c:v>
                </c:pt>
                <c:pt idx="98">
                  <c:v>-9.8090062111801242</c:v>
                </c:pt>
                <c:pt idx="99">
                  <c:v>-1.5861801242236024</c:v>
                </c:pt>
                <c:pt idx="100">
                  <c:v>-13.912422360248447</c:v>
                </c:pt>
                <c:pt idx="101">
                  <c:v>-14.140683229813664</c:v>
                </c:pt>
                <c:pt idx="102">
                  <c:v>-5.7079192546583846</c:v>
                </c:pt>
                <c:pt idx="103">
                  <c:v>-10.841304347826087</c:v>
                </c:pt>
                <c:pt idx="104">
                  <c:v>-15.493478260869567</c:v>
                </c:pt>
                <c:pt idx="105">
                  <c:v>-14.66614906832298</c:v>
                </c:pt>
                <c:pt idx="106">
                  <c:v>-1.7489130434782607</c:v>
                </c:pt>
                <c:pt idx="107">
                  <c:v>-4.9656832298136644</c:v>
                </c:pt>
                <c:pt idx="108">
                  <c:v>-9.5260869565217412</c:v>
                </c:pt>
                <c:pt idx="109">
                  <c:v>-4.2086956521739127</c:v>
                </c:pt>
                <c:pt idx="110">
                  <c:v>-5.9554347826086955</c:v>
                </c:pt>
                <c:pt idx="111">
                  <c:v>-7.0413043478260873</c:v>
                </c:pt>
                <c:pt idx="112">
                  <c:v>-4.0428571428571436</c:v>
                </c:pt>
                <c:pt idx="113">
                  <c:v>-8.2717391304347849</c:v>
                </c:pt>
                <c:pt idx="114">
                  <c:v>-2.1586956521739129</c:v>
                </c:pt>
                <c:pt idx="115">
                  <c:v>-0.94021739130434778</c:v>
                </c:pt>
                <c:pt idx="116">
                  <c:v>-2.4</c:v>
                </c:pt>
                <c:pt idx="117">
                  <c:v>-7.3630434782608685</c:v>
                </c:pt>
                <c:pt idx="118">
                  <c:v>-7.3695652173913047</c:v>
                </c:pt>
                <c:pt idx="119">
                  <c:v>-4.6880434782608704</c:v>
                </c:pt>
                <c:pt idx="120">
                  <c:v>-3.2336956521739131</c:v>
                </c:pt>
                <c:pt idx="121">
                  <c:v>-5.0065217391304353</c:v>
                </c:pt>
                <c:pt idx="122">
                  <c:v>-23.743478260869566</c:v>
                </c:pt>
                <c:pt idx="123">
                  <c:v>-29.852173913043476</c:v>
                </c:pt>
                <c:pt idx="124">
                  <c:v>-42.923913043478265</c:v>
                </c:pt>
                <c:pt idx="125">
                  <c:v>-56.449999999999996</c:v>
                </c:pt>
                <c:pt idx="126">
                  <c:v>-23.432608695652178</c:v>
                </c:pt>
                <c:pt idx="127">
                  <c:v>-29.304347826086953</c:v>
                </c:pt>
                <c:pt idx="128">
                  <c:v>-42.647826086956528</c:v>
                </c:pt>
                <c:pt idx="129">
                  <c:v>-55.7</c:v>
                </c:pt>
                <c:pt idx="130">
                  <c:v>-21.052173913043479</c:v>
                </c:pt>
                <c:pt idx="131">
                  <c:v>-26.415217391304349</c:v>
                </c:pt>
                <c:pt idx="132">
                  <c:v>-38.341304347826089</c:v>
                </c:pt>
                <c:pt idx="133">
                  <c:v>-49.92173913043478</c:v>
                </c:pt>
                <c:pt idx="134">
                  <c:v>-27.086956521739129</c:v>
                </c:pt>
                <c:pt idx="135">
                  <c:v>-33.704347826086959</c:v>
                </c:pt>
                <c:pt idx="136">
                  <c:v>-49.156521739130433</c:v>
                </c:pt>
                <c:pt idx="137">
                  <c:v>-64.500000000000014</c:v>
                </c:pt>
                <c:pt idx="138">
                  <c:v>-24.997826086956522</c:v>
                </c:pt>
                <c:pt idx="139">
                  <c:v>-31.160869565217396</c:v>
                </c:pt>
                <c:pt idx="140">
                  <c:v>-45.08695652173914</c:v>
                </c:pt>
                <c:pt idx="141">
                  <c:v>-59.41304347826086</c:v>
                </c:pt>
                <c:pt idx="142">
                  <c:v>-25.052173913043475</c:v>
                </c:pt>
                <c:pt idx="143">
                  <c:v>-31.560869565217395</c:v>
                </c:pt>
                <c:pt idx="144">
                  <c:v>-45.541304347826092</c:v>
                </c:pt>
                <c:pt idx="145">
                  <c:v>-59.867391304347827</c:v>
                </c:pt>
                <c:pt idx="146">
                  <c:v>-24.815217391304348</c:v>
                </c:pt>
                <c:pt idx="147">
                  <c:v>-31.032608695652179</c:v>
                </c:pt>
                <c:pt idx="148">
                  <c:v>-45.067391304347836</c:v>
                </c:pt>
                <c:pt idx="149">
                  <c:v>-59.156521739130433</c:v>
                </c:pt>
                <c:pt idx="150">
                  <c:v>-0.65217391304347827</c:v>
                </c:pt>
                <c:pt idx="151">
                  <c:v>-0.76086956521739135</c:v>
                </c:pt>
                <c:pt idx="152">
                  <c:v>-1.1413043478260869</c:v>
                </c:pt>
                <c:pt idx="153">
                  <c:v>-1.4673913043478262</c:v>
                </c:pt>
                <c:pt idx="154">
                  <c:v>-13.999999999999998</c:v>
                </c:pt>
                <c:pt idx="155">
                  <c:v>-19.600000000000001</c:v>
                </c:pt>
                <c:pt idx="156">
                  <c:v>-28.4</c:v>
                </c:pt>
                <c:pt idx="157">
                  <c:v>-8.2717391304347849</c:v>
                </c:pt>
                <c:pt idx="158">
                  <c:v>-14.543478260869563</c:v>
                </c:pt>
                <c:pt idx="159">
                  <c:v>-0.61739130434782474</c:v>
                </c:pt>
                <c:pt idx="160">
                  <c:v>-1.7369565217391294</c:v>
                </c:pt>
                <c:pt idx="161">
                  <c:v>-0.44130434782608674</c:v>
                </c:pt>
                <c:pt idx="162">
                  <c:v>-0.40652173913043521</c:v>
                </c:pt>
                <c:pt idx="163">
                  <c:v>-1.9152173913043473</c:v>
                </c:pt>
                <c:pt idx="164">
                  <c:v>-1.0010869565217391</c:v>
                </c:pt>
                <c:pt idx="165">
                  <c:v>-5.4204968944099363</c:v>
                </c:pt>
                <c:pt idx="166">
                  <c:v>-0.85760869565217401</c:v>
                </c:pt>
                <c:pt idx="167">
                  <c:v>-2.5836956521739127</c:v>
                </c:pt>
                <c:pt idx="168">
                  <c:v>-2.2917701863354036</c:v>
                </c:pt>
                <c:pt idx="169">
                  <c:v>-6.4743788819875787</c:v>
                </c:pt>
                <c:pt idx="170">
                  <c:v>-4.1163043478260875</c:v>
                </c:pt>
                <c:pt idx="171">
                  <c:v>-2.6304347826086949</c:v>
                </c:pt>
                <c:pt idx="172">
                  <c:v>-0.67111801242236035</c:v>
                </c:pt>
                <c:pt idx="173">
                  <c:v>-5.3771739130434781</c:v>
                </c:pt>
                <c:pt idx="174">
                  <c:v>-3.3304347826086955</c:v>
                </c:pt>
                <c:pt idx="175">
                  <c:v>-2.7830745341614906</c:v>
                </c:pt>
                <c:pt idx="176">
                  <c:v>-18.084627329192546</c:v>
                </c:pt>
                <c:pt idx="177">
                  <c:v>-6.8591614906832286</c:v>
                </c:pt>
                <c:pt idx="178">
                  <c:v>-4.3336956521739136</c:v>
                </c:pt>
                <c:pt idx="179">
                  <c:v>5.5900621118011307E-3</c:v>
                </c:pt>
                <c:pt idx="180">
                  <c:v>-4.8695652173913038</c:v>
                </c:pt>
                <c:pt idx="181">
                  <c:v>-7.0000000000000009</c:v>
                </c:pt>
                <c:pt idx="182">
                  <c:v>-0.88043478260869534</c:v>
                </c:pt>
                <c:pt idx="183">
                  <c:v>-2.739130434782608</c:v>
                </c:pt>
                <c:pt idx="184">
                  <c:v>-2.1956521739130426</c:v>
                </c:pt>
                <c:pt idx="185">
                  <c:v>-2.7793478260869566</c:v>
                </c:pt>
                <c:pt idx="186">
                  <c:v>-8.3652173913043484</c:v>
                </c:pt>
                <c:pt idx="187">
                  <c:v>-10.3444099378882</c:v>
                </c:pt>
                <c:pt idx="188">
                  <c:v>-35.522049689440991</c:v>
                </c:pt>
                <c:pt idx="189">
                  <c:v>-19.503726708074531</c:v>
                </c:pt>
                <c:pt idx="190">
                  <c:v>-10.063509316770183</c:v>
                </c:pt>
                <c:pt idx="191">
                  <c:v>-10.392391304347825</c:v>
                </c:pt>
                <c:pt idx="192">
                  <c:v>-2.7445652173913038</c:v>
                </c:pt>
                <c:pt idx="193">
                  <c:v>-3.1326086956521735</c:v>
                </c:pt>
                <c:pt idx="194">
                  <c:v>-7.2944099378881955</c:v>
                </c:pt>
                <c:pt idx="195">
                  <c:v>-5.7439440993788837</c:v>
                </c:pt>
                <c:pt idx="196">
                  <c:v>-14.104347826086958</c:v>
                </c:pt>
                <c:pt idx="197">
                  <c:v>-4.0113354037267088</c:v>
                </c:pt>
                <c:pt idx="198">
                  <c:v>-14.896739130434781</c:v>
                </c:pt>
                <c:pt idx="199">
                  <c:v>-5.4069875776397511</c:v>
                </c:pt>
                <c:pt idx="200">
                  <c:v>-10.022826086956522</c:v>
                </c:pt>
                <c:pt idx="201">
                  <c:v>-12.173291925465836</c:v>
                </c:pt>
                <c:pt idx="202">
                  <c:v>-3.6249999999999996</c:v>
                </c:pt>
                <c:pt idx="203">
                  <c:v>-7.2548136645962726</c:v>
                </c:pt>
                <c:pt idx="204">
                  <c:v>-7.1243788819875773</c:v>
                </c:pt>
                <c:pt idx="205">
                  <c:v>-3.5591614906832296</c:v>
                </c:pt>
                <c:pt idx="206">
                  <c:v>-12.346739130434781</c:v>
                </c:pt>
                <c:pt idx="207">
                  <c:v>-9.6170807453416121</c:v>
                </c:pt>
                <c:pt idx="208">
                  <c:v>-4.0787267080745346</c:v>
                </c:pt>
                <c:pt idx="209">
                  <c:v>-7.9363354037267095</c:v>
                </c:pt>
                <c:pt idx="210">
                  <c:v>-7.6591614906832293</c:v>
                </c:pt>
                <c:pt idx="211">
                  <c:v>-14.918322981366458</c:v>
                </c:pt>
                <c:pt idx="212">
                  <c:v>-6.1841614906832278</c:v>
                </c:pt>
                <c:pt idx="213">
                  <c:v>-7.5998447204968942</c:v>
                </c:pt>
                <c:pt idx="214">
                  <c:v>-2.3894409937888197</c:v>
                </c:pt>
                <c:pt idx="215">
                  <c:v>-1.9999999999999998</c:v>
                </c:pt>
                <c:pt idx="216">
                  <c:v>-19.571739130434786</c:v>
                </c:pt>
                <c:pt idx="217">
                  <c:v>-6.5888881987577639</c:v>
                </c:pt>
                <c:pt idx="218">
                  <c:v>-6.2309006211180131</c:v>
                </c:pt>
                <c:pt idx="219">
                  <c:v>1.1913043478260872</c:v>
                </c:pt>
                <c:pt idx="220">
                  <c:v>-20.500621118012425</c:v>
                </c:pt>
                <c:pt idx="221">
                  <c:v>-4.6950310559006221</c:v>
                </c:pt>
                <c:pt idx="222">
                  <c:v>-8.368322981366461</c:v>
                </c:pt>
                <c:pt idx="223">
                  <c:v>-23.444720496894412</c:v>
                </c:pt>
                <c:pt idx="224">
                  <c:v>-1.0673913043478263</c:v>
                </c:pt>
                <c:pt idx="225">
                  <c:v>-8.3280186335403723</c:v>
                </c:pt>
                <c:pt idx="226">
                  <c:v>9.4099378881987494E-2</c:v>
                </c:pt>
                <c:pt idx="227">
                  <c:v>-8.5714285714285632E-2</c:v>
                </c:pt>
                <c:pt idx="228">
                  <c:v>0.31428571428571428</c:v>
                </c:pt>
                <c:pt idx="229">
                  <c:v>-5.0565217391304342</c:v>
                </c:pt>
                <c:pt idx="230">
                  <c:v>-4.9450310559006221</c:v>
                </c:pt>
                <c:pt idx="231">
                  <c:v>-6.0200310559006223</c:v>
                </c:pt>
                <c:pt idx="232">
                  <c:v>-25.259316770186334</c:v>
                </c:pt>
                <c:pt idx="233">
                  <c:v>-12.133229813664599</c:v>
                </c:pt>
                <c:pt idx="234">
                  <c:v>-2.9548136645962733</c:v>
                </c:pt>
                <c:pt idx="235">
                  <c:v>-12.627639751552795</c:v>
                </c:pt>
                <c:pt idx="236">
                  <c:v>-10.385093167701864</c:v>
                </c:pt>
                <c:pt idx="237">
                  <c:v>-26.848757763975158</c:v>
                </c:pt>
                <c:pt idx="238">
                  <c:v>-6.7836956521739138</c:v>
                </c:pt>
                <c:pt idx="239">
                  <c:v>-13.340062111801243</c:v>
                </c:pt>
                <c:pt idx="240">
                  <c:v>-13.218944099378881</c:v>
                </c:pt>
                <c:pt idx="241">
                  <c:v>-12.925465838509316</c:v>
                </c:pt>
                <c:pt idx="242">
                  <c:v>-15.733074534161485</c:v>
                </c:pt>
                <c:pt idx="243">
                  <c:v>-14.925000000000001</c:v>
                </c:pt>
                <c:pt idx="244">
                  <c:v>-9.9478260869565229</c:v>
                </c:pt>
                <c:pt idx="245">
                  <c:v>-6.5467391304347817</c:v>
                </c:pt>
                <c:pt idx="246">
                  <c:v>-5.7537267080745345</c:v>
                </c:pt>
                <c:pt idx="247">
                  <c:v>-7.5195652173913041</c:v>
                </c:pt>
                <c:pt idx="248">
                  <c:v>-6.802173913043478</c:v>
                </c:pt>
                <c:pt idx="249">
                  <c:v>-15.32111801242236</c:v>
                </c:pt>
                <c:pt idx="250">
                  <c:v>-18.032608695652172</c:v>
                </c:pt>
                <c:pt idx="251">
                  <c:v>-23.035869565217389</c:v>
                </c:pt>
                <c:pt idx="252">
                  <c:v>-4.8279503105590065</c:v>
                </c:pt>
                <c:pt idx="253">
                  <c:v>-4.3628881987577639</c:v>
                </c:pt>
                <c:pt idx="254">
                  <c:v>-3.2913043478260868</c:v>
                </c:pt>
                <c:pt idx="255">
                  <c:v>-5.9434782608695658</c:v>
                </c:pt>
                <c:pt idx="256">
                  <c:v>-6.0304347826086957</c:v>
                </c:pt>
                <c:pt idx="257">
                  <c:v>-0.75543478260869568</c:v>
                </c:pt>
                <c:pt idx="258">
                  <c:v>-2.9086956521739133</c:v>
                </c:pt>
                <c:pt idx="259">
                  <c:v>-4.0793478260869565</c:v>
                </c:pt>
                <c:pt idx="260">
                  <c:v>-2.0000000000000004</c:v>
                </c:pt>
                <c:pt idx="261">
                  <c:v>-5.1173913043478265</c:v>
                </c:pt>
                <c:pt idx="262">
                  <c:v>-4.2228260869565215</c:v>
                </c:pt>
                <c:pt idx="263">
                  <c:v>-0.21739130434782608</c:v>
                </c:pt>
                <c:pt idx="264">
                  <c:v>-3.633695652173913</c:v>
                </c:pt>
                <c:pt idx="265">
                  <c:v>-2.4</c:v>
                </c:pt>
                <c:pt idx="266">
                  <c:v>-8.2717391304347849</c:v>
                </c:pt>
                <c:pt idx="267">
                  <c:v>-2.842857142857143</c:v>
                </c:pt>
                <c:pt idx="268">
                  <c:v>-14.543478260869563</c:v>
                </c:pt>
                <c:pt idx="269">
                  <c:v>-19.160869565217393</c:v>
                </c:pt>
                <c:pt idx="270">
                  <c:v>-24.123913043478261</c:v>
                </c:pt>
                <c:pt idx="271">
                  <c:v>-36.158695652173918</c:v>
                </c:pt>
                <c:pt idx="272">
                  <c:v>-99.678260869565207</c:v>
                </c:pt>
                <c:pt idx="273">
                  <c:v>-16.613043478260874</c:v>
                </c:pt>
                <c:pt idx="274">
                  <c:v>-18.943478260869568</c:v>
                </c:pt>
                <c:pt idx="275">
                  <c:v>-25.506521739130434</c:v>
                </c:pt>
                <c:pt idx="276">
                  <c:v>-31.723913043478266</c:v>
                </c:pt>
                <c:pt idx="277">
                  <c:v>-47.358695652173914</c:v>
                </c:pt>
                <c:pt idx="278">
                  <c:v>-0.59782608695652173</c:v>
                </c:pt>
                <c:pt idx="279">
                  <c:v>-0.81521739130434778</c:v>
                </c:pt>
                <c:pt idx="280">
                  <c:v>-1.3782608695652177</c:v>
                </c:pt>
                <c:pt idx="281">
                  <c:v>-1.9217391304347826</c:v>
                </c:pt>
                <c:pt idx="282">
                  <c:v>-15.689130434782612</c:v>
                </c:pt>
                <c:pt idx="283">
                  <c:v>-21.052173913043479</c:v>
                </c:pt>
                <c:pt idx="284">
                  <c:v>-26.415217391304349</c:v>
                </c:pt>
                <c:pt idx="285">
                  <c:v>-39.595652173913045</c:v>
                </c:pt>
                <c:pt idx="286">
                  <c:v>-9.234782608695653</c:v>
                </c:pt>
                <c:pt idx="287">
                  <c:v>-12.197826086956521</c:v>
                </c:pt>
                <c:pt idx="288">
                  <c:v>-15.160869565217389</c:v>
                </c:pt>
                <c:pt idx="289">
                  <c:v>-22.741304347826087</c:v>
                </c:pt>
                <c:pt idx="290">
                  <c:v>-8.4891304347826111</c:v>
                </c:pt>
                <c:pt idx="291">
                  <c:v>-10.997826086956522</c:v>
                </c:pt>
                <c:pt idx="292">
                  <c:v>-13.960869565217392</c:v>
                </c:pt>
                <c:pt idx="293">
                  <c:v>-20.795652173913044</c:v>
                </c:pt>
                <c:pt idx="294">
                  <c:v>-8.8891304347826097</c:v>
                </c:pt>
                <c:pt idx="295">
                  <c:v>-12.306521739130435</c:v>
                </c:pt>
                <c:pt idx="296">
                  <c:v>-15.269565217391303</c:v>
                </c:pt>
                <c:pt idx="297">
                  <c:v>-22.904347826086958</c:v>
                </c:pt>
                <c:pt idx="298">
                  <c:v>-17.180434782608696</c:v>
                </c:pt>
                <c:pt idx="299">
                  <c:v>-23.289130434782606</c:v>
                </c:pt>
                <c:pt idx="300">
                  <c:v>-28.997826086956522</c:v>
                </c:pt>
                <c:pt idx="301">
                  <c:v>-43.26956521739131</c:v>
                </c:pt>
                <c:pt idx="302">
                  <c:v>-18.360869565217392</c:v>
                </c:pt>
                <c:pt idx="303">
                  <c:v>-24.232608695652175</c:v>
                </c:pt>
                <c:pt idx="304">
                  <c:v>-30.504347826086956</c:v>
                </c:pt>
                <c:pt idx="305">
                  <c:v>-45.556521739130446</c:v>
                </c:pt>
                <c:pt idx="306">
                  <c:v>-16.780434782608697</c:v>
                </c:pt>
                <c:pt idx="307">
                  <c:v>-22.089130434782611</c:v>
                </c:pt>
                <c:pt idx="308">
                  <c:v>-27.797826086956526</c:v>
                </c:pt>
                <c:pt idx="309">
                  <c:v>-41.26956521739131</c:v>
                </c:pt>
                <c:pt idx="310">
                  <c:v>-12.065217391304348</c:v>
                </c:pt>
                <c:pt idx="311">
                  <c:v>-18.143478260869568</c:v>
                </c:pt>
                <c:pt idx="312">
                  <c:v>-23.96086956521739</c:v>
                </c:pt>
                <c:pt idx="313">
                  <c:v>-30.123913043478261</c:v>
                </c:pt>
                <c:pt idx="314">
                  <c:v>-44.958695652173922</c:v>
                </c:pt>
                <c:pt idx="315">
                  <c:v>-16.089130434782611</c:v>
                </c:pt>
                <c:pt idx="316">
                  <c:v>-21.452173913043477</c:v>
                </c:pt>
                <c:pt idx="317">
                  <c:v>-26.815217391304348</c:v>
                </c:pt>
                <c:pt idx="318">
                  <c:v>-40.395652173913049</c:v>
                </c:pt>
                <c:pt idx="319">
                  <c:v>-1.0326086956521738</c:v>
                </c:pt>
                <c:pt idx="320">
                  <c:v>-16.72608695652174</c:v>
                </c:pt>
                <c:pt idx="321">
                  <c:v>-22.489130434782613</c:v>
                </c:pt>
                <c:pt idx="322">
                  <c:v>-28.197826086956521</c:v>
                </c:pt>
                <c:pt idx="323">
                  <c:v>-42.069565217391307</c:v>
                </c:pt>
                <c:pt idx="324">
                  <c:v>-1.3043478260869565</c:v>
                </c:pt>
                <c:pt idx="325">
                  <c:v>-114.18695652173913</c:v>
                </c:pt>
                <c:pt idx="326">
                  <c:v>-19.013043478260872</c:v>
                </c:pt>
                <c:pt idx="327">
                  <c:v>-18.380434782608699</c:v>
                </c:pt>
                <c:pt idx="328">
                  <c:v>-24.489130434782609</c:v>
                </c:pt>
                <c:pt idx="329">
                  <c:v>-30.65217391304348</c:v>
                </c:pt>
                <c:pt idx="330">
                  <c:v>-45.778260869565223</c:v>
                </c:pt>
                <c:pt idx="331">
                  <c:v>-3.804347826086957</c:v>
                </c:pt>
                <c:pt idx="332">
                  <c:v>-17.739130434782613</c:v>
                </c:pt>
                <c:pt idx="333">
                  <c:v>-23.482608695652175</c:v>
                </c:pt>
                <c:pt idx="334">
                  <c:v>-29.626086956521739</c:v>
                </c:pt>
                <c:pt idx="335">
                  <c:v>-44.239130434782609</c:v>
                </c:pt>
                <c:pt idx="336">
                  <c:v>-18.780434782608697</c:v>
                </c:pt>
                <c:pt idx="337">
                  <c:v>-24.943478260869565</c:v>
                </c:pt>
                <c:pt idx="338">
                  <c:v>-31.052173913043482</c:v>
                </c:pt>
                <c:pt idx="339">
                  <c:v>-46.578260869565213</c:v>
                </c:pt>
                <c:pt idx="340">
                  <c:v>-17.126086956521739</c:v>
                </c:pt>
                <c:pt idx="341">
                  <c:v>-22.834782608695654</c:v>
                </c:pt>
                <c:pt idx="342">
                  <c:v>-28.543478260869563</c:v>
                </c:pt>
                <c:pt idx="343">
                  <c:v>-42.869565217391312</c:v>
                </c:pt>
                <c:pt idx="344">
                  <c:v>-5.3524844720496887</c:v>
                </c:pt>
                <c:pt idx="345">
                  <c:v>-6.3068322981366469</c:v>
                </c:pt>
                <c:pt idx="346">
                  <c:v>-3.3239130434782602</c:v>
                </c:pt>
                <c:pt idx="347">
                  <c:v>-4.3956521739130441</c:v>
                </c:pt>
                <c:pt idx="348">
                  <c:v>-4.8130434782608704</c:v>
                </c:pt>
                <c:pt idx="349">
                  <c:v>-4.6500000000000004</c:v>
                </c:pt>
                <c:pt idx="350">
                  <c:v>-6.5391304347826082</c:v>
                </c:pt>
                <c:pt idx="351">
                  <c:v>-3.2869565217391301</c:v>
                </c:pt>
                <c:pt idx="352">
                  <c:v>-4.0130434782608706</c:v>
                </c:pt>
                <c:pt idx="353">
                  <c:v>-4.4304347826086961</c:v>
                </c:pt>
                <c:pt idx="354">
                  <c:v>-5.1391304347826088</c:v>
                </c:pt>
                <c:pt idx="355">
                  <c:v>-5.8652173913043475</c:v>
                </c:pt>
                <c:pt idx="356">
                  <c:v>-2.5608695652173914</c:v>
                </c:pt>
                <c:pt idx="357">
                  <c:v>-3.3782608695652172</c:v>
                </c:pt>
                <c:pt idx="358">
                  <c:v>-4.1413043478260869</c:v>
                </c:pt>
                <c:pt idx="359">
                  <c:v>-2.1239130434782609</c:v>
                </c:pt>
                <c:pt idx="360">
                  <c:v>-2.4869565217391303</c:v>
                </c:pt>
                <c:pt idx="361">
                  <c:v>-3.4130434782608701</c:v>
                </c:pt>
                <c:pt idx="362">
                  <c:v>-7.4419254658385103</c:v>
                </c:pt>
                <c:pt idx="363">
                  <c:v>-5.5217391304347831</c:v>
                </c:pt>
                <c:pt idx="364">
                  <c:v>-4.4130434782608692</c:v>
                </c:pt>
                <c:pt idx="365">
                  <c:v>-7.5909937888198744</c:v>
                </c:pt>
                <c:pt idx="366">
                  <c:v>-4.9336956521739133</c:v>
                </c:pt>
                <c:pt idx="367">
                  <c:v>-6.3840062111801243</c:v>
                </c:pt>
                <c:pt idx="368">
                  <c:v>-7.5720496894409965</c:v>
                </c:pt>
                <c:pt idx="369">
                  <c:v>-1.7100931677018634</c:v>
                </c:pt>
                <c:pt idx="370">
                  <c:v>-7.975776397515526</c:v>
                </c:pt>
                <c:pt idx="371">
                  <c:v>-5.7844720496894411</c:v>
                </c:pt>
                <c:pt idx="372">
                  <c:v>-7.2135093167701863</c:v>
                </c:pt>
                <c:pt idx="373">
                  <c:v>-7.9395962732919267</c:v>
                </c:pt>
                <c:pt idx="374">
                  <c:v>-6.8645962732919275</c:v>
                </c:pt>
                <c:pt idx="375">
                  <c:v>-12.681071428571432</c:v>
                </c:pt>
                <c:pt idx="376">
                  <c:v>-2.8644409937888193</c:v>
                </c:pt>
                <c:pt idx="377">
                  <c:v>-8.4571428571428591</c:v>
                </c:pt>
                <c:pt idx="378">
                  <c:v>-9.1885093167701868</c:v>
                </c:pt>
                <c:pt idx="379">
                  <c:v>-7.0487577639751544</c:v>
                </c:pt>
                <c:pt idx="380">
                  <c:v>-3.7445652173913038</c:v>
                </c:pt>
                <c:pt idx="381">
                  <c:v>-12.160869565217389</c:v>
                </c:pt>
                <c:pt idx="382">
                  <c:v>-7.2532608695652181</c:v>
                </c:pt>
                <c:pt idx="383">
                  <c:v>-9.940819875776393</c:v>
                </c:pt>
                <c:pt idx="384">
                  <c:v>-5.0663043478260867</c:v>
                </c:pt>
                <c:pt idx="385">
                  <c:v>-21.523428571428571</c:v>
                </c:pt>
                <c:pt idx="386">
                  <c:v>-12.664854037267078</c:v>
                </c:pt>
                <c:pt idx="387">
                  <c:v>-12.337214285714287</c:v>
                </c:pt>
                <c:pt idx="388">
                  <c:v>-9.6867142857142863</c:v>
                </c:pt>
                <c:pt idx="389">
                  <c:v>-22.429950310559011</c:v>
                </c:pt>
                <c:pt idx="390">
                  <c:v>-6.1130434782608702</c:v>
                </c:pt>
                <c:pt idx="391">
                  <c:v>-6.6565217391304348</c:v>
                </c:pt>
                <c:pt idx="392">
                  <c:v>-3.2913043478260864</c:v>
                </c:pt>
                <c:pt idx="393">
                  <c:v>-4.2880434782608701</c:v>
                </c:pt>
                <c:pt idx="394">
                  <c:v>-11.032987577639751</c:v>
                </c:pt>
                <c:pt idx="395">
                  <c:v>-4.9586956521739136</c:v>
                </c:pt>
                <c:pt idx="396">
                  <c:v>-17.051689440993787</c:v>
                </c:pt>
                <c:pt idx="397">
                  <c:v>-5.0663043478260867</c:v>
                </c:pt>
                <c:pt idx="398">
                  <c:v>-5.6641304347826082</c:v>
                </c:pt>
                <c:pt idx="399">
                  <c:v>-9.9148540372670801</c:v>
                </c:pt>
                <c:pt idx="400">
                  <c:v>-9.848291925465837</c:v>
                </c:pt>
                <c:pt idx="401">
                  <c:v>-11.865596273291928</c:v>
                </c:pt>
                <c:pt idx="402">
                  <c:v>-7.5804347826086955</c:v>
                </c:pt>
                <c:pt idx="403">
                  <c:v>-7.1561583850931694</c:v>
                </c:pt>
                <c:pt idx="404">
                  <c:v>-6.1219968944099383</c:v>
                </c:pt>
                <c:pt idx="405">
                  <c:v>-8.6020186335403732</c:v>
                </c:pt>
                <c:pt idx="406">
                  <c:v>-8.3383881987577659</c:v>
                </c:pt>
                <c:pt idx="407">
                  <c:v>-11.922049689440994</c:v>
                </c:pt>
                <c:pt idx="408">
                  <c:v>-11.662267080745341</c:v>
                </c:pt>
                <c:pt idx="409">
                  <c:v>-0.35155279503105602</c:v>
                </c:pt>
                <c:pt idx="410">
                  <c:v>-15.303484472049691</c:v>
                </c:pt>
                <c:pt idx="411">
                  <c:v>-4.3239130434782602</c:v>
                </c:pt>
                <c:pt idx="412">
                  <c:v>-6.3130434782608704</c:v>
                </c:pt>
                <c:pt idx="413">
                  <c:v>-3.6913043478260867</c:v>
                </c:pt>
                <c:pt idx="414">
                  <c:v>-4.6880434782608686</c:v>
                </c:pt>
                <c:pt idx="415">
                  <c:v>-5.6804347826086961</c:v>
                </c:pt>
                <c:pt idx="416">
                  <c:v>-2.9315217391304351</c:v>
                </c:pt>
                <c:pt idx="417">
                  <c:v>-4.8663043478260875</c:v>
                </c:pt>
                <c:pt idx="418">
                  <c:v>-2.3695652173913042</c:v>
                </c:pt>
                <c:pt idx="419">
                  <c:v>-9.7480838509316765</c:v>
                </c:pt>
                <c:pt idx="420">
                  <c:v>-7.8613354037267085</c:v>
                </c:pt>
                <c:pt idx="421">
                  <c:v>-5.8133881987577647</c:v>
                </c:pt>
                <c:pt idx="422">
                  <c:v>-2.255900621118013</c:v>
                </c:pt>
                <c:pt idx="423">
                  <c:v>-9.7644409937888224</c:v>
                </c:pt>
                <c:pt idx="424">
                  <c:v>-5.9183229813664591</c:v>
                </c:pt>
                <c:pt idx="425">
                  <c:v>-8.3857142857142879</c:v>
                </c:pt>
                <c:pt idx="426">
                  <c:v>-3.6624223602484478</c:v>
                </c:pt>
                <c:pt idx="427">
                  <c:v>-11.760714285714286</c:v>
                </c:pt>
                <c:pt idx="428">
                  <c:v>-11.334419254658384</c:v>
                </c:pt>
                <c:pt idx="429">
                  <c:v>-7.093857142857142</c:v>
                </c:pt>
                <c:pt idx="430">
                  <c:v>0.63214285714285712</c:v>
                </c:pt>
                <c:pt idx="431">
                  <c:v>-13.737767080745343</c:v>
                </c:pt>
                <c:pt idx="432">
                  <c:v>-12.080745341614907</c:v>
                </c:pt>
                <c:pt idx="433">
                  <c:v>-1.1875776397515527</c:v>
                </c:pt>
                <c:pt idx="434">
                  <c:v>-13.309506211180123</c:v>
                </c:pt>
                <c:pt idx="435">
                  <c:v>-19.451086956521742</c:v>
                </c:pt>
                <c:pt idx="436">
                  <c:v>-8.0461180124223581</c:v>
                </c:pt>
                <c:pt idx="437">
                  <c:v>-8.3722049689440983</c:v>
                </c:pt>
                <c:pt idx="438">
                  <c:v>-11.911801242236027</c:v>
                </c:pt>
                <c:pt idx="439">
                  <c:v>-7.5722049689441002</c:v>
                </c:pt>
                <c:pt idx="440">
                  <c:v>-14.630434782608694</c:v>
                </c:pt>
                <c:pt idx="441">
                  <c:v>-23.992391304347823</c:v>
                </c:pt>
                <c:pt idx="442">
                  <c:v>-18.156521739130437</c:v>
                </c:pt>
                <c:pt idx="443">
                  <c:v>-17.850000000000001</c:v>
                </c:pt>
                <c:pt idx="444">
                  <c:v>-17.850000000000001</c:v>
                </c:pt>
                <c:pt idx="445">
                  <c:v>-8.8145962732919259</c:v>
                </c:pt>
                <c:pt idx="446">
                  <c:v>-13.272826086956522</c:v>
                </c:pt>
                <c:pt idx="447">
                  <c:v>-6.1172360248447211</c:v>
                </c:pt>
                <c:pt idx="448">
                  <c:v>-8.2574534161490689</c:v>
                </c:pt>
                <c:pt idx="449">
                  <c:v>-14.432608695652172</c:v>
                </c:pt>
                <c:pt idx="450">
                  <c:v>-14.432608695652172</c:v>
                </c:pt>
                <c:pt idx="451">
                  <c:v>-21.591304347826089</c:v>
                </c:pt>
                <c:pt idx="452">
                  <c:v>-21.467391304347828</c:v>
                </c:pt>
                <c:pt idx="453">
                  <c:v>-21.467391304347828</c:v>
                </c:pt>
                <c:pt idx="454">
                  <c:v>-8.524844720496894</c:v>
                </c:pt>
                <c:pt idx="455">
                  <c:v>-15.73509316770186</c:v>
                </c:pt>
                <c:pt idx="456">
                  <c:v>-14.865217391304348</c:v>
                </c:pt>
                <c:pt idx="457">
                  <c:v>-16.198913043478264</c:v>
                </c:pt>
                <c:pt idx="458">
                  <c:v>-19.300000000000004</c:v>
                </c:pt>
                <c:pt idx="459">
                  <c:v>-13.400310559006211</c:v>
                </c:pt>
                <c:pt idx="460">
                  <c:v>-13.0944099378882</c:v>
                </c:pt>
                <c:pt idx="461">
                  <c:v>-16.350931677018632</c:v>
                </c:pt>
                <c:pt idx="462">
                  <c:v>-19.068322981366457</c:v>
                </c:pt>
                <c:pt idx="463">
                  <c:v>-19.540217391304349</c:v>
                </c:pt>
                <c:pt idx="464">
                  <c:v>-12.703105590062112</c:v>
                </c:pt>
                <c:pt idx="465">
                  <c:v>-16.932298136645962</c:v>
                </c:pt>
                <c:pt idx="466">
                  <c:v>-0.76459627329192559</c:v>
                </c:pt>
                <c:pt idx="467">
                  <c:v>-13.104347826086958</c:v>
                </c:pt>
                <c:pt idx="468">
                  <c:v>-13.360869565217392</c:v>
                </c:pt>
                <c:pt idx="469">
                  <c:v>-13.360869565217392</c:v>
                </c:pt>
                <c:pt idx="470">
                  <c:v>-13.104347826086958</c:v>
                </c:pt>
                <c:pt idx="471">
                  <c:v>-12.960869565217392</c:v>
                </c:pt>
                <c:pt idx="472">
                  <c:v>-12.960869565217392</c:v>
                </c:pt>
                <c:pt idx="473">
                  <c:v>-25.576708074534167</c:v>
                </c:pt>
                <c:pt idx="474">
                  <c:v>-15.471739130434782</c:v>
                </c:pt>
                <c:pt idx="475">
                  <c:v>-14.191614906832296</c:v>
                </c:pt>
                <c:pt idx="476">
                  <c:v>-16.830434782608698</c:v>
                </c:pt>
                <c:pt idx="477">
                  <c:v>-16.978260869565222</c:v>
                </c:pt>
                <c:pt idx="478">
                  <c:v>-16.57826086956522</c:v>
                </c:pt>
                <c:pt idx="479">
                  <c:v>-16.4304347826087</c:v>
                </c:pt>
                <c:pt idx="480">
                  <c:v>-16.469565217391306</c:v>
                </c:pt>
                <c:pt idx="481">
                  <c:v>-16.123913043478264</c:v>
                </c:pt>
                <c:pt idx="482">
                  <c:v>-26.665217391304349</c:v>
                </c:pt>
                <c:pt idx="483">
                  <c:v>-2.2541925465838508</c:v>
                </c:pt>
                <c:pt idx="484">
                  <c:v>-14.332919254658387</c:v>
                </c:pt>
                <c:pt idx="485">
                  <c:v>-20.156521739130437</c:v>
                </c:pt>
                <c:pt idx="486">
                  <c:v>-20.086956521739133</c:v>
                </c:pt>
                <c:pt idx="487">
                  <c:v>-20.086956521739133</c:v>
                </c:pt>
                <c:pt idx="488">
                  <c:v>-15.121739130434781</c:v>
                </c:pt>
                <c:pt idx="489">
                  <c:v>-14.978260869565217</c:v>
                </c:pt>
                <c:pt idx="490">
                  <c:v>-14.978260869565217</c:v>
                </c:pt>
                <c:pt idx="491">
                  <c:v>-20.940217391304348</c:v>
                </c:pt>
                <c:pt idx="492">
                  <c:v>-11.721739130434784</c:v>
                </c:pt>
                <c:pt idx="493">
                  <c:v>-14.36304347826087</c:v>
                </c:pt>
                <c:pt idx="494">
                  <c:v>-13.387267080745341</c:v>
                </c:pt>
                <c:pt idx="495">
                  <c:v>-17.814130434782609</c:v>
                </c:pt>
                <c:pt idx="496">
                  <c:v>-18.572826086956525</c:v>
                </c:pt>
                <c:pt idx="497">
                  <c:v>-18.720652173913045</c:v>
                </c:pt>
                <c:pt idx="498">
                  <c:v>-18.320652173913043</c:v>
                </c:pt>
                <c:pt idx="499">
                  <c:v>-23.891804347826085</c:v>
                </c:pt>
                <c:pt idx="500">
                  <c:v>-14.130434782608695</c:v>
                </c:pt>
                <c:pt idx="501">
                  <c:v>-20.791804347826087</c:v>
                </c:pt>
                <c:pt idx="502">
                  <c:v>-21.190217391304348</c:v>
                </c:pt>
                <c:pt idx="503">
                  <c:v>-17.306521739130435</c:v>
                </c:pt>
                <c:pt idx="504">
                  <c:v>-22.132608695652177</c:v>
                </c:pt>
                <c:pt idx="505">
                  <c:v>-22.063043478260873</c:v>
                </c:pt>
                <c:pt idx="506">
                  <c:v>-22.063043478260873</c:v>
                </c:pt>
                <c:pt idx="507">
                  <c:v>-7.552173913043478</c:v>
                </c:pt>
                <c:pt idx="508">
                  <c:v>-15.617391304347825</c:v>
                </c:pt>
                <c:pt idx="509">
                  <c:v>-15.339130434782609</c:v>
                </c:pt>
                <c:pt idx="510">
                  <c:v>-20.098326086956522</c:v>
                </c:pt>
                <c:pt idx="511">
                  <c:v>-13.585869565217392</c:v>
                </c:pt>
                <c:pt idx="512">
                  <c:v>-20.933108695652177</c:v>
                </c:pt>
                <c:pt idx="513">
                  <c:v>-16.281366459627332</c:v>
                </c:pt>
                <c:pt idx="514">
                  <c:v>-17.3054347826087</c:v>
                </c:pt>
                <c:pt idx="515">
                  <c:v>-16.998913043478264</c:v>
                </c:pt>
                <c:pt idx="516">
                  <c:v>-16.998913043478264</c:v>
                </c:pt>
                <c:pt idx="517">
                  <c:v>-15.246739130434781</c:v>
                </c:pt>
                <c:pt idx="518">
                  <c:v>-12.624844720496897</c:v>
                </c:pt>
                <c:pt idx="519">
                  <c:v>-8.4167701863354019</c:v>
                </c:pt>
                <c:pt idx="520">
                  <c:v>-13.908695652173915</c:v>
                </c:pt>
                <c:pt idx="521">
                  <c:v>-17.3054347826087</c:v>
                </c:pt>
                <c:pt idx="522">
                  <c:v>-14.110869565217392</c:v>
                </c:pt>
                <c:pt idx="523">
                  <c:v>-17.398913043478263</c:v>
                </c:pt>
                <c:pt idx="524">
                  <c:v>-14.110869565217392</c:v>
                </c:pt>
                <c:pt idx="525">
                  <c:v>-17.398913043478263</c:v>
                </c:pt>
                <c:pt idx="526">
                  <c:v>-21.665717391304348</c:v>
                </c:pt>
                <c:pt idx="527">
                  <c:v>-12.36304347826087</c:v>
                </c:pt>
                <c:pt idx="528">
                  <c:v>-20.592236024844716</c:v>
                </c:pt>
                <c:pt idx="529">
                  <c:v>-21.26630434782609</c:v>
                </c:pt>
                <c:pt idx="530">
                  <c:v>-21.26630434782609</c:v>
                </c:pt>
                <c:pt idx="531">
                  <c:v>-26.113543478260869</c:v>
                </c:pt>
                <c:pt idx="532">
                  <c:v>-30.266217391304338</c:v>
                </c:pt>
                <c:pt idx="533">
                  <c:v>-18.559627329192548</c:v>
                </c:pt>
                <c:pt idx="534">
                  <c:v>-46.78081366459628</c:v>
                </c:pt>
                <c:pt idx="535">
                  <c:v>-70.631192546583847</c:v>
                </c:pt>
                <c:pt idx="536">
                  <c:v>-34.848826086956521</c:v>
                </c:pt>
                <c:pt idx="537">
                  <c:v>-46.251000000000005</c:v>
                </c:pt>
                <c:pt idx="538">
                  <c:v>-40.468391304347826</c:v>
                </c:pt>
                <c:pt idx="539">
                  <c:v>-14.113354037267081</c:v>
                </c:pt>
                <c:pt idx="540">
                  <c:v>-9.8416149068322998</c:v>
                </c:pt>
                <c:pt idx="541">
                  <c:v>-26.408574534161488</c:v>
                </c:pt>
                <c:pt idx="542">
                  <c:v>-16.121739130434783</c:v>
                </c:pt>
                <c:pt idx="543">
                  <c:v>-70.006347826086952</c:v>
                </c:pt>
                <c:pt idx="544">
                  <c:v>-61.023739130434777</c:v>
                </c:pt>
                <c:pt idx="545">
                  <c:v>-31.507832298136638</c:v>
                </c:pt>
                <c:pt idx="546">
                  <c:v>-35.361248447204972</c:v>
                </c:pt>
                <c:pt idx="547">
                  <c:v>-2.5423913043478259</c:v>
                </c:pt>
                <c:pt idx="548">
                  <c:v>-2.7369565217391307</c:v>
                </c:pt>
                <c:pt idx="549">
                  <c:v>-13.529347826086957</c:v>
                </c:pt>
                <c:pt idx="550">
                  <c:v>-13.731521739130436</c:v>
                </c:pt>
                <c:pt idx="551">
                  <c:v>-18.475465838509322</c:v>
                </c:pt>
                <c:pt idx="552">
                  <c:v>-22.822239130434781</c:v>
                </c:pt>
                <c:pt idx="553">
                  <c:v>-12.541304347826086</c:v>
                </c:pt>
                <c:pt idx="554">
                  <c:v>-12.743478260869566</c:v>
                </c:pt>
                <c:pt idx="555">
                  <c:v>-12.343478260869565</c:v>
                </c:pt>
                <c:pt idx="556">
                  <c:v>-14.858695652173914</c:v>
                </c:pt>
                <c:pt idx="557">
                  <c:v>-18.380434782608699</c:v>
                </c:pt>
                <c:pt idx="558">
                  <c:v>-40.763732919254657</c:v>
                </c:pt>
                <c:pt idx="559">
                  <c:v>-24.999257763975152</c:v>
                </c:pt>
                <c:pt idx="560">
                  <c:v>-52.577586956521742</c:v>
                </c:pt>
                <c:pt idx="561">
                  <c:v>-42.104726708074537</c:v>
                </c:pt>
                <c:pt idx="562">
                  <c:v>-18.831987577639755</c:v>
                </c:pt>
                <c:pt idx="563">
                  <c:v>-35.392304347826091</c:v>
                </c:pt>
                <c:pt idx="564">
                  <c:v>-44.23628260869566</c:v>
                </c:pt>
                <c:pt idx="565">
                  <c:v>-52.216096273291924</c:v>
                </c:pt>
                <c:pt idx="566">
                  <c:v>-42.483608695652173</c:v>
                </c:pt>
                <c:pt idx="567">
                  <c:v>-33.74882608695652</c:v>
                </c:pt>
                <c:pt idx="568">
                  <c:v>-6.1642857142857128</c:v>
                </c:pt>
                <c:pt idx="569">
                  <c:v>-9.5128881987577643</c:v>
                </c:pt>
                <c:pt idx="570">
                  <c:v>-33.352552795031059</c:v>
                </c:pt>
                <c:pt idx="571">
                  <c:v>-12.461956521739131</c:v>
                </c:pt>
                <c:pt idx="572">
                  <c:v>-12.66413043478261</c:v>
                </c:pt>
                <c:pt idx="573">
                  <c:v>-12.66413043478261</c:v>
                </c:pt>
                <c:pt idx="574">
                  <c:v>-27.948826086956526</c:v>
                </c:pt>
                <c:pt idx="575">
                  <c:v>-12.253416149068324</c:v>
                </c:pt>
                <c:pt idx="576">
                  <c:v>-4.2031055900621119</c:v>
                </c:pt>
                <c:pt idx="577">
                  <c:v>-8.1347826086956534</c:v>
                </c:pt>
                <c:pt idx="578">
                  <c:v>-1.8358695652173915</c:v>
                </c:pt>
                <c:pt idx="579">
                  <c:v>-3.6717391304347831</c:v>
                </c:pt>
                <c:pt idx="580">
                  <c:v>-15.000000000000004</c:v>
                </c:pt>
                <c:pt idx="581">
                  <c:v>-25.306900621118018</c:v>
                </c:pt>
                <c:pt idx="582">
                  <c:v>-7.9287267080745343</c:v>
                </c:pt>
                <c:pt idx="583">
                  <c:v>-39.875413043478261</c:v>
                </c:pt>
                <c:pt idx="584">
                  <c:v>-39.117770186335406</c:v>
                </c:pt>
                <c:pt idx="585">
                  <c:v>-32.290130434782604</c:v>
                </c:pt>
                <c:pt idx="586">
                  <c:v>-22.454347826086956</c:v>
                </c:pt>
                <c:pt idx="587">
                  <c:v>-31.532987577639741</c:v>
                </c:pt>
                <c:pt idx="588">
                  <c:v>-6.5352484472049692</c:v>
                </c:pt>
                <c:pt idx="589">
                  <c:v>-11.6</c:v>
                </c:pt>
                <c:pt idx="590">
                  <c:v>-26.318391304347827</c:v>
                </c:pt>
                <c:pt idx="591">
                  <c:v>-0.44270186335403694</c:v>
                </c:pt>
                <c:pt idx="592">
                  <c:v>-16.80031055900621</c:v>
                </c:pt>
                <c:pt idx="593">
                  <c:v>-7.0961180124223606</c:v>
                </c:pt>
                <c:pt idx="594">
                  <c:v>-6.054347826086957</c:v>
                </c:pt>
                <c:pt idx="595">
                  <c:v>-1.336490683229814</c:v>
                </c:pt>
                <c:pt idx="596">
                  <c:v>-20.35186335403727</c:v>
                </c:pt>
                <c:pt idx="597">
                  <c:v>-0.97406832298136647</c:v>
                </c:pt>
                <c:pt idx="598">
                  <c:v>-6.7097826086956518</c:v>
                </c:pt>
                <c:pt idx="599">
                  <c:v>-12.9</c:v>
                </c:pt>
                <c:pt idx="600">
                  <c:v>-13.102173913043478</c:v>
                </c:pt>
                <c:pt idx="601">
                  <c:v>-12.702173913043479</c:v>
                </c:pt>
                <c:pt idx="602">
                  <c:v>-4.945652173913043</c:v>
                </c:pt>
                <c:pt idx="603">
                  <c:v>-13.502173913043478</c:v>
                </c:pt>
                <c:pt idx="604">
                  <c:v>-16.866149068322983</c:v>
                </c:pt>
                <c:pt idx="605">
                  <c:v>-16.454658385093168</c:v>
                </c:pt>
                <c:pt idx="606">
                  <c:v>-26.185559006211179</c:v>
                </c:pt>
                <c:pt idx="607">
                  <c:v>-26.694254658385091</c:v>
                </c:pt>
                <c:pt idx="608">
                  <c:v>-6.9692546583850934</c:v>
                </c:pt>
                <c:pt idx="609">
                  <c:v>-9.5445652173913071</c:v>
                </c:pt>
                <c:pt idx="610">
                  <c:v>-9.5097826086956534</c:v>
                </c:pt>
                <c:pt idx="611">
                  <c:v>-9.5097826086956534</c:v>
                </c:pt>
                <c:pt idx="612">
                  <c:v>-20.563354037267082</c:v>
                </c:pt>
                <c:pt idx="613">
                  <c:v>-19.489130434782613</c:v>
                </c:pt>
                <c:pt idx="614">
                  <c:v>-19.473913043478266</c:v>
                </c:pt>
                <c:pt idx="615">
                  <c:v>-19.419565217391309</c:v>
                </c:pt>
                <c:pt idx="616">
                  <c:v>-9.9097826086956537</c:v>
                </c:pt>
                <c:pt idx="617">
                  <c:v>-20.273913043478267</c:v>
                </c:pt>
                <c:pt idx="618">
                  <c:v>-2.8302795031055896</c:v>
                </c:pt>
                <c:pt idx="619">
                  <c:v>-14.308695652173911</c:v>
                </c:pt>
                <c:pt idx="620">
                  <c:v>-7.7858695652173919</c:v>
                </c:pt>
                <c:pt idx="621">
                  <c:v>-17.908695652173918</c:v>
                </c:pt>
                <c:pt idx="622">
                  <c:v>-27.56304347826087</c:v>
                </c:pt>
                <c:pt idx="623">
                  <c:v>-1.9956521739130435</c:v>
                </c:pt>
                <c:pt idx="624">
                  <c:v>-2.9347826086956523</c:v>
                </c:pt>
                <c:pt idx="625">
                  <c:v>-6.8260869565217401</c:v>
                </c:pt>
                <c:pt idx="626">
                  <c:v>-4.4000000000000004</c:v>
                </c:pt>
                <c:pt idx="627">
                  <c:v>-5.6304347826086962</c:v>
                </c:pt>
                <c:pt idx="628">
                  <c:v>-8.5885093167701854</c:v>
                </c:pt>
                <c:pt idx="629">
                  <c:v>-4.0847826086956527</c:v>
                </c:pt>
                <c:pt idx="630">
                  <c:v>-4.7217391304347824</c:v>
                </c:pt>
                <c:pt idx="631">
                  <c:v>-6.3254658385093174</c:v>
                </c:pt>
                <c:pt idx="632">
                  <c:v>-9.1347826086956516</c:v>
                </c:pt>
                <c:pt idx="633">
                  <c:v>-13.017391304347827</c:v>
                </c:pt>
                <c:pt idx="634">
                  <c:v>-0.97282608695652173</c:v>
                </c:pt>
                <c:pt idx="635">
                  <c:v>-3.5999999999999996</c:v>
                </c:pt>
                <c:pt idx="636">
                  <c:v>-3.5999999999999996</c:v>
                </c:pt>
                <c:pt idx="637">
                  <c:v>-3.9804347826086954</c:v>
                </c:pt>
                <c:pt idx="638">
                  <c:v>-6.3804347826086953</c:v>
                </c:pt>
                <c:pt idx="639">
                  <c:v>-8.9630434782608699</c:v>
                </c:pt>
                <c:pt idx="640">
                  <c:v>-11.654347826086957</c:v>
                </c:pt>
                <c:pt idx="641">
                  <c:v>-16.108695652173918</c:v>
                </c:pt>
                <c:pt idx="642">
                  <c:v>-23.36304347826087</c:v>
                </c:pt>
                <c:pt idx="643">
                  <c:v>-34.617391304347834</c:v>
                </c:pt>
                <c:pt idx="644">
                  <c:v>-11.526086956521739</c:v>
                </c:pt>
                <c:pt idx="645">
                  <c:v>-16.034782608695654</c:v>
                </c:pt>
                <c:pt idx="646">
                  <c:v>-22.997826086956525</c:v>
                </c:pt>
                <c:pt idx="647">
                  <c:v>-34.069565217391307</c:v>
                </c:pt>
                <c:pt idx="648">
                  <c:v>-12.8</c:v>
                </c:pt>
                <c:pt idx="649">
                  <c:v>-17.654347826086958</c:v>
                </c:pt>
                <c:pt idx="650">
                  <c:v>-25.708695652173915</c:v>
                </c:pt>
                <c:pt idx="651">
                  <c:v>-37.708695652173915</c:v>
                </c:pt>
                <c:pt idx="652">
                  <c:v>-7.1065217391304349</c:v>
                </c:pt>
                <c:pt idx="653">
                  <c:v>-9.323913043478262</c:v>
                </c:pt>
                <c:pt idx="654">
                  <c:v>-13.81304347826087</c:v>
                </c:pt>
                <c:pt idx="655">
                  <c:v>-20.46521739130435</c:v>
                </c:pt>
                <c:pt idx="656">
                  <c:v>-0.21739130434782608</c:v>
                </c:pt>
                <c:pt idx="657">
                  <c:v>-0.53804347826086962</c:v>
                </c:pt>
                <c:pt idx="658">
                  <c:v>-1.6</c:v>
                </c:pt>
                <c:pt idx="659">
                  <c:v>-0.4</c:v>
                </c:pt>
                <c:pt idx="660">
                  <c:v>-0.4</c:v>
                </c:pt>
                <c:pt idx="661">
                  <c:v>-10.854347826086958</c:v>
                </c:pt>
                <c:pt idx="662">
                  <c:v>-1.9526397515527951</c:v>
                </c:pt>
                <c:pt idx="663">
                  <c:v>-4.4329192546583851</c:v>
                </c:pt>
                <c:pt idx="664">
                  <c:v>-3.3298136645962737</c:v>
                </c:pt>
                <c:pt idx="665">
                  <c:v>-3.8226708074534166</c:v>
                </c:pt>
                <c:pt idx="666">
                  <c:v>-3.1972049689440998</c:v>
                </c:pt>
                <c:pt idx="667">
                  <c:v>-3.7781055900621121</c:v>
                </c:pt>
                <c:pt idx="668">
                  <c:v>-5.8357142857142845</c:v>
                </c:pt>
                <c:pt idx="669">
                  <c:v>-4.0552795031055906</c:v>
                </c:pt>
                <c:pt idx="670">
                  <c:v>-6.5291925465838512</c:v>
                </c:pt>
                <c:pt idx="671">
                  <c:v>-2.9422360248447204</c:v>
                </c:pt>
                <c:pt idx="672">
                  <c:v>-2.8498447204968942</c:v>
                </c:pt>
                <c:pt idx="673">
                  <c:v>-2.7998447204968939</c:v>
                </c:pt>
                <c:pt idx="674">
                  <c:v>-3.4009316770186322</c:v>
                </c:pt>
                <c:pt idx="675">
                  <c:v>-3.3048136645962733</c:v>
                </c:pt>
                <c:pt idx="676">
                  <c:v>-3.0374223602484469</c:v>
                </c:pt>
                <c:pt idx="677">
                  <c:v>-6.1715838509316763</c:v>
                </c:pt>
                <c:pt idx="678">
                  <c:v>-1.8026397515527948</c:v>
                </c:pt>
                <c:pt idx="679">
                  <c:v>-5.0726708074534175</c:v>
                </c:pt>
                <c:pt idx="680">
                  <c:v>-5.6270186335403727</c:v>
                </c:pt>
                <c:pt idx="681">
                  <c:v>-3.3054347826086952</c:v>
                </c:pt>
                <c:pt idx="682">
                  <c:v>-1.6602484472049688</c:v>
                </c:pt>
                <c:pt idx="683">
                  <c:v>-1.7689440993788819</c:v>
                </c:pt>
                <c:pt idx="684">
                  <c:v>-6.3720496894409937</c:v>
                </c:pt>
                <c:pt idx="685">
                  <c:v>-6.1520186335403722</c:v>
                </c:pt>
                <c:pt idx="686">
                  <c:v>-4.6748447204968935</c:v>
                </c:pt>
                <c:pt idx="687">
                  <c:v>-3.2172360248447207</c:v>
                </c:pt>
                <c:pt idx="688">
                  <c:v>-4.5976708074534169</c:v>
                </c:pt>
                <c:pt idx="689">
                  <c:v>-5.1813664596273297</c:v>
                </c:pt>
                <c:pt idx="690">
                  <c:v>-4.2481366459627328</c:v>
                </c:pt>
                <c:pt idx="691">
                  <c:v>-5.764596273291926</c:v>
                </c:pt>
                <c:pt idx="692">
                  <c:v>-5.8096273291925478</c:v>
                </c:pt>
                <c:pt idx="693">
                  <c:v>-3.5194099378881996</c:v>
                </c:pt>
                <c:pt idx="694">
                  <c:v>-3.7395962732919252</c:v>
                </c:pt>
                <c:pt idx="695">
                  <c:v>-3.6444099378881996</c:v>
                </c:pt>
                <c:pt idx="696">
                  <c:v>-4.5465838509316781</c:v>
                </c:pt>
                <c:pt idx="697">
                  <c:v>-3.5020186335403727</c:v>
                </c:pt>
                <c:pt idx="698">
                  <c:v>-5.7422360248447193</c:v>
                </c:pt>
                <c:pt idx="699">
                  <c:v>-5.7385093167701866</c:v>
                </c:pt>
                <c:pt idx="700">
                  <c:v>-2.3624223602484471</c:v>
                </c:pt>
                <c:pt idx="701">
                  <c:v>-5.2763975155279503</c:v>
                </c:pt>
                <c:pt idx="702">
                  <c:v>-5.9683229813664598</c:v>
                </c:pt>
                <c:pt idx="703">
                  <c:v>-7.3503105590062123</c:v>
                </c:pt>
                <c:pt idx="704">
                  <c:v>-4.8900621118012415</c:v>
                </c:pt>
                <c:pt idx="705">
                  <c:v>-5.0416149068322991</c:v>
                </c:pt>
                <c:pt idx="706">
                  <c:v>-7.418201863354037</c:v>
                </c:pt>
                <c:pt idx="707">
                  <c:v>-7.5748447204968938</c:v>
                </c:pt>
                <c:pt idx="708">
                  <c:v>-4.7678571428571432</c:v>
                </c:pt>
                <c:pt idx="709">
                  <c:v>-2.8950310559006209</c:v>
                </c:pt>
                <c:pt idx="710">
                  <c:v>-3.2602484472049684</c:v>
                </c:pt>
                <c:pt idx="711">
                  <c:v>-4.66552795031056</c:v>
                </c:pt>
                <c:pt idx="712">
                  <c:v>-6.8618012422360257</c:v>
                </c:pt>
                <c:pt idx="713">
                  <c:v>-5.3177018633540367</c:v>
                </c:pt>
                <c:pt idx="714">
                  <c:v>-4.4720496894409942</c:v>
                </c:pt>
                <c:pt idx="715">
                  <c:v>-7.4509316770186347</c:v>
                </c:pt>
                <c:pt idx="716">
                  <c:v>-3.9194099378881981</c:v>
                </c:pt>
                <c:pt idx="717">
                  <c:v>-3.9770186335403723</c:v>
                </c:pt>
                <c:pt idx="718">
                  <c:v>-1.9178571428571423</c:v>
                </c:pt>
                <c:pt idx="719">
                  <c:v>-5.1987577639751548</c:v>
                </c:pt>
                <c:pt idx="720">
                  <c:v>-3.7059006211180123</c:v>
                </c:pt>
                <c:pt idx="721">
                  <c:v>-6.6791925465838506</c:v>
                </c:pt>
                <c:pt idx="722">
                  <c:v>-3.4509316770186338</c:v>
                </c:pt>
                <c:pt idx="723">
                  <c:v>-5.3770186335403718</c:v>
                </c:pt>
                <c:pt idx="724">
                  <c:v>-4.5704968944099376</c:v>
                </c:pt>
                <c:pt idx="725">
                  <c:v>-5.54223602484472</c:v>
                </c:pt>
                <c:pt idx="726">
                  <c:v>-5.9770186335403723</c:v>
                </c:pt>
                <c:pt idx="727">
                  <c:v>-9.0031055900621126</c:v>
                </c:pt>
                <c:pt idx="728">
                  <c:v>-5.8198757763975149</c:v>
                </c:pt>
                <c:pt idx="729">
                  <c:v>-3.2374223602484471</c:v>
                </c:pt>
                <c:pt idx="730">
                  <c:v>-3.9194099378881981</c:v>
                </c:pt>
                <c:pt idx="731">
                  <c:v>-2.5113354037267084</c:v>
                </c:pt>
                <c:pt idx="732">
                  <c:v>-1.7852484472049688</c:v>
                </c:pt>
                <c:pt idx="733">
                  <c:v>-3.1324534161490676</c:v>
                </c:pt>
                <c:pt idx="734">
                  <c:v>-3.7259316770186333</c:v>
                </c:pt>
                <c:pt idx="735">
                  <c:v>-3.1395962732919247</c:v>
                </c:pt>
                <c:pt idx="736">
                  <c:v>0.4</c:v>
                </c:pt>
                <c:pt idx="737">
                  <c:v>0.4</c:v>
                </c:pt>
                <c:pt idx="738">
                  <c:v>-4.7880434782608701</c:v>
                </c:pt>
                <c:pt idx="739">
                  <c:v>-3.6619565217391301</c:v>
                </c:pt>
                <c:pt idx="740">
                  <c:v>-3.7026397515527951</c:v>
                </c:pt>
                <c:pt idx="741">
                  <c:v>-4.0128881987577634</c:v>
                </c:pt>
                <c:pt idx="742">
                  <c:v>-3.7537267080745349</c:v>
                </c:pt>
                <c:pt idx="743">
                  <c:v>-7.6434782608695642</c:v>
                </c:pt>
                <c:pt idx="744">
                  <c:v>-7.6434782608695642</c:v>
                </c:pt>
                <c:pt idx="745">
                  <c:v>-10.558885093167699</c:v>
                </c:pt>
                <c:pt idx="746">
                  <c:v>-7.5500000000000007</c:v>
                </c:pt>
                <c:pt idx="747">
                  <c:v>-10.341493788819875</c:v>
                </c:pt>
                <c:pt idx="748">
                  <c:v>-8.133074534161489</c:v>
                </c:pt>
                <c:pt idx="749">
                  <c:v>-3.9633540372670817</c:v>
                </c:pt>
                <c:pt idx="750">
                  <c:v>-3.4096273291925465</c:v>
                </c:pt>
                <c:pt idx="751">
                  <c:v>-8.5978260869565215</c:v>
                </c:pt>
                <c:pt idx="752">
                  <c:v>-4.2476708074534155</c:v>
                </c:pt>
                <c:pt idx="753">
                  <c:v>-10.860559006211179</c:v>
                </c:pt>
                <c:pt idx="754">
                  <c:v>-4.6307453416149063</c:v>
                </c:pt>
                <c:pt idx="755">
                  <c:v>-4.6307453416149063</c:v>
                </c:pt>
                <c:pt idx="756">
                  <c:v>-1.5731366459627332</c:v>
                </c:pt>
                <c:pt idx="757">
                  <c:v>-2.1166149068322984</c:v>
                </c:pt>
                <c:pt idx="758">
                  <c:v>-6.8661490683229793</c:v>
                </c:pt>
                <c:pt idx="759">
                  <c:v>-4.2465838509316773</c:v>
                </c:pt>
                <c:pt idx="760">
                  <c:v>-6.8661490683229793</c:v>
                </c:pt>
                <c:pt idx="761">
                  <c:v>-8.7149068322981389</c:v>
                </c:pt>
                <c:pt idx="762">
                  <c:v>-11.493167701863351</c:v>
                </c:pt>
                <c:pt idx="763">
                  <c:v>-2.9492236024844711</c:v>
                </c:pt>
                <c:pt idx="764">
                  <c:v>-3.3840062111801235</c:v>
                </c:pt>
                <c:pt idx="765">
                  <c:v>-10.843167701863353</c:v>
                </c:pt>
                <c:pt idx="766">
                  <c:v>-8.7509316770186309</c:v>
                </c:pt>
                <c:pt idx="767">
                  <c:v>-9.3327981366459642</c:v>
                </c:pt>
                <c:pt idx="768">
                  <c:v>-13.030124223602487</c:v>
                </c:pt>
                <c:pt idx="769">
                  <c:v>-5.4840062111801249</c:v>
                </c:pt>
                <c:pt idx="770">
                  <c:v>-7.5539161490683195</c:v>
                </c:pt>
                <c:pt idx="771">
                  <c:v>-5.4840062111801249</c:v>
                </c:pt>
                <c:pt idx="772">
                  <c:v>4.0372670807451438E-3</c:v>
                </c:pt>
                <c:pt idx="773">
                  <c:v>-5.4840062111801249</c:v>
                </c:pt>
                <c:pt idx="774">
                  <c:v>-10.37142857142857</c:v>
                </c:pt>
                <c:pt idx="775">
                  <c:v>-13.012732919254658</c:v>
                </c:pt>
                <c:pt idx="776">
                  <c:v>-4.5083850931677016</c:v>
                </c:pt>
                <c:pt idx="777">
                  <c:v>-6.4159937888198755</c:v>
                </c:pt>
                <c:pt idx="778">
                  <c:v>-8.4672360248447198</c:v>
                </c:pt>
                <c:pt idx="779">
                  <c:v>-11.47577639751553</c:v>
                </c:pt>
                <c:pt idx="780">
                  <c:v>-10.522670807453414</c:v>
                </c:pt>
                <c:pt idx="781">
                  <c:v>-12.101863354037265</c:v>
                </c:pt>
                <c:pt idx="782">
                  <c:v>-13.56633850931677</c:v>
                </c:pt>
                <c:pt idx="783">
                  <c:v>-7.4704968944099379</c:v>
                </c:pt>
                <c:pt idx="784">
                  <c:v>-10.554037267080746</c:v>
                </c:pt>
                <c:pt idx="785">
                  <c:v>-12.375776397515528</c:v>
                </c:pt>
                <c:pt idx="786">
                  <c:v>-2.8381987577639749</c:v>
                </c:pt>
                <c:pt idx="787">
                  <c:v>-11.600621118012423</c:v>
                </c:pt>
                <c:pt idx="788">
                  <c:v>-11.895652173913042</c:v>
                </c:pt>
                <c:pt idx="789">
                  <c:v>-7.1557453416149066</c:v>
                </c:pt>
                <c:pt idx="790">
                  <c:v>-12.473602484472048</c:v>
                </c:pt>
                <c:pt idx="791">
                  <c:v>-4.8829192546583853</c:v>
                </c:pt>
                <c:pt idx="792">
                  <c:v>-9.1649068322981364</c:v>
                </c:pt>
                <c:pt idx="793">
                  <c:v>-4.8829192546583853</c:v>
                </c:pt>
                <c:pt idx="794">
                  <c:v>-5.8956521739130441</c:v>
                </c:pt>
                <c:pt idx="795">
                  <c:v>-9.8069875776397524</c:v>
                </c:pt>
                <c:pt idx="796">
                  <c:v>-7.265217391304347</c:v>
                </c:pt>
                <c:pt idx="797">
                  <c:v>-1.2496894409937884</c:v>
                </c:pt>
                <c:pt idx="798">
                  <c:v>-6.6059006211180105</c:v>
                </c:pt>
                <c:pt idx="799">
                  <c:v>-12.580745341614907</c:v>
                </c:pt>
                <c:pt idx="800">
                  <c:v>-11.017391304347827</c:v>
                </c:pt>
                <c:pt idx="801">
                  <c:v>-5.7942546583850936</c:v>
                </c:pt>
                <c:pt idx="802">
                  <c:v>-4.9695652173913043</c:v>
                </c:pt>
                <c:pt idx="803">
                  <c:v>-29.197962732919251</c:v>
                </c:pt>
                <c:pt idx="804">
                  <c:v>-2.7781055900621117</c:v>
                </c:pt>
                <c:pt idx="805">
                  <c:v>-2.2704968944099377</c:v>
                </c:pt>
                <c:pt idx="806">
                  <c:v>-2.2704968944099377</c:v>
                </c:pt>
                <c:pt idx="807">
                  <c:v>-7.2826086956521738</c:v>
                </c:pt>
                <c:pt idx="808">
                  <c:v>-12.380434782608695</c:v>
                </c:pt>
                <c:pt idx="809">
                  <c:v>-15.634782608695655</c:v>
                </c:pt>
                <c:pt idx="810">
                  <c:v>-13.980434782608697</c:v>
                </c:pt>
                <c:pt idx="811">
                  <c:v>-17.234782608695653</c:v>
                </c:pt>
                <c:pt idx="812">
                  <c:v>-12.380434782608695</c:v>
                </c:pt>
                <c:pt idx="813">
                  <c:v>-15.634782608695655</c:v>
                </c:pt>
                <c:pt idx="814">
                  <c:v>-19.343478260869567</c:v>
                </c:pt>
                <c:pt idx="815">
                  <c:v>-23.452173913043474</c:v>
                </c:pt>
                <c:pt idx="816">
                  <c:v>-13.980434782608697</c:v>
                </c:pt>
                <c:pt idx="817">
                  <c:v>-17.234782608695653</c:v>
                </c:pt>
                <c:pt idx="818">
                  <c:v>-16.889130434782611</c:v>
                </c:pt>
                <c:pt idx="819">
                  <c:v>-20.997826086956525</c:v>
                </c:pt>
                <c:pt idx="820">
                  <c:v>-16.834782608695654</c:v>
                </c:pt>
                <c:pt idx="821">
                  <c:v>-20.997826086956525</c:v>
                </c:pt>
                <c:pt idx="822">
                  <c:v>-10.682177018633533</c:v>
                </c:pt>
                <c:pt idx="823">
                  <c:v>-4.8503105590062123</c:v>
                </c:pt>
                <c:pt idx="824">
                  <c:v>-13.872826086956522</c:v>
                </c:pt>
                <c:pt idx="825">
                  <c:v>-6.9496894409937884</c:v>
                </c:pt>
                <c:pt idx="826">
                  <c:v>-7.7394409937888202</c:v>
                </c:pt>
                <c:pt idx="827">
                  <c:v>-6.4349378881987551</c:v>
                </c:pt>
                <c:pt idx="828">
                  <c:v>-4.1163043478260875</c:v>
                </c:pt>
                <c:pt idx="829">
                  <c:v>-4.1141304347826084</c:v>
                </c:pt>
                <c:pt idx="830">
                  <c:v>-9.5489130434782616</c:v>
                </c:pt>
                <c:pt idx="831">
                  <c:v>-4.3172360248447195</c:v>
                </c:pt>
                <c:pt idx="832">
                  <c:v>-4.3172360248447195</c:v>
                </c:pt>
                <c:pt idx="833">
                  <c:v>-14.006521739130436</c:v>
                </c:pt>
                <c:pt idx="834">
                  <c:v>-6.8032608695652188</c:v>
                </c:pt>
                <c:pt idx="835">
                  <c:v>-7.910869565217391</c:v>
                </c:pt>
                <c:pt idx="836">
                  <c:v>-4.21055900621118</c:v>
                </c:pt>
                <c:pt idx="837">
                  <c:v>-18.736956521739131</c:v>
                </c:pt>
                <c:pt idx="838">
                  <c:v>-13.767354037267081</c:v>
                </c:pt>
                <c:pt idx="839">
                  <c:v>-7.3378354037267082</c:v>
                </c:pt>
                <c:pt idx="840">
                  <c:v>-14.406105590062115</c:v>
                </c:pt>
                <c:pt idx="841">
                  <c:v>-11.244614906832295</c:v>
                </c:pt>
                <c:pt idx="842">
                  <c:v>-10.349689440993791</c:v>
                </c:pt>
                <c:pt idx="843">
                  <c:v>-12.404726708074532</c:v>
                </c:pt>
                <c:pt idx="844">
                  <c:v>-14.31335403726708</c:v>
                </c:pt>
                <c:pt idx="845">
                  <c:v>-7.5177701863354045</c:v>
                </c:pt>
                <c:pt idx="846">
                  <c:v>-7.2420807453416156</c:v>
                </c:pt>
                <c:pt idx="847">
                  <c:v>-12.251863354037264</c:v>
                </c:pt>
                <c:pt idx="848">
                  <c:v>-7.7950310559006217</c:v>
                </c:pt>
                <c:pt idx="849">
                  <c:v>-6.8234813664596263</c:v>
                </c:pt>
                <c:pt idx="850">
                  <c:v>-9.2285714285714295</c:v>
                </c:pt>
                <c:pt idx="851">
                  <c:v>-3.722704968944099</c:v>
                </c:pt>
                <c:pt idx="852">
                  <c:v>-12.950257763975154</c:v>
                </c:pt>
                <c:pt idx="853">
                  <c:v>-6.0129223602484485</c:v>
                </c:pt>
                <c:pt idx="854">
                  <c:v>-2.3956521739130432</c:v>
                </c:pt>
                <c:pt idx="855">
                  <c:v>-2.3956521739130432</c:v>
                </c:pt>
                <c:pt idx="856">
                  <c:v>-11.845288819875774</c:v>
                </c:pt>
                <c:pt idx="857">
                  <c:v>-5.7319875776397504</c:v>
                </c:pt>
                <c:pt idx="858">
                  <c:v>-3.4613354037267081</c:v>
                </c:pt>
                <c:pt idx="859">
                  <c:v>-7.235161490683228</c:v>
                </c:pt>
                <c:pt idx="860">
                  <c:v>-6.9748447204968942</c:v>
                </c:pt>
                <c:pt idx="861">
                  <c:v>-20.262180124223601</c:v>
                </c:pt>
                <c:pt idx="862">
                  <c:v>-9.1118012422360248</c:v>
                </c:pt>
                <c:pt idx="863">
                  <c:v>-9.0428571428571427</c:v>
                </c:pt>
                <c:pt idx="864">
                  <c:v>-18.37701863354037</c:v>
                </c:pt>
                <c:pt idx="865">
                  <c:v>-7.8106273291925463</c:v>
                </c:pt>
                <c:pt idx="866">
                  <c:v>-10.022826086956522</c:v>
                </c:pt>
                <c:pt idx="867">
                  <c:v>-15.653105590062113</c:v>
                </c:pt>
                <c:pt idx="868">
                  <c:v>-10.945031055900621</c:v>
                </c:pt>
                <c:pt idx="869">
                  <c:v>-5.3574534161490677</c:v>
                </c:pt>
                <c:pt idx="870">
                  <c:v>-5.1102484472049685</c:v>
                </c:pt>
                <c:pt idx="871">
                  <c:v>-14.848326086956522</c:v>
                </c:pt>
                <c:pt idx="872">
                  <c:v>-3.1782608695652179</c:v>
                </c:pt>
                <c:pt idx="873">
                  <c:v>-14.616770186335401</c:v>
                </c:pt>
                <c:pt idx="874">
                  <c:v>-12.930124223602485</c:v>
                </c:pt>
                <c:pt idx="875">
                  <c:v>-12.436335403726709</c:v>
                </c:pt>
                <c:pt idx="876">
                  <c:v>-16.597204968944098</c:v>
                </c:pt>
                <c:pt idx="877">
                  <c:v>-5.3633540372670812</c:v>
                </c:pt>
                <c:pt idx="878">
                  <c:v>-15.81055900621118</c:v>
                </c:pt>
                <c:pt idx="879">
                  <c:v>-4.5369565217391301</c:v>
                </c:pt>
                <c:pt idx="880">
                  <c:v>-5.975034161490683</c:v>
                </c:pt>
                <c:pt idx="881">
                  <c:v>-1.1391304347826088</c:v>
                </c:pt>
                <c:pt idx="882">
                  <c:v>-11.328260869565218</c:v>
                </c:pt>
                <c:pt idx="883">
                  <c:v>-34.326586956521751</c:v>
                </c:pt>
                <c:pt idx="884">
                  <c:v>-4.7996894409937898</c:v>
                </c:pt>
                <c:pt idx="885">
                  <c:v>-0.80108695652173922</c:v>
                </c:pt>
                <c:pt idx="886">
                  <c:v>-19.930434782608696</c:v>
                </c:pt>
                <c:pt idx="887">
                  <c:v>-5.4857142857142849</c:v>
                </c:pt>
                <c:pt idx="888">
                  <c:v>-27.683108695652169</c:v>
                </c:pt>
                <c:pt idx="889">
                  <c:v>-27.083108695652175</c:v>
                </c:pt>
                <c:pt idx="890">
                  <c:v>-12.167080745341615</c:v>
                </c:pt>
                <c:pt idx="891">
                  <c:v>-20.239130434782609</c:v>
                </c:pt>
                <c:pt idx="892">
                  <c:v>-11.653260869565218</c:v>
                </c:pt>
                <c:pt idx="893">
                  <c:v>-33.526586956521747</c:v>
                </c:pt>
                <c:pt idx="894">
                  <c:v>2.4282608695652179</c:v>
                </c:pt>
                <c:pt idx="895">
                  <c:v>1.4945652173913042</c:v>
                </c:pt>
                <c:pt idx="896">
                  <c:v>-13.971118012422361</c:v>
                </c:pt>
                <c:pt idx="897">
                  <c:v>-28.035093167701863</c:v>
                </c:pt>
                <c:pt idx="898">
                  <c:v>-18.80310559006211</c:v>
                </c:pt>
                <c:pt idx="899">
                  <c:v>-6.6986024844720493</c:v>
                </c:pt>
                <c:pt idx="900">
                  <c:v>-1.6746894409937882</c:v>
                </c:pt>
                <c:pt idx="901">
                  <c:v>-2.4545031055900615</c:v>
                </c:pt>
                <c:pt idx="902">
                  <c:v>-12.284782608695654</c:v>
                </c:pt>
                <c:pt idx="903">
                  <c:v>-9.6212732919254673</c:v>
                </c:pt>
                <c:pt idx="904">
                  <c:v>-10.421428571428571</c:v>
                </c:pt>
                <c:pt idx="905">
                  <c:v>-3.2343167701863353</c:v>
                </c:pt>
                <c:pt idx="906">
                  <c:v>1.0083850931677016</c:v>
                </c:pt>
                <c:pt idx="907">
                  <c:v>-5.7377329192546584</c:v>
                </c:pt>
                <c:pt idx="908">
                  <c:v>-15.539130434782608</c:v>
                </c:pt>
                <c:pt idx="909">
                  <c:v>-10.401086956521739</c:v>
                </c:pt>
                <c:pt idx="910">
                  <c:v>-16.684782608695652</c:v>
                </c:pt>
                <c:pt idx="911">
                  <c:v>-10.801086956521738</c:v>
                </c:pt>
                <c:pt idx="912">
                  <c:v>-11.20108695652174</c:v>
                </c:pt>
                <c:pt idx="913">
                  <c:v>-12.56832298136646</c:v>
                </c:pt>
                <c:pt idx="914">
                  <c:v>-13.903726708074533</c:v>
                </c:pt>
                <c:pt idx="915">
                  <c:v>-2.9906832298136643</c:v>
                </c:pt>
                <c:pt idx="916">
                  <c:v>-2.0857142857142859</c:v>
                </c:pt>
                <c:pt idx="917">
                  <c:v>-0.84285714285714275</c:v>
                </c:pt>
                <c:pt idx="918">
                  <c:v>-37.200000000000003</c:v>
                </c:pt>
                <c:pt idx="919">
                  <c:v>-32.400000000000006</c:v>
                </c:pt>
                <c:pt idx="920">
                  <c:v>-18.8</c:v>
                </c:pt>
                <c:pt idx="921">
                  <c:v>-32.652173913043484</c:v>
                </c:pt>
                <c:pt idx="922">
                  <c:v>-29.743478260869566</c:v>
                </c:pt>
                <c:pt idx="923">
                  <c:v>-17.126086956521739</c:v>
                </c:pt>
                <c:pt idx="924">
                  <c:v>-50.756521739130434</c:v>
                </c:pt>
                <c:pt idx="925">
                  <c:v>-40.830434782608698</c:v>
                </c:pt>
                <c:pt idx="926">
                  <c:v>-25.378260869565217</c:v>
                </c:pt>
                <c:pt idx="927">
                  <c:v>-0.27173913043478259</c:v>
                </c:pt>
                <c:pt idx="928">
                  <c:v>-0.16304347826086957</c:v>
                </c:pt>
                <c:pt idx="929">
                  <c:v>-0.10869565217391304</c:v>
                </c:pt>
                <c:pt idx="930">
                  <c:v>-44.578260869565227</c:v>
                </c:pt>
                <c:pt idx="931">
                  <c:v>-35.560869565217395</c:v>
                </c:pt>
                <c:pt idx="932">
                  <c:v>-22.089130434782611</c:v>
                </c:pt>
                <c:pt idx="933">
                  <c:v>-1.0869565217391304</c:v>
                </c:pt>
                <c:pt idx="934">
                  <c:v>-0.86956521739130432</c:v>
                </c:pt>
                <c:pt idx="935">
                  <c:v>-0.54347826086956519</c:v>
                </c:pt>
                <c:pt idx="936">
                  <c:v>-1.3586956521739131</c:v>
                </c:pt>
                <c:pt idx="937">
                  <c:v>-1.0869565217391304</c:v>
                </c:pt>
                <c:pt idx="938">
                  <c:v>-0.48913043478260876</c:v>
                </c:pt>
                <c:pt idx="939">
                  <c:v>-26.360869565217392</c:v>
                </c:pt>
                <c:pt idx="940">
                  <c:v>-20.997826086956525</c:v>
                </c:pt>
                <c:pt idx="941">
                  <c:v>-13.180434782608696</c:v>
                </c:pt>
                <c:pt idx="942">
                  <c:v>-47.195652173913047</c:v>
                </c:pt>
                <c:pt idx="943">
                  <c:v>-37.723913043478262</c:v>
                </c:pt>
                <c:pt idx="944">
                  <c:v>-23.797826086956523</c:v>
                </c:pt>
                <c:pt idx="945">
                  <c:v>-46.721739130434777</c:v>
                </c:pt>
                <c:pt idx="946">
                  <c:v>-37.250000000000007</c:v>
                </c:pt>
                <c:pt idx="947">
                  <c:v>-23.160869565217393</c:v>
                </c:pt>
                <c:pt idx="948">
                  <c:v>-12.197826086956521</c:v>
                </c:pt>
                <c:pt idx="949">
                  <c:v>-9.234782608695653</c:v>
                </c:pt>
                <c:pt idx="950">
                  <c:v>-5.8717391304347828</c:v>
                </c:pt>
                <c:pt idx="951">
                  <c:v>0</c:v>
                </c:pt>
                <c:pt idx="952">
                  <c:v>-44.997826086956529</c:v>
                </c:pt>
                <c:pt idx="953">
                  <c:v>-37.689130434782612</c:v>
                </c:pt>
                <c:pt idx="954">
                  <c:v>-22.72608695652174</c:v>
                </c:pt>
                <c:pt idx="955">
                  <c:v>-0.10869565217391304</c:v>
                </c:pt>
                <c:pt idx="956">
                  <c:v>-0.10869565217391304</c:v>
                </c:pt>
                <c:pt idx="957">
                  <c:v>-5.434782608695652E-2</c:v>
                </c:pt>
                <c:pt idx="958">
                  <c:v>-31.052173913043482</c:v>
                </c:pt>
                <c:pt idx="959">
                  <c:v>-28.543478260869563</c:v>
                </c:pt>
                <c:pt idx="960">
                  <c:v>-16.326086956521742</c:v>
                </c:pt>
                <c:pt idx="961">
                  <c:v>-22.178260869565221</c:v>
                </c:pt>
                <c:pt idx="962">
                  <c:v>-43.956521739130444</c:v>
                </c:pt>
                <c:pt idx="963">
                  <c:v>-35.121739130434783</c:v>
                </c:pt>
                <c:pt idx="964">
                  <c:v>-46.197826086956518</c:v>
                </c:pt>
                <c:pt idx="965">
                  <c:v>-37.289130434782614</c:v>
                </c:pt>
                <c:pt idx="966">
                  <c:v>-21.92608695652174</c:v>
                </c:pt>
                <c:pt idx="967">
                  <c:v>-26.963043478260872</c:v>
                </c:pt>
                <c:pt idx="968">
                  <c:v>-23.763043478260869</c:v>
                </c:pt>
                <c:pt idx="969">
                  <c:v>-14.10869565217391</c:v>
                </c:pt>
                <c:pt idx="970">
                  <c:v>-8.2173913043478279</c:v>
                </c:pt>
                <c:pt idx="971">
                  <c:v>-5.7630434782608697</c:v>
                </c:pt>
                <c:pt idx="972">
                  <c:v>-4.108695652173914</c:v>
                </c:pt>
                <c:pt idx="973">
                  <c:v>-30.271739130434785</c:v>
                </c:pt>
                <c:pt idx="974">
                  <c:v>-22.617391304347827</c:v>
                </c:pt>
                <c:pt idx="975">
                  <c:v>-16.108695652173918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8-4C08-BC60-EA8243FC5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142216"/>
        <c:axId val="1226156040"/>
      </c:scatterChart>
      <c:valAx>
        <c:axId val="122614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56040"/>
        <c:crosses val="autoZero"/>
        <c:crossBetween val="midCat"/>
      </c:valAx>
      <c:valAx>
        <c:axId val="122615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HealthScore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4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11</xdr:col>
      <xdr:colOff>457200</xdr:colOff>
      <xdr:row>16</xdr:row>
      <xdr:rowOff>142875</xdr:rowOff>
    </xdr:to>
    <xdr:graphicFrame macro="">
      <xdr:nvGraphicFramePr>
        <xdr:cNvPr id="2" name="Chart 1" descr="Chart type: Clustered Bar. 'HealthScore weight' by 'Company'&#10;&#10;Description automatically generated">
          <a:extLst>
            <a:ext uri="{FF2B5EF4-FFF2-40B4-BE49-F238E27FC236}">
              <a16:creationId xmlns:a16="http://schemas.microsoft.com/office/drawing/2014/main" id="{8CFD72F0-38A5-0D5B-E112-DA2F730F9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10</xdr:col>
      <xdr:colOff>457200</xdr:colOff>
      <xdr:row>37</xdr:row>
      <xdr:rowOff>142875</xdr:rowOff>
    </xdr:to>
    <xdr:graphicFrame macro="">
      <xdr:nvGraphicFramePr>
        <xdr:cNvPr id="3" name="Chart 2" descr="Chart type: Scatter. Field: HealthScore weight appears highly determined by Field: Protein per 100cal.&#10;&#10;Description automatically generated">
          <a:extLst>
            <a:ext uri="{FF2B5EF4-FFF2-40B4-BE49-F238E27FC236}">
              <a16:creationId xmlns:a16="http://schemas.microsoft.com/office/drawing/2014/main" id="{0767FC8C-C719-45C2-9FBE-13D4CC36B76B}"/>
            </a:ext>
            <a:ext uri="{147F2762-F138-4A5C-976F-8EAC2B608ADB}">
              <a16:predDERef xmlns:a16="http://schemas.microsoft.com/office/drawing/2014/main" pred="{8CFD72F0-38A5-0D5B-E112-DA2F730F9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457200</xdr:colOff>
      <xdr:row>36</xdr:row>
      <xdr:rowOff>142875</xdr:rowOff>
    </xdr:to>
    <xdr:graphicFrame macro="">
      <xdr:nvGraphicFramePr>
        <xdr:cNvPr id="4" name="Chart 3" descr="Chart type: Scatter. Field: 'HealthScore weight' and Field: 'added sugar' appear highly correlated with 3 outliers.&#10;&#10;Description automatically generated">
          <a:extLst>
            <a:ext uri="{FF2B5EF4-FFF2-40B4-BE49-F238E27FC236}">
              <a16:creationId xmlns:a16="http://schemas.microsoft.com/office/drawing/2014/main" id="{D8159E34-697F-402B-900C-CDD39BABCCB4}"/>
            </a:ext>
            <a:ext uri="{147F2762-F138-4A5C-976F-8EAC2B608ADB}">
              <a16:predDERef xmlns:a16="http://schemas.microsoft.com/office/drawing/2014/main" pred="{0767FC8C-C719-45C2-9FBE-13D4CC36B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10</xdr:col>
      <xdr:colOff>457200</xdr:colOff>
      <xdr:row>57</xdr:row>
      <xdr:rowOff>142875</xdr:rowOff>
    </xdr:to>
    <xdr:graphicFrame macro="">
      <xdr:nvGraphicFramePr>
        <xdr:cNvPr id="5" name="Chart 4" descr="Chart type: Scatter. 'HealthScore weight'&#10;&#10;Description automatically generated">
          <a:extLst>
            <a:ext uri="{FF2B5EF4-FFF2-40B4-BE49-F238E27FC236}">
              <a16:creationId xmlns:a16="http://schemas.microsoft.com/office/drawing/2014/main" id="{3EFAF3CE-7D4D-4ECE-830F-91C7C34A2A22}"/>
            </a:ext>
            <a:ext uri="{147F2762-F138-4A5C-976F-8EAC2B608ADB}">
              <a16:predDERef xmlns:a16="http://schemas.microsoft.com/office/drawing/2014/main" pred="{D8159E34-697F-402B-900C-CDD39BABC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6.727397685187" createdVersion="8" refreshedVersion="8" minRefreshableVersion="3" recordCount="976" xr:uid="{5D10C7A0-EB5D-4E31-B99F-1F36F41EEBB2}">
  <cacheSource type="worksheet">
    <worksheetSource ref="C6:AA982" sheet="Sheet1"/>
  </cacheSource>
  <cacheFields count="25">
    <cacheField name="Company" numFmtId="0">
      <sharedItems count="6">
        <s v="Burger King"/>
        <s v="KFC"/>
        <s v="McDonalds"/>
        <s v="Pizza Hut"/>
        <s v="Taco Bell"/>
        <s v="Wendys"/>
      </sharedItems>
    </cacheField>
    <cacheField name="Item" numFmtId="0">
      <sharedItems/>
    </cacheField>
    <cacheField name="Calories" numFmtId="0">
      <sharedItems containsSemiMixedTypes="0" containsString="0" containsNumber="1" containsInteger="1" minValue="0" maxValue="1220"/>
    </cacheField>
    <cacheField name="Calories from_x000a_Fat" numFmtId="0">
      <sharedItems containsSemiMixedTypes="0" containsString="0" containsNumber="1" containsInteger="1" minValue="0" maxValue="750"/>
    </cacheField>
    <cacheField name="Total Fat_x000a_(g)" numFmtId="0">
      <sharedItems containsSemiMixedTypes="0" containsString="0" containsNumber="1" minValue="0" maxValue="98"/>
    </cacheField>
    <cacheField name="Saturated Fat_x000a_(g)" numFmtId="0">
      <sharedItems containsMixedTypes="1" containsNumber="1" minValue="0" maxValue="33"/>
    </cacheField>
    <cacheField name="Trans Fat_x000a_(g)" numFmtId="0">
      <sharedItems containsSemiMixedTypes="0" containsString="0" containsNumber="1" minValue="0" maxValue="4.5"/>
    </cacheField>
    <cacheField name="Cholesterol_x000a_(mg)" numFmtId="0">
      <sharedItems containsSemiMixedTypes="0" containsString="0" containsNumber="1" containsInteger="1" minValue="0" maxValue="575"/>
    </cacheField>
    <cacheField name="Sodium _x000a_(mg)" numFmtId="0">
      <sharedItems containsSemiMixedTypes="0" containsString="0" containsNumber="1" containsInteger="1" minValue="0" maxValue="2890"/>
    </cacheField>
    <cacheField name="Carbs_x000a_(g)" numFmtId="0">
      <sharedItems containsSemiMixedTypes="0" containsString="0" containsNumber="1" containsInteger="1" minValue="0" maxValue="270"/>
    </cacheField>
    <cacheField name="Fiber_x000a_(g)" numFmtId="0">
      <sharedItems containsSemiMixedTypes="0" containsString="0" containsNumber="1" containsInteger="1" minValue="0" maxValue="31"/>
    </cacheField>
    <cacheField name="Sugars_x000a_(g)" numFmtId="0">
      <sharedItems containsSemiMixedTypes="0" containsString="0" containsNumber="1" containsInteger="1" minValue="0" maxValue="264"/>
    </cacheField>
    <cacheField name="Protein_x000a_(g)" numFmtId="0">
      <sharedItems containsSemiMixedTypes="0" containsString="0" containsNumber="1" containsInteger="1" minValue="0" maxValue="71"/>
    </cacheField>
    <cacheField name="Weight Watchers_x000a_Pnts" numFmtId="0">
      <sharedItems containsString="0" containsBlank="1" containsNumber="1" minValue="0" maxValue="1317"/>
    </cacheField>
    <cacheField name="Protein per 100cal" numFmtId="0">
      <sharedItems containsSemiMixedTypes="0" containsString="0" containsNumber="1" minValue="0" maxValue="20"/>
    </cacheField>
    <cacheField name="High Sodium " numFmtId="0">
      <sharedItems containsSemiMixedTypes="0" containsString="0" containsNumber="1" containsInteger="1" minValue="0" maxValue="1"/>
    </cacheField>
    <cacheField name="High Cholesterol" numFmtId="0">
      <sharedItems containsSemiMixedTypes="0" containsString="0" containsNumber="1" containsInteger="1" minValue="0" maxValue="1"/>
    </cacheField>
    <cacheField name="Field18" numFmtId="0">
      <sharedItems containsNonDate="0" containsString="0" containsBlank="1"/>
    </cacheField>
    <cacheField name="HealthScore weight" numFmtId="0">
      <sharedItems containsSemiMixedTypes="0" containsString="0" containsNumber="1" minValue="-114.18695652173901" maxValue="2.4282608695652201"/>
    </cacheField>
    <cacheField name="Saturated fats" numFmtId="0">
      <sharedItems containsSemiMixedTypes="0" containsString="0" containsNumber="1" minValue="-8.25" maxValue="0"/>
    </cacheField>
    <cacheField name="sodium" numFmtId="0">
      <sharedItems containsSemiMixedTypes="0" containsString="0" containsNumber="1" minValue="-31.413043478260899" maxValue="0"/>
    </cacheField>
    <cacheField name="added sugar" numFmtId="0">
      <sharedItems containsSemiMixedTypes="0" containsString="0" containsNumber="1" minValue="-105.6" maxValue="0"/>
    </cacheField>
    <cacheField name="trans fat" numFmtId="0">
      <sharedItems containsSemiMixedTypes="0" containsString="0" containsNumber="1" minValue="-4.4999999999999997E-3" maxValue="0"/>
    </cacheField>
    <cacheField name="protein" numFmtId="0">
      <sharedItems containsSemiMixedTypes="0" containsString="0" containsNumber="1" minValue="0" maxValue="14.2"/>
    </cacheField>
    <cacheField name="dietary fiber" numFmtId="0">
      <sharedItems containsSemiMixedTypes="0" containsString="0" containsNumber="1" minValue="0" maxValue="11.0714285714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6">
  <r>
    <x v="0"/>
    <s v="Fat FREE Milk (8 fl oz)"/>
    <n v="90"/>
    <n v="0"/>
    <n v="0"/>
    <n v="0"/>
    <n v="0"/>
    <n v="5"/>
    <n v="125"/>
    <n v="13"/>
    <n v="0"/>
    <n v="12"/>
    <n v="9"/>
    <n v="93"/>
    <n v="10"/>
    <n v="0"/>
    <n v="0"/>
    <m/>
    <n v="-4.3586956521739104"/>
    <n v="0"/>
    <n v="-1.35869565217391"/>
    <n v="-4.8"/>
    <n v="0"/>
    <n v="1.8"/>
    <n v="0"/>
  </r>
  <r>
    <x v="0"/>
    <s v="Garden Side Salad ‚Äì w/o dressing"/>
    <n v="60"/>
    <n v="35"/>
    <n v="4"/>
    <n v="2.5"/>
    <n v="0"/>
    <n v="10"/>
    <n v="95"/>
    <n v="3"/>
    <n v="1"/>
    <n v="2"/>
    <n v="4"/>
    <n v="61"/>
    <n v="6.6666666666666696"/>
    <n v="0"/>
    <n v="0"/>
    <m/>
    <n v="-1.30046583850932"/>
    <n v="-0.625"/>
    <n v="-1.0326086956521701"/>
    <n v="-0.8"/>
    <n v="0"/>
    <n v="0.8"/>
    <n v="0.35714285714285698"/>
  </r>
  <r>
    <x v="0"/>
    <s v="Double Quarter Pound King Sandwich"/>
    <n v="900"/>
    <n v="480"/>
    <n v="54"/>
    <n v="25"/>
    <n v="3"/>
    <n v="210"/>
    <n v="1740"/>
    <n v="50"/>
    <n v="2"/>
    <n v="11"/>
    <n v="56"/>
    <n v="880"/>
    <n v="6.2222222222222197"/>
    <n v="1"/>
    <n v="0"/>
    <m/>
    <n v="-17.651757763975102"/>
    <n v="-6.25"/>
    <n v="-18.913043478260899"/>
    <n v="-4.4000000000000004"/>
    <n v="-3.0000000000000001E-3"/>
    <n v="11.2"/>
    <n v="0.71428571428571397"/>
  </r>
  <r>
    <x v="0"/>
    <s v="Double Hamburger"/>
    <n v="350"/>
    <n v="160"/>
    <n v="18"/>
    <n v="7"/>
    <n v="1"/>
    <n v="70"/>
    <n v="410"/>
    <n v="26"/>
    <n v="1"/>
    <n v="6"/>
    <n v="21"/>
    <n v="342"/>
    <n v="6"/>
    <n v="0"/>
    <n v="0"/>
    <m/>
    <n v="-4.0503788819875801"/>
    <n v="-1.75"/>
    <n v="-4.4565217391304301"/>
    <n v="-2.4"/>
    <n v="-1E-3"/>
    <n v="4.2"/>
    <n v="0.35714285714285698"/>
  </r>
  <r>
    <x v="0"/>
    <s v="Bacon Double Cheeseburger"/>
    <n v="420"/>
    <n v="210"/>
    <n v="24"/>
    <n v="10"/>
    <n v="1.5"/>
    <n v="90"/>
    <n v="740"/>
    <n v="27"/>
    <n v="1"/>
    <n v="7"/>
    <n v="25"/>
    <n v="412"/>
    <n v="5.9523809523809499"/>
    <n v="1"/>
    <n v="0"/>
    <m/>
    <n v="-7.9878354037267103"/>
    <n v="-2.5"/>
    <n v="-8.0434782608695592"/>
    <n v="-2.8"/>
    <n v="-1.5E-3"/>
    <n v="5"/>
    <n v="0.35714285714285698"/>
  </r>
  <r>
    <x v="0"/>
    <s v="Triple Whopper  Sandwich"/>
    <n v="1130"/>
    <n v="680"/>
    <n v="75"/>
    <n v="28"/>
    <n v="4"/>
    <n v="255"/>
    <n v="1120"/>
    <n v="49"/>
    <n v="2"/>
    <n v="11"/>
    <n v="67"/>
    <n v="1102"/>
    <n v="5.9292035398230096"/>
    <n v="1"/>
    <n v="0"/>
    <m/>
    <n v="-9.4636273291925495"/>
    <n v="-7"/>
    <n v="-12.173913043478301"/>
    <n v="-4.4000000000000004"/>
    <n v="-4.0000000000000001E-3"/>
    <n v="13.4"/>
    <n v="0.71428571428571397"/>
  </r>
  <r>
    <x v="0"/>
    <s v="Double Cheeseburger"/>
    <n v="390"/>
    <n v="190"/>
    <n v="21"/>
    <n v="9"/>
    <n v="1.5"/>
    <n v="85"/>
    <n v="590"/>
    <n v="27"/>
    <n v="1"/>
    <n v="7"/>
    <n v="23"/>
    <n v="383"/>
    <n v="5.8974358974358996"/>
    <n v="1"/>
    <n v="0"/>
    <m/>
    <n v="-6.50740062111801"/>
    <n v="-2.25"/>
    <n v="-6.4130434782608701"/>
    <n v="-2.8"/>
    <n v="-1.5E-3"/>
    <n v="4.5999999999999996"/>
    <n v="0.35714285714285698"/>
  </r>
  <r>
    <x v="0"/>
    <s v="Triple Whopper  Sandwich with Cheese"/>
    <n v="1220"/>
    <n v="740"/>
    <n v="82"/>
    <n v="32"/>
    <n v="4.5"/>
    <n v="280"/>
    <n v="1470"/>
    <n v="50"/>
    <n v="2"/>
    <n v="11"/>
    <n v="71"/>
    <n v="1192"/>
    <n v="5.8196721311475397"/>
    <n v="1"/>
    <n v="0"/>
    <m/>
    <n v="-13.468475155279499"/>
    <n v="-8"/>
    <n v="-15.978260869565201"/>
    <n v="-4.4000000000000004"/>
    <n v="-4.4999999999999997E-3"/>
    <n v="14.2"/>
    <n v="0.71428571428571397"/>
  </r>
  <r>
    <x v="0"/>
    <s v="Double Stacker King"/>
    <n v="1050"/>
    <n v="610"/>
    <n v="68"/>
    <n v="28"/>
    <n v="3.5"/>
    <n v="235"/>
    <n v="1870"/>
    <n v="49"/>
    <n v="1"/>
    <n v="11"/>
    <n v="61"/>
    <n v="1028"/>
    <n v="5.8095238095238102"/>
    <n v="1"/>
    <n v="0"/>
    <m/>
    <n v="-19.1724440993789"/>
    <n v="-7"/>
    <n v="-20.326086956521699"/>
    <n v="-4.4000000000000004"/>
    <n v="-3.5000000000000001E-3"/>
    <n v="12.2"/>
    <n v="0.35714285714285698"/>
  </r>
  <r>
    <x v="0"/>
    <s v="Club Salad with Crispy Chicken ‚Äì no dressing"/>
    <n v="540"/>
    <n v="300"/>
    <n v="33"/>
    <n v="10"/>
    <n v="0"/>
    <n v="95"/>
    <n v="1380"/>
    <n v="31"/>
    <n v="3"/>
    <n v="5"/>
    <n v="31"/>
    <n v="524"/>
    <n v="5.7407407407407396"/>
    <n v="1"/>
    <n v="0"/>
    <m/>
    <n v="-12.228571428571399"/>
    <n v="-2.5"/>
    <n v="-15"/>
    <n v="-2"/>
    <n v="0"/>
    <n v="6.2"/>
    <n v="1.0714285714285701"/>
  </r>
  <r>
    <x v="0"/>
    <s v="Garden Chicken Salad with Crispy Chicken ‚Äì no dressing"/>
    <n v="440"/>
    <n v="220"/>
    <n v="25"/>
    <n v="7"/>
    <n v="0"/>
    <n v="75"/>
    <n v="930"/>
    <n v="31"/>
    <n v="3"/>
    <n v="4"/>
    <n v="25"/>
    <n v="426"/>
    <n v="5.6818181818181799"/>
    <n v="1"/>
    <n v="0"/>
    <m/>
    <n v="-7.3872670807453398"/>
    <n v="-1.75"/>
    <n v="-10.1086956521739"/>
    <n v="-1.6"/>
    <n v="0"/>
    <n v="5"/>
    <n v="1.0714285714285701"/>
  </r>
  <r>
    <x v="0"/>
    <s v="Single Quarter Pound King Sandwich"/>
    <n v="580"/>
    <n v="260"/>
    <n v="29"/>
    <n v="13"/>
    <n v="1.5"/>
    <n v="105"/>
    <n v="1310"/>
    <n v="49"/>
    <n v="2"/>
    <n v="10"/>
    <n v="32"/>
    <n v="571"/>
    <n v="5.5172413793103496"/>
    <n v="1"/>
    <n v="0"/>
    <m/>
    <n v="-14.376344720496901"/>
    <n v="-3.25"/>
    <n v="-14.2391304347826"/>
    <n v="-4"/>
    <n v="-1.5E-3"/>
    <n v="6.4"/>
    <n v="0.71428571428571397"/>
  </r>
  <r>
    <x v="0"/>
    <s v="Hamburger"/>
    <n v="240"/>
    <n v="90"/>
    <n v="10"/>
    <n v="3.5"/>
    <n v="0.5"/>
    <n v="35"/>
    <n v="380"/>
    <n v="26"/>
    <n v="1"/>
    <n v="6"/>
    <n v="13"/>
    <n v="237"/>
    <n v="5.4166666666666696"/>
    <n v="0"/>
    <n v="0"/>
    <m/>
    <n v="-4.4487919254658399"/>
    <n v="-0.875"/>
    <n v="-4.1304347826086998"/>
    <n v="-2.4"/>
    <n v="-5.0000000000000001E-4"/>
    <n v="2.6"/>
    <n v="0.35714285714285698"/>
  </r>
  <r>
    <x v="0"/>
    <s v="Cheddar Bacon King Sandwich"/>
    <n v="1190"/>
    <n v="750"/>
    <n v="84"/>
    <n v="33"/>
    <n v="3.5"/>
    <n v="235"/>
    <n v="1930"/>
    <n v="50"/>
    <n v="2"/>
    <n v="11"/>
    <n v="64"/>
    <n v="1170"/>
    <n v="5.3781512605042003"/>
    <n v="1"/>
    <n v="0"/>
    <m/>
    <n v="-20.1174751552795"/>
    <n v="-8.25"/>
    <n v="-20.978260869565201"/>
    <n v="-4.4000000000000004"/>
    <n v="-3.5000000000000001E-3"/>
    <n v="12.8"/>
    <n v="0.71428571428571397"/>
  </r>
  <r>
    <x v="0"/>
    <s v="Cheeseburger"/>
    <n v="280"/>
    <n v="120"/>
    <n v="13"/>
    <n v="6"/>
    <n v="0.5"/>
    <n v="45"/>
    <n v="560"/>
    <n v="27"/>
    <n v="1"/>
    <n v="7"/>
    <n v="15"/>
    <n v="278"/>
    <n v="5.3571428571428603"/>
    <n v="1"/>
    <n v="0"/>
    <m/>
    <n v="-7.0303136645962798"/>
    <n v="-1.5"/>
    <n v="-6.0869565217391299"/>
    <n v="-2.8"/>
    <n v="-5.0000000000000001E-4"/>
    <n v="3"/>
    <n v="0.35714285714285698"/>
  </r>
  <r>
    <x v="0"/>
    <s v="Double Whopper Sandwich"/>
    <n v="900"/>
    <n v="520"/>
    <n v="58"/>
    <n v="20"/>
    <n v="3"/>
    <n v="175"/>
    <n v="1050"/>
    <n v="49"/>
    <n v="2"/>
    <n v="11"/>
    <n v="48"/>
    <n v="883"/>
    <n v="5.3333333333333304"/>
    <n v="1"/>
    <n v="0"/>
    <m/>
    <n v="-10.501757763975201"/>
    <n v="-5"/>
    <n v="-11.413043478260899"/>
    <n v="-4.4000000000000004"/>
    <n v="-3.0000000000000001E-3"/>
    <n v="9.6"/>
    <n v="0.71428571428571397"/>
  </r>
  <r>
    <x v="0"/>
    <s v="Bacon Cheeseburger"/>
    <n v="320"/>
    <n v="140"/>
    <n v="16"/>
    <n v="7"/>
    <n v="0.5"/>
    <n v="55"/>
    <n v="710"/>
    <n v="27"/>
    <n v="1"/>
    <n v="7"/>
    <n v="17"/>
    <n v="317"/>
    <n v="5.3125"/>
    <n v="1"/>
    <n v="0"/>
    <m/>
    <n v="-8.5107484472049695"/>
    <n v="-1.75"/>
    <n v="-7.7173913043478297"/>
    <n v="-2.8"/>
    <n v="-5.0000000000000001E-4"/>
    <n v="3.4"/>
    <n v="0.35714285714285698"/>
  </r>
  <r>
    <x v="0"/>
    <s v="Double Whopper Sandwich with Cheese"/>
    <n v="980"/>
    <n v="580"/>
    <n v="64"/>
    <n v="24"/>
    <n v="3"/>
    <n v="195"/>
    <n v="1410"/>
    <n v="50"/>
    <n v="2"/>
    <n v="11"/>
    <n v="52"/>
    <n v="963"/>
    <n v="5.3061224489795897"/>
    <n v="1"/>
    <n v="0"/>
    <m/>
    <n v="-14.614801242236"/>
    <n v="-6"/>
    <n v="-15.326086956521699"/>
    <n v="-4.4000000000000004"/>
    <n v="-3.0000000000000001E-3"/>
    <n v="10.4"/>
    <n v="0.71428571428571397"/>
  </r>
  <r>
    <x v="0"/>
    <s v="Bacon King Sandwich"/>
    <n v="1150"/>
    <n v="710"/>
    <n v="79"/>
    <n v="31"/>
    <n v="3.5"/>
    <n v="240"/>
    <n v="2150"/>
    <n v="49"/>
    <n v="2"/>
    <n v="10"/>
    <n v="61"/>
    <n v="1130"/>
    <n v="5.3043478260869596"/>
    <n v="1"/>
    <n v="0"/>
    <m/>
    <n v="-22.2087795031056"/>
    <n v="-7.75"/>
    <n v="-23.369565217391301"/>
    <n v="-4"/>
    <n v="-3.5000000000000001E-3"/>
    <n v="12.2"/>
    <n v="0.71428571428571397"/>
  </r>
  <r>
    <x v="0"/>
    <s v="Single Stacker King"/>
    <n v="700"/>
    <n v="380"/>
    <n v="42"/>
    <n v="16"/>
    <n v="2"/>
    <n v="125"/>
    <n v="1360"/>
    <n v="48"/>
    <n v="1"/>
    <n v="10"/>
    <n v="35"/>
    <n v="691"/>
    <n v="5"/>
    <n v="1"/>
    <n v="0"/>
    <m/>
    <n v="-15.427465838509301"/>
    <n v="-4"/>
    <n v="-14.7826086956522"/>
    <n v="-4"/>
    <n v="-2E-3"/>
    <n v="7"/>
    <n v="0.35714285714285698"/>
  </r>
  <r>
    <x v="0"/>
    <s v="1% Low Fat Chocolate Milk (8 fl oz)"/>
    <n v="160"/>
    <n v="25"/>
    <n v="2.5"/>
    <n v="1.5"/>
    <n v="0"/>
    <n v="15"/>
    <n v="150"/>
    <n v="26"/>
    <n v="0"/>
    <n v="25"/>
    <n v="8"/>
    <n v="179"/>
    <n v="5"/>
    <n v="0"/>
    <n v="0"/>
    <m/>
    <n v="-10.405434782608699"/>
    <n v="-0.375"/>
    <n v="-1.6304347826087"/>
    <n v="-10"/>
    <n v="0"/>
    <n v="1.6"/>
    <n v="0"/>
  </r>
  <r>
    <x v="0"/>
    <s v="American Cheese (slice)"/>
    <n v="40"/>
    <n v="30"/>
    <n v="3.5"/>
    <n v="2"/>
    <n v="0"/>
    <n v="10"/>
    <n v="180"/>
    <n v="1"/>
    <n v="0"/>
    <n v="0"/>
    <n v="2"/>
    <n v="40"/>
    <n v="5"/>
    <n v="0"/>
    <n v="0"/>
    <m/>
    <n v="-2.05652173913044"/>
    <n v="-0.5"/>
    <n v="-1.9565217391304399"/>
    <n v="0"/>
    <n v="0"/>
    <n v="0.4"/>
    <n v="0"/>
  </r>
  <r>
    <x v="0"/>
    <s v="Chicken Nuggets- 4pc"/>
    <n v="170"/>
    <n v="100"/>
    <n v="11"/>
    <n v="1.5"/>
    <n v="0"/>
    <n v="25"/>
    <n v="310"/>
    <n v="11"/>
    <n v="1"/>
    <n v="0"/>
    <n v="8"/>
    <n v="164"/>
    <n v="4.7058823529411802"/>
    <n v="0"/>
    <n v="0"/>
    <m/>
    <n v="-1.78742236024845"/>
    <n v="-0.375"/>
    <n v="-3.3695652173913002"/>
    <n v="0"/>
    <n v="0"/>
    <n v="1.6"/>
    <n v="0.35714285714285698"/>
  </r>
  <r>
    <x v="0"/>
    <s v="Double CROISSAN‚ÄôWICH¬Æ with Ham &amp; Sausage"/>
    <n v="580"/>
    <n v="340"/>
    <n v="38"/>
    <n v="16"/>
    <n v="0.5"/>
    <n v="220"/>
    <n v="1530"/>
    <n v="31"/>
    <n v="1"/>
    <n v="5"/>
    <n v="27"/>
    <n v="574"/>
    <n v="4.6551724137930997"/>
    <n v="1"/>
    <n v="0"/>
    <m/>
    <n v="-16.873791925465799"/>
    <n v="-4"/>
    <n v="-16.630434782608699"/>
    <n v="-2"/>
    <n v="-5.0000000000000001E-4"/>
    <n v="5.4"/>
    <n v="0.35714285714285698"/>
  </r>
  <r>
    <x v="0"/>
    <s v="Chicken Nuggets- 10pc"/>
    <n v="430"/>
    <n v="240"/>
    <n v="27"/>
    <n v="4.5"/>
    <n v="0"/>
    <n v="55"/>
    <n v="780"/>
    <n v="27"/>
    <n v="2"/>
    <n v="0"/>
    <n v="20"/>
    <n v="415"/>
    <n v="4.6511627906976702"/>
    <n v="1"/>
    <n v="0"/>
    <m/>
    <n v="-4.8889751552794998"/>
    <n v="-1.125"/>
    <n v="-8.4782608695652204"/>
    <n v="0"/>
    <n v="0"/>
    <n v="4"/>
    <n v="0.71428571428571397"/>
  </r>
  <r>
    <x v="0"/>
    <s v="Chicken Fries ‚Äì 9 pc."/>
    <n v="280"/>
    <n v="150"/>
    <n v="17"/>
    <n v="2.5"/>
    <n v="0"/>
    <n v="35"/>
    <n v="850"/>
    <n v="20"/>
    <n v="1"/>
    <n v="1"/>
    <n v="13"/>
    <n v="271"/>
    <n v="4.6428571428571397"/>
    <n v="1"/>
    <n v="0"/>
    <m/>
    <n v="-7.3069875776397497"/>
    <n v="-0.625"/>
    <n v="-9.2391304347826093"/>
    <n v="-0.4"/>
    <n v="0"/>
    <n v="2.6"/>
    <n v="0.35714285714285698"/>
  </r>
  <r>
    <x v="0"/>
    <s v="Chicken Nuggets- 6pc"/>
    <n v="260"/>
    <n v="150"/>
    <n v="16"/>
    <n v="2.5"/>
    <n v="0"/>
    <n v="35"/>
    <n v="470"/>
    <n v="16"/>
    <n v="1"/>
    <n v="0"/>
    <n v="12"/>
    <n v="251"/>
    <n v="4.6153846153846203"/>
    <n v="1"/>
    <n v="0"/>
    <m/>
    <n v="-2.97655279503106"/>
    <n v="-0.625"/>
    <n v="-5.1086956521739104"/>
    <n v="0"/>
    <n v="0"/>
    <n v="2.4"/>
    <n v="0.35714285714285698"/>
  </r>
  <r>
    <x v="0"/>
    <s v="Extra Long Cheeseburger"/>
    <n v="630"/>
    <n v="330"/>
    <n v="37"/>
    <n v="14"/>
    <n v="1.5"/>
    <n v="100"/>
    <n v="1050"/>
    <n v="45"/>
    <n v="2"/>
    <n v="9"/>
    <n v="29"/>
    <n v="624"/>
    <n v="4.6031746031746001"/>
    <n v="1"/>
    <n v="0"/>
    <m/>
    <n v="-12.000257763975201"/>
    <n v="-3.5"/>
    <n v="-11.413043478260899"/>
    <n v="-3.6"/>
    <n v="-1.5E-3"/>
    <n v="5.8"/>
    <n v="0.71428571428571397"/>
  </r>
  <r>
    <x v="0"/>
    <s v="CROISSAN‚ÄôWICH¬Æ Ham, Egg &amp; Cheese"/>
    <n v="370"/>
    <n v="170"/>
    <n v="19"/>
    <n v="8"/>
    <n v="0"/>
    <n v="175"/>
    <n v="1030"/>
    <n v="30"/>
    <n v="1"/>
    <n v="5"/>
    <n v="17"/>
    <n v="366"/>
    <n v="4.5945945945945903"/>
    <n v="1"/>
    <n v="0"/>
    <m/>
    <n v="-11.438509316770199"/>
    <n v="-2"/>
    <n v="-11.195652173913"/>
    <n v="-2"/>
    <n v="0"/>
    <n v="3.4"/>
    <n v="0.35714285714285698"/>
  </r>
  <r>
    <x v="0"/>
    <s v="Fully Loaded CROISSAN‚ÄôWICH¬Æ"/>
    <n v="610"/>
    <n v="360"/>
    <n v="40"/>
    <n v="17"/>
    <n v="0.5"/>
    <n v="225"/>
    <n v="1680"/>
    <n v="31"/>
    <n v="1"/>
    <n v="5"/>
    <n v="28"/>
    <n v="604"/>
    <n v="4.5901639344262302"/>
    <n v="1"/>
    <n v="0"/>
    <m/>
    <n v="-18.554226708074498"/>
    <n v="-4.25"/>
    <n v="-18.260869565217401"/>
    <n v="-2"/>
    <n v="-5.0000000000000001E-4"/>
    <n v="5.6"/>
    <n v="0.35714285714285698"/>
  </r>
  <r>
    <x v="0"/>
    <s v="Chicken Nuggets- 20pc"/>
    <n v="860"/>
    <n v="490"/>
    <n v="54"/>
    <n v="9"/>
    <n v="0"/>
    <n v="115"/>
    <n v="1570"/>
    <n v="53"/>
    <n v="3"/>
    <n v="1"/>
    <n v="39"/>
    <n v="831"/>
    <n v="4.53488372093023"/>
    <n v="1"/>
    <n v="0"/>
    <m/>
    <n v="-10.843788819875799"/>
    <n v="-2.25"/>
    <n v="-17.065217391304301"/>
    <n v="-0.4"/>
    <n v="0"/>
    <n v="7.8"/>
    <n v="1.0714285714285701"/>
  </r>
  <r>
    <x v="0"/>
    <s v="Bacon &amp; Cheese Whopper Sandwich"/>
    <n v="790"/>
    <n v="460"/>
    <n v="51"/>
    <n v="17"/>
    <n v="2"/>
    <n v="125"/>
    <n v="1560"/>
    <n v="50"/>
    <n v="2"/>
    <n v="11"/>
    <n v="35"/>
    <n v="783"/>
    <n v="4.43037974683544"/>
    <n v="1"/>
    <n v="0"/>
    <m/>
    <n v="-17.894236024844702"/>
    <n v="-4.25"/>
    <n v="-16.956521739130402"/>
    <n v="-4.4000000000000004"/>
    <n v="-2E-3"/>
    <n v="7"/>
    <n v="0.71428571428571397"/>
  </r>
  <r>
    <x v="0"/>
    <s v="Fully Loaded Biscuit"/>
    <n v="640"/>
    <n v="400"/>
    <n v="45"/>
    <n v="20"/>
    <n v="0"/>
    <n v="225"/>
    <n v="2190"/>
    <n v="31"/>
    <n v="1"/>
    <n v="4"/>
    <n v="28"/>
    <n v="636"/>
    <n v="4.375"/>
    <n v="1"/>
    <n v="0"/>
    <m/>
    <n v="-24.447204968944099"/>
    <n v="-5"/>
    <n v="-23.804347826087"/>
    <n v="-1.6"/>
    <n v="0"/>
    <n v="5.6"/>
    <n v="0.35714285714285698"/>
  </r>
  <r>
    <x v="0"/>
    <s v="Whopper Sandwich with Cheese"/>
    <n v="740"/>
    <n v="420"/>
    <n v="46"/>
    <n v="16"/>
    <n v="2"/>
    <n v="115"/>
    <n v="1340"/>
    <n v="50"/>
    <n v="2"/>
    <n v="11"/>
    <n v="32"/>
    <n v="735"/>
    <n v="4.3243243243243201"/>
    <n v="1"/>
    <n v="0"/>
    <m/>
    <n v="-15.852931677018599"/>
    <n v="-4"/>
    <n v="-14.5652173913043"/>
    <n v="-4.4000000000000004"/>
    <n v="-2E-3"/>
    <n v="6.4"/>
    <n v="0.71428571428571397"/>
  </r>
  <r>
    <x v="0"/>
    <s v="Ham, Egg, &amp; Cheese Biscuit"/>
    <n v="400"/>
    <n v="210"/>
    <n v="24"/>
    <n v="12"/>
    <n v="0"/>
    <n v="175"/>
    <n v="1550"/>
    <n v="29"/>
    <n v="1"/>
    <n v="3"/>
    <n v="17"/>
    <n v="398"/>
    <n v="4.25"/>
    <n v="1"/>
    <n v="0"/>
    <m/>
    <n v="-17.290683229813698"/>
    <n v="-3"/>
    <n v="-16.847826086956498"/>
    <n v="-1.2"/>
    <n v="0"/>
    <n v="3.4"/>
    <n v="0.35714285714285698"/>
  </r>
  <r>
    <x v="0"/>
    <s v="Whopper Sandwich"/>
    <n v="660"/>
    <n v="360"/>
    <n v="40"/>
    <n v="12"/>
    <n v="1.5"/>
    <n v="90"/>
    <n v="980"/>
    <n v="49"/>
    <n v="2"/>
    <n v="11"/>
    <n v="28"/>
    <n v="655"/>
    <n v="4.2424242424242404"/>
    <n v="1"/>
    <n v="0"/>
    <m/>
    <n v="-11.739388198757799"/>
    <n v="-3"/>
    <n v="-10.6521739130435"/>
    <n v="-4.4000000000000004"/>
    <n v="-1.5E-3"/>
    <n v="5.6"/>
    <n v="0.71428571428571397"/>
  </r>
  <r>
    <x v="0"/>
    <s v="Original Chicken Sandwich"/>
    <n v="660"/>
    <n v="360"/>
    <n v="40"/>
    <n v="7"/>
    <n v="0"/>
    <n v="75"/>
    <n v="1170"/>
    <n v="48"/>
    <n v="2"/>
    <n v="5"/>
    <n v="28"/>
    <n v="644"/>
    <n v="4.2424242424242404"/>
    <n v="1"/>
    <n v="0"/>
    <m/>
    <n v="-10.153105590062101"/>
    <n v="-1.75"/>
    <n v="-12.7173913043478"/>
    <n v="-2"/>
    <n v="0"/>
    <n v="5.6"/>
    <n v="0.71428571428571397"/>
  </r>
  <r>
    <x v="0"/>
    <s v="Whopper JR.  Sandwich"/>
    <n v="310"/>
    <n v="160"/>
    <n v="18"/>
    <n v="5"/>
    <n v="0.5"/>
    <n v="40"/>
    <n v="390"/>
    <n v="27"/>
    <n v="1"/>
    <n v="7"/>
    <n v="13"/>
    <n v="309"/>
    <n v="4.1935483870967696"/>
    <n v="0"/>
    <n v="0"/>
    <m/>
    <n v="-5.3324875776397498"/>
    <n v="-1.25"/>
    <n v="-4.2391304347826102"/>
    <n v="-2.8"/>
    <n v="-5.0000000000000001E-4"/>
    <n v="2.6"/>
    <n v="0.35714285714285698"/>
  </r>
  <r>
    <x v="0"/>
    <s v="EGG-NORMOUS BURRITOŒ°"/>
    <n v="780"/>
    <n v="380"/>
    <n v="42"/>
    <n v="15"/>
    <n v="0"/>
    <n v="355"/>
    <n v="1960"/>
    <n v="68"/>
    <n v="3"/>
    <n v="4"/>
    <n v="32"/>
    <n v="767"/>
    <n v="4.1025641025641004"/>
    <n v="1"/>
    <n v="1"/>
    <m/>
    <n v="-19.182919254658401"/>
    <n v="-3.75"/>
    <n v="-21.304347826087"/>
    <n v="-1.6"/>
    <n v="0"/>
    <n v="6.4"/>
    <n v="1.0714285714285701"/>
  </r>
  <r>
    <x v="0"/>
    <s v="Double CROISSAN‚ÄôWICH¬Æ with Sausage"/>
    <n v="710"/>
    <n v="470"/>
    <n v="52"/>
    <n v="20"/>
    <n v="0.5"/>
    <n v="240"/>
    <n v="1420"/>
    <n v="31"/>
    <n v="1"/>
    <n v="5"/>
    <n v="29"/>
    <n v="706"/>
    <n v="4.0845070422535201"/>
    <n v="1"/>
    <n v="0"/>
    <m/>
    <n v="-16.2781397515528"/>
    <n v="-5"/>
    <n v="-15.4347826086957"/>
    <n v="-2"/>
    <n v="-5.0000000000000001E-4"/>
    <n v="5.8"/>
    <n v="0.35714285714285698"/>
  </r>
  <r>
    <x v="0"/>
    <s v="Breakfast Burrito Jr."/>
    <n v="370"/>
    <n v="210"/>
    <n v="23"/>
    <n v="8"/>
    <n v="0"/>
    <n v="150"/>
    <n v="930"/>
    <n v="27"/>
    <n v="3"/>
    <n v="2"/>
    <n v="15"/>
    <n v="365"/>
    <n v="4.0540540540540499"/>
    <n v="1"/>
    <n v="0"/>
    <m/>
    <n v="-8.83726708074534"/>
    <n v="-2"/>
    <n v="-10.1086956521739"/>
    <n v="-0.8"/>
    <n v="0"/>
    <n v="3"/>
    <n v="1.0714285714285701"/>
  </r>
  <r>
    <x v="0"/>
    <s v="IMPOSSIBLE Whopper  Sandwich"/>
    <n v="630"/>
    <n v="310"/>
    <n v="34"/>
    <n v="11"/>
    <n v="0"/>
    <n v="10"/>
    <n v="1080"/>
    <n v="58"/>
    <n v="4"/>
    <n v="12"/>
    <n v="25"/>
    <n v="628"/>
    <n v="3.9682539682539701"/>
    <n v="1"/>
    <n v="0"/>
    <m/>
    <n v="-12.860559006211201"/>
    <n v="-2.75"/>
    <n v="-11.7391304347826"/>
    <n v="-4.8"/>
    <n v="0"/>
    <n v="5"/>
    <n v="1.4285714285714299"/>
  </r>
  <r>
    <x v="0"/>
    <s v="Double CROISSAN‚ÄôWICH¬Æ with Sausage &amp; Bacon"/>
    <n v="580"/>
    <n v="340"/>
    <n v="40"/>
    <n v="16"/>
    <n v="0.5"/>
    <n v="215"/>
    <n v="1260"/>
    <n v="31"/>
    <n v="1"/>
    <n v="5"/>
    <n v="23"/>
    <n v="578"/>
    <n v="3.9655172413793101"/>
    <n v="1"/>
    <n v="0"/>
    <m/>
    <n v="-14.739009316770201"/>
    <n v="-4"/>
    <n v="-13.695652173913"/>
    <n v="-2"/>
    <n v="-5.0000000000000001E-4"/>
    <n v="4.5999999999999996"/>
    <n v="0.35714285714285698"/>
  </r>
  <r>
    <x v="0"/>
    <s v="Spicy Chicken Nuggets- 4pc"/>
    <n v="210"/>
    <n v="130"/>
    <n v="15"/>
    <n v="3"/>
    <n v="0"/>
    <n v="20"/>
    <n v="570"/>
    <n v="11"/>
    <n v="2"/>
    <n v="0"/>
    <n v="8"/>
    <n v="205"/>
    <n v="3.8095238095238102"/>
    <n v="1"/>
    <n v="0"/>
    <m/>
    <n v="-4.6313664596273298"/>
    <n v="-0.75"/>
    <n v="-6.1956521739130404"/>
    <n v="0"/>
    <n v="0"/>
    <n v="1.6"/>
    <n v="0.71428571428571397"/>
  </r>
  <r>
    <x v="0"/>
    <s v="Spicy Chicken Nuggets- 20 pc"/>
    <n v="1050"/>
    <n v="670"/>
    <n v="74"/>
    <n v="15"/>
    <n v="0"/>
    <n v="110"/>
    <n v="2840"/>
    <n v="56"/>
    <n v="9"/>
    <n v="1"/>
    <n v="40"/>
    <n v="1026"/>
    <n v="3.8095238095238102"/>
    <n v="1"/>
    <n v="0"/>
    <m/>
    <n v="-23.805279503105599"/>
    <n v="-3.75"/>
    <n v="-30.869565217391301"/>
    <n v="-0.4"/>
    <n v="0"/>
    <n v="8"/>
    <n v="3.21428571428571"/>
  </r>
  <r>
    <x v="0"/>
    <s v="CROISSAN‚ÄôWICH¬Æ Sausage, Egg &amp; Cheese"/>
    <n v="500"/>
    <n v="300"/>
    <n v="33"/>
    <n v="13"/>
    <n v="0"/>
    <n v="195"/>
    <n v="930"/>
    <n v="30"/>
    <n v="1"/>
    <n v="4"/>
    <n v="19"/>
    <n v="498"/>
    <n v="3.8"/>
    <n v="1"/>
    <n v="0"/>
    <m/>
    <n v="-10.8015527950311"/>
    <n v="-3.25"/>
    <n v="-10.1086956521739"/>
    <n v="-1.6"/>
    <n v="0"/>
    <n v="3.8"/>
    <n v="0.35714285714285698"/>
  </r>
  <r>
    <x v="0"/>
    <s v="CROISSAN‚ÄôWICH¬Æ Bacon, Egg &amp; Cheese"/>
    <n v="370"/>
    <n v="190"/>
    <n v="21"/>
    <n v="9"/>
    <n v="0"/>
    <n v="170"/>
    <n v="760"/>
    <n v="30"/>
    <n v="1"/>
    <n v="4"/>
    <n v="14"/>
    <n v="369"/>
    <n v="3.7837837837837802"/>
    <n v="1"/>
    <n v="0"/>
    <m/>
    <n v="-8.9537267080745302"/>
    <n v="-2.25"/>
    <n v="-8.2608695652173907"/>
    <n v="-1.6"/>
    <n v="0"/>
    <n v="2.8"/>
    <n v="0.35714285714285698"/>
  </r>
  <r>
    <x v="0"/>
    <s v="Spicy Chicken Nuggets- 10 pc"/>
    <n v="530"/>
    <n v="330"/>
    <n v="37"/>
    <n v="7"/>
    <n v="0"/>
    <n v="55"/>
    <n v="1420"/>
    <n v="28"/>
    <n v="4"/>
    <n v="1"/>
    <n v="20"/>
    <n v="518"/>
    <n v="3.7735849056603801"/>
    <n v="1"/>
    <n v="0"/>
    <m/>
    <n v="-12.156211180124201"/>
    <n v="-1.75"/>
    <n v="-15.4347826086957"/>
    <n v="-0.4"/>
    <n v="0"/>
    <n v="4"/>
    <n v="1.4285714285714299"/>
  </r>
  <r>
    <x v="0"/>
    <s v="Bacon &amp; Cheese Crispy Chicken Sandwich"/>
    <n v="800"/>
    <n v="460"/>
    <n v="52"/>
    <n v="13"/>
    <n v="1"/>
    <n v="95"/>
    <n v="1650"/>
    <n v="55"/>
    <n v="2"/>
    <n v="8"/>
    <n v="30"/>
    <n v="791"/>
    <n v="3.75"/>
    <n v="1"/>
    <n v="0"/>
    <m/>
    <n v="-17.671496894409898"/>
    <n v="-3.25"/>
    <n v="-17.934782608695699"/>
    <n v="-3.2"/>
    <n v="-1E-3"/>
    <n v="6"/>
    <n v="0.71428571428571397"/>
  </r>
  <r>
    <x v="0"/>
    <s v="Spicy Chicken Nuggets- 6pc"/>
    <n v="320"/>
    <n v="200"/>
    <n v="22"/>
    <n v="4.5"/>
    <n v="0"/>
    <n v="35"/>
    <n v="850"/>
    <n v="17"/>
    <n v="3"/>
    <n v="0"/>
    <n v="12"/>
    <n v="313"/>
    <n v="3.75"/>
    <n v="1"/>
    <n v="0"/>
    <m/>
    <n v="-6.8927018633540396"/>
    <n v="-1.125"/>
    <n v="-9.2391304347826093"/>
    <n v="0"/>
    <n v="0"/>
    <n v="2.4"/>
    <n v="1.0714285714285701"/>
  </r>
  <r>
    <x v="0"/>
    <s v="PB&amp;J Jamwich"/>
    <n v="300"/>
    <n v="140"/>
    <n v="16"/>
    <n v="3"/>
    <n v="0"/>
    <n v="0"/>
    <n v="290"/>
    <n v="33"/>
    <n v="4"/>
    <n v="11"/>
    <n v="11"/>
    <n v="303"/>
    <n v="3.6666666666666701"/>
    <n v="0"/>
    <n v="0"/>
    <m/>
    <n v="-4.6736024844720498"/>
    <n v="-0.75"/>
    <n v="-3.1521739130434798"/>
    <n v="-4.4000000000000004"/>
    <n v="0"/>
    <n v="2.2000000000000002"/>
    <n v="1.4285714285714299"/>
  </r>
  <r>
    <x v="0"/>
    <s v="Sausage, Egg, &amp; Cheese Biscuit"/>
    <n v="530"/>
    <n v="340"/>
    <n v="38"/>
    <n v="17"/>
    <n v="0"/>
    <n v="195"/>
    <n v="1440"/>
    <n v="29"/>
    <n v="1"/>
    <n v="3"/>
    <n v="19"/>
    <n v="531"/>
    <n v="3.5849056603773599"/>
    <n v="1"/>
    <n v="0"/>
    <m/>
    <n v="-16.9450310559006"/>
    <n v="-4.25"/>
    <n v="-15.6521739130435"/>
    <n v="-1.2"/>
    <n v="0"/>
    <n v="3.8"/>
    <n v="0.35714285714285698"/>
  </r>
  <r>
    <x v="0"/>
    <s v="Spicy Crispy Chicken Sandwich"/>
    <n v="700"/>
    <n v="370"/>
    <n v="42"/>
    <n v="7"/>
    <n v="0"/>
    <n v="65"/>
    <n v="1140"/>
    <n v="57"/>
    <n v="3"/>
    <n v="8"/>
    <n v="25"/>
    <n v="690"/>
    <n v="3.5714285714285698"/>
    <n v="1"/>
    <n v="0"/>
    <m/>
    <n v="-11.2698757763975"/>
    <n v="-1.75"/>
    <n v="-12.3913043478261"/>
    <n v="-3.2"/>
    <n v="0"/>
    <n v="5"/>
    <n v="1.0714285714285701"/>
  </r>
  <r>
    <x v="0"/>
    <s v="BBQ Bacon Crispy Chicken Sandwich"/>
    <n v="790"/>
    <n v="440"/>
    <n v="49"/>
    <n v="10"/>
    <n v="0.5"/>
    <n v="80"/>
    <n v="1630"/>
    <n v="60"/>
    <n v="2"/>
    <n v="13"/>
    <n v="28"/>
    <n v="785"/>
    <n v="3.5443037974683498"/>
    <n v="1"/>
    <n v="0"/>
    <m/>
    <n v="-19.103605590062099"/>
    <n v="-2.5"/>
    <n v="-17.7173913043478"/>
    <n v="-5.2"/>
    <n v="-5.0000000000000001E-4"/>
    <n v="5.6"/>
    <n v="0.71428571428571397"/>
  </r>
  <r>
    <x v="0"/>
    <s v="CROISSAN‚ÄôWICH¬Æ Egg &amp; Cheese"/>
    <n v="340"/>
    <n v="170"/>
    <n v="18"/>
    <n v="8"/>
    <n v="0"/>
    <n v="160"/>
    <n v="610"/>
    <n v="29"/>
    <n v="1"/>
    <n v="4"/>
    <n v="12"/>
    <n v="340"/>
    <n v="3.52941176470588"/>
    <n v="1"/>
    <n v="0"/>
    <m/>
    <n v="-7.4732919254658396"/>
    <n v="-2"/>
    <n v="-6.6304347826086998"/>
    <n v="-1.6"/>
    <n v="0"/>
    <n v="2.4"/>
    <n v="0.35714285714285698"/>
  </r>
  <r>
    <x v="0"/>
    <s v="Crispy Chicken Sandwich"/>
    <n v="670"/>
    <n v="370"/>
    <n v="41"/>
    <n v="7"/>
    <n v="0"/>
    <n v="60"/>
    <n v="1080"/>
    <n v="54"/>
    <n v="2"/>
    <n v="8"/>
    <n v="23"/>
    <n v="662"/>
    <n v="3.4328358208955199"/>
    <n v="1"/>
    <n v="0"/>
    <m/>
    <n v="-11.374844720496901"/>
    <n v="-1.75"/>
    <n v="-11.7391304347826"/>
    <n v="-3.2"/>
    <n v="0"/>
    <n v="4.5999999999999996"/>
    <n v="0.71428571428571397"/>
  </r>
  <r>
    <x v="0"/>
    <s v="Bacon, Egg &amp; Cheese Biscuit"/>
    <n v="400"/>
    <n v="230"/>
    <n v="26"/>
    <n v="13"/>
    <n v="0"/>
    <n v="170"/>
    <n v="1270"/>
    <n v="29"/>
    <n v="1"/>
    <n v="3"/>
    <n v="13"/>
    <n v="403"/>
    <n v="3.25"/>
    <n v="1"/>
    <n v="0"/>
    <m/>
    <n v="-15.297204968944101"/>
    <n v="-3.25"/>
    <n v="-13.804347826087"/>
    <n v="-1.2"/>
    <n v="0"/>
    <n v="2.6"/>
    <n v="0.35714285714285698"/>
  </r>
  <r>
    <x v="0"/>
    <s v="BIG FISH Sandwich"/>
    <n v="510"/>
    <n v="250"/>
    <n v="28"/>
    <n v="4.5"/>
    <n v="0"/>
    <n v="30"/>
    <n v="1180"/>
    <n v="51"/>
    <n v="2"/>
    <n v="7"/>
    <n v="16"/>
    <n v="506"/>
    <n v="3.1372549019607798"/>
    <n v="1"/>
    <n v="0"/>
    <m/>
    <n v="-12.836801242236"/>
    <n v="-1.125"/>
    <n v="-12.826086956521699"/>
    <n v="-2.8"/>
    <n v="0"/>
    <n v="3.2"/>
    <n v="0.71428571428571397"/>
  </r>
  <r>
    <x v="0"/>
    <s v="Spicy Crispy Chicken Jr."/>
    <n v="390"/>
    <n v="190"/>
    <n v="21"/>
    <n v="3.5"/>
    <n v="0"/>
    <n v="30"/>
    <n v="740"/>
    <n v="37"/>
    <n v="2"/>
    <n v="6"/>
    <n v="12"/>
    <n v="388"/>
    <n v="3.0769230769230802"/>
    <n v="1"/>
    <n v="0"/>
    <m/>
    <n v="-8.2041925465838492"/>
    <n v="-0.875"/>
    <n v="-8.0434782608695592"/>
    <n v="-2.4"/>
    <n v="0"/>
    <n v="2.4"/>
    <n v="0.71428571428571397"/>
  </r>
  <r>
    <x v="0"/>
    <s v="Crispy Taco"/>
    <n v="170"/>
    <n v="80"/>
    <n v="9"/>
    <n v="3"/>
    <n v="0"/>
    <n v="10"/>
    <n v="410"/>
    <n v="19"/>
    <n v="2"/>
    <n v="1"/>
    <n v="5"/>
    <n v="169"/>
    <n v="2.9411764705882399"/>
    <n v="0"/>
    <n v="0"/>
    <m/>
    <n v="-3.8922360248447201"/>
    <n v="-0.75"/>
    <n v="-4.4565217391304301"/>
    <n v="-0.4"/>
    <n v="0"/>
    <n v="1"/>
    <n v="0.71428571428571397"/>
  </r>
  <r>
    <x v="0"/>
    <s v="Soft Serve Cup"/>
    <n v="170"/>
    <n v="40"/>
    <n v="4.5"/>
    <n v="3"/>
    <n v="0"/>
    <n v="20"/>
    <n v="150"/>
    <n v="28"/>
    <n v="0"/>
    <n v="24"/>
    <n v="5"/>
    <n v="192"/>
    <n v="2.9411764705882399"/>
    <n v="0"/>
    <n v="0"/>
    <m/>
    <n v="-10.9804347826087"/>
    <n v="-0.75"/>
    <n v="-1.6304347826087"/>
    <n v="-9.6"/>
    <n v="0"/>
    <n v="1"/>
    <n v="0"/>
  </r>
  <r>
    <x v="0"/>
    <s v="Sausage Biscuit"/>
    <n v="420"/>
    <n v="250"/>
    <n v="28"/>
    <n v="6"/>
    <n v="0"/>
    <n v="35"/>
    <n v="1050"/>
    <n v="28"/>
    <n v="1"/>
    <n v="2"/>
    <n v="12"/>
    <n v="416"/>
    <n v="2.8571428571428599"/>
    <n v="1"/>
    <n v="0"/>
    <m/>
    <n v="-10.955900621117999"/>
    <n v="-1.5"/>
    <n v="-11.413043478260899"/>
    <n v="-0.8"/>
    <n v="0"/>
    <n v="2.4"/>
    <n v="0.35714285714285698"/>
  </r>
  <r>
    <x v="0"/>
    <s v="NY Ultimate Platter (Regional menu item)"/>
    <n v="900"/>
    <n v="420"/>
    <n v="46"/>
    <n v="12"/>
    <n v="0"/>
    <n v="380"/>
    <n v="1760"/>
    <n v="95"/>
    <n v="5"/>
    <n v="31"/>
    <n v="25"/>
    <n v="918"/>
    <n v="2.7777777777777799"/>
    <n v="1"/>
    <n v="1"/>
    <m/>
    <n v="-27.744720496894399"/>
    <n v="-3"/>
    <n v="-19.130434782608699"/>
    <n v="-12.4"/>
    <n v="0"/>
    <n v="5"/>
    <n v="1.78571428571429"/>
  </r>
  <r>
    <x v="0"/>
    <s v="Crispy Chicken Jr."/>
    <n v="450"/>
    <n v="270"/>
    <n v="30"/>
    <n v="5"/>
    <n v="0"/>
    <n v="30"/>
    <n v="780"/>
    <n v="34"/>
    <n v="2"/>
    <n v="5"/>
    <n v="12"/>
    <n v="448"/>
    <n v="2.6666666666666701"/>
    <n v="1"/>
    <n v="0"/>
    <m/>
    <n v="-8.6139751552794994"/>
    <n v="-1.25"/>
    <n v="-8.4782608695652204"/>
    <n v="-2"/>
    <n v="0"/>
    <n v="2.4"/>
    <n v="0.71428571428571397"/>
  </r>
  <r>
    <x v="0"/>
    <s v="Soft Serve Cone"/>
    <n v="190"/>
    <n v="40"/>
    <n v="4.5"/>
    <n v="3"/>
    <n v="0"/>
    <n v="20"/>
    <n v="150"/>
    <n v="32"/>
    <n v="0"/>
    <n v="24"/>
    <n v="5"/>
    <n v="212"/>
    <n v="2.6315789473684199"/>
    <n v="0"/>
    <n v="0"/>
    <m/>
    <n v="-10.9804347826087"/>
    <n v="-0.75"/>
    <n v="-1.6304347826087"/>
    <n v="-9.6"/>
    <n v="0"/>
    <n v="1"/>
    <n v="0"/>
  </r>
  <r>
    <x v="0"/>
    <s v="BK‚Ñ¢ Ultimate Breakfast Platter"/>
    <n v="930"/>
    <n v="390"/>
    <n v="44"/>
    <n v="11"/>
    <n v="0"/>
    <n v="390"/>
    <n v="2230"/>
    <n v="110"/>
    <n v="4"/>
    <n v="40"/>
    <n v="24"/>
    <n v="957"/>
    <n v="2.5806451612903198"/>
    <n v="1"/>
    <n v="1"/>
    <m/>
    <n v="-36.760559006211203"/>
    <n v="-2.75"/>
    <n v="-24.239130434782599"/>
    <n v="-16"/>
    <n v="0"/>
    <n v="4.8"/>
    <n v="1.4285714285714299"/>
  </r>
  <r>
    <x v="0"/>
    <s v="Vanilla Milk Shake"/>
    <n v="580"/>
    <n v="140"/>
    <n v="15"/>
    <n v="10"/>
    <n v="0"/>
    <n v="60"/>
    <n v="420"/>
    <n v="98"/>
    <n v="0"/>
    <n v="85"/>
    <n v="14"/>
    <n v="661"/>
    <n v="2.4137931034482798"/>
    <n v="0"/>
    <n v="0"/>
    <m/>
    <n v="-38.265217391304297"/>
    <n v="-2.5"/>
    <n v="-4.5652173913043503"/>
    <n v="-34"/>
    <n v="0"/>
    <n v="2.8"/>
    <n v="0"/>
  </r>
  <r>
    <x v="0"/>
    <s v="Kids Oatmeal"/>
    <n v="170"/>
    <n v="30"/>
    <n v="3"/>
    <n v="1.5"/>
    <n v="0"/>
    <n v="5"/>
    <n v="260"/>
    <n v="32"/>
    <n v="3"/>
    <n v="12"/>
    <n v="4"/>
    <n v="180"/>
    <n v="2.3529411764705901"/>
    <n v="0"/>
    <n v="0"/>
    <m/>
    <n v="-6.1296583850931698"/>
    <n v="-0.375"/>
    <n v="-2.8260869565217401"/>
    <n v="-4.8"/>
    <n v="0"/>
    <n v="0.8"/>
    <n v="1.0714285714285701"/>
  </r>
  <r>
    <x v="0"/>
    <s v="Mocha Frappe- 20 fl oz"/>
    <n v="510"/>
    <n v="110"/>
    <n v="13"/>
    <n v="8"/>
    <n v="0"/>
    <n v="50"/>
    <n v="350"/>
    <n v="87"/>
    <n v="1"/>
    <n v="71"/>
    <n v="12"/>
    <n v="577"/>
    <n v="2.3529411764705901"/>
    <n v="0"/>
    <n v="0"/>
    <m/>
    <n v="-31.447204968944099"/>
    <n v="-2"/>
    <n v="-3.8043478260869601"/>
    <n v="-28.4"/>
    <n v="0"/>
    <n v="2.4"/>
    <n v="0.35714285714285698"/>
  </r>
  <r>
    <x v="0"/>
    <s v="Mocha Frappe- 12 fl oz"/>
    <n v="300"/>
    <n v="80"/>
    <n v="8"/>
    <n v="5"/>
    <n v="0"/>
    <n v="30"/>
    <n v="200"/>
    <n v="50"/>
    <n v="1"/>
    <n v="41"/>
    <n v="7"/>
    <n v="339"/>
    <n v="2.3333333333333299"/>
    <n v="0"/>
    <n v="0"/>
    <m/>
    <n v="-18.0667701863354"/>
    <n v="-1.25"/>
    <n v="-2.1739130434782599"/>
    <n v="-16.399999999999999"/>
    <n v="0"/>
    <n v="1.4"/>
    <n v="0.35714285714285698"/>
  </r>
  <r>
    <x v="0"/>
    <s v="Caramel Frappe- 12 fl oz"/>
    <n v="300"/>
    <n v="80"/>
    <n v="8"/>
    <n v="5"/>
    <n v="0"/>
    <n v="35"/>
    <n v="210"/>
    <n v="50"/>
    <n v="0"/>
    <n v="41"/>
    <n v="7"/>
    <n v="339"/>
    <n v="2.3333333333333299"/>
    <n v="0"/>
    <n v="0"/>
    <m/>
    <n v="-18.5326086956522"/>
    <n v="-1.25"/>
    <n v="-2.2826086956521698"/>
    <n v="-16.399999999999999"/>
    <n v="0"/>
    <n v="1.4"/>
    <n v="0"/>
  </r>
  <r>
    <x v="0"/>
    <s v="Chocolate Oreo¬Æ Shake"/>
    <n v="740"/>
    <n v="190"/>
    <n v="22"/>
    <n v="13"/>
    <n v="0.5"/>
    <n v="70"/>
    <n v="680"/>
    <n v="121"/>
    <n v="1"/>
    <n v="101"/>
    <n v="17"/>
    <n v="837"/>
    <n v="2.2972972972973"/>
    <n v="1"/>
    <n v="0"/>
    <m/>
    <n v="-47.284661490683199"/>
    <n v="-3.25"/>
    <n v="-7.3913043478260896"/>
    <n v="-40.4"/>
    <n v="-5.0000000000000001E-4"/>
    <n v="3.4"/>
    <n v="0.35714285714285698"/>
  </r>
  <r>
    <x v="0"/>
    <s v="HERSHEY¬Æ‚ÄôS Chocolate Milk Shake"/>
    <n v="610"/>
    <n v="140"/>
    <n v="16"/>
    <n v="10"/>
    <n v="0"/>
    <n v="60"/>
    <n v="500"/>
    <n v="103"/>
    <n v="1"/>
    <n v="88"/>
    <n v="14"/>
    <n v="694"/>
    <n v="2.2950819672131102"/>
    <n v="1"/>
    <n v="0"/>
    <m/>
    <n v="-39.9776397515528"/>
    <n v="-2.5"/>
    <n v="-5.4347826086956497"/>
    <n v="-35.200000000000003"/>
    <n v="0"/>
    <n v="2.8"/>
    <n v="0.35714285714285698"/>
  </r>
  <r>
    <x v="0"/>
    <s v="Mocha Frappe- 16 fl oz"/>
    <n v="400"/>
    <n v="90"/>
    <n v="10"/>
    <n v="7"/>
    <n v="0"/>
    <n v="40"/>
    <n v="270"/>
    <n v="68"/>
    <n v="1"/>
    <n v="58"/>
    <n v="9"/>
    <n v="456"/>
    <n v="2.25"/>
    <n v="0"/>
    <n v="0"/>
    <m/>
    <n v="-25.7276397515528"/>
    <n v="-1.75"/>
    <n v="-2.9347826086956501"/>
    <n v="-23.2"/>
    <n v="0"/>
    <n v="1.8"/>
    <n v="0.35714285714285698"/>
  </r>
  <r>
    <x v="0"/>
    <s v="Caramel Frappe- 16 fl oz"/>
    <n v="400"/>
    <n v="90"/>
    <n v="10"/>
    <n v="7"/>
    <n v="0"/>
    <n v="40"/>
    <n v="280"/>
    <n v="68"/>
    <n v="0"/>
    <n v="56"/>
    <n v="9"/>
    <n v="454"/>
    <n v="2.25"/>
    <n v="0"/>
    <n v="0"/>
    <m/>
    <n v="-25.3934782608696"/>
    <n v="-1.75"/>
    <n v="-3.0434782608695699"/>
    <n v="-22.4"/>
    <n v="0"/>
    <n v="1.8"/>
    <n v="0"/>
  </r>
  <r>
    <x v="0"/>
    <s v="Oreo¬Æ Shake"/>
    <n v="720"/>
    <n v="180"/>
    <n v="20"/>
    <n v="12"/>
    <n v="0.5"/>
    <n v="65"/>
    <n v="540"/>
    <n v="118"/>
    <n v="1"/>
    <n v="98"/>
    <n v="16"/>
    <n v="814"/>
    <n v="2.2222222222222201"/>
    <n v="1"/>
    <n v="0"/>
    <m/>
    <n v="-44.512922360248503"/>
    <n v="-3"/>
    <n v="-5.8695652173913002"/>
    <n v="-39.200000000000003"/>
    <n v="-5.0000000000000001E-4"/>
    <n v="3.2"/>
    <n v="0.35714285714285698"/>
  </r>
  <r>
    <x v="0"/>
    <s v="Caramel Frappe- 20 fl oz"/>
    <n v="500"/>
    <n v="110"/>
    <n v="12"/>
    <n v="8"/>
    <n v="0"/>
    <n v="50"/>
    <n v="350"/>
    <n v="86"/>
    <n v="0"/>
    <n v="71"/>
    <n v="11"/>
    <n v="568"/>
    <n v="2.2000000000000002"/>
    <n v="0"/>
    <n v="0"/>
    <m/>
    <n v="-32.004347826086999"/>
    <n v="-2"/>
    <n v="-3.8043478260869601"/>
    <n v="-28.4"/>
    <n v="0"/>
    <n v="2.2000000000000002"/>
    <n v="0"/>
  </r>
  <r>
    <x v="0"/>
    <s v="Strawberry Milk Shake"/>
    <n v="640"/>
    <n v="140"/>
    <n v="15"/>
    <n v="10"/>
    <n v="0"/>
    <n v="60"/>
    <n v="440"/>
    <n v="113"/>
    <n v="0"/>
    <n v="99"/>
    <n v="14"/>
    <n v="735"/>
    <n v="2.1875"/>
    <n v="0"/>
    <n v="0"/>
    <m/>
    <n v="-44.082608695652198"/>
    <n v="-2.5"/>
    <n v="-4.7826086956521703"/>
    <n v="-39.6"/>
    <n v="0"/>
    <n v="2.8"/>
    <n v="0"/>
  </r>
  <r>
    <x v="0"/>
    <s v="Caramel Sundae"/>
    <n v="240"/>
    <n v="50"/>
    <n v="5"/>
    <n v="3.5"/>
    <n v="0"/>
    <n v="20"/>
    <n v="210"/>
    <n v="42"/>
    <n v="0"/>
    <n v="33"/>
    <n v="5"/>
    <n v="272"/>
    <n v="2.0833333333333299"/>
    <n v="0"/>
    <n v="0"/>
    <m/>
    <n v="-15.3576086956522"/>
    <n v="-0.875"/>
    <n v="-2.2826086956521698"/>
    <n v="-13.2"/>
    <n v="0"/>
    <n v="1"/>
    <n v="0"/>
  </r>
  <r>
    <x v="0"/>
    <s v="Pancake and Sausage platter"/>
    <n v="610"/>
    <n v="280"/>
    <n v="31"/>
    <n v="9"/>
    <n v="0"/>
    <n v="80"/>
    <n v="1010"/>
    <n v="72"/>
    <n v="1"/>
    <n v="30"/>
    <n v="12"/>
    <n v="637"/>
    <n v="1.9672131147541001"/>
    <n v="1"/>
    <n v="0"/>
    <m/>
    <n v="-22.471118012422401"/>
    <n v="-2.25"/>
    <n v="-10.978260869565201"/>
    <n v="-12"/>
    <n v="0"/>
    <n v="2.4"/>
    <n v="0.35714285714285698"/>
  </r>
  <r>
    <x v="0"/>
    <s v="HERSHEY¬Æ‚Äôs Chocolate Sundae"/>
    <n v="260"/>
    <n v="45"/>
    <n v="5"/>
    <n v="3"/>
    <n v="0"/>
    <n v="20"/>
    <n v="160"/>
    <n v="49"/>
    <n v="1"/>
    <n v="43"/>
    <n v="5"/>
    <n v="301"/>
    <n v="1.92307692307692"/>
    <n v="0"/>
    <n v="0"/>
    <m/>
    <n v="-18.331987577639801"/>
    <n v="-0.75"/>
    <n v="-1.73913043478261"/>
    <n v="-17.2"/>
    <n v="0"/>
    <n v="1"/>
    <n v="0.35714285714285698"/>
  </r>
  <r>
    <x v="0"/>
    <s v="OREO¬Æ Cookie Cheesecake"/>
    <n v="350"/>
    <n v="170"/>
    <n v="18"/>
    <n v="8"/>
    <n v="0"/>
    <n v="35"/>
    <n v="310"/>
    <n v="41"/>
    <n v="1"/>
    <n v="25"/>
    <n v="6"/>
    <n v="377"/>
    <n v="1.71428571428571"/>
    <n v="0"/>
    <n v="0"/>
    <m/>
    <n v="-13.8124223602484"/>
    <n v="-2"/>
    <n v="-3.3695652173913002"/>
    <n v="-10"/>
    <n v="0"/>
    <n v="1.2"/>
    <n v="0.35714285714285698"/>
  </r>
  <r>
    <x v="0"/>
    <s v="Buttery Garlic Croutons- Packet"/>
    <n v="60"/>
    <n v="20"/>
    <n v="2.5"/>
    <n v="0"/>
    <n v="0"/>
    <n v="10"/>
    <n v="180"/>
    <n v="9"/>
    <n v="0"/>
    <n v="1"/>
    <n v="1"/>
    <n v="60"/>
    <n v="1.6666666666666701"/>
    <n v="0"/>
    <n v="0"/>
    <m/>
    <n v="-2.1565217391304299"/>
    <n v="0"/>
    <n v="-1.9565217391304399"/>
    <n v="-0.4"/>
    <n v="0"/>
    <n v="0.2"/>
    <n v="0"/>
  </r>
  <r>
    <x v="0"/>
    <s v="Minute Maid¬Æ Orange Juice"/>
    <n v="140"/>
    <n v="0"/>
    <n v="0"/>
    <n v="0"/>
    <n v="0"/>
    <n v="0"/>
    <n v="20"/>
    <n v="33"/>
    <n v="0"/>
    <n v="30"/>
    <n v="2"/>
    <n v="168"/>
    <n v="1.4285714285714299"/>
    <n v="0"/>
    <n v="0"/>
    <m/>
    <n v="-11.817391304347799"/>
    <n v="0"/>
    <n v="-0.217391304347826"/>
    <n v="-12"/>
    <n v="0"/>
    <n v="0.4"/>
    <n v="0"/>
  </r>
  <r>
    <x v="0"/>
    <s v="French Toast Sticks (5 piece)"/>
    <n v="380"/>
    <n v="160"/>
    <n v="18"/>
    <n v="3"/>
    <n v="0"/>
    <n v="0"/>
    <n v="430"/>
    <n v="49"/>
    <n v="2"/>
    <n v="13"/>
    <n v="5"/>
    <n v="391"/>
    <n v="1.31578947368421"/>
    <n v="0"/>
    <n v="0"/>
    <m/>
    <n v="-8.9096273291925492"/>
    <n v="-0.75"/>
    <n v="-4.6739130434782599"/>
    <n v="-5.2"/>
    <n v="0"/>
    <n v="1"/>
    <n v="0.71428571428571397"/>
  </r>
  <r>
    <x v="0"/>
    <s v="French Toast Sticks (3 piece)"/>
    <n v="230"/>
    <n v="100"/>
    <n v="11"/>
    <n v="2"/>
    <n v="0"/>
    <n v="0"/>
    <n v="260"/>
    <n v="29"/>
    <n v="1"/>
    <n v="8"/>
    <n v="3"/>
    <n v="237"/>
    <n v="1.3043478260869601"/>
    <n v="0"/>
    <n v="0"/>
    <m/>
    <n v="-5.5689440993788804"/>
    <n v="-0.5"/>
    <n v="-2.8260869565217401"/>
    <n v="-3.2"/>
    <n v="0"/>
    <n v="0.6"/>
    <n v="0.35714285714285698"/>
  </r>
  <r>
    <x v="0"/>
    <s v="Smoothie: Strawberry Banana 16 fl oz"/>
    <n v="310"/>
    <n v="10"/>
    <n v="1"/>
    <n v="0"/>
    <n v="0"/>
    <n v="0"/>
    <n v="55"/>
    <n v="71"/>
    <n v="3"/>
    <n v="50"/>
    <n v="4"/>
    <n v="356"/>
    <n v="1.2903225806451599"/>
    <n v="0"/>
    <n v="0"/>
    <m/>
    <n v="-18.7263975155279"/>
    <n v="0"/>
    <n v="-0.59782608695652195"/>
    <n v="-20"/>
    <n v="0"/>
    <n v="0.8"/>
    <n v="1.0714285714285701"/>
  </r>
  <r>
    <x v="0"/>
    <s v="French Fries ‚Äì small"/>
    <n v="320"/>
    <n v="120"/>
    <n v="13"/>
    <n v="2"/>
    <n v="0"/>
    <n v="0"/>
    <n v="300"/>
    <n v="49"/>
    <n v="5"/>
    <n v="1"/>
    <n v="4"/>
    <n v="319"/>
    <n v="1.25"/>
    <n v="0"/>
    <n v="0"/>
    <m/>
    <n v="-1.5751552795031101"/>
    <n v="-0.5"/>
    <n v="-3.2608695652173898"/>
    <n v="-0.4"/>
    <n v="0"/>
    <n v="0.8"/>
    <n v="1.78571428571429"/>
  </r>
  <r>
    <x v="0"/>
    <s v="Chocolate Chip Cookies (each)"/>
    <n v="160"/>
    <n v="70"/>
    <n v="8"/>
    <n v="4"/>
    <n v="0"/>
    <n v="10"/>
    <n v="125"/>
    <n v="24"/>
    <n v="1"/>
    <n v="15"/>
    <n v="2"/>
    <n v="177"/>
    <n v="1.25"/>
    <n v="0"/>
    <n v="0"/>
    <m/>
    <n v="-7.6015527950310604"/>
    <n v="-1"/>
    <n v="-1.35869565217391"/>
    <n v="-6"/>
    <n v="0"/>
    <n v="0.4"/>
    <n v="0.35714285714285698"/>
  </r>
  <r>
    <x v="0"/>
    <s v="French Fries ‚Äì large"/>
    <n v="430"/>
    <n v="160"/>
    <n v="18"/>
    <n v="2.5"/>
    <n v="0"/>
    <n v="0"/>
    <n v="410"/>
    <n v="66"/>
    <n v="7"/>
    <n v="2"/>
    <n v="5"/>
    <n v="430"/>
    <n v="1.16279069767442"/>
    <n v="0"/>
    <n v="0"/>
    <m/>
    <n v="-2.38152173913043"/>
    <n v="-0.625"/>
    <n v="-4.4565217391304301"/>
    <n v="-0.8"/>
    <n v="0"/>
    <n v="1"/>
    <n v="2.5"/>
  </r>
  <r>
    <x v="0"/>
    <s v="Iced Mocha Coffee- 12 fl oz"/>
    <n v="180"/>
    <n v="70"/>
    <n v="8"/>
    <n v="4"/>
    <n v="0"/>
    <n v="25"/>
    <n v="40"/>
    <n v="27"/>
    <n v="1"/>
    <n v="25"/>
    <n v="2"/>
    <n v="207"/>
    <n v="1.1111111111111101"/>
    <n v="0"/>
    <n v="0"/>
    <m/>
    <n v="-10.6776397515528"/>
    <n v="-1"/>
    <n v="-0.434782608695652"/>
    <n v="-10"/>
    <n v="0"/>
    <n v="0.4"/>
    <n v="0.35714285714285698"/>
  </r>
  <r>
    <x v="0"/>
    <s v="Pie made with TWIX¬Æ"/>
    <n v="370"/>
    <n v="180"/>
    <n v="20"/>
    <n v="13"/>
    <n v="0"/>
    <n v="10"/>
    <n v="330"/>
    <n v="45"/>
    <n v="1"/>
    <n v="30"/>
    <n v="4"/>
    <n v="409"/>
    <n v="1.08108108108108"/>
    <n v="0"/>
    <n v="0"/>
    <m/>
    <n v="-17.679813664596299"/>
    <n v="-3.25"/>
    <n v="-3.5869565217391299"/>
    <n v="-12"/>
    <n v="0"/>
    <n v="0.8"/>
    <n v="0.35714285714285698"/>
  </r>
  <r>
    <x v="0"/>
    <s v="French Fries ‚Äì medium"/>
    <n v="380"/>
    <n v="140"/>
    <n v="16"/>
    <n v="2"/>
    <n v="0"/>
    <n v="0"/>
    <n v="360"/>
    <n v="58"/>
    <n v="6"/>
    <n v="1"/>
    <n v="4"/>
    <n v="379"/>
    <n v="1.0526315789473699"/>
    <n v="0"/>
    <n v="0"/>
    <m/>
    <n v="-1.87018633540373"/>
    <n v="-0.5"/>
    <n v="-3.9130434782608701"/>
    <n v="-0.4"/>
    <n v="0"/>
    <n v="0.8"/>
    <n v="2.1428571428571401"/>
  </r>
  <r>
    <x v="0"/>
    <s v="Onion Rings ‚Äì large"/>
    <n v="500"/>
    <n v="230"/>
    <n v="25"/>
    <n v="4.5"/>
    <n v="0"/>
    <n v="0"/>
    <n v="1310"/>
    <n v="64"/>
    <n v="5"/>
    <n v="7"/>
    <n v="5"/>
    <n v="507"/>
    <n v="1"/>
    <n v="1"/>
    <n v="0"/>
    <m/>
    <n v="-15.3784161490683"/>
    <n v="-1.125"/>
    <n v="-14.2391304347826"/>
    <n v="-2.8"/>
    <n v="0"/>
    <n v="1"/>
    <n v="1.78571428571429"/>
  </r>
  <r>
    <x v="0"/>
    <s v="Iced Vanilla Coffee- 16 fl oz"/>
    <n v="200"/>
    <n v="90"/>
    <n v="10"/>
    <n v="5"/>
    <n v="0"/>
    <n v="30"/>
    <n v="40"/>
    <n v="27"/>
    <n v="0"/>
    <n v="27"/>
    <n v="2"/>
    <n v="230"/>
    <n v="1"/>
    <n v="0"/>
    <n v="0"/>
    <m/>
    <n v="-12.084782608695701"/>
    <n v="-1.25"/>
    <n v="-0.434782608695652"/>
    <n v="-10.8"/>
    <n v="0"/>
    <n v="0.4"/>
    <n v="0"/>
  </r>
  <r>
    <x v="0"/>
    <s v="Iced Mocha Coffee- 20 fl oz"/>
    <n v="300"/>
    <n v="120"/>
    <n v="13"/>
    <n v="7"/>
    <n v="0"/>
    <n v="40"/>
    <n v="70"/>
    <n v="45"/>
    <n v="2"/>
    <n v="41"/>
    <n v="3"/>
    <n v="345"/>
    <n v="1"/>
    <n v="0"/>
    <n v="0"/>
    <m/>
    <n v="-17.596583850931701"/>
    <n v="-1.75"/>
    <n v="-0.76086956521739102"/>
    <n v="-16.399999999999999"/>
    <n v="0"/>
    <n v="0.6"/>
    <n v="0.71428571428571397"/>
  </r>
  <r>
    <x v="0"/>
    <s v="Onion Rings ‚Äì medium"/>
    <n v="410"/>
    <n v="190"/>
    <n v="21"/>
    <n v="3.5"/>
    <n v="0"/>
    <n v="0"/>
    <n v="1080"/>
    <n v="53"/>
    <n v="4"/>
    <n v="5"/>
    <n v="4"/>
    <n v="415"/>
    <n v="0.97560975609756095"/>
    <n v="1"/>
    <n v="0"/>
    <m/>
    <n v="-12.385559006211199"/>
    <n v="-0.875"/>
    <n v="-11.7391304347826"/>
    <n v="-2"/>
    <n v="0"/>
    <n v="0.8"/>
    <n v="1.4285714285714299"/>
  </r>
  <r>
    <x v="0"/>
    <s v="HERSHEY¬Æ‚ÄôS Sundae Pie"/>
    <n v="310"/>
    <n v="170"/>
    <n v="19"/>
    <n v="12"/>
    <n v="0"/>
    <n v="10"/>
    <n v="220"/>
    <n v="32"/>
    <n v="1"/>
    <n v="22"/>
    <n v="3"/>
    <n v="341"/>
    <n v="0.967741935483871"/>
    <n v="0"/>
    <n v="0"/>
    <m/>
    <n v="-13.234161490683199"/>
    <n v="-3"/>
    <n v="-2.39130434782609"/>
    <n v="-8.8000000000000007"/>
    <n v="0"/>
    <n v="0.6"/>
    <n v="0.35714285714285698"/>
  </r>
  <r>
    <x v="0"/>
    <s v="Onion Rings ‚Äì small"/>
    <n v="320"/>
    <n v="150"/>
    <n v="16"/>
    <n v="3"/>
    <n v="0"/>
    <n v="0"/>
    <n v="840"/>
    <n v="41"/>
    <n v="3"/>
    <n v="4"/>
    <n v="3"/>
    <n v="324"/>
    <n v="0.9375"/>
    <n v="1"/>
    <n v="0"/>
    <m/>
    <n v="-9.8090062111801206"/>
    <n v="-0.75"/>
    <n v="-9.1304347826087007"/>
    <n v="-1.6"/>
    <n v="0"/>
    <n v="0.6"/>
    <n v="1.0714285714285701"/>
  </r>
  <r>
    <x v="0"/>
    <s v="French Fries ‚Äì value (unsalted)"/>
    <n v="220"/>
    <n v="80"/>
    <n v="9"/>
    <n v="1.5"/>
    <n v="0"/>
    <n v="0"/>
    <n v="210"/>
    <n v="34"/>
    <n v="3"/>
    <n v="1"/>
    <n v="2"/>
    <n v="221"/>
    <n v="0.90909090909090895"/>
    <n v="0"/>
    <n v="0"/>
    <m/>
    <n v="-1.5861801242236"/>
    <n v="-0.375"/>
    <n v="-2.2826086956521698"/>
    <n v="-0.4"/>
    <n v="0"/>
    <n v="0.4"/>
    <n v="1.0714285714285701"/>
  </r>
  <r>
    <x v="0"/>
    <s v="Dutch Apple Pie"/>
    <n v="340"/>
    <n v="130"/>
    <n v="14"/>
    <n v="6"/>
    <n v="0"/>
    <n v="0"/>
    <n v="310"/>
    <n v="51"/>
    <n v="1"/>
    <n v="25"/>
    <n v="3"/>
    <n v="368"/>
    <n v="0.88235294117647101"/>
    <n v="0"/>
    <n v="0"/>
    <m/>
    <n v="-13.912422360248399"/>
    <n v="-1.5"/>
    <n v="-3.3695652173913002"/>
    <n v="-10"/>
    <n v="0"/>
    <n v="0.6"/>
    <n v="0.35714285714285698"/>
  </r>
  <r>
    <x v="0"/>
    <s v="Iced Mocha Coffee- 16 fl oz"/>
    <n v="240"/>
    <n v="90"/>
    <n v="10"/>
    <n v="6"/>
    <n v="0"/>
    <n v="30"/>
    <n v="55"/>
    <n v="35"/>
    <n v="1"/>
    <n v="32"/>
    <n v="2"/>
    <n v="276"/>
    <n v="0.83333333333333304"/>
    <n v="0"/>
    <n v="0"/>
    <m/>
    <n v="-14.1406832298137"/>
    <n v="-1.5"/>
    <n v="-0.59782608695652195"/>
    <n v="-12.8"/>
    <n v="0"/>
    <n v="0.4"/>
    <n v="0.35714285714285698"/>
  </r>
  <r>
    <x v="0"/>
    <s v="Hash Browns ‚Äì small"/>
    <n v="250"/>
    <n v="150"/>
    <n v="16"/>
    <n v="3.5"/>
    <n v="0"/>
    <n v="0"/>
    <n v="580"/>
    <n v="24"/>
    <n v="3"/>
    <n v="0"/>
    <n v="2"/>
    <n v="252"/>
    <n v="0.8"/>
    <n v="1"/>
    <n v="0"/>
    <m/>
    <n v="-5.7079192546583801"/>
    <n v="-0.875"/>
    <n v="-6.3043478260869596"/>
    <n v="0"/>
    <n v="0"/>
    <n v="0.4"/>
    <n v="1.0714285714285701"/>
  </r>
  <r>
    <x v="0"/>
    <s v="Hash Browns ‚Äì medium"/>
    <n v="500"/>
    <n v="290"/>
    <n v="33"/>
    <n v="7"/>
    <n v="0"/>
    <n v="0"/>
    <n v="1140"/>
    <n v="48"/>
    <n v="7"/>
    <n v="0"/>
    <n v="4"/>
    <n v="503"/>
    <n v="0.8"/>
    <n v="1"/>
    <n v="0"/>
    <m/>
    <n v="-10.8413043478261"/>
    <n v="-1.75"/>
    <n v="-12.3913043478261"/>
    <n v="0"/>
    <n v="0"/>
    <n v="0.8"/>
    <n v="2.5"/>
  </r>
  <r>
    <x v="0"/>
    <s v=" Iced Vanilla Coffee- 20 fl oz"/>
    <n v="260"/>
    <n v="110"/>
    <n v="13"/>
    <n v="7"/>
    <n v="0"/>
    <n v="40"/>
    <n v="50"/>
    <n v="34"/>
    <n v="0"/>
    <n v="34"/>
    <n v="2"/>
    <n v="299"/>
    <n v="0.76923076923076905"/>
    <n v="0"/>
    <n v="0"/>
    <m/>
    <n v="-15.493478260869599"/>
    <n v="-1.75"/>
    <n v="-0.54347826086956497"/>
    <n v="-13.6"/>
    <n v="0"/>
    <n v="0.4"/>
    <n v="0"/>
  </r>
  <r>
    <x v="0"/>
    <s v="Hash Browns ‚Äì large"/>
    <n v="670"/>
    <n v="390"/>
    <n v="44"/>
    <n v="9"/>
    <n v="0"/>
    <n v="0"/>
    <n v="1530"/>
    <n v="65"/>
    <n v="9"/>
    <n v="0"/>
    <n v="5"/>
    <n v="674"/>
    <n v="0.74626865671641796"/>
    <n v="1"/>
    <n v="0"/>
    <m/>
    <n v="-14.666149068323"/>
    <n v="-2.25"/>
    <n v="-16.630434782608699"/>
    <n v="0"/>
    <n v="0"/>
    <n v="1"/>
    <n v="3.21428571428571"/>
  </r>
  <r>
    <x v="0"/>
    <s v="Ranch Dipping Sauce (1 oz)"/>
    <n v="140"/>
    <n v="140"/>
    <n v="15"/>
    <n v="2.5"/>
    <n v="0"/>
    <n v="10"/>
    <n v="85"/>
    <n v="1"/>
    <n v="0"/>
    <n v="1"/>
    <n v="1"/>
    <n v="143"/>
    <n v="0.71428571428571397"/>
    <n v="0"/>
    <n v="0"/>
    <m/>
    <n v="-1.74891304347826"/>
    <n v="-0.625"/>
    <n v="-0.92391304347826098"/>
    <n v="-0.4"/>
    <n v="0"/>
    <n v="0.2"/>
    <n v="0"/>
  </r>
  <r>
    <x v="0"/>
    <s v="Onion Rings ‚Äì value"/>
    <n v="150"/>
    <n v="70"/>
    <n v="8"/>
    <n v="1.5"/>
    <n v="0"/>
    <n v="0"/>
    <n v="400"/>
    <n v="19"/>
    <n v="1"/>
    <n v="2"/>
    <n v="1"/>
    <n v="153"/>
    <n v="0.66666666666666696"/>
    <n v="0"/>
    <n v="0"/>
    <m/>
    <n v="-4.9656832298136599"/>
    <n v="-0.375"/>
    <n v="-4.3478260869565197"/>
    <n v="-0.8"/>
    <n v="0"/>
    <n v="0.2"/>
    <n v="0.35714285714285698"/>
  </r>
  <r>
    <x v="0"/>
    <s v="Iced Vanilla Coffee- 12 fl oz"/>
    <n v="150"/>
    <n v="70"/>
    <n v="8"/>
    <n v="4"/>
    <n v="0"/>
    <n v="25"/>
    <n v="30"/>
    <n v="21"/>
    <n v="0"/>
    <n v="21"/>
    <n v="1"/>
    <n v="174"/>
    <n v="0.66666666666666696"/>
    <n v="0"/>
    <n v="0"/>
    <m/>
    <n v="-9.5260869565217394"/>
    <n v="-1"/>
    <n v="-0.32608695652173902"/>
    <n v="-8.4"/>
    <n v="0"/>
    <n v="0.2"/>
    <n v="0"/>
  </r>
  <r>
    <x v="0"/>
    <s v="Ken‚Äôs Ranch Dressing"/>
    <n v="260"/>
    <n v="250"/>
    <n v="28"/>
    <n v="4"/>
    <n v="0"/>
    <n v="10"/>
    <n v="240"/>
    <n v="2"/>
    <n v="0"/>
    <n v="2"/>
    <n v="1"/>
    <n v="265"/>
    <n v="0.38461538461538503"/>
    <n v="0"/>
    <n v="0"/>
    <m/>
    <n v="-4.2086956521739101"/>
    <n v="-1"/>
    <n v="-2.60869565217391"/>
    <n v="-0.8"/>
    <n v="0"/>
    <n v="0.2"/>
    <n v="0"/>
  </r>
  <r>
    <x v="0"/>
    <s v="Ken‚Äôs Golden Italian Dressing"/>
    <n v="160"/>
    <n v="150"/>
    <n v="17"/>
    <n v="2.5"/>
    <n v="0"/>
    <n v="0"/>
    <n v="380"/>
    <n v="4"/>
    <n v="0"/>
    <n v="3"/>
    <n v="0"/>
    <n v="166"/>
    <n v="0"/>
    <n v="0"/>
    <n v="0"/>
    <m/>
    <n v="-5.9554347826087"/>
    <n v="-0.625"/>
    <n v="-4.1304347826086998"/>
    <n v="-1.2"/>
    <n v="0"/>
    <n v="0"/>
    <n v="0"/>
  </r>
  <r>
    <x v="0"/>
    <s v="Ken‚Äôs Lite Honey Balsamic Vinaigrette"/>
    <n v="120"/>
    <n v="70"/>
    <n v="8"/>
    <n v="1"/>
    <n v="0"/>
    <n v="0"/>
    <n v="220"/>
    <n v="14"/>
    <n v="0"/>
    <n v="11"/>
    <n v="0"/>
    <n v="132"/>
    <n v="0"/>
    <n v="0"/>
    <n v="0"/>
    <m/>
    <n v="-7.0413043478260899"/>
    <n v="-0.25"/>
    <n v="-2.39130434782609"/>
    <n v="-4.4000000000000004"/>
    <n v="0"/>
    <n v="0"/>
    <n v="0"/>
  </r>
  <r>
    <x v="0"/>
    <s v="Mott‚Äôs¬Æ Natural Applesauce"/>
    <n v="50"/>
    <n v="0"/>
    <n v="0"/>
    <n v="0"/>
    <n v="0"/>
    <n v="0"/>
    <n v="0"/>
    <n v="13"/>
    <n v="1"/>
    <n v="11"/>
    <n v="0"/>
    <n v="61"/>
    <n v="0"/>
    <n v="0"/>
    <n v="0"/>
    <m/>
    <n v="-4.04285714285714"/>
    <n v="0"/>
    <n v="0"/>
    <n v="-4.4000000000000004"/>
    <n v="0"/>
    <n v="0"/>
    <n v="0.35714285714285698"/>
  </r>
  <r>
    <x v="0"/>
    <s v="Capri Sun¬Æ 100% Apple Juice (6 fl oz)"/>
    <n v="80"/>
    <n v="0"/>
    <n v="0"/>
    <n v="0"/>
    <n v="0"/>
    <n v="0"/>
    <n v="25"/>
    <n v="20"/>
    <n v="0"/>
    <n v="20"/>
    <n v="0"/>
    <n v="100"/>
    <n v="0"/>
    <n v="0"/>
    <n v="0"/>
    <m/>
    <n v="-8.2717391304347796"/>
    <n v="0"/>
    <n v="-0.27173913043478298"/>
    <n v="-8"/>
    <n v="0"/>
    <n v="0"/>
    <n v="0"/>
  </r>
  <r>
    <x v="0"/>
    <s v="Ketchup (Packet)"/>
    <n v="10"/>
    <n v="0"/>
    <n v="0"/>
    <n v="0"/>
    <n v="0"/>
    <n v="0"/>
    <n v="125"/>
    <n v="3"/>
    <n v="0"/>
    <n v="2"/>
    <n v="0"/>
    <n v="12"/>
    <n v="0"/>
    <n v="0"/>
    <n v="0"/>
    <m/>
    <n v="-2.1586956521739098"/>
    <n v="0"/>
    <n v="-1.35869565217391"/>
    <n v="-0.8"/>
    <n v="0"/>
    <n v="0"/>
    <n v="0"/>
  </r>
  <r>
    <x v="0"/>
    <s v="Mayonnaise (Packet)"/>
    <n v="80"/>
    <n v="80"/>
    <n v="9"/>
    <n v="0.5"/>
    <n v="0"/>
    <n v="10"/>
    <n v="75"/>
    <n v="1"/>
    <n v="0"/>
    <n v="0"/>
    <n v="0"/>
    <n v="81"/>
    <n v="0"/>
    <n v="0"/>
    <n v="0"/>
    <m/>
    <n v="-0.940217391304348"/>
    <n v="-0.125"/>
    <n v="-0.815217391304348"/>
    <n v="0"/>
    <n v="0"/>
    <n v="0"/>
    <n v="0"/>
  </r>
  <r>
    <x v="0"/>
    <s v="Strawberry or Grape Jam (packet)"/>
    <n v="30"/>
    <n v="0"/>
    <n v="0"/>
    <n v="0"/>
    <n v="0"/>
    <n v="0"/>
    <n v="0"/>
    <n v="7"/>
    <n v="0"/>
    <n v="6"/>
    <n v="0"/>
    <n v="36"/>
    <n v="0"/>
    <n v="0"/>
    <n v="0"/>
    <m/>
    <n v="-2.4"/>
    <n v="0"/>
    <n v="0"/>
    <n v="-2.4"/>
    <n v="0"/>
    <n v="0"/>
    <n v="0"/>
  </r>
  <r>
    <x v="0"/>
    <s v="Breakfast Syrup (1 oz)"/>
    <n v="120"/>
    <n v="0"/>
    <n v="0"/>
    <n v="0"/>
    <n v="0"/>
    <n v="0"/>
    <n v="15"/>
    <n v="30"/>
    <n v="0"/>
    <n v="18"/>
    <n v="0"/>
    <n v="138"/>
    <n v="0"/>
    <n v="0"/>
    <n v="0"/>
    <m/>
    <n v="-7.3630434782608702"/>
    <n v="0"/>
    <n v="-0.16304347826087001"/>
    <n v="-7.2"/>
    <n v="0"/>
    <n v="0"/>
    <n v="0"/>
  </r>
  <r>
    <x v="0"/>
    <s v="Barbecue Dipping Sauce (1 oz)"/>
    <n v="40"/>
    <n v="0"/>
    <n v="0"/>
    <n v="0"/>
    <n v="0"/>
    <n v="0"/>
    <n v="310"/>
    <n v="11"/>
    <n v="0"/>
    <n v="10"/>
    <n v="0"/>
    <n v="50"/>
    <n v="0"/>
    <n v="0"/>
    <n v="0"/>
    <m/>
    <n v="-7.3695652173913002"/>
    <n v="0"/>
    <n v="-3.3695652173913002"/>
    <n v="-4"/>
    <n v="0"/>
    <n v="0"/>
    <n v="0"/>
  </r>
  <r>
    <x v="0"/>
    <s v="Buffalo Dipping Sauce (1 oz)"/>
    <n v="80"/>
    <n v="70"/>
    <n v="8"/>
    <n v="1.5"/>
    <n v="0"/>
    <n v="5"/>
    <n v="360"/>
    <n v="2"/>
    <n v="0"/>
    <n v="1"/>
    <n v="0"/>
    <n v="83"/>
    <n v="0"/>
    <n v="0"/>
    <n v="0"/>
    <m/>
    <n v="-4.6880434782608704"/>
    <n v="-0.375"/>
    <n v="-3.9130434782608701"/>
    <n v="-0.4"/>
    <n v="0"/>
    <n v="0"/>
    <n v="0"/>
  </r>
  <r>
    <x v="0"/>
    <s v="Zesty Onion Ring Dipping Sauce (1 oz)"/>
    <n v="150"/>
    <n v="140"/>
    <n v="15"/>
    <n v="2.5"/>
    <n v="0"/>
    <n v="20"/>
    <n v="240"/>
    <n v="3"/>
    <n v="0"/>
    <n v="0"/>
    <n v="0"/>
    <n v="153"/>
    <n v="0"/>
    <n v="0"/>
    <n v="0"/>
    <m/>
    <n v="-3.23369565217391"/>
    <n v="-0.625"/>
    <n v="-2.60869565217391"/>
    <n v="0"/>
    <n v="0"/>
    <n v="0"/>
    <n v="0"/>
  </r>
  <r>
    <x v="0"/>
    <s v="Honey Mustard Dipping Sauce (1oz)"/>
    <n v="90"/>
    <n v="60"/>
    <n v="6"/>
    <n v="1"/>
    <n v="0"/>
    <n v="10"/>
    <n v="180"/>
    <n v="8"/>
    <n v="0"/>
    <n v="7"/>
    <n v="0"/>
    <n v="98"/>
    <n v="0"/>
    <n v="0"/>
    <n v="0"/>
    <m/>
    <n v="-5.0065217391304397"/>
    <n v="-0.25"/>
    <n v="-1.9565217391304399"/>
    <n v="-2.8"/>
    <n v="0"/>
    <n v="0"/>
    <n v="0"/>
  </r>
  <r>
    <x v="0"/>
    <s v="Coca Cola classic16 fl oz"/>
    <n v="210"/>
    <n v="0"/>
    <n v="0"/>
    <n v="0"/>
    <n v="0"/>
    <n v="0"/>
    <n v="50"/>
    <n v="58"/>
    <n v="0"/>
    <n v="58"/>
    <n v="0"/>
    <n v="268"/>
    <n v="0"/>
    <n v="0"/>
    <n v="0"/>
    <m/>
    <n v="-23.743478260869601"/>
    <n v="0"/>
    <n v="-0.54347826086956497"/>
    <n v="-23.2"/>
    <n v="0"/>
    <n v="0"/>
    <n v="0"/>
  </r>
  <r>
    <x v="0"/>
    <s v="Coca Cola classic 20 fl oz"/>
    <n v="270"/>
    <n v="0"/>
    <n v="0"/>
    <n v="0"/>
    <n v="0"/>
    <n v="0"/>
    <n v="60"/>
    <n v="73"/>
    <n v="0"/>
    <n v="73"/>
    <n v="0"/>
    <n v="343"/>
    <n v="0"/>
    <n v="0"/>
    <n v="0"/>
    <m/>
    <n v="-29.852173913043501"/>
    <n v="0"/>
    <n v="-0.65217391304347805"/>
    <n v="-29.2"/>
    <n v="0"/>
    <n v="0"/>
    <n v="0"/>
  </r>
  <r>
    <x v="0"/>
    <s v="Coca Cola classic 29 fl oz"/>
    <n v="290"/>
    <n v="0"/>
    <n v="0"/>
    <n v="0"/>
    <n v="0"/>
    <n v="0"/>
    <n v="85"/>
    <n v="105"/>
    <n v="0"/>
    <n v="105"/>
    <n v="0"/>
    <n v="395"/>
    <n v="0"/>
    <n v="0"/>
    <n v="0"/>
    <m/>
    <n v="-42.923913043478301"/>
    <n v="0"/>
    <n v="-0.92391304347826098"/>
    <n v="-42"/>
    <n v="0"/>
    <n v="0"/>
    <n v="0"/>
  </r>
  <r>
    <x v="0"/>
    <s v="Coca Cola classic 38 fl oz"/>
    <n v="510"/>
    <n v="0"/>
    <n v="0"/>
    <n v="0"/>
    <n v="0"/>
    <n v="0"/>
    <n v="115"/>
    <n v="138"/>
    <n v="0"/>
    <n v="138"/>
    <n v="0"/>
    <n v="648"/>
    <n v="0"/>
    <n v="0"/>
    <n v="0"/>
    <m/>
    <n v="-56.45"/>
    <n v="0"/>
    <n v="-1.25"/>
    <n v="-55.2"/>
    <n v="0"/>
    <n v="0"/>
    <n v="0"/>
  </r>
  <r>
    <x v="0"/>
    <s v="Sprite 16 fl oz"/>
    <n v="210"/>
    <n v="0"/>
    <n v="0"/>
    <n v="0"/>
    <n v="0"/>
    <n v="0"/>
    <n v="95"/>
    <n v="56"/>
    <n v="0"/>
    <n v="56"/>
    <n v="0"/>
    <n v="266"/>
    <n v="0"/>
    <n v="0"/>
    <n v="0"/>
    <m/>
    <n v="-23.432608695652199"/>
    <n v="0"/>
    <n v="-1.0326086956521701"/>
    <n v="-22.4"/>
    <n v="0"/>
    <n v="0"/>
    <n v="0"/>
  </r>
  <r>
    <x v="0"/>
    <s v="Sprite 20 fl oz"/>
    <n v="260"/>
    <n v="0"/>
    <n v="0"/>
    <n v="0"/>
    <n v="0"/>
    <n v="0"/>
    <n v="120"/>
    <n v="70"/>
    <n v="0"/>
    <n v="70"/>
    <n v="0"/>
    <n v="330"/>
    <n v="0"/>
    <n v="0"/>
    <n v="0"/>
    <m/>
    <n v="-29.304347826087"/>
    <n v="0"/>
    <n v="-1.3043478260869601"/>
    <n v="-28"/>
    <n v="0"/>
    <n v="0"/>
    <n v="0"/>
  </r>
  <r>
    <x v="0"/>
    <s v="Sprite 29 fl oz"/>
    <n v="380"/>
    <n v="0"/>
    <n v="0"/>
    <n v="0"/>
    <n v="0"/>
    <n v="0"/>
    <n v="170"/>
    <n v="102"/>
    <n v="0"/>
    <n v="102"/>
    <n v="0"/>
    <n v="482"/>
    <n v="0"/>
    <n v="0"/>
    <n v="0"/>
    <m/>
    <n v="-42.647826086956499"/>
    <n v="0"/>
    <n v="-1.84782608695652"/>
    <n v="-40.799999999999997"/>
    <n v="0"/>
    <n v="0"/>
    <n v="0"/>
  </r>
  <r>
    <x v="0"/>
    <s v="Sprite 38 fl oz"/>
    <n v="500"/>
    <n v="0"/>
    <n v="0"/>
    <n v="0"/>
    <n v="0"/>
    <n v="0"/>
    <n v="230"/>
    <n v="133"/>
    <n v="0"/>
    <n v="133"/>
    <n v="0"/>
    <n v="633"/>
    <n v="0"/>
    <n v="0"/>
    <n v="0"/>
    <m/>
    <n v="-55.7"/>
    <n v="0"/>
    <n v="-2.5"/>
    <n v="-53.2"/>
    <n v="0"/>
    <n v="0"/>
    <n v="0"/>
  </r>
  <r>
    <x v="0"/>
    <s v="Dr. Pepper 16 fl oz"/>
    <n v="190"/>
    <n v="0"/>
    <n v="0"/>
    <n v="0"/>
    <n v="0"/>
    <n v="0"/>
    <n v="60"/>
    <n v="52"/>
    <n v="0"/>
    <n v="51"/>
    <n v="0"/>
    <n v="241"/>
    <n v="0"/>
    <n v="0"/>
    <n v="0"/>
    <m/>
    <n v="-21.0521739130435"/>
    <n v="0"/>
    <n v="-0.65217391304347805"/>
    <n v="-20.399999999999999"/>
    <n v="0"/>
    <n v="0"/>
    <n v="0"/>
  </r>
  <r>
    <x v="0"/>
    <s v="Dr. Pepper 20 fl oz"/>
    <n v="240"/>
    <n v="0"/>
    <n v="0"/>
    <n v="0"/>
    <n v="0"/>
    <n v="0"/>
    <n v="75"/>
    <n v="65"/>
    <n v="0"/>
    <n v="64"/>
    <n v="0"/>
    <n v="304"/>
    <n v="0"/>
    <n v="0"/>
    <n v="0"/>
    <m/>
    <n v="-26.415217391304299"/>
    <n v="0"/>
    <n v="-0.815217391304348"/>
    <n v="-25.6"/>
    <n v="0"/>
    <n v="0"/>
    <n v="0"/>
  </r>
  <r>
    <x v="0"/>
    <s v="Dr. Pepper 29 fl oz"/>
    <n v="350"/>
    <n v="0"/>
    <n v="0"/>
    <n v="0"/>
    <n v="0"/>
    <n v="0"/>
    <n v="105"/>
    <n v="94"/>
    <n v="0"/>
    <n v="93"/>
    <n v="0"/>
    <n v="443"/>
    <n v="0"/>
    <n v="0"/>
    <n v="0"/>
    <m/>
    <n v="-38.341304347826103"/>
    <n v="0"/>
    <n v="-1.14130434782609"/>
    <n v="-37.200000000000003"/>
    <n v="0"/>
    <n v="0"/>
    <n v="0"/>
  </r>
  <r>
    <x v="0"/>
    <s v="Dr. Pepper 38 fl oz"/>
    <n v="450"/>
    <n v="0"/>
    <n v="0"/>
    <n v="0"/>
    <n v="0"/>
    <n v="0"/>
    <n v="140"/>
    <n v="124"/>
    <n v="0"/>
    <n v="121"/>
    <n v="0"/>
    <n v="571"/>
    <n v="0"/>
    <n v="0"/>
    <n v="0"/>
    <m/>
    <n v="-49.921739130434801"/>
    <n v="0"/>
    <n v="-1.52173913043478"/>
    <n v="-48.4"/>
    <n v="0"/>
    <n v="0"/>
    <n v="0"/>
  </r>
  <r>
    <x v="0"/>
    <s v="Root Beer 16 fl oz"/>
    <n v="240"/>
    <n v="0"/>
    <n v="0"/>
    <n v="0"/>
    <n v="0"/>
    <n v="0"/>
    <n v="100"/>
    <n v="65"/>
    <n v="0"/>
    <n v="65"/>
    <n v="0"/>
    <n v="305"/>
    <n v="0"/>
    <n v="0"/>
    <n v="0"/>
    <m/>
    <n v="-27.086956521739101"/>
    <n v="0"/>
    <n v="-1.0869565217391299"/>
    <n v="-26"/>
    <n v="0"/>
    <n v="0"/>
    <n v="0"/>
  </r>
  <r>
    <x v="0"/>
    <s v="Root Beer 20 fl oz"/>
    <n v="300"/>
    <n v="0"/>
    <n v="0"/>
    <n v="0"/>
    <n v="0"/>
    <n v="0"/>
    <n v="120"/>
    <n v="81"/>
    <n v="0"/>
    <n v="81"/>
    <n v="0"/>
    <n v="381"/>
    <n v="0"/>
    <n v="0"/>
    <n v="0"/>
    <m/>
    <n v="-33.704347826087002"/>
    <n v="0"/>
    <n v="-1.3043478260869601"/>
    <n v="-32.4"/>
    <n v="0"/>
    <n v="0"/>
    <n v="0"/>
  </r>
  <r>
    <x v="0"/>
    <s v="Root Beer 29 fl oz"/>
    <n v="350"/>
    <n v="0"/>
    <n v="0"/>
    <n v="0"/>
    <n v="0"/>
    <n v="0"/>
    <n v="180"/>
    <n v="118"/>
    <n v="0"/>
    <n v="118"/>
    <n v="0"/>
    <n v="468"/>
    <n v="0"/>
    <n v="0"/>
    <n v="0"/>
    <m/>
    <n v="-49.156521739130397"/>
    <n v="0"/>
    <n v="-1.9565217391304399"/>
    <n v="-47.2"/>
    <n v="0"/>
    <n v="0"/>
    <n v="0"/>
  </r>
  <r>
    <x v="0"/>
    <s v="Root Beer 38 fl oz"/>
    <n v="450"/>
    <n v="0"/>
    <n v="0"/>
    <n v="0"/>
    <n v="0"/>
    <n v="0"/>
    <n v="230"/>
    <n v="155"/>
    <n v="0"/>
    <n v="155"/>
    <n v="0"/>
    <n v="605"/>
    <n v="0"/>
    <n v="0"/>
    <n v="0"/>
    <m/>
    <n v="-64.5"/>
    <n v="0"/>
    <n v="-2.5"/>
    <n v="-62"/>
    <n v="0"/>
    <n v="0"/>
    <n v="0"/>
  </r>
  <r>
    <x v="0"/>
    <s v="Cherry Coke 16 fl oz"/>
    <n v="220"/>
    <n v="0"/>
    <n v="0"/>
    <n v="0"/>
    <n v="0"/>
    <n v="0"/>
    <n v="55"/>
    <n v="61"/>
    <n v="0"/>
    <n v="61"/>
    <n v="0"/>
    <n v="281"/>
    <n v="0"/>
    <n v="0"/>
    <n v="0"/>
    <m/>
    <n v="-24.997826086956501"/>
    <n v="0"/>
    <n v="-0.59782608695652195"/>
    <n v="-24.4"/>
    <n v="0"/>
    <n v="0"/>
    <n v="0"/>
  </r>
  <r>
    <x v="0"/>
    <s v="Cherry Coke 20 fl oz"/>
    <n v="280"/>
    <n v="0"/>
    <n v="0"/>
    <n v="0"/>
    <n v="0"/>
    <n v="0"/>
    <n v="70"/>
    <n v="76"/>
    <n v="0"/>
    <n v="76"/>
    <n v="0"/>
    <n v="356"/>
    <n v="0"/>
    <n v="0"/>
    <n v="0"/>
    <m/>
    <n v="-31.1608695652174"/>
    <n v="0"/>
    <n v="-0.76086956521739102"/>
    <n v="-30.4"/>
    <n v="0"/>
    <n v="0"/>
    <n v="0"/>
  </r>
  <r>
    <x v="0"/>
    <s v="Cherry Coke 29 fl oz"/>
    <n v="410"/>
    <n v="0"/>
    <n v="0"/>
    <n v="0"/>
    <n v="0"/>
    <n v="0"/>
    <n v="100"/>
    <n v="110"/>
    <n v="0"/>
    <n v="110"/>
    <n v="0"/>
    <n v="520"/>
    <n v="0"/>
    <n v="0"/>
    <n v="0"/>
    <m/>
    <n v="-45.086956521739097"/>
    <n v="0"/>
    <n v="-1.0869565217391299"/>
    <n v="-44"/>
    <n v="0"/>
    <n v="0"/>
    <n v="0"/>
  </r>
  <r>
    <x v="0"/>
    <s v="Cherry Coke 38 fl oz"/>
    <n v="450"/>
    <n v="0"/>
    <n v="0"/>
    <n v="0"/>
    <n v="0"/>
    <n v="0"/>
    <n v="130"/>
    <n v="145"/>
    <n v="0"/>
    <n v="145"/>
    <n v="0"/>
    <n v="595"/>
    <n v="0"/>
    <n v="0"/>
    <n v="0"/>
    <m/>
    <n v="-59.413043478260903"/>
    <n v="0"/>
    <n v="-1.4130434782608701"/>
    <n v="-58"/>
    <n v="0"/>
    <n v="0"/>
    <n v="0"/>
  </r>
  <r>
    <x v="0"/>
    <s v="Fanta Orange 16 fl oz"/>
    <n v="230"/>
    <n v="0"/>
    <n v="0"/>
    <n v="0"/>
    <n v="0"/>
    <n v="0"/>
    <n v="60"/>
    <n v="62"/>
    <n v="0"/>
    <n v="61"/>
    <n v="0"/>
    <n v="291"/>
    <n v="0"/>
    <n v="0"/>
    <n v="0"/>
    <m/>
    <n v="-25.0521739130435"/>
    <n v="0"/>
    <n v="-0.65217391304347805"/>
    <n v="-24.4"/>
    <n v="0"/>
    <n v="0"/>
    <n v="0"/>
  </r>
  <r>
    <x v="0"/>
    <s v="Fanta Orange 20 fl oz"/>
    <n v="280"/>
    <n v="0"/>
    <n v="0"/>
    <n v="0"/>
    <n v="0"/>
    <n v="0"/>
    <n v="70"/>
    <n v="78"/>
    <n v="0"/>
    <n v="77"/>
    <n v="0"/>
    <n v="357"/>
    <n v="0"/>
    <n v="0"/>
    <n v="0"/>
    <m/>
    <n v="-31.560869565217399"/>
    <n v="0"/>
    <n v="-0.76086956521739102"/>
    <n v="-30.8"/>
    <n v="0"/>
    <n v="0"/>
    <n v="0"/>
  </r>
  <r>
    <x v="0"/>
    <s v="Fanta Orange 29 fl oz"/>
    <n v="410"/>
    <n v="0"/>
    <n v="0"/>
    <n v="0"/>
    <n v="0"/>
    <n v="0"/>
    <n v="105"/>
    <n v="113"/>
    <n v="0"/>
    <n v="111"/>
    <n v="0"/>
    <n v="521"/>
    <n v="0"/>
    <n v="0"/>
    <n v="0"/>
    <m/>
    <n v="-45.541304347826099"/>
    <n v="0"/>
    <n v="-1.14130434782609"/>
    <n v="-44.4"/>
    <n v="0"/>
    <n v="0"/>
    <n v="0"/>
  </r>
  <r>
    <x v="0"/>
    <s v="Fanta Orange 38 fl oz"/>
    <n v="530"/>
    <n v="0"/>
    <n v="0"/>
    <n v="0"/>
    <n v="0"/>
    <n v="0"/>
    <n v="135"/>
    <n v="148"/>
    <n v="0"/>
    <n v="146"/>
    <n v="0"/>
    <n v="676"/>
    <n v="0"/>
    <n v="0"/>
    <n v="0"/>
    <m/>
    <n v="-59.867391304347798"/>
    <n v="0"/>
    <n v="-1.4673913043478299"/>
    <n v="-58.4"/>
    <n v="0"/>
    <n v="0"/>
    <n v="0"/>
  </r>
  <r>
    <x v="0"/>
    <s v="Hi-C Fruit Punch 16 fl oz"/>
    <n v="220"/>
    <n v="0"/>
    <n v="0"/>
    <n v="0"/>
    <n v="0"/>
    <n v="0"/>
    <n v="75"/>
    <n v="62"/>
    <n v="0"/>
    <n v="60"/>
    <n v="0"/>
    <n v="280"/>
    <n v="0"/>
    <n v="0"/>
    <n v="0"/>
    <m/>
    <n v="-24.815217391304301"/>
    <n v="0"/>
    <n v="-0.815217391304348"/>
    <n v="-24"/>
    <n v="0"/>
    <n v="0"/>
    <n v="0"/>
  </r>
  <r>
    <x v="0"/>
    <s v="Hi-C Fruit Punch 20 fl oz"/>
    <n v="280"/>
    <n v="0"/>
    <n v="0"/>
    <n v="0"/>
    <n v="0"/>
    <n v="0"/>
    <n v="95"/>
    <n v="77"/>
    <n v="0"/>
    <n v="75"/>
    <n v="0"/>
    <n v="355"/>
    <n v="0"/>
    <n v="0"/>
    <n v="0"/>
    <m/>
    <n v="-31.0326086956522"/>
    <n v="0"/>
    <n v="-1.0326086956521701"/>
    <n v="-30"/>
    <n v="0"/>
    <n v="0"/>
    <n v="0"/>
  </r>
  <r>
    <x v="0"/>
    <s v="Hi-C Fruit Punch 29 fl oz"/>
    <n v="410"/>
    <n v="0"/>
    <n v="0"/>
    <n v="0"/>
    <n v="0"/>
    <n v="0"/>
    <n v="135"/>
    <n v="111"/>
    <n v="0"/>
    <n v="109"/>
    <n v="0"/>
    <n v="519"/>
    <n v="0"/>
    <n v="0"/>
    <n v="0"/>
    <m/>
    <n v="-45.067391304347801"/>
    <n v="0"/>
    <n v="-1.4673913043478299"/>
    <n v="-43.6"/>
    <n v="0"/>
    <n v="0"/>
    <n v="0"/>
  </r>
  <r>
    <x v="0"/>
    <s v="Hi-C Fruit Punch 38 fl oz"/>
    <n v="450"/>
    <n v="0"/>
    <n v="0"/>
    <n v="0"/>
    <n v="0"/>
    <n v="0"/>
    <n v="180"/>
    <n v="146"/>
    <n v="0"/>
    <n v="143"/>
    <n v="0"/>
    <n v="593"/>
    <n v="0"/>
    <n v="0"/>
    <n v="0"/>
    <m/>
    <n v="-59.156521739130397"/>
    <n v="0"/>
    <n v="-1.9565217391304399"/>
    <n v="-57.2"/>
    <n v="0"/>
    <n v="0"/>
    <n v="0"/>
  </r>
  <r>
    <x v="0"/>
    <s v="MINUTE MAID Light Lemonade 16 fl oz"/>
    <n v="10"/>
    <n v="0"/>
    <n v="0"/>
    <n v="0"/>
    <n v="0"/>
    <n v="0"/>
    <n v="60"/>
    <n v="3"/>
    <n v="0"/>
    <n v="0"/>
    <n v="0"/>
    <n v="0"/>
    <n v="0"/>
    <n v="0"/>
    <n v="0"/>
    <m/>
    <n v="-0.65217391304347805"/>
    <n v="0"/>
    <n v="-0.65217391304347805"/>
    <n v="0"/>
    <n v="0"/>
    <n v="0"/>
    <n v="0"/>
  </r>
  <r>
    <x v="0"/>
    <s v="MINUTE MAID Light Lemonade 20 fl oz"/>
    <n v="10"/>
    <n v="0"/>
    <n v="0"/>
    <n v="0"/>
    <n v="0"/>
    <n v="0"/>
    <n v="70"/>
    <n v="4"/>
    <n v="0"/>
    <n v="0"/>
    <n v="0"/>
    <n v="0"/>
    <n v="0"/>
    <n v="0"/>
    <n v="0"/>
    <m/>
    <n v="-0.76086956521739102"/>
    <n v="0"/>
    <n v="-0.76086956521739102"/>
    <n v="0"/>
    <n v="0"/>
    <n v="0"/>
    <n v="0"/>
  </r>
  <r>
    <x v="0"/>
    <s v="MINUTE MAID Light Lemonade 29 fl oz"/>
    <n v="15"/>
    <n v="0"/>
    <n v="0"/>
    <n v="0"/>
    <n v="0"/>
    <n v="0"/>
    <n v="105"/>
    <n v="5"/>
    <n v="0"/>
    <n v="0"/>
    <n v="0"/>
    <n v="0"/>
    <n v="0"/>
    <n v="0"/>
    <n v="0"/>
    <m/>
    <n v="-1.14130434782609"/>
    <n v="0"/>
    <n v="-1.14130434782609"/>
    <n v="0"/>
    <n v="0"/>
    <n v="0"/>
    <n v="0"/>
  </r>
  <r>
    <x v="0"/>
    <s v="MINUTE MAID Light Lemonade 38 fl oz"/>
    <n v="20"/>
    <n v="0"/>
    <n v="0"/>
    <n v="0"/>
    <n v="0"/>
    <n v="0"/>
    <n v="135"/>
    <n v="7"/>
    <n v="0"/>
    <n v="0"/>
    <n v="0"/>
    <n v="0"/>
    <n v="0"/>
    <n v="0"/>
    <n v="0"/>
    <m/>
    <n v="-1.4673913043478299"/>
    <n v="0"/>
    <n v="-1.4673913043478299"/>
    <n v="0"/>
    <n v="0"/>
    <n v="0"/>
    <n v="0"/>
  </r>
  <r>
    <x v="0"/>
    <s v="Sweet Tea 20 fl oz"/>
    <n v="120"/>
    <n v="0"/>
    <n v="0"/>
    <n v="0"/>
    <n v="0"/>
    <n v="0"/>
    <n v="0"/>
    <n v="35"/>
    <n v="0"/>
    <n v="35"/>
    <n v="0"/>
    <n v="155"/>
    <n v="0"/>
    <n v="0"/>
    <n v="0"/>
    <m/>
    <n v="-14"/>
    <n v="0"/>
    <n v="0"/>
    <n v="-14"/>
    <n v="0"/>
    <n v="0"/>
    <n v="0"/>
  </r>
  <r>
    <x v="0"/>
    <s v="Sweet Tea 29 fl oz"/>
    <n v="160"/>
    <n v="0"/>
    <n v="0"/>
    <n v="0"/>
    <n v="0"/>
    <n v="0"/>
    <n v="0"/>
    <n v="49"/>
    <n v="0"/>
    <n v="49"/>
    <n v="0"/>
    <n v="209"/>
    <n v="0"/>
    <n v="0"/>
    <n v="0"/>
    <m/>
    <n v="-19.600000000000001"/>
    <n v="0"/>
    <n v="0"/>
    <n v="-19.600000000000001"/>
    <n v="0"/>
    <n v="0"/>
    <n v="0"/>
  </r>
  <r>
    <x v="0"/>
    <s v="Sweet Tea 40 fl oz"/>
    <n v="240"/>
    <n v="0"/>
    <n v="0"/>
    <n v="0"/>
    <n v="0"/>
    <n v="0"/>
    <n v="0"/>
    <n v="71"/>
    <n v="0"/>
    <n v="71"/>
    <n v="0"/>
    <n v="311"/>
    <n v="0"/>
    <n v="0"/>
    <n v="0"/>
    <m/>
    <n v="-28.4"/>
    <n v="0"/>
    <n v="0"/>
    <n v="-28.4"/>
    <n v="0"/>
    <n v="0"/>
    <n v="0"/>
  </r>
  <r>
    <x v="0"/>
    <s v="Capri Sun¬Æ 100% Apple Juice"/>
    <n v="80"/>
    <n v="0"/>
    <n v="0"/>
    <n v="0"/>
    <n v="0"/>
    <n v="0"/>
    <n v="25"/>
    <n v="20"/>
    <n v="0"/>
    <n v="20"/>
    <n v="0"/>
    <n v="100"/>
    <n v="0"/>
    <n v="0"/>
    <n v="0"/>
    <m/>
    <n v="-8.2717391304347796"/>
    <n v="0"/>
    <n v="-0.27173913043478298"/>
    <n v="-8"/>
    <n v="0"/>
    <n v="0"/>
    <n v="0"/>
  </r>
  <r>
    <x v="0"/>
    <s v="Frozen Coke¬Æ ‚Äì 16 oz"/>
    <n v="130"/>
    <n v="0"/>
    <n v="0"/>
    <n v="0"/>
    <n v="0"/>
    <n v="0"/>
    <n v="50"/>
    <n v="35"/>
    <n v="0"/>
    <n v="35"/>
    <n v="0"/>
    <n v="165"/>
    <n v="0"/>
    <n v="0"/>
    <n v="0"/>
    <m/>
    <n v="-14.5434782608696"/>
    <n v="0"/>
    <n v="-0.54347826086956497"/>
    <n v="-14"/>
    <n v="0"/>
    <n v="0"/>
    <n v="0"/>
  </r>
  <r>
    <x v="1"/>
    <s v="KENTUCKY GRILLED CHICKEN Breast"/>
    <n v="210"/>
    <n v="0"/>
    <n v="7"/>
    <n v="2"/>
    <n v="0"/>
    <n v="130"/>
    <n v="710"/>
    <n v="0"/>
    <n v="0"/>
    <n v="0"/>
    <n v="38"/>
    <n v="174"/>
    <n v="18.095238095238098"/>
    <n v="1"/>
    <n v="0"/>
    <m/>
    <n v="-0.61739130434782497"/>
    <n v="-0.5"/>
    <n v="-7.7173913043478297"/>
    <n v="0"/>
    <n v="0"/>
    <n v="7.6"/>
    <n v="0"/>
  </r>
  <r>
    <x v="1"/>
    <s v="Breast"/>
    <n v="260"/>
    <n v="0"/>
    <n v="12"/>
    <n v="3"/>
    <n v="0"/>
    <n v="130"/>
    <n v="790"/>
    <n v="1"/>
    <n v="0"/>
    <n v="0"/>
    <n v="38"/>
    <n v="225"/>
    <n v="14.615384615384601"/>
    <n v="1"/>
    <n v="0"/>
    <m/>
    <n v="-1.7369565217391301"/>
    <n v="-0.75"/>
    <n v="-8.5869565217391308"/>
    <n v="0"/>
    <n v="0"/>
    <n v="7.6"/>
    <n v="0"/>
  </r>
  <r>
    <x v="1"/>
    <s v="KENTUCKY GRILLED CHICKEN Drumstick"/>
    <n v="80"/>
    <n v="0"/>
    <n v="4"/>
    <n v="1"/>
    <n v="0"/>
    <n v="55"/>
    <n v="220"/>
    <n v="0"/>
    <n v="0"/>
    <n v="0"/>
    <n v="11"/>
    <n v="70"/>
    <n v="13.75"/>
    <n v="0"/>
    <n v="0"/>
    <m/>
    <n v="-0.44130434782608702"/>
    <n v="-0.25"/>
    <n v="-2.39130434782609"/>
    <n v="0"/>
    <n v="0"/>
    <n v="2.2000000000000002"/>
    <n v="0"/>
  </r>
  <r>
    <x v="1"/>
    <s v="KENTUCKY GRILLED CHICKEN Whole Wing"/>
    <n v="70"/>
    <n v="0"/>
    <n v="3"/>
    <n v="1"/>
    <n v="0"/>
    <n v="45"/>
    <n v="180"/>
    <n v="0"/>
    <n v="0"/>
    <n v="0"/>
    <n v="9"/>
    <n v="62"/>
    <n v="12.8571428571429"/>
    <n v="0"/>
    <n v="0"/>
    <m/>
    <n v="-0.40652173913043499"/>
    <n v="-0.25"/>
    <n v="-1.9565217391304399"/>
    <n v="0"/>
    <n v="0"/>
    <n v="1.8"/>
    <n v="0"/>
  </r>
  <r>
    <x v="1"/>
    <s v="KENTUCKY GRILLED CHICKEN Thigh"/>
    <n v="150"/>
    <n v="0"/>
    <n v="9"/>
    <n v="3"/>
    <n v="0"/>
    <n v="90"/>
    <n v="420"/>
    <n v="0"/>
    <n v="0"/>
    <n v="0"/>
    <n v="17"/>
    <n v="136"/>
    <n v="11.3333333333333"/>
    <n v="0"/>
    <n v="0"/>
    <m/>
    <n v="-1.91521739130435"/>
    <n v="-0.75"/>
    <n v="-4.5652173913043503"/>
    <n v="0"/>
    <n v="0"/>
    <n v="3.4"/>
    <n v="0"/>
  </r>
  <r>
    <x v="1"/>
    <s v="Drumstick"/>
    <n v="100"/>
    <n v="0"/>
    <n v="6"/>
    <n v="1.5"/>
    <n v="0"/>
    <n v="55"/>
    <n v="260"/>
    <n v="0"/>
    <n v="0"/>
    <n v="0"/>
    <n v="11"/>
    <n v="90.5"/>
    <n v="11"/>
    <n v="0"/>
    <n v="0"/>
    <m/>
    <n v="-1.00108695652174"/>
    <n v="-0.375"/>
    <n v="-2.8260869565217401"/>
    <n v="0"/>
    <n v="0"/>
    <n v="2.2000000000000002"/>
    <n v="0"/>
  </r>
  <r>
    <x v="1"/>
    <s v="Limited Time ORIGINAL RECIPE CHICKEN Chicken Breast"/>
    <n v="390"/>
    <n v="0"/>
    <n v="21"/>
    <n v="4"/>
    <n v="0"/>
    <n v="120"/>
    <n v="1190"/>
    <n v="11"/>
    <n v="2"/>
    <n v="0"/>
    <n v="39"/>
    <n v="355"/>
    <n v="10"/>
    <n v="1"/>
    <n v="0"/>
    <m/>
    <n v="-5.4204968944099399"/>
    <n v="-1"/>
    <n v="-12.9347826086957"/>
    <n v="0"/>
    <n v="0"/>
    <n v="7.8"/>
    <n v="0.71428571428571397"/>
  </r>
  <r>
    <x v="1"/>
    <s v="Whole Wing"/>
    <n v="90"/>
    <n v="0"/>
    <n v="6"/>
    <n v="1.5"/>
    <n v="0"/>
    <n v="45"/>
    <n v="210"/>
    <n v="1"/>
    <n v="0"/>
    <n v="0"/>
    <n v="9"/>
    <n v="82.5"/>
    <n v="10"/>
    <n v="0"/>
    <n v="0"/>
    <m/>
    <n v="-0.85760869565217401"/>
    <n v="-0.375"/>
    <n v="-2.2826086956521698"/>
    <n v="0"/>
    <n v="0"/>
    <n v="1.8"/>
    <n v="0"/>
  </r>
  <r>
    <x v="1"/>
    <s v="Thigh"/>
    <n v="180"/>
    <n v="0"/>
    <n v="12"/>
    <n v="3.5"/>
    <n v="0"/>
    <n v="90"/>
    <n v="470"/>
    <n v="0"/>
    <n v="0"/>
    <n v="0"/>
    <n v="17"/>
    <n v="166.5"/>
    <n v="9.4444444444444393"/>
    <n v="1"/>
    <n v="0"/>
    <m/>
    <n v="-2.5836956521739101"/>
    <n v="-0.875"/>
    <n v="-5.1086956521739104"/>
    <n v="0"/>
    <n v="0"/>
    <n v="3.4"/>
    <n v="0"/>
  </r>
  <r>
    <x v="1"/>
    <s v="Limited Time ORIGINAL RECIPE CHICKEN Chicken Limited Time Drumstick"/>
    <n v="130"/>
    <n v="0"/>
    <n v="8"/>
    <n v="1.5"/>
    <n v="0"/>
    <n v="55"/>
    <n v="430"/>
    <n v="4"/>
    <n v="1"/>
    <n v="0"/>
    <n v="12"/>
    <n v="119.5"/>
    <n v="9.2307692307692299"/>
    <n v="0"/>
    <n v="0"/>
    <m/>
    <n v="-2.2917701863354001"/>
    <n v="-0.375"/>
    <n v="-4.6739130434782599"/>
    <n v="0"/>
    <n v="0"/>
    <n v="2.4"/>
    <n v="0.35714285714285698"/>
  </r>
  <r>
    <x v="1"/>
    <s v="SPICY CRISPY CHICKEN Breast"/>
    <n v="350"/>
    <n v="0"/>
    <n v="20"/>
    <n v="3.5"/>
    <n v="0"/>
    <n v="100"/>
    <n v="1100"/>
    <n v="11"/>
    <n v="1"/>
    <n v="0"/>
    <n v="30"/>
    <n v="323.5"/>
    <n v="8.5714285714285694"/>
    <n v="1"/>
    <n v="0"/>
    <m/>
    <n v="-6.4743788819875796"/>
    <n v="-0.875"/>
    <n v="-11.9565217391304"/>
    <n v="0"/>
    <n v="0"/>
    <n v="6"/>
    <n v="0.35714285714285698"/>
  </r>
  <r>
    <x v="1"/>
    <s v="Milk 1%"/>
    <n v="90"/>
    <n v="0"/>
    <n v="2"/>
    <n v="1.5"/>
    <n v="0"/>
    <n v="10"/>
    <n v="105"/>
    <n v="10"/>
    <n v="0"/>
    <n v="10"/>
    <n v="7"/>
    <n v="94.5"/>
    <n v="7.7777777777777803"/>
    <n v="0"/>
    <n v="0"/>
    <m/>
    <n v="-4.1163043478260901"/>
    <n v="-0.375"/>
    <n v="-1.14130434782609"/>
    <n v="-4"/>
    <n v="0"/>
    <n v="1.4"/>
    <n v="0"/>
  </r>
  <r>
    <x v="1"/>
    <s v="Limited Time ORIGINAL RECIPE CHICKEN Chicken Whole Wing"/>
    <n v="130"/>
    <n v="0"/>
    <n v="8"/>
    <n v="2"/>
    <n v="0"/>
    <n v="55"/>
    <n v="380"/>
    <n v="3"/>
    <n v="0"/>
    <n v="0"/>
    <n v="10"/>
    <n v="122"/>
    <n v="7.6923076923076898"/>
    <n v="0"/>
    <n v="0"/>
    <m/>
    <n v="-2.63043478260869"/>
    <n v="-0.5"/>
    <n v="-4.1304347826086998"/>
    <n v="0"/>
    <n v="0"/>
    <n v="2"/>
    <n v="0"/>
  </r>
  <r>
    <x v="1"/>
    <s v="Caesar Side Salad"/>
    <n v="40"/>
    <n v="0"/>
    <n v="2"/>
    <n v="1"/>
    <n v="0"/>
    <n v="5"/>
    <n v="90"/>
    <n v="2"/>
    <n v="1"/>
    <n v="1"/>
    <n v="3"/>
    <n v="39"/>
    <n v="7.5"/>
    <n v="0"/>
    <n v="0"/>
    <m/>
    <n v="-0.67111801242236002"/>
    <n v="-0.25"/>
    <n v="-0.97826086956521796"/>
    <n v="-0.4"/>
    <n v="0"/>
    <n v="0.6"/>
    <n v="0.35714285714285698"/>
  </r>
  <r>
    <x v="1"/>
    <s v="KFC¬Æ Livers"/>
    <n v="230"/>
    <n v="0"/>
    <n v="13"/>
    <n v="2.5"/>
    <n v="0"/>
    <n v="285"/>
    <n v="750"/>
    <n v="12"/>
    <n v="0"/>
    <n v="0"/>
    <n v="17"/>
    <n v="215.5"/>
    <n v="7.3913043478260896"/>
    <n v="1"/>
    <n v="0"/>
    <m/>
    <n v="-5.3771739130434799"/>
    <n v="-0.625"/>
    <n v="-8.1521739130434803"/>
    <n v="0"/>
    <n v="0"/>
    <n v="3.4"/>
    <n v="0"/>
  </r>
  <r>
    <x v="1"/>
    <s v="EXTRA CRISPY  Tender (each)"/>
    <n v="260"/>
    <n v="0"/>
    <n v="14"/>
    <n v="2"/>
    <n v="0"/>
    <n v="50"/>
    <n v="610"/>
    <n v="15"/>
    <n v="0"/>
    <n v="0"/>
    <n v="19"/>
    <n v="243"/>
    <n v="7.3076923076923102"/>
    <n v="1"/>
    <n v="0"/>
    <m/>
    <n v="-3.3304347826087"/>
    <n v="-0.5"/>
    <n v="-6.6304347826086998"/>
    <n v="0"/>
    <n v="0"/>
    <n v="3.8"/>
    <n v="0"/>
  </r>
  <r>
    <x v="1"/>
    <s v="SPICY CRISPY CHICKEN Drumstick"/>
    <n v="130"/>
    <n v="0"/>
    <n v="8"/>
    <n v="1.5"/>
    <n v="0"/>
    <n v="40"/>
    <n v="420"/>
    <n v="5"/>
    <n v="1"/>
    <n v="0"/>
    <n v="9"/>
    <n v="122.5"/>
    <n v="6.9230769230769198"/>
    <n v="0"/>
    <n v="0"/>
    <m/>
    <n v="-2.7830745341614902"/>
    <n v="-0.375"/>
    <n v="-4.5652173913043503"/>
    <n v="0"/>
    <n v="0"/>
    <n v="1.8"/>
    <n v="0.35714285714285698"/>
  </r>
  <r>
    <x v="1"/>
    <s v="Honey BBQ Sandwich"/>
    <n v="350"/>
    <n v="0"/>
    <n v="3.5"/>
    <n v="0.5"/>
    <n v="0"/>
    <n v="55"/>
    <n v="1350"/>
    <n v="55"/>
    <n v="2"/>
    <n v="22"/>
    <n v="24"/>
    <n v="348.5"/>
    <n v="6.8571428571428603"/>
    <n v="1"/>
    <n v="0"/>
    <m/>
    <n v="-18.0846273291925"/>
    <n v="-0.125"/>
    <n v="-14.673913043478301"/>
    <n v="-8.8000000000000007"/>
    <n v="0"/>
    <n v="4.8"/>
    <n v="0.71428571428571397"/>
  </r>
  <r>
    <x v="1"/>
    <s v="Limited Time ORIGINAL RECIPE CHICKEN Chicken Thigh"/>
    <n v="280"/>
    <n v="0"/>
    <n v="19"/>
    <n v="4.5"/>
    <n v="0"/>
    <n v="100"/>
    <n v="910"/>
    <n v="8"/>
    <n v="1"/>
    <n v="0"/>
    <n v="19"/>
    <n v="265.5"/>
    <n v="6.78571428571429"/>
    <n v="1"/>
    <n v="0"/>
    <m/>
    <n v="-6.8591614906832303"/>
    <n v="-1.125"/>
    <n v="-9.8913043478260896"/>
    <n v="0"/>
    <n v="0"/>
    <n v="3.8"/>
    <n v="0.35714285714285698"/>
  </r>
  <r>
    <x v="1"/>
    <s v="EXTRA CRISPY  Chicken Thigh"/>
    <n v="330"/>
    <n v="0"/>
    <n v="23"/>
    <n v="4.5"/>
    <n v="0"/>
    <n v="100"/>
    <n v="700"/>
    <n v="9"/>
    <n v="0"/>
    <n v="0"/>
    <n v="22"/>
    <n v="312.5"/>
    <n v="6.6666666666666696"/>
    <n v="1"/>
    <n v="0"/>
    <m/>
    <n v="-4.3336956521739101"/>
    <n v="-1.125"/>
    <n v="-7.6086956521739104"/>
    <n v="0"/>
    <n v="0"/>
    <n v="4.4000000000000004"/>
    <n v="0"/>
  </r>
  <r>
    <x v="1"/>
    <s v="House Side Salad"/>
    <n v="15"/>
    <n v="0"/>
    <n v="0"/>
    <n v="0"/>
    <n v="0"/>
    <n v="0"/>
    <n v="10"/>
    <n v="3"/>
    <n v="2"/>
    <n v="2"/>
    <n v="1"/>
    <n v="16"/>
    <n v="6.6666666666666696"/>
    <n v="0"/>
    <n v="0"/>
    <m/>
    <n v="5.5900621118011298E-3"/>
    <n v="0"/>
    <n v="-0.108695652173913"/>
    <n v="-0.8"/>
    <n v="0"/>
    <n v="0.2"/>
    <n v="0.71428571428571397"/>
  </r>
  <r>
    <x v="1"/>
    <s v="KFC¬Æ Gizzards"/>
    <n v="300"/>
    <n v="0"/>
    <n v="16"/>
    <n v="2"/>
    <n v="0"/>
    <n v="210"/>
    <n v="770"/>
    <n v="18"/>
    <n v="0"/>
    <n v="0"/>
    <n v="20"/>
    <n v="282"/>
    <n v="6.6666666666666696"/>
    <n v="1"/>
    <n v="0"/>
    <m/>
    <n v="-4.8695652173913002"/>
    <n v="-0.5"/>
    <n v="-8.3695652173912993"/>
    <n v="0"/>
    <n v="0"/>
    <n v="4"/>
    <n v="0"/>
  </r>
  <r>
    <x v="1"/>
    <s v="EXTRA CRISPY  Chicken Breast"/>
    <n v="530"/>
    <n v="0"/>
    <n v="35"/>
    <n v="6"/>
    <n v="0"/>
    <n v="105"/>
    <n v="1150"/>
    <n v="18"/>
    <n v="0"/>
    <n v="0"/>
    <n v="35"/>
    <n v="501"/>
    <n v="6.6037735849056602"/>
    <n v="1"/>
    <n v="0"/>
    <m/>
    <n v="-7"/>
    <n v="-1.5"/>
    <n v="-12.5"/>
    <n v="0"/>
    <n v="0"/>
    <n v="7"/>
    <n v="0"/>
  </r>
  <r>
    <x v="1"/>
    <s v="KENTUCKY FRIED WINGS Unsauced"/>
    <n v="80"/>
    <n v="0"/>
    <n v="6"/>
    <n v="1"/>
    <n v="0"/>
    <n v="20"/>
    <n v="150"/>
    <n v="3"/>
    <n v="0"/>
    <n v="0"/>
    <n v="5"/>
    <n v="76"/>
    <n v="6.25"/>
    <n v="0"/>
    <n v="0"/>
    <m/>
    <n v="-0.88043478260869501"/>
    <n v="-0.25"/>
    <n v="-1.6304347826087"/>
    <n v="0"/>
    <n v="0"/>
    <n v="1"/>
    <n v="0"/>
  </r>
  <r>
    <x v="1"/>
    <s v="EXTRA CRISPY  Chicken Drumstick"/>
    <n v="170"/>
    <n v="0"/>
    <n v="12"/>
    <n v="2"/>
    <n v="0"/>
    <n v="50"/>
    <n v="390"/>
    <n v="5"/>
    <n v="0"/>
    <n v="0"/>
    <n v="10"/>
    <n v="162"/>
    <n v="5.8823529411764701"/>
    <n v="0"/>
    <n v="0"/>
    <m/>
    <n v="-2.7391304347826102"/>
    <n v="-0.5"/>
    <n v="-4.2391304347826102"/>
    <n v="0"/>
    <n v="0"/>
    <n v="2"/>
    <n v="0"/>
  </r>
  <r>
    <x v="1"/>
    <s v="EXTRA CRISPY  Chicken Whole Wing"/>
    <n v="170"/>
    <n v="0"/>
    <n v="13"/>
    <n v="2"/>
    <n v="0"/>
    <n v="45"/>
    <n v="340"/>
    <n v="5"/>
    <n v="0"/>
    <n v="0"/>
    <n v="10"/>
    <n v="162"/>
    <n v="5.8823529411764701"/>
    <n v="0"/>
    <n v="0"/>
    <m/>
    <n v="-2.1956521739130399"/>
    <n v="-0.5"/>
    <n v="-3.6956521739130399"/>
    <n v="0"/>
    <n v="0"/>
    <n v="2"/>
    <n v="0"/>
  </r>
  <r>
    <x v="1"/>
    <s v="SPICY CRISPY CHICKEN Whole Wing"/>
    <n v="120"/>
    <n v="0"/>
    <n v="8"/>
    <n v="1.5"/>
    <n v="0"/>
    <n v="35"/>
    <n v="350"/>
    <n v="5"/>
    <n v="0"/>
    <n v="0"/>
    <n v="7"/>
    <n v="114.5"/>
    <n v="5.8333333333333304"/>
    <n v="0"/>
    <n v="0"/>
    <m/>
    <n v="-2.7793478260869602"/>
    <n v="-0.375"/>
    <n v="-3.8043478260869601"/>
    <n v="0"/>
    <n v="0"/>
    <n v="1.4"/>
    <n v="0"/>
  </r>
  <r>
    <x v="1"/>
    <s v="BBQ Baked Beans"/>
    <n v="190"/>
    <n v="0"/>
    <n v="1"/>
    <n v="0"/>
    <n v="0"/>
    <n v="0"/>
    <n v="650"/>
    <n v="34"/>
    <n v="7"/>
    <n v="15"/>
    <n v="11"/>
    <n v="194"/>
    <n v="5.7894736842105301"/>
    <n v="1"/>
    <n v="0"/>
    <m/>
    <n v="-8.3652173913043502"/>
    <n v="0"/>
    <n v="-7.0652173913043503"/>
    <n v="-6"/>
    <n v="0"/>
    <n v="2.2000000000000002"/>
    <n v="2.5"/>
  </r>
  <r>
    <x v="1"/>
    <s v="Breast"/>
    <n v="540"/>
    <n v="0"/>
    <n v="40"/>
    <n v="7"/>
    <n v="0"/>
    <n v="100"/>
    <n v="1390"/>
    <n v="14"/>
    <n v="2"/>
    <n v="1"/>
    <n v="31"/>
    <n v="517"/>
    <n v="5.7407407407407396"/>
    <n v="1"/>
    <n v="0"/>
    <m/>
    <n v="-10.3444099378882"/>
    <n v="-1.75"/>
    <n v="-15.1086956521739"/>
    <n v="-0.4"/>
    <n v="0"/>
    <n v="6.2"/>
    <n v="0.71428571428571397"/>
  </r>
  <r>
    <x v="1"/>
    <s v="BBQ Baked Beans (Family)"/>
    <n v="830"/>
    <n v="0"/>
    <n v="5"/>
    <n v="1"/>
    <n v="0"/>
    <n v="0"/>
    <n v="2810"/>
    <n v="148"/>
    <n v="31"/>
    <n v="63"/>
    <n v="47"/>
    <n v="847"/>
    <n v="5.6626506024096397"/>
    <n v="1"/>
    <n v="0"/>
    <m/>
    <n v="-35.522049689440998"/>
    <n v="-0.25"/>
    <n v="-30.543478260869598"/>
    <n v="-25.2"/>
    <n v="0"/>
    <n v="9.4"/>
    <n v="11.0714285714286"/>
  </r>
  <r>
    <x v="1"/>
    <s v="Spicy Chicken Sandwich"/>
    <n v="620"/>
    <n v="0"/>
    <n v="33"/>
    <n v="4"/>
    <n v="0"/>
    <n v="85"/>
    <n v="2140"/>
    <n v="49"/>
    <n v="1"/>
    <n v="6"/>
    <n v="34"/>
    <n v="596"/>
    <n v="5.4838709677419404"/>
    <n v="1"/>
    <n v="0"/>
    <m/>
    <n v="-19.503726708074499"/>
    <n v="-1"/>
    <n v="-23.260869565217401"/>
    <n v="-2.4"/>
    <n v="0"/>
    <n v="6.8"/>
    <n v="0.35714285714285698"/>
  </r>
  <r>
    <x v="1"/>
    <s v="Classic Chicken Sandwich"/>
    <n v="650"/>
    <n v="0"/>
    <n v="35"/>
    <n v="4.5"/>
    <n v="0"/>
    <n v="90"/>
    <n v="1260"/>
    <n v="49"/>
    <n v="1"/>
    <n v="6"/>
    <n v="34"/>
    <n v="626.5"/>
    <n v="5.2307692307692299"/>
    <n v="1"/>
    <n v="0"/>
    <m/>
    <n v="-10.063509316770199"/>
    <n v="-1.125"/>
    <n v="-13.695652173913"/>
    <n v="-2.4"/>
    <n v="0"/>
    <n v="6.8"/>
    <n v="0.35714285714285698"/>
  </r>
  <r>
    <x v="1"/>
    <s v="Crispy Colonel‚Äôs Sandwich"/>
    <n v="470"/>
    <n v="0"/>
    <n v="24"/>
    <n v="3.5"/>
    <n v="0"/>
    <n v="60"/>
    <n v="1170"/>
    <n v="39"/>
    <n v="0"/>
    <n v="4"/>
    <n v="24"/>
    <n v="453.5"/>
    <n v="5.1063829787234001"/>
    <n v="1"/>
    <n v="0"/>
    <m/>
    <n v="-10.3923913043478"/>
    <n v="-0.875"/>
    <n v="-12.7173913043478"/>
    <n v="-1.6"/>
    <n v="0"/>
    <n v="4.8"/>
    <n v="0"/>
  </r>
  <r>
    <x v="1"/>
    <s v="KENTUCKY FRIED WINGS Buffalo"/>
    <n v="100"/>
    <n v="0"/>
    <n v="7"/>
    <n v="1.5"/>
    <n v="0"/>
    <n v="20"/>
    <n v="310"/>
    <n v="3"/>
    <n v="0"/>
    <n v="0"/>
    <n v="5"/>
    <n v="96.5"/>
    <n v="5"/>
    <n v="0"/>
    <n v="0"/>
    <m/>
    <n v="-2.7445652173913002"/>
    <n v="-0.375"/>
    <n v="-3.3695652173913002"/>
    <n v="0"/>
    <n v="0"/>
    <n v="1"/>
    <n v="0"/>
  </r>
  <r>
    <x v="1"/>
    <s v="KENTUCKY FRIED WINGS Honey BBQ"/>
    <n v="100"/>
    <n v="0"/>
    <n v="6"/>
    <n v="1"/>
    <n v="0"/>
    <n v="20"/>
    <n v="210"/>
    <n v="8"/>
    <n v="0"/>
    <n v="4"/>
    <n v="5"/>
    <n v="100"/>
    <n v="5"/>
    <n v="0"/>
    <n v="0"/>
    <m/>
    <n v="-3.1326086956521699"/>
    <n v="-0.25"/>
    <n v="-2.2826086956521698"/>
    <n v="-1.6"/>
    <n v="0"/>
    <n v="1"/>
    <n v="0"/>
  </r>
  <r>
    <x v="1"/>
    <s v="Green Beans (Family)"/>
    <n v="80"/>
    <n v="0"/>
    <n v="0"/>
    <n v="0"/>
    <n v="0"/>
    <n v="0"/>
    <n v="930"/>
    <n v="15"/>
    <n v="9"/>
    <n v="3"/>
    <n v="4"/>
    <n v="79"/>
    <n v="5"/>
    <n v="1"/>
    <n v="0"/>
    <m/>
    <n v="-7.2944099378881999"/>
    <n v="0"/>
    <n v="-10.1086956521739"/>
    <n v="-1.2"/>
    <n v="0"/>
    <n v="0.8"/>
    <n v="3.21428571428571"/>
  </r>
  <r>
    <x v="1"/>
    <s v="SPICY CRISPY CHICKEN Thigh"/>
    <n v="270"/>
    <n v="0"/>
    <n v="20"/>
    <n v="3.5"/>
    <n v="0"/>
    <n v="65"/>
    <n v="720"/>
    <n v="10"/>
    <n v="1"/>
    <n v="0"/>
    <n v="13"/>
    <n v="260.5"/>
    <n v="4.8148148148148104"/>
    <n v="1"/>
    <n v="0"/>
    <m/>
    <n v="-5.7439440993788802"/>
    <n v="-0.875"/>
    <n v="-7.8260869565217401"/>
    <n v="0"/>
    <n v="0"/>
    <n v="2.6"/>
    <n v="0.35714285714285698"/>
  </r>
  <r>
    <x v="1"/>
    <s v="Crispy Colonel‚Äôs Sandwich ‚Äì Buffalo"/>
    <n v="500"/>
    <n v="0"/>
    <n v="27"/>
    <n v="4"/>
    <n v="0"/>
    <n v="60"/>
    <n v="1500"/>
    <n v="39"/>
    <n v="0"/>
    <n v="4"/>
    <n v="24"/>
    <n v="484"/>
    <n v="4.8"/>
    <n v="1"/>
    <n v="0"/>
    <m/>
    <n v="-14.104347826087"/>
    <n v="-1"/>
    <n v="-16.304347826087"/>
    <n v="-1.6"/>
    <n v="0"/>
    <n v="4.8"/>
    <n v="0"/>
  </r>
  <r>
    <x v="1"/>
    <s v="Drumstick"/>
    <n v="190"/>
    <n v="0"/>
    <n v="14"/>
    <n v="2.5"/>
    <n v="0"/>
    <n v="40"/>
    <n v="510"/>
    <n v="6"/>
    <n v="1"/>
    <n v="0"/>
    <n v="9"/>
    <n v="183.5"/>
    <n v="4.7368421052631602"/>
    <n v="1"/>
    <n v="0"/>
    <m/>
    <n v="-4.0113354037267097"/>
    <n v="-0.625"/>
    <n v="-5.5434782608695699"/>
    <n v="0"/>
    <n v="0"/>
    <n v="1.8"/>
    <n v="0.35714285714285698"/>
  </r>
  <r>
    <x v="1"/>
    <s v="Crispy Colonel‚Äôs Sandwich ‚Äì Honey BBQ"/>
    <n v="510"/>
    <n v="0"/>
    <n v="25"/>
    <n v="3.5"/>
    <n v="0"/>
    <n v="60"/>
    <n v="1290"/>
    <n v="48"/>
    <n v="0"/>
    <n v="12"/>
    <n v="24"/>
    <n v="501.5"/>
    <n v="4.7058823529411802"/>
    <n v="1"/>
    <n v="0"/>
    <m/>
    <n v="-14.896739130434799"/>
    <n v="-0.875"/>
    <n v="-14.021739130434799"/>
    <n v="-4.8"/>
    <n v="0"/>
    <n v="4.8"/>
    <n v="0"/>
  </r>
  <r>
    <x v="1"/>
    <s v="Chicken Littles"/>
    <n v="300"/>
    <n v="0"/>
    <n v="15"/>
    <n v="2.5"/>
    <n v="0"/>
    <n v="30"/>
    <n v="620"/>
    <n v="27"/>
    <n v="1"/>
    <n v="3"/>
    <n v="14"/>
    <n v="291.5"/>
    <n v="4.6666666666666696"/>
    <n v="1"/>
    <n v="0"/>
    <m/>
    <n v="-5.4069875776397502"/>
    <n v="-0.625"/>
    <n v="-6.7391304347826102"/>
    <n v="-1.2"/>
    <n v="0"/>
    <n v="2.8"/>
    <n v="0.35714285714285698"/>
  </r>
  <r>
    <x v="1"/>
    <s v="Chocolate Milk 1%"/>
    <n v="150"/>
    <n v="0"/>
    <n v="2.5"/>
    <n v="1.5"/>
    <n v="0"/>
    <n v="10"/>
    <n v="170"/>
    <n v="26"/>
    <n v="0"/>
    <n v="23"/>
    <n v="7"/>
    <n v="167.5"/>
    <n v="4.6666666666666696"/>
    <n v="0"/>
    <n v="0"/>
    <m/>
    <n v="-10.022826086956499"/>
    <n v="-0.375"/>
    <n v="-1.84782608695652"/>
    <n v="-9.1999999999999993"/>
    <n v="0"/>
    <n v="1.4"/>
    <n v="0"/>
  </r>
  <r>
    <x v="1"/>
    <s v="Chicken Breast"/>
    <n v="770"/>
    <n v="0"/>
    <n v="60"/>
    <n v="10"/>
    <n v="0"/>
    <n v="105"/>
    <n v="1530"/>
    <n v="21"/>
    <n v="1"/>
    <n v="1"/>
    <n v="35"/>
    <n v="746"/>
    <n v="4.5454545454545503"/>
    <n v="1"/>
    <n v="0"/>
    <m/>
    <n v="-12.173291925465801"/>
    <n v="-2.5"/>
    <n v="-16.630434782608699"/>
    <n v="-0.4"/>
    <n v="0"/>
    <n v="7"/>
    <n v="0.35714285714285698"/>
  </r>
  <r>
    <x v="1"/>
    <s v="EXTRA CRISPY  Tender (each)"/>
    <n v="220"/>
    <n v="0"/>
    <n v="16"/>
    <n v="2.5"/>
    <n v="0"/>
    <n v="25"/>
    <n v="460"/>
    <n v="9"/>
    <n v="0"/>
    <n v="0"/>
    <n v="10"/>
    <n v="212.5"/>
    <n v="4.5454545454545503"/>
    <n v="0"/>
    <n v="0"/>
    <m/>
    <n v="-3.625"/>
    <n v="-0.625"/>
    <n v="-5"/>
    <n v="0"/>
    <n v="0"/>
    <n v="2"/>
    <n v="0"/>
  </r>
  <r>
    <x v="1"/>
    <s v="Chicken Littles ‚Äì Buffalo"/>
    <n v="310"/>
    <n v="0"/>
    <n v="17"/>
    <n v="2.5"/>
    <n v="0"/>
    <n v="30"/>
    <n v="790"/>
    <n v="27"/>
    <n v="1"/>
    <n v="3"/>
    <n v="14"/>
    <n v="301.5"/>
    <n v="4.5161290322580596"/>
    <n v="1"/>
    <n v="0"/>
    <m/>
    <n v="-7.25481366459627"/>
    <n v="-0.625"/>
    <n v="-8.5869565217391308"/>
    <n v="-1.2"/>
    <n v="0"/>
    <n v="2.8"/>
    <n v="0.35714285714285698"/>
  </r>
  <r>
    <x v="1"/>
    <s v="POPCORN NUGGETS Kids"/>
    <n v="290"/>
    <n v="0"/>
    <n v="19"/>
    <n v="2.5"/>
    <n v="0"/>
    <n v="30"/>
    <n v="870"/>
    <n v="19"/>
    <n v="1"/>
    <n v="0"/>
    <n v="13"/>
    <n v="279.5"/>
    <n v="4.4827586206896504"/>
    <n v="1"/>
    <n v="0"/>
    <m/>
    <n v="-7.12437888198758"/>
    <n v="-0.625"/>
    <n v="-9.4565217391304301"/>
    <n v="0"/>
    <n v="0"/>
    <n v="2.6"/>
    <n v="0.35714285714285698"/>
  </r>
  <r>
    <x v="1"/>
    <s v="Whole Wing"/>
    <n v="180"/>
    <n v="0"/>
    <n v="15"/>
    <n v="2.5"/>
    <n v="0"/>
    <n v="35"/>
    <n v="450"/>
    <n v="5"/>
    <n v="1"/>
    <n v="0"/>
    <n v="8"/>
    <n v="174.5"/>
    <n v="4.4444444444444402"/>
    <n v="0"/>
    <n v="0"/>
    <m/>
    <n v="-3.5591614906832301"/>
    <n v="-0.625"/>
    <n v="-4.8913043478260896"/>
    <n v="0"/>
    <n v="0"/>
    <n v="1.6"/>
    <n v="0.35714285714285698"/>
  </r>
  <r>
    <x v="1"/>
    <s v="Crispy Colonel‚Äôs Sandwich ‚Äì Nashville Hot"/>
    <n v="540"/>
    <n v="0"/>
    <n v="32"/>
    <n v="4.5"/>
    <n v="0"/>
    <n v="60"/>
    <n v="1290"/>
    <n v="40"/>
    <n v="0"/>
    <n v="5"/>
    <n v="24"/>
    <n v="525.5"/>
    <n v="4.4444444444444402"/>
    <n v="1"/>
    <n v="0"/>
    <m/>
    <n v="-12.3467391304348"/>
    <n v="-1.125"/>
    <n v="-14.021739130434799"/>
    <n v="-2"/>
    <n v="0"/>
    <n v="4.8"/>
    <n v="0"/>
  </r>
  <r>
    <x v="1"/>
    <s v="Crispy Twister¬Æ"/>
    <n v="630"/>
    <n v="0"/>
    <n v="34"/>
    <n v="7"/>
    <n v="0"/>
    <n v="70"/>
    <n v="1260"/>
    <n v="53"/>
    <n v="4"/>
    <n v="3"/>
    <n v="28"/>
    <n v="612"/>
    <n v="4.4444444444444402"/>
    <n v="1"/>
    <n v="0"/>
    <m/>
    <n v="-9.6170807453416103"/>
    <n v="-1.75"/>
    <n v="-13.695652173913"/>
    <n v="-1.2"/>
    <n v="0"/>
    <n v="5.6"/>
    <n v="1.4285714285714299"/>
  </r>
  <r>
    <x v="1"/>
    <s v="Chicken Drumstick"/>
    <n v="250"/>
    <n v="0"/>
    <n v="21"/>
    <n v="3.5"/>
    <n v="0"/>
    <n v="50"/>
    <n v="530"/>
    <n v="6"/>
    <n v="1"/>
    <n v="0"/>
    <n v="11"/>
    <n v="242.5"/>
    <n v="4.4000000000000004"/>
    <n v="1"/>
    <n v="0"/>
    <m/>
    <n v="-4.0787267080745302"/>
    <n v="-0.875"/>
    <n v="-5.7608695652173898"/>
    <n v="0"/>
    <n v="0"/>
    <n v="2.2000000000000002"/>
    <n v="0.35714285714285698"/>
  </r>
  <r>
    <x v="1"/>
    <s v="Chicken Thigh"/>
    <n v="500"/>
    <n v="0"/>
    <n v="40"/>
    <n v="7"/>
    <n v="0"/>
    <n v="100"/>
    <n v="970"/>
    <n v="11"/>
    <n v="1"/>
    <n v="1"/>
    <n v="22"/>
    <n v="486"/>
    <n v="4.4000000000000004"/>
    <n v="1"/>
    <n v="0"/>
    <m/>
    <n v="-7.9363354037267104"/>
    <n v="-1.75"/>
    <n v="-10.5434782608696"/>
    <n v="-0.4"/>
    <n v="0"/>
    <n v="4.4000000000000004"/>
    <n v="0.35714285714285698"/>
  </r>
  <r>
    <x v="1"/>
    <s v="Chicken Littles ‚Äì Honey BBQ"/>
    <n v="320"/>
    <n v="0"/>
    <n v="15"/>
    <n v="2.5"/>
    <n v="0"/>
    <n v="30"/>
    <n v="680"/>
    <n v="31"/>
    <n v="1"/>
    <n v="7"/>
    <n v="14"/>
    <n v="315.5"/>
    <n v="4.375"/>
    <n v="1"/>
    <n v="0"/>
    <m/>
    <n v="-7.6591614906832302"/>
    <n v="-0.625"/>
    <n v="-7.3913043478260896"/>
    <n v="-2.8"/>
    <n v="0"/>
    <n v="2.8"/>
    <n v="0.35714285714285698"/>
  </r>
  <r>
    <x v="1"/>
    <s v="POPCORN NUGGETS Large"/>
    <n v="620"/>
    <n v="0"/>
    <n v="39"/>
    <n v="5"/>
    <n v="0"/>
    <n v="65"/>
    <n v="1820"/>
    <n v="39"/>
    <n v="2"/>
    <n v="0"/>
    <n v="27"/>
    <n v="598"/>
    <n v="4.3548387096774199"/>
    <n v="1"/>
    <n v="0"/>
    <m/>
    <n v="-14.918322981366501"/>
    <n v="-1.25"/>
    <n v="-19.7826086956522"/>
    <n v="0"/>
    <n v="0"/>
    <n v="5.4"/>
    <n v="0.71428571428571397"/>
  </r>
  <r>
    <x v="1"/>
    <s v="Chicken Littles ‚Äì Nashville Hot"/>
    <n v="340"/>
    <n v="0"/>
    <n v="19"/>
    <n v="3"/>
    <n v="0"/>
    <n v="30"/>
    <n v="680"/>
    <n v="27"/>
    <n v="1"/>
    <n v="3"/>
    <n v="14"/>
    <n v="332"/>
    <n v="4.1176470588235299"/>
    <n v="1"/>
    <n v="0"/>
    <m/>
    <n v="-6.1841614906832296"/>
    <n v="-0.75"/>
    <n v="-7.3913043478260896"/>
    <n v="-1.2"/>
    <n v="0"/>
    <n v="2.8"/>
    <n v="0.35714285714285698"/>
  </r>
  <r>
    <x v="1"/>
    <s v="KFC¬Æ Famous Bowl ‚Äì Snack Size"/>
    <n v="270"/>
    <n v="0"/>
    <n v="14"/>
    <n v="3.5"/>
    <n v="0"/>
    <n v="20"/>
    <n v="850"/>
    <n v="27"/>
    <n v="2"/>
    <n v="1"/>
    <n v="11"/>
    <n v="263.5"/>
    <n v="4.07407407407407"/>
    <n v="1"/>
    <n v="0"/>
    <m/>
    <n v="-7.5998447204968897"/>
    <n v="-0.875"/>
    <n v="-9.2391304347826093"/>
    <n v="-0.4"/>
    <n v="0"/>
    <n v="2.2000000000000002"/>
    <n v="0.71428571428571397"/>
  </r>
  <r>
    <x v="1"/>
    <s v="Green Beans"/>
    <n v="25"/>
    <n v="0"/>
    <n v="0"/>
    <n v="0"/>
    <n v="0"/>
    <n v="0"/>
    <n v="300"/>
    <n v="5"/>
    <n v="3"/>
    <n v="1"/>
    <n v="1"/>
    <n v="25"/>
    <n v="4"/>
    <n v="0"/>
    <n v="0"/>
    <m/>
    <n v="-2.3894409937888201"/>
    <n v="0"/>
    <n v="-3.2608695652173898"/>
    <n v="-0.4"/>
    <n v="0"/>
    <n v="0.2"/>
    <n v="1.0714285714285701"/>
  </r>
  <r>
    <x v="1"/>
    <s v="KENTUCKY FRIED WINGS Nashville Hot"/>
    <n v="130"/>
    <n v="0"/>
    <n v="11"/>
    <n v="2"/>
    <n v="0"/>
    <n v="20"/>
    <n v="230"/>
    <n v="4"/>
    <n v="0"/>
    <n v="0"/>
    <n v="5"/>
    <n v="127"/>
    <n v="3.8461538461538498"/>
    <n v="0"/>
    <n v="0"/>
    <m/>
    <n v="-2"/>
    <n v="-0.5"/>
    <n v="-2.5"/>
    <n v="0"/>
    <n v="0"/>
    <n v="1"/>
    <n v="0"/>
  </r>
  <r>
    <x v="1"/>
    <s v="Chicken Pot Pie"/>
    <n v="720"/>
    <n v="0"/>
    <n v="41"/>
    <n v="25"/>
    <n v="0"/>
    <n v="80"/>
    <n v="1750"/>
    <n v="60"/>
    <n v="7"/>
    <n v="5"/>
    <n v="26"/>
    <n v="724"/>
    <n v="3.6111111111111098"/>
    <n v="1"/>
    <n v="0"/>
    <m/>
    <n v="-19.5717391304348"/>
    <n v="-6.25"/>
    <n v="-19.021739130434799"/>
    <n v="-2"/>
    <n v="0"/>
    <n v="5.2"/>
    <n v="2.5"/>
  </r>
  <r>
    <x v="1"/>
    <s v="Country Fried Steak without Peppered White Gravy"/>
    <n v="360"/>
    <n v="0"/>
    <n v="24"/>
    <n v="7"/>
    <n v="1"/>
    <n v="35"/>
    <n v="750"/>
    <n v="22"/>
    <n v="2"/>
    <n v="0"/>
    <n v="13"/>
    <n v="354"/>
    <n v="3.6111111111111098"/>
    <n v="1"/>
    <n v="0"/>
    <m/>
    <n v="-6.5888881987577603"/>
    <n v="-1.75"/>
    <n v="-8.1521739130434803"/>
    <n v="0"/>
    <n v="-1E-3"/>
    <n v="2.6"/>
    <n v="0.71428571428571397"/>
  </r>
  <r>
    <x v="1"/>
    <s v="Macaroni &amp; Cheese"/>
    <n v="140"/>
    <n v="0"/>
    <n v="6"/>
    <n v="1.5"/>
    <n v="0"/>
    <n v="0"/>
    <n v="590"/>
    <n v="17"/>
    <n v="1"/>
    <n v="2"/>
    <n v="5"/>
    <n v="138.5"/>
    <n v="3.5714285714285698"/>
    <n v="1"/>
    <n v="0"/>
    <m/>
    <n v="-6.2309006211180096"/>
    <n v="-0.375"/>
    <n v="-6.4130434782608701"/>
    <n v="-0.8"/>
    <n v="0"/>
    <n v="1"/>
    <n v="0.35714285714285698"/>
  </r>
  <r>
    <x v="1"/>
    <s v="Sweet Kernel Corn (Family)"/>
    <n v="280"/>
    <n v="0"/>
    <n v="2.5"/>
    <n v="0"/>
    <n v="0"/>
    <n v="0"/>
    <n v="10"/>
    <n v="67"/>
    <n v="7"/>
    <n v="8"/>
    <n v="10"/>
    <n v="278"/>
    <n v="3.5714285714285698"/>
    <n v="0"/>
    <n v="0"/>
    <m/>
    <n v="1.1913043478260901"/>
    <n v="0"/>
    <n v="-0.108695652173913"/>
    <n v="-3.2"/>
    <n v="0"/>
    <n v="2"/>
    <n v="2.5"/>
  </r>
  <r>
    <x v="1"/>
    <s v="KFC¬Æ Famous Bowl"/>
    <n v="740"/>
    <n v="0"/>
    <n v="35"/>
    <n v="6"/>
    <n v="0"/>
    <n v="45"/>
    <n v="2350"/>
    <n v="81"/>
    <n v="6"/>
    <n v="2"/>
    <n v="26"/>
    <n v="722"/>
    <n v="3.51351351351351"/>
    <n v="1"/>
    <n v="0"/>
    <m/>
    <n v="-20.500621118012401"/>
    <n v="-1.5"/>
    <n v="-25.543478260869598"/>
    <n v="-0.8"/>
    <n v="0"/>
    <n v="5.2"/>
    <n v="2.1428571428571401"/>
  </r>
  <r>
    <x v="1"/>
    <s v="Chicken Whole Wing"/>
    <n v="290"/>
    <n v="0"/>
    <n v="25"/>
    <n v="4"/>
    <n v="0"/>
    <n v="45"/>
    <n v="520"/>
    <n v="6"/>
    <n v="1"/>
    <n v="1"/>
    <n v="10"/>
    <n v="285"/>
    <n v="3.4482758620689702"/>
    <n v="1"/>
    <n v="0"/>
    <m/>
    <n v="-4.6950310559006203"/>
    <n v="-1"/>
    <n v="-5.6521739130434803"/>
    <n v="-0.4"/>
    <n v="0"/>
    <n v="2"/>
    <n v="0.35714285714285698"/>
  </r>
  <r>
    <x v="1"/>
    <s v="Thigh"/>
    <n v="390"/>
    <n v="0"/>
    <n v="32"/>
    <n v="6"/>
    <n v="0"/>
    <n v="65"/>
    <n v="900"/>
    <n v="12"/>
    <n v="2"/>
    <n v="1"/>
    <n v="13"/>
    <n v="384"/>
    <n v="3.3333333333333299"/>
    <n v="1"/>
    <n v="0"/>
    <m/>
    <n v="-8.3683229813664592"/>
    <n v="-1.5"/>
    <n v="-9.7826086956521703"/>
    <n v="-0.4"/>
    <n v="0"/>
    <n v="2.6"/>
    <n v="0.71428571428571397"/>
  </r>
  <r>
    <x v="1"/>
    <s v="Macaroni &amp; Cheese (Family)"/>
    <n v="540"/>
    <n v="0"/>
    <n v="23"/>
    <n v="6"/>
    <n v="0"/>
    <n v="10"/>
    <n v="2220"/>
    <n v="66"/>
    <n v="5"/>
    <n v="8"/>
    <n v="18"/>
    <n v="536"/>
    <n v="3.3333333333333299"/>
    <n v="1"/>
    <n v="0"/>
    <m/>
    <n v="-23.444720496894401"/>
    <n v="-1.5"/>
    <n v="-24.130434782608699"/>
    <n v="-3.2"/>
    <n v="0"/>
    <n v="3.6"/>
    <n v="1.78571428571429"/>
  </r>
  <r>
    <x v="1"/>
    <s v="Parmesan Garlic Croutons"/>
    <n v="60"/>
    <n v="0"/>
    <n v="3"/>
    <n v="0"/>
    <n v="0"/>
    <n v="0"/>
    <n v="135"/>
    <n v="8"/>
    <n v="0"/>
    <n v="0"/>
    <n v="2"/>
    <n v="58"/>
    <n v="3.3333333333333299"/>
    <n v="0"/>
    <n v="0"/>
    <m/>
    <n v="-1.06739130434783"/>
    <n v="0"/>
    <n v="-1.4673913043478299"/>
    <n v="0"/>
    <n v="0"/>
    <n v="0.4"/>
    <n v="0"/>
  </r>
  <r>
    <x v="1"/>
    <s v="Country Fried Steak with Peppered White Gravy"/>
    <n v="390"/>
    <n v="0"/>
    <n v="26"/>
    <n v="7"/>
    <n v="1"/>
    <n v="35"/>
    <n v="910"/>
    <n v="26"/>
    <n v="2"/>
    <n v="0"/>
    <n v="13"/>
    <n v="384"/>
    <n v="3.3333333333333299"/>
    <n v="1"/>
    <n v="0"/>
    <m/>
    <n v="-8.3280186335403705"/>
    <n v="-1.75"/>
    <n v="-9.8913043478260896"/>
    <n v="0"/>
    <n v="-1E-3"/>
    <n v="2.6"/>
    <n v="0.71428571428571397"/>
  </r>
  <r>
    <x v="1"/>
    <s v="Corn on the Cob (Family)"/>
    <n v="280"/>
    <n v="0"/>
    <n v="2"/>
    <n v="0"/>
    <n v="0"/>
    <n v="0"/>
    <n v="15"/>
    <n v="67"/>
    <n v="8"/>
    <n v="11"/>
    <n v="9"/>
    <n v="282"/>
    <n v="3.21428571428571"/>
    <n v="0"/>
    <n v="0"/>
    <m/>
    <n v="9.4099378881987494E-2"/>
    <n v="0"/>
    <n v="-0.16304347826087001"/>
    <n v="-4.4000000000000004"/>
    <n v="0"/>
    <n v="1.8"/>
    <n v="2.8571428571428599"/>
  </r>
  <r>
    <x v="1"/>
    <s v="Corn on the Cob"/>
    <n v="70"/>
    <n v="0"/>
    <n v="0.5"/>
    <n v="0"/>
    <n v="0"/>
    <n v="0"/>
    <n v="0"/>
    <n v="17"/>
    <n v="2"/>
    <n v="3"/>
    <n v="2"/>
    <n v="71"/>
    <n v="2.8571428571428599"/>
    <n v="0"/>
    <n v="0"/>
    <m/>
    <n v="-8.5714285714285604E-2"/>
    <n v="0"/>
    <n v="0"/>
    <n v="-1.2"/>
    <n v="0"/>
    <n v="0.4"/>
    <n v="0.71428571428571397"/>
  </r>
  <r>
    <x v="1"/>
    <s v="Sweet Kernel Corn"/>
    <n v="70"/>
    <n v="0"/>
    <n v="0.5"/>
    <n v="0"/>
    <n v="0"/>
    <n v="0"/>
    <n v="0"/>
    <n v="16"/>
    <n v="2"/>
    <n v="2"/>
    <n v="2"/>
    <n v="70"/>
    <n v="2.8571428571428599"/>
    <n v="0"/>
    <n v="0"/>
    <m/>
    <n v="0.314285714285714"/>
    <n v="0"/>
    <n v="0"/>
    <n v="-0.8"/>
    <n v="0"/>
    <n v="0.4"/>
    <n v="0.71428571428571397"/>
  </r>
  <r>
    <x v="1"/>
    <s v="Hidden Valley The Original Ranch Fat Free Dressing"/>
    <n v="35"/>
    <n v="0"/>
    <n v="0"/>
    <n v="0"/>
    <n v="0"/>
    <n v="0"/>
    <n v="410"/>
    <n v="8"/>
    <n v="0"/>
    <n v="2"/>
    <n v="1"/>
    <n v="36"/>
    <n v="2.8571428571428599"/>
    <n v="0"/>
    <n v="0"/>
    <m/>
    <n v="-5.0565217391304298"/>
    <n v="0"/>
    <n v="-4.4565217391304301"/>
    <n v="-0.8"/>
    <n v="0"/>
    <n v="0.2"/>
    <n v="0"/>
  </r>
  <r>
    <x v="1"/>
    <s v="Mashed Potatoes With Gravy"/>
    <n v="130"/>
    <n v="0"/>
    <n v="4.5"/>
    <n v="1"/>
    <n v="0"/>
    <n v="0"/>
    <n v="520"/>
    <n v="20"/>
    <n v="1"/>
    <n v="0"/>
    <n v="3"/>
    <n v="128"/>
    <n v="2.3076923076923102"/>
    <n v="1"/>
    <n v="0"/>
    <m/>
    <n v="-4.9450310559006203"/>
    <n v="-0.25"/>
    <n v="-5.6521739130434803"/>
    <n v="0"/>
    <n v="0"/>
    <n v="0.6"/>
    <n v="0.35714285714285698"/>
  </r>
  <r>
    <x v="1"/>
    <s v="Biscuit"/>
    <n v="180"/>
    <n v="0"/>
    <n v="8"/>
    <n v="4.5"/>
    <n v="0"/>
    <n v="0"/>
    <n v="520"/>
    <n v="22"/>
    <n v="1"/>
    <n v="1"/>
    <n v="4"/>
    <n v="181.5"/>
    <n v="2.2222222222222201"/>
    <n v="1"/>
    <n v="0"/>
    <m/>
    <n v="-6.0200310559006196"/>
    <n v="-1.125"/>
    <n v="-5.6521739130434803"/>
    <n v="-0.4"/>
    <n v="0"/>
    <n v="0.8"/>
    <n v="0.35714285714285698"/>
  </r>
  <r>
    <x v="1"/>
    <s v="Mashed Potatoes With Gravy (Family)"/>
    <n v="590"/>
    <n v="0"/>
    <n v="21"/>
    <n v="5"/>
    <n v="0"/>
    <n v="0"/>
    <n v="2590"/>
    <n v="88"/>
    <n v="6"/>
    <n v="1"/>
    <n v="12"/>
    <n v="584"/>
    <n v="2.0338983050847501"/>
    <n v="1"/>
    <n v="0"/>
    <m/>
    <n v="-25.259316770186299"/>
    <n v="-1.25"/>
    <n v="-28.152173913043502"/>
    <n v="-0.4"/>
    <n v="0"/>
    <n v="2.4"/>
    <n v="2.1428571428571401"/>
  </r>
  <r>
    <x v="1"/>
    <s v="Mashed Potatoes (Family)"/>
    <n v="460"/>
    <n v="0"/>
    <n v="15"/>
    <n v="3"/>
    <n v="0"/>
    <n v="0"/>
    <n v="1410"/>
    <n v="72"/>
    <n v="6"/>
    <n v="0"/>
    <n v="9"/>
    <n v="454"/>
    <n v="1.9565217391304399"/>
    <n v="1"/>
    <n v="0"/>
    <m/>
    <n v="-12.133229813664601"/>
    <n v="-0.75"/>
    <n v="-15.326086956521699"/>
    <n v="0"/>
    <n v="0"/>
    <n v="1.8"/>
    <n v="2.1428571428571401"/>
  </r>
  <r>
    <x v="1"/>
    <s v="Mashed Potatoes"/>
    <n v="110"/>
    <n v="0"/>
    <n v="3.5"/>
    <n v="0.5"/>
    <n v="0"/>
    <n v="0"/>
    <n v="330"/>
    <n v="17"/>
    <n v="1"/>
    <n v="0"/>
    <n v="2"/>
    <n v="108.5"/>
    <n v="1.8181818181818199"/>
    <n v="0"/>
    <n v="0"/>
    <m/>
    <n v="-2.9548136645962702"/>
    <n v="-0.125"/>
    <n v="-3.5869565217391299"/>
    <n v="0"/>
    <n v="0"/>
    <n v="0.4"/>
    <n v="0.35714285714285698"/>
  </r>
  <r>
    <x v="1"/>
    <s v="Reese‚Äôs Peanut Butter Pie"/>
    <n v="300"/>
    <n v="0"/>
    <n v="17"/>
    <n v="9"/>
    <n v="0"/>
    <n v="0"/>
    <n v="270"/>
    <n v="33"/>
    <n v="1"/>
    <n v="22"/>
    <n v="5"/>
    <n v="326"/>
    <n v="1.6666666666666701"/>
    <n v="0"/>
    <n v="0"/>
    <m/>
    <n v="-12.627639751552801"/>
    <n v="-2.25"/>
    <n v="-2.9347826086956501"/>
    <n v="-8.8000000000000007"/>
    <n v="0"/>
    <n v="1"/>
    <n v="0.35714285714285698"/>
  </r>
  <r>
    <x v="1"/>
    <s v="Secret Recipe Fries"/>
    <n v="320"/>
    <n v="0"/>
    <n v="15"/>
    <n v="2"/>
    <n v="0"/>
    <n v="0"/>
    <n v="1100"/>
    <n v="41"/>
    <n v="3"/>
    <n v="0"/>
    <n v="5"/>
    <n v="317"/>
    <n v="1.5625"/>
    <n v="1"/>
    <n v="0"/>
    <m/>
    <n v="-10.3850931677019"/>
    <n v="-0.5"/>
    <n v="-11.9565217391304"/>
    <n v="0"/>
    <n v="0"/>
    <n v="1"/>
    <n v="1.0714285714285701"/>
  </r>
  <r>
    <x v="1"/>
    <s v="Secret Recipe Fries (Family)"/>
    <n v="840"/>
    <n v="0"/>
    <n v="40"/>
    <n v="5"/>
    <n v="0"/>
    <n v="0"/>
    <n v="2890"/>
    <n v="108"/>
    <n v="9"/>
    <n v="0"/>
    <n v="13"/>
    <n v="832"/>
    <n v="1.5476190476190499"/>
    <n v="1"/>
    <n v="0"/>
    <m/>
    <n v="-26.8487577639752"/>
    <n v="-1.25"/>
    <n v="-31.413043478260899"/>
    <n v="0"/>
    <n v="0"/>
    <n v="2.6"/>
    <n v="3.21428571428571"/>
  </r>
  <r>
    <x v="1"/>
    <s v="KFC¬Æ Cornbread Muffin"/>
    <n v="210"/>
    <n v="0"/>
    <n v="9"/>
    <n v="1.5"/>
    <n v="0"/>
    <n v="35"/>
    <n v="240"/>
    <n v="28"/>
    <n v="0"/>
    <n v="11"/>
    <n v="3"/>
    <n v="219.5"/>
    <n v="1.4285714285714299"/>
    <n v="0"/>
    <n v="0"/>
    <m/>
    <n v="-6.7836956521739102"/>
    <n v="-0.375"/>
    <n v="-2.60869565217391"/>
    <n v="-4.4000000000000004"/>
    <n v="0"/>
    <n v="0.6"/>
    <n v="0"/>
  </r>
  <r>
    <x v="1"/>
    <s v="Limited Time Cinnabon Dessert  Biscuits"/>
    <n v="290"/>
    <n v="0"/>
    <n v="13"/>
    <n v="7"/>
    <n v="0"/>
    <n v="0"/>
    <n v="580"/>
    <n v="40"/>
    <n v="2"/>
    <n v="17"/>
    <n v="4"/>
    <n v="310"/>
    <n v="1.3793103448275901"/>
    <n v="1"/>
    <n v="0"/>
    <m/>
    <n v="-13.340062111801201"/>
    <n v="-1.75"/>
    <n v="-6.3043478260869596"/>
    <n v="-6.8"/>
    <n v="0"/>
    <n v="0.8"/>
    <n v="0.71428571428571397"/>
  </r>
  <r>
    <x v="1"/>
    <s v="Caf√© Valley Chocolate Chip Cake (1 Slice)"/>
    <n v="300"/>
    <n v="0"/>
    <n v="15"/>
    <n v="3"/>
    <n v="0"/>
    <n v="50"/>
    <n v="260"/>
    <n v="39"/>
    <n v="1"/>
    <n v="27"/>
    <n v="4"/>
    <n v="326"/>
    <n v="1.3333333333333299"/>
    <n v="0"/>
    <n v="0"/>
    <m/>
    <n v="-13.2189440993789"/>
    <n v="-0.75"/>
    <n v="-2.8260869565217401"/>
    <n v="-10.8"/>
    <n v="0"/>
    <n v="0.8"/>
    <n v="0.35714285714285698"/>
  </r>
  <r>
    <x v="1"/>
    <s v="Oreo Cookies and Cr√®me Pie"/>
    <n v="270"/>
    <n v="0"/>
    <n v="13"/>
    <n v="8"/>
    <n v="0"/>
    <n v="0"/>
    <n v="210"/>
    <n v="35"/>
    <n v="1"/>
    <n v="24"/>
    <n v="3"/>
    <n v="299"/>
    <n v="1.1111111111111101"/>
    <n v="0"/>
    <n v="0"/>
    <m/>
    <n v="-12.9254658385093"/>
    <n v="-2"/>
    <n v="-2.2826086956521698"/>
    <n v="-9.6"/>
    <n v="0"/>
    <n v="0.6"/>
    <n v="0.35714285714285698"/>
  </r>
  <r>
    <x v="1"/>
    <s v="Caf√© Valley Mini Chocolate Chip Cake"/>
    <n v="300"/>
    <n v="0"/>
    <n v="12"/>
    <n v="2.5"/>
    <n v="0"/>
    <n v="40"/>
    <n v="190"/>
    <n v="49"/>
    <n v="1"/>
    <n v="35"/>
    <n v="3"/>
    <n v="334.5"/>
    <n v="1"/>
    <n v="0"/>
    <n v="0"/>
    <m/>
    <n v="-15.733074534161499"/>
    <n v="-0.625"/>
    <n v="-2.0652173913043499"/>
    <n v="-14"/>
    <n v="0"/>
    <n v="0.6"/>
    <n v="0.35714285714285698"/>
  </r>
  <r>
    <x v="1"/>
    <s v="Caf√© Valley Mini Lemon Cake"/>
    <n v="300"/>
    <n v="0"/>
    <n v="13"/>
    <n v="2.5"/>
    <n v="0"/>
    <n v="50"/>
    <n v="230"/>
    <n v="43"/>
    <n v="0"/>
    <n v="31"/>
    <n v="3"/>
    <n v="330.5"/>
    <n v="1"/>
    <n v="0"/>
    <n v="0"/>
    <m/>
    <n v="-14.925000000000001"/>
    <n v="-0.625"/>
    <n v="-2.5"/>
    <n v="-12.4"/>
    <n v="0"/>
    <n v="0.6"/>
    <n v="0"/>
  </r>
  <r>
    <x v="1"/>
    <s v="Caf√© Valley Lemon Cake (1 Slice)"/>
    <n v="220"/>
    <n v="0"/>
    <n v="10"/>
    <n v="2"/>
    <n v="0"/>
    <n v="30"/>
    <n v="170"/>
    <n v="30"/>
    <n v="0"/>
    <n v="20"/>
    <n v="2"/>
    <n v="240"/>
    <n v="0.90909090909090895"/>
    <n v="0"/>
    <n v="0"/>
    <m/>
    <n v="-9.9478260869565194"/>
    <n v="-0.5"/>
    <n v="-1.84782608695652"/>
    <n v="-8"/>
    <n v="0"/>
    <n v="0.4"/>
    <n v="0"/>
  </r>
  <r>
    <x v="1"/>
    <s v="Apple Turnover"/>
    <n v="230"/>
    <n v="0"/>
    <n v="10"/>
    <n v="2.5"/>
    <n v="0"/>
    <n v="0"/>
    <n v="140"/>
    <n v="32"/>
    <n v="0"/>
    <n v="12"/>
    <n v="2"/>
    <n v="242.5"/>
    <n v="0.86956521739130399"/>
    <n v="0"/>
    <n v="0"/>
    <m/>
    <n v="-6.54673913043478"/>
    <n v="-0.625"/>
    <n v="-1.52173913043478"/>
    <n v="-4.8"/>
    <n v="0"/>
    <n v="0.4"/>
    <n v="0"/>
  </r>
  <r>
    <x v="1"/>
    <s v="Chocolate Chip Cookie"/>
    <n v="120"/>
    <n v="0"/>
    <n v="6"/>
    <n v="3"/>
    <n v="0"/>
    <n v="0"/>
    <n v="70"/>
    <n v="18"/>
    <n v="1"/>
    <n v="12"/>
    <n v="1"/>
    <n v="134"/>
    <n v="0.83333333333333304"/>
    <n v="0"/>
    <n v="0"/>
    <m/>
    <n v="-5.75372670807453"/>
    <n v="-0.75"/>
    <n v="-0.76086956521739102"/>
    <n v="-4.8"/>
    <n v="0"/>
    <n v="0.2"/>
    <n v="0.35714285714285698"/>
  </r>
  <r>
    <x v="1"/>
    <s v="KFC¬Æ Creamy Parmesan Caesar Dressing"/>
    <n v="260"/>
    <n v="0"/>
    <n v="26"/>
    <n v="5"/>
    <n v="0"/>
    <n v="15"/>
    <n v="540"/>
    <n v="4"/>
    <n v="0"/>
    <n v="2"/>
    <n v="2"/>
    <n v="265"/>
    <n v="0.76923076923076905"/>
    <n v="1"/>
    <n v="0"/>
    <m/>
    <n v="-7.5195652173912997"/>
    <n v="-1.25"/>
    <n v="-5.8695652173913002"/>
    <n v="-0.8"/>
    <n v="0"/>
    <n v="0.4"/>
    <n v="0"/>
  </r>
  <r>
    <x v="1"/>
    <s v="Macaroni Salad"/>
    <n v="140"/>
    <n v="0"/>
    <n v="8"/>
    <n v="1"/>
    <n v="0"/>
    <n v="15"/>
    <n v="290"/>
    <n v="14"/>
    <n v="0"/>
    <n v="9"/>
    <n v="1"/>
    <n v="149"/>
    <n v="0.71428571428571397"/>
    <n v="0"/>
    <n v="0"/>
    <m/>
    <n v="-6.8021739130434797"/>
    <n v="-0.25"/>
    <n v="-3.1521739130434798"/>
    <n v="-3.6"/>
    <n v="0"/>
    <n v="0.2"/>
    <n v="0"/>
  </r>
  <r>
    <x v="1"/>
    <s v="Potato Salad (Family)"/>
    <n v="1200"/>
    <n v="0"/>
    <n v="98"/>
    <n v="16"/>
    <n v="0"/>
    <n v="80"/>
    <n v="1010"/>
    <n v="65"/>
    <n v="8"/>
    <n v="12"/>
    <n v="8"/>
    <n v="1220"/>
    <n v="0.66666666666666696"/>
    <n v="1"/>
    <n v="0"/>
    <m/>
    <n v="-15.321118012422399"/>
    <n v="-4"/>
    <n v="-10.978260869565201"/>
    <n v="-4.8"/>
    <n v="0"/>
    <n v="1.6"/>
    <n v="2.8571428571428599"/>
  </r>
  <r>
    <x v="1"/>
    <s v="Coleslaw (Family)"/>
    <n v="640"/>
    <n v="0"/>
    <n v="46"/>
    <n v="7"/>
    <n v="0"/>
    <n v="15"/>
    <n v="670"/>
    <n v="54"/>
    <n v="14"/>
    <n v="37"/>
    <n v="4"/>
    <n v="680"/>
    <n v="0.625"/>
    <n v="1"/>
    <n v="0"/>
    <m/>
    <n v="-18.0326086956522"/>
    <n v="-1.75"/>
    <n v="-7.2826086956521703"/>
    <n v="-14.8"/>
    <n v="0"/>
    <n v="0.8"/>
    <n v="5"/>
  </r>
  <r>
    <x v="1"/>
    <s v="Macaroni Salad (Family)"/>
    <n v="480"/>
    <n v="0"/>
    <n v="28"/>
    <n v="3.5"/>
    <n v="0"/>
    <n v="55"/>
    <n v="990"/>
    <n v="50"/>
    <n v="0"/>
    <n v="30"/>
    <n v="3"/>
    <n v="510.5"/>
    <n v="0.625"/>
    <n v="1"/>
    <n v="0"/>
    <m/>
    <n v="-23.0358695652174"/>
    <n v="-0.875"/>
    <n v="-10.7608695652174"/>
    <n v="-12"/>
    <n v="0"/>
    <n v="0.6"/>
    <n v="0"/>
  </r>
  <r>
    <x v="1"/>
    <s v="Coleslaw"/>
    <n v="170"/>
    <n v="0"/>
    <n v="12"/>
    <n v="2"/>
    <n v="0"/>
    <n v="0"/>
    <n v="180"/>
    <n v="14"/>
    <n v="4"/>
    <n v="10"/>
    <n v="1"/>
    <n v="181"/>
    <n v="0.58823529411764697"/>
    <n v="0"/>
    <n v="0"/>
    <m/>
    <n v="-4.82795031055901"/>
    <n v="-0.5"/>
    <n v="-1.9565217391304399"/>
    <n v="-4"/>
    <n v="0"/>
    <n v="0.2"/>
    <n v="1.4285714285714299"/>
  </r>
  <r>
    <x v="1"/>
    <s v="Potato Salad"/>
    <n v="340"/>
    <n v="0"/>
    <n v="28"/>
    <n v="4.5"/>
    <n v="0"/>
    <n v="25"/>
    <n v="290"/>
    <n v="19"/>
    <n v="2"/>
    <n v="3"/>
    <n v="2"/>
    <n v="345.5"/>
    <n v="0.58823529411764697"/>
    <n v="0"/>
    <n v="0"/>
    <m/>
    <n v="-4.3628881987577603"/>
    <n v="-1.125"/>
    <n v="-3.1521739130434798"/>
    <n v="-1.2"/>
    <n v="0"/>
    <n v="0.4"/>
    <n v="0.71428571428571397"/>
  </r>
  <r>
    <x v="1"/>
    <s v="Heinz Buttermilk Dressing"/>
    <n v="160"/>
    <n v="0"/>
    <n v="17"/>
    <n v="2"/>
    <n v="0"/>
    <n v="10"/>
    <n v="220"/>
    <n v="1"/>
    <n v="0"/>
    <n v="1"/>
    <n v="0"/>
    <n v="163"/>
    <n v="0"/>
    <n v="0"/>
    <n v="0"/>
    <m/>
    <n v="-3.2913043478260899"/>
    <n v="-0.5"/>
    <n v="-2.39130434782609"/>
    <n v="-0.4"/>
    <n v="0"/>
    <n v="0"/>
    <n v="0"/>
  </r>
  <r>
    <x v="1"/>
    <s v="Marzetti Light Italian Dressing"/>
    <n v="15"/>
    <n v="0"/>
    <n v="0.5"/>
    <n v="0"/>
    <n v="0"/>
    <n v="0"/>
    <n v="510"/>
    <n v="2"/>
    <n v="0"/>
    <n v="1"/>
    <n v="0"/>
    <n v="16"/>
    <n v="0"/>
    <n v="1"/>
    <n v="0"/>
    <m/>
    <n v="-5.9434782608695702"/>
    <n v="0"/>
    <n v="-5.5434782608695699"/>
    <n v="-0.4"/>
    <n v="0"/>
    <n v="0"/>
    <n v="0"/>
  </r>
  <r>
    <x v="1"/>
    <s v="BBQ ‚Äì Dipping Sauce Cup"/>
    <n v="45"/>
    <n v="0"/>
    <n v="0"/>
    <n v="0"/>
    <n v="0"/>
    <n v="0"/>
    <n v="150"/>
    <n v="11"/>
    <n v="0"/>
    <n v="11"/>
    <n v="0"/>
    <n v="56"/>
    <n v="0"/>
    <n v="0"/>
    <n v="0"/>
    <m/>
    <n v="-6.0304347826087001"/>
    <n v="0"/>
    <n v="-1.6304347826087"/>
    <n v="-4.4000000000000004"/>
    <n v="0"/>
    <n v="0"/>
    <n v="0"/>
  </r>
  <r>
    <x v="1"/>
    <s v="Colonel‚Äôs Buttery Spread"/>
    <n v="35"/>
    <n v="0"/>
    <n v="4"/>
    <n v="1.5"/>
    <n v="0"/>
    <n v="0"/>
    <n v="35"/>
    <n v="0"/>
    <n v="0"/>
    <n v="0"/>
    <n v="0"/>
    <n v="36.5"/>
    <n v="0"/>
    <n v="0"/>
    <n v="0"/>
    <m/>
    <n v="-0.75543478260869601"/>
    <n v="-0.375"/>
    <n v="-0.38043478260869601"/>
    <n v="0"/>
    <n v="0"/>
    <n v="0"/>
    <n v="0"/>
  </r>
  <r>
    <x v="1"/>
    <s v="Grape Jelly Packet"/>
    <n v="35"/>
    <n v="0"/>
    <n v="0"/>
    <n v="0"/>
    <n v="0"/>
    <n v="0"/>
    <n v="10"/>
    <n v="9"/>
    <n v="0"/>
    <n v="7"/>
    <n v="0"/>
    <n v="42"/>
    <n v="0"/>
    <n v="0"/>
    <n v="0"/>
    <m/>
    <n v="-2.9086956521739098"/>
    <n v="0"/>
    <n v="-0.108695652173913"/>
    <n v="-2.8"/>
    <n v="0"/>
    <n v="0"/>
    <n v="0"/>
  </r>
  <r>
    <x v="1"/>
    <s v="Honey Mustard ‚Äì Dipping Sauce Cup"/>
    <n v="110"/>
    <n v="0"/>
    <n v="9"/>
    <n v="1.5"/>
    <n v="0"/>
    <n v="0"/>
    <n v="120"/>
    <n v="6"/>
    <n v="0"/>
    <n v="6"/>
    <n v="0"/>
    <n v="117.5"/>
    <n v="0"/>
    <n v="0"/>
    <n v="0"/>
    <m/>
    <n v="-4.07934782608696"/>
    <n v="-0.375"/>
    <n v="-1.3043478260869601"/>
    <n v="-2.4"/>
    <n v="0"/>
    <n v="0"/>
    <n v="0"/>
  </r>
  <r>
    <x v="1"/>
    <s v="Honey Sauce Packet"/>
    <n v="30"/>
    <n v="0"/>
    <n v="0"/>
    <n v="0"/>
    <n v="0"/>
    <n v="0"/>
    <n v="0"/>
    <n v="8"/>
    <n v="0"/>
    <n v="5"/>
    <n v="0"/>
    <n v="35"/>
    <n v="0"/>
    <n v="0"/>
    <n v="0"/>
    <m/>
    <n v="-2"/>
    <n v="0"/>
    <n v="0"/>
    <n v="-2"/>
    <n v="0"/>
    <n v="0"/>
    <n v="0"/>
  </r>
  <r>
    <x v="1"/>
    <s v="Ketchup"/>
    <n v="30"/>
    <n v="0"/>
    <n v="0"/>
    <n v="0"/>
    <n v="0"/>
    <n v="0"/>
    <n v="250"/>
    <n v="8"/>
    <n v="0"/>
    <n v="6"/>
    <n v="0"/>
    <n v="36"/>
    <n v="0"/>
    <n v="0"/>
    <n v="0"/>
    <m/>
    <n v="-5.1173913043478301"/>
    <n v="0"/>
    <n v="-2.7173913043478302"/>
    <n v="-2.4"/>
    <n v="0"/>
    <n v="0"/>
    <n v="0"/>
  </r>
  <r>
    <x v="1"/>
    <s v="KFC Sauce ‚Äì Dipping Sauce Cup"/>
    <n v="90"/>
    <n v="0"/>
    <n v="8"/>
    <n v="1.5"/>
    <n v="0"/>
    <n v="10"/>
    <n v="170"/>
    <n v="5"/>
    <n v="0"/>
    <n v="5"/>
    <n v="0"/>
    <n v="96.5"/>
    <n v="0"/>
    <n v="0"/>
    <n v="0"/>
    <m/>
    <n v="-4.2228260869565197"/>
    <n v="-0.375"/>
    <n v="-1.84782608695652"/>
    <n v="-2"/>
    <n v="0"/>
    <n v="0"/>
    <n v="0"/>
  </r>
  <r>
    <x v="1"/>
    <s v="Lemon Juice Packet"/>
    <n v="5"/>
    <n v="0"/>
    <n v="0"/>
    <n v="0"/>
    <n v="0"/>
    <n v="0"/>
    <n v="20"/>
    <n v="1"/>
    <n v="0"/>
    <n v="0"/>
    <n v="0"/>
    <n v="5"/>
    <n v="0"/>
    <n v="0"/>
    <n v="0"/>
    <m/>
    <n v="-0.217391304347826"/>
    <n v="0"/>
    <n v="-0.217391304347826"/>
    <n v="0"/>
    <n v="0"/>
    <n v="0"/>
    <n v="0"/>
  </r>
  <r>
    <x v="1"/>
    <s v="Ranch ‚Äì Dipping Sauce Cup"/>
    <n v="130"/>
    <n v="0"/>
    <n v="14"/>
    <n v="2.5"/>
    <n v="0"/>
    <n v="10"/>
    <n v="240"/>
    <n v="2"/>
    <n v="0"/>
    <n v="1"/>
    <n v="0"/>
    <n v="133.5"/>
    <n v="0"/>
    <n v="0"/>
    <n v="0"/>
    <m/>
    <n v="-3.6336956521739099"/>
    <n v="-0.625"/>
    <n v="-2.60869565217391"/>
    <n v="-0.4"/>
    <n v="0"/>
    <n v="0"/>
    <n v="0"/>
  </r>
  <r>
    <x v="1"/>
    <s v="Strawberry Jam Packet"/>
    <n v="35"/>
    <n v="0"/>
    <n v="0"/>
    <n v="0"/>
    <n v="0"/>
    <n v="0"/>
    <n v="0"/>
    <n v="9"/>
    <n v="0"/>
    <n v="6"/>
    <n v="0"/>
    <n v="41"/>
    <n v="0"/>
    <n v="0"/>
    <n v="0"/>
    <m/>
    <n v="-2.4"/>
    <n v="0"/>
    <n v="0"/>
    <n v="-2.4"/>
    <n v="0"/>
    <n v="0"/>
    <n v="0"/>
  </r>
  <r>
    <x v="1"/>
    <s v="Capri Sun¬Æ 100% Juice Fruit Punch"/>
    <n v="80"/>
    <n v="0"/>
    <n v="0"/>
    <n v="0"/>
    <n v="0"/>
    <n v="0"/>
    <n v="25"/>
    <n v="21"/>
    <n v="0"/>
    <n v="20"/>
    <n v="0"/>
    <n v="100"/>
    <n v="0"/>
    <n v="0"/>
    <n v="0"/>
    <m/>
    <n v="-8.2717391304347796"/>
    <n v="0"/>
    <n v="-0.27173913043478298"/>
    <n v="-8"/>
    <n v="0"/>
    <n v="0"/>
    <n v="0"/>
  </r>
  <r>
    <x v="1"/>
    <s v="Musselman‚Äôs‚Ñ¢ Applesauce"/>
    <n v="45"/>
    <n v="0"/>
    <n v="0"/>
    <n v="0"/>
    <n v="0"/>
    <n v="0"/>
    <n v="0"/>
    <n v="12"/>
    <n v="1"/>
    <n v="8"/>
    <n v="0"/>
    <n v="53"/>
    <n v="0"/>
    <n v="0"/>
    <n v="0"/>
    <m/>
    <n v="-2.8428571428571399"/>
    <n v="0"/>
    <n v="0"/>
    <n v="-3.2"/>
    <n v="0"/>
    <n v="0"/>
    <n v="0.35714285714285698"/>
  </r>
  <r>
    <x v="1"/>
    <s v="7UP¬Æ (12 fl oz)"/>
    <n v="140"/>
    <n v="0"/>
    <n v="0"/>
    <n v="0"/>
    <n v="0"/>
    <n v="0"/>
    <n v="50"/>
    <n v="35"/>
    <n v="0"/>
    <n v="35"/>
    <n v="0"/>
    <n v="175"/>
    <n v="0"/>
    <n v="0"/>
    <n v="0"/>
    <m/>
    <n v="-14.5434782608696"/>
    <n v="0"/>
    <n v="-0.54347826086956497"/>
    <n v="-14"/>
    <n v="0"/>
    <n v="0"/>
    <n v="0"/>
  </r>
  <r>
    <x v="1"/>
    <s v="7UP¬Æ (16 fl oz)"/>
    <n v="190"/>
    <n v="0"/>
    <n v="0"/>
    <n v="0"/>
    <n v="0"/>
    <n v="0"/>
    <n v="70"/>
    <n v="46"/>
    <n v="0"/>
    <n v="46"/>
    <n v="0"/>
    <n v="236"/>
    <n v="0"/>
    <n v="0"/>
    <n v="0"/>
    <m/>
    <n v="-19.1608695652174"/>
    <n v="0"/>
    <n v="-0.76086956521739102"/>
    <n v="-18.399999999999999"/>
    <n v="0"/>
    <n v="0"/>
    <n v="0"/>
  </r>
  <r>
    <x v="1"/>
    <s v="7UP¬Æ (20 fl oz)"/>
    <n v="240"/>
    <n v="0"/>
    <n v="0"/>
    <n v="0"/>
    <n v="0"/>
    <n v="0"/>
    <n v="85"/>
    <n v="58"/>
    <n v="0"/>
    <n v="58"/>
    <n v="0"/>
    <n v="298"/>
    <n v="0"/>
    <n v="0"/>
    <n v="0"/>
    <m/>
    <n v="-24.1239130434783"/>
    <n v="0"/>
    <n v="-0.92391304347826098"/>
    <n v="-23.2"/>
    <n v="0"/>
    <n v="0"/>
    <n v="0"/>
  </r>
  <r>
    <x v="1"/>
    <s v="7UP¬Æ (30 fl oz)"/>
    <n v="350"/>
    <n v="0"/>
    <n v="0"/>
    <n v="0"/>
    <n v="0"/>
    <n v="0"/>
    <n v="125"/>
    <n v="87"/>
    <n v="0"/>
    <n v="87"/>
    <n v="0"/>
    <n v="437"/>
    <n v="0"/>
    <n v="0"/>
    <n v="0"/>
    <m/>
    <n v="-36.158695652173897"/>
    <n v="0"/>
    <n v="-1.35869565217391"/>
    <n v="-34.799999999999997"/>
    <n v="0"/>
    <n v="0"/>
    <n v="0"/>
  </r>
  <r>
    <x v="1"/>
    <s v="Classic Lemonade (1/2 Gallon)"/>
    <n v="880"/>
    <n v="0"/>
    <n v="0"/>
    <n v="0"/>
    <n v="0"/>
    <n v="0"/>
    <n v="780"/>
    <n v="234"/>
    <n v="0"/>
    <n v="228"/>
    <n v="0"/>
    <n v="1108"/>
    <n v="0"/>
    <n v="1"/>
    <n v="0"/>
    <m/>
    <n v="-99.678260869565193"/>
    <n v="0"/>
    <n v="-8.4782608695652204"/>
    <n v="-91.2"/>
    <n v="0"/>
    <n v="0"/>
    <n v="0"/>
  </r>
  <r>
    <x v="1"/>
    <s v="Classic Lemonade (20 fl oz)"/>
    <n v="140"/>
    <n v="0"/>
    <n v="0"/>
    <n v="0"/>
    <n v="0"/>
    <n v="0"/>
    <n v="130"/>
    <n v="39"/>
    <n v="0"/>
    <n v="38"/>
    <n v="0"/>
    <n v="178"/>
    <n v="0"/>
    <n v="0"/>
    <n v="0"/>
    <m/>
    <n v="-16.613043478260899"/>
    <n v="0"/>
    <n v="-1.4130434782608701"/>
    <n v="-15.2"/>
    <n v="0"/>
    <n v="0"/>
    <n v="0"/>
  </r>
  <r>
    <x v="1"/>
    <s v="Code Red Mountain Dew¬Æ (12 fl oz)"/>
    <n v="170"/>
    <n v="0"/>
    <n v="0"/>
    <n v="0"/>
    <n v="0"/>
    <n v="0"/>
    <n v="50"/>
    <n v="46"/>
    <n v="0"/>
    <n v="46"/>
    <n v="0"/>
    <n v="216"/>
    <n v="0"/>
    <n v="0"/>
    <n v="0"/>
    <m/>
    <n v="-18.9434782608696"/>
    <n v="0"/>
    <n v="-0.54347826086956497"/>
    <n v="-18.399999999999999"/>
    <n v="0"/>
    <n v="0"/>
    <n v="0"/>
  </r>
  <r>
    <x v="1"/>
    <s v="Code Red Mountain Dew¬Æ (16 fl oz)"/>
    <n v="230"/>
    <n v="0"/>
    <n v="0"/>
    <n v="0"/>
    <n v="0"/>
    <n v="0"/>
    <n v="65"/>
    <n v="62"/>
    <n v="0"/>
    <n v="62"/>
    <n v="0"/>
    <n v="292"/>
    <n v="0"/>
    <n v="0"/>
    <n v="0"/>
    <m/>
    <n v="-25.506521739130399"/>
    <n v="0"/>
    <n v="-0.70652173913043503"/>
    <n v="-24.8"/>
    <n v="0"/>
    <n v="0"/>
    <n v="0"/>
  </r>
  <r>
    <x v="1"/>
    <s v="Code Red Mountain Dew¬Æ (20 fl oz)"/>
    <n v="290"/>
    <n v="0"/>
    <n v="0"/>
    <n v="0"/>
    <n v="0"/>
    <n v="0"/>
    <n v="85"/>
    <n v="77"/>
    <n v="0"/>
    <n v="77"/>
    <n v="0"/>
    <n v="367"/>
    <n v="0"/>
    <n v="0"/>
    <n v="0"/>
    <m/>
    <n v="-31.723913043478301"/>
    <n v="0"/>
    <n v="-0.92391304347826098"/>
    <n v="-30.8"/>
    <n v="0"/>
    <n v="0"/>
    <n v="0"/>
  </r>
  <r>
    <x v="1"/>
    <s v="Code Red Mountain Dew¬Æ (30 fl oz)"/>
    <n v="430"/>
    <n v="0"/>
    <n v="0"/>
    <n v="0"/>
    <n v="0"/>
    <n v="0"/>
    <n v="125"/>
    <n v="116"/>
    <n v="0"/>
    <n v="115"/>
    <n v="0"/>
    <n v="545"/>
    <n v="0"/>
    <n v="0"/>
    <n v="0"/>
    <m/>
    <n v="-47.3586956521739"/>
    <n v="0"/>
    <n v="-1.35869565217391"/>
    <n v="-46"/>
    <n v="0"/>
    <n v="0"/>
    <n v="0"/>
  </r>
  <r>
    <x v="1"/>
    <s v="Diet Mountain Dew¬Æ (12 fl oz)"/>
    <n v="0"/>
    <n v="0"/>
    <n v="0"/>
    <n v="0"/>
    <n v="0"/>
    <n v="0"/>
    <n v="55"/>
    <n v="1"/>
    <n v="0"/>
    <n v="0"/>
    <n v="0"/>
    <n v="0"/>
    <n v="0"/>
    <n v="0"/>
    <n v="0"/>
    <m/>
    <n v="-0.59782608695652195"/>
    <n v="0"/>
    <n v="-0.59782608695652195"/>
    <n v="0"/>
    <n v="0"/>
    <n v="0"/>
    <n v="0"/>
  </r>
  <r>
    <x v="1"/>
    <s v="Diet Mountain Dew¬Æ (16 fl oz)"/>
    <n v="5"/>
    <n v="0"/>
    <n v="0"/>
    <n v="0"/>
    <n v="0"/>
    <n v="0"/>
    <n v="75"/>
    <n v="1"/>
    <n v="0"/>
    <n v="0"/>
    <n v="0"/>
    <n v="5"/>
    <n v="0"/>
    <n v="0"/>
    <n v="0"/>
    <m/>
    <n v="-0.815217391304348"/>
    <n v="0"/>
    <n v="-0.815217391304348"/>
    <n v="0"/>
    <n v="0"/>
    <n v="0"/>
    <n v="0"/>
  </r>
  <r>
    <x v="1"/>
    <s v="Diet Mountain Dew¬Æ (20 fl oz)"/>
    <n v="10"/>
    <n v="0"/>
    <n v="0"/>
    <n v="0"/>
    <n v="0"/>
    <n v="0"/>
    <n v="90"/>
    <n v="1"/>
    <n v="0"/>
    <n v="1"/>
    <n v="0"/>
    <n v="11"/>
    <n v="0"/>
    <n v="0"/>
    <n v="0"/>
    <m/>
    <n v="-1.3782608695652201"/>
    <n v="0"/>
    <n v="-0.97826086956521796"/>
    <n v="-0.4"/>
    <n v="0"/>
    <n v="0"/>
    <n v="0"/>
  </r>
  <r>
    <x v="1"/>
    <s v="Diet Mountain Dew¬Æ (30 fl oz)"/>
    <n v="10"/>
    <n v="0"/>
    <n v="0"/>
    <n v="0"/>
    <n v="0"/>
    <n v="0"/>
    <n v="140"/>
    <n v="1"/>
    <n v="0"/>
    <n v="1"/>
    <n v="0"/>
    <n v="11"/>
    <n v="0"/>
    <n v="0"/>
    <n v="0"/>
    <m/>
    <n v="-1.92173913043478"/>
    <n v="0"/>
    <n v="-1.52173913043478"/>
    <n v="-0.4"/>
    <n v="0"/>
    <n v="0"/>
    <n v="0"/>
  </r>
  <r>
    <x v="1"/>
    <s v="Dr Pepper¬Æ (12 fl oz)"/>
    <n v="140"/>
    <n v="0"/>
    <n v="0"/>
    <n v="0"/>
    <n v="0"/>
    <n v="0"/>
    <n v="45"/>
    <n v="39"/>
    <n v="0"/>
    <n v="38"/>
    <n v="0"/>
    <n v="178"/>
    <n v="0"/>
    <n v="0"/>
    <n v="0"/>
    <m/>
    <n v="-15.6891304347826"/>
    <n v="0"/>
    <n v="-0.48913043478260898"/>
    <n v="-15.2"/>
    <n v="0"/>
    <n v="0"/>
    <n v="0"/>
  </r>
  <r>
    <x v="1"/>
    <s v="Dr Pepper¬Æ (16 fl oz)"/>
    <n v="190"/>
    <n v="0"/>
    <n v="0"/>
    <n v="0"/>
    <n v="0"/>
    <n v="0"/>
    <n v="60"/>
    <n v="52"/>
    <n v="0"/>
    <n v="51"/>
    <n v="0"/>
    <n v="241"/>
    <n v="0"/>
    <n v="0"/>
    <n v="0"/>
    <m/>
    <n v="-21.0521739130435"/>
    <n v="0"/>
    <n v="-0.65217391304347805"/>
    <n v="-20.399999999999999"/>
    <n v="0"/>
    <n v="0"/>
    <n v="0"/>
  </r>
  <r>
    <x v="1"/>
    <s v="Dr Pepper¬Æ (20 fl oz)"/>
    <n v="240"/>
    <n v="0"/>
    <n v="0"/>
    <n v="0"/>
    <n v="0"/>
    <n v="0"/>
    <n v="75"/>
    <n v="65"/>
    <n v="0"/>
    <n v="64"/>
    <n v="0"/>
    <n v="304"/>
    <n v="0"/>
    <n v="0"/>
    <n v="0"/>
    <m/>
    <n v="-26.415217391304299"/>
    <n v="0"/>
    <n v="-0.815217391304348"/>
    <n v="-25.6"/>
    <n v="0"/>
    <n v="0"/>
    <n v="0"/>
  </r>
  <r>
    <x v="1"/>
    <s v="Dr Pepper¬Æ (30 fl oz)"/>
    <n v="360"/>
    <n v="0"/>
    <n v="0"/>
    <n v="0"/>
    <n v="0"/>
    <n v="0"/>
    <n v="110"/>
    <n v="98"/>
    <n v="0"/>
    <n v="96"/>
    <n v="0"/>
    <n v="456"/>
    <n v="0"/>
    <n v="0"/>
    <n v="0"/>
    <m/>
    <n v="-39.595652173913003"/>
    <n v="0"/>
    <n v="-1.1956521739130399"/>
    <n v="-38.4"/>
    <n v="0"/>
    <n v="0"/>
    <n v="0"/>
  </r>
  <r>
    <x v="1"/>
    <s v="Lipton¬Æ Brisk¬Æ Lemon Tea (12 fl oz)"/>
    <n v="80"/>
    <n v="0"/>
    <n v="0"/>
    <n v="0"/>
    <n v="0"/>
    <n v="0"/>
    <n v="40"/>
    <n v="22"/>
    <n v="0"/>
    <n v="22"/>
    <n v="0"/>
    <n v="102"/>
    <n v="0"/>
    <n v="0"/>
    <n v="0"/>
    <m/>
    <n v="-9.2347826086956495"/>
    <n v="0"/>
    <n v="-0.434782608695652"/>
    <n v="-8.8000000000000007"/>
    <n v="0"/>
    <n v="0"/>
    <n v="0"/>
  </r>
  <r>
    <x v="1"/>
    <s v="Lipton¬Æ Brisk¬Æ Lemon Tea (16 fl oz)"/>
    <n v="110"/>
    <n v="0"/>
    <n v="0"/>
    <n v="0"/>
    <n v="0"/>
    <n v="0"/>
    <n v="55"/>
    <n v="29"/>
    <n v="0"/>
    <n v="29"/>
    <n v="0"/>
    <n v="139"/>
    <n v="0"/>
    <n v="0"/>
    <n v="0"/>
    <m/>
    <n v="-12.1978260869565"/>
    <n v="0"/>
    <n v="-0.59782608695652195"/>
    <n v="-11.6"/>
    <n v="0"/>
    <n v="0"/>
    <n v="0"/>
  </r>
  <r>
    <x v="1"/>
    <s v="Lipton¬Æ Brisk¬Æ Lemon Tea (20 fl oz)"/>
    <n v="140"/>
    <n v="0"/>
    <n v="0"/>
    <n v="0"/>
    <n v="0"/>
    <n v="0"/>
    <n v="70"/>
    <n v="36"/>
    <n v="0"/>
    <n v="36"/>
    <n v="0"/>
    <n v="176"/>
    <n v="0"/>
    <n v="0"/>
    <n v="0"/>
    <m/>
    <n v="-15.1608695652174"/>
    <n v="0"/>
    <n v="-0.76086956521739102"/>
    <n v="-14.4"/>
    <n v="0"/>
    <n v="0"/>
    <n v="0"/>
  </r>
  <r>
    <x v="1"/>
    <s v="Lipton¬Æ Brisk¬Æ Lemon Tea (30 fl oz)"/>
    <n v="210"/>
    <n v="0"/>
    <n v="0"/>
    <n v="0"/>
    <n v="0"/>
    <n v="0"/>
    <n v="105"/>
    <n v="55"/>
    <n v="0"/>
    <n v="54"/>
    <n v="0"/>
    <n v="264"/>
    <n v="0"/>
    <n v="0"/>
    <n v="0"/>
    <m/>
    <n v="-22.741304347826102"/>
    <n v="0"/>
    <n v="-1.14130434782609"/>
    <n v="-21.6"/>
    <n v="0"/>
    <n v="0"/>
    <n v="0"/>
  </r>
  <r>
    <x v="1"/>
    <s v="Lipton¬Æ Brisk¬Æ Raspberry Tea (12 fl oz)"/>
    <n v="80"/>
    <n v="0"/>
    <n v="0"/>
    <n v="0"/>
    <n v="0"/>
    <n v="0"/>
    <n v="45"/>
    <n v="20"/>
    <n v="0"/>
    <n v="20"/>
    <n v="0"/>
    <n v="100"/>
    <n v="0"/>
    <n v="0"/>
    <n v="0"/>
    <m/>
    <n v="-8.4891304347826093"/>
    <n v="0"/>
    <n v="-0.48913043478260898"/>
    <n v="-8"/>
    <n v="0"/>
    <n v="0"/>
    <n v="0"/>
  </r>
  <r>
    <x v="1"/>
    <s v="Lipton¬Æ Brisk¬Æ Raspberry Tea (16 fl oz)"/>
    <n v="100"/>
    <n v="0"/>
    <n v="0"/>
    <n v="0"/>
    <n v="0"/>
    <n v="0"/>
    <n v="55"/>
    <n v="26"/>
    <n v="0"/>
    <n v="26"/>
    <n v="0"/>
    <n v="126"/>
    <n v="0"/>
    <n v="0"/>
    <n v="0"/>
    <m/>
    <n v="-10.997826086956501"/>
    <n v="0"/>
    <n v="-0.59782608695652195"/>
    <n v="-10.4"/>
    <n v="0"/>
    <n v="0"/>
    <n v="0"/>
  </r>
  <r>
    <x v="1"/>
    <s v="Lipton¬Æ Brisk¬Æ Raspberry Tea (20 fl oz)"/>
    <n v="130"/>
    <n v="0"/>
    <n v="0"/>
    <n v="0"/>
    <n v="0"/>
    <n v="0"/>
    <n v="70"/>
    <n v="33"/>
    <n v="0"/>
    <n v="33"/>
    <n v="0"/>
    <n v="163"/>
    <n v="0"/>
    <n v="0"/>
    <n v="0"/>
    <m/>
    <n v="-13.960869565217401"/>
    <n v="0"/>
    <n v="-0.76086956521739102"/>
    <n v="-13.2"/>
    <n v="0"/>
    <n v="0"/>
    <n v="0"/>
  </r>
  <r>
    <x v="1"/>
    <s v="Lipton¬Æ Brisk¬Æ Raspberry Tea (30 fl oz)"/>
    <n v="190"/>
    <n v="0"/>
    <n v="0"/>
    <n v="0"/>
    <n v="0"/>
    <n v="0"/>
    <n v="110"/>
    <n v="49"/>
    <n v="0"/>
    <n v="49"/>
    <n v="0"/>
    <n v="239"/>
    <n v="0"/>
    <n v="0"/>
    <n v="0"/>
    <m/>
    <n v="-20.795652173912998"/>
    <n v="0"/>
    <n v="-1.1956521739130399"/>
    <n v="-19.600000000000001"/>
    <n v="0"/>
    <n v="0"/>
    <n v="0"/>
  </r>
  <r>
    <x v="1"/>
    <s v="Lipton¬Æ Brisk¬Æ Sweet Iced Tea (12 fl oz)"/>
    <n v="80"/>
    <n v="0"/>
    <n v="0"/>
    <n v="0"/>
    <n v="0"/>
    <n v="0"/>
    <n v="45"/>
    <n v="22"/>
    <n v="0"/>
    <n v="21"/>
    <n v="0"/>
    <n v="101"/>
    <n v="0"/>
    <n v="0"/>
    <n v="0"/>
    <m/>
    <n v="-8.8891304347826097"/>
    <n v="0"/>
    <n v="-0.48913043478260898"/>
    <n v="-8.4"/>
    <n v="0"/>
    <n v="0"/>
    <n v="0"/>
  </r>
  <r>
    <x v="1"/>
    <s v="Lipton¬Æ Brisk¬Æ Sweet Iced Tea (16 fl oz)"/>
    <n v="110"/>
    <n v="0"/>
    <n v="0"/>
    <n v="0"/>
    <n v="0"/>
    <n v="0"/>
    <n v="65"/>
    <n v="29"/>
    <n v="0"/>
    <n v="29"/>
    <n v="0"/>
    <n v="139"/>
    <n v="0"/>
    <n v="0"/>
    <n v="0"/>
    <m/>
    <n v="-12.3065217391304"/>
    <n v="0"/>
    <n v="-0.70652173913043503"/>
    <n v="-11.6"/>
    <n v="0"/>
    <n v="0"/>
    <n v="0"/>
  </r>
  <r>
    <x v="1"/>
    <s v="Lipton¬Æ Brisk¬Æ Sweet Iced Tea (20 fl oz)"/>
    <n v="130"/>
    <n v="0"/>
    <n v="0"/>
    <n v="0"/>
    <n v="0"/>
    <n v="0"/>
    <n v="80"/>
    <n v="36"/>
    <n v="0"/>
    <n v="36"/>
    <n v="0"/>
    <n v="166"/>
    <n v="0"/>
    <n v="0"/>
    <n v="0"/>
    <m/>
    <n v="-15.2695652173913"/>
    <n v="0"/>
    <n v="-0.86956521739130399"/>
    <n v="-14.4"/>
    <n v="0"/>
    <n v="0"/>
    <n v="0"/>
  </r>
  <r>
    <x v="1"/>
    <s v="Lipton¬Æ Brisk¬Æ Sweet Iced Tea (30 fl oz)"/>
    <n v="200"/>
    <n v="0"/>
    <n v="0"/>
    <n v="0"/>
    <n v="0"/>
    <n v="0"/>
    <n v="120"/>
    <n v="54"/>
    <n v="0"/>
    <n v="54"/>
    <n v="0"/>
    <n v="254"/>
    <n v="0"/>
    <n v="0"/>
    <n v="0"/>
    <m/>
    <n v="-22.904347826087001"/>
    <n v="0"/>
    <n v="-1.3043478260869601"/>
    <n v="-21.6"/>
    <n v="0"/>
    <n v="0"/>
    <n v="0"/>
  </r>
  <r>
    <x v="1"/>
    <s v="Manzanita Sol¬Æ (12 fl oz)"/>
    <n v="160"/>
    <n v="0"/>
    <n v="0"/>
    <n v="0"/>
    <n v="0"/>
    <n v="0"/>
    <n v="35"/>
    <n v="42"/>
    <n v="0"/>
    <n v="42"/>
    <n v="0"/>
    <n v="202"/>
    <n v="0"/>
    <n v="0"/>
    <n v="0"/>
    <m/>
    <n v="-17.1804347826087"/>
    <n v="0"/>
    <n v="-0.38043478260869601"/>
    <n v="-16.8"/>
    <n v="0"/>
    <n v="0"/>
    <n v="0"/>
  </r>
  <r>
    <x v="1"/>
    <s v="Manzanita Sol¬Æ (16 fl oz)"/>
    <n v="210"/>
    <n v="0"/>
    <n v="0"/>
    <n v="0"/>
    <n v="0"/>
    <n v="0"/>
    <n v="45"/>
    <n v="57"/>
    <n v="0"/>
    <n v="57"/>
    <n v="0"/>
    <n v="267"/>
    <n v="0"/>
    <n v="0"/>
    <n v="0"/>
    <m/>
    <n v="-23.289130434782599"/>
    <n v="0"/>
    <n v="-0.48913043478260898"/>
    <n v="-22.8"/>
    <n v="0"/>
    <n v="0"/>
    <n v="0"/>
  </r>
  <r>
    <x v="1"/>
    <s v="Manzanita Sol¬Æ (20 fl oz)"/>
    <n v="260"/>
    <n v="0"/>
    <n v="0"/>
    <n v="0"/>
    <n v="0"/>
    <n v="0"/>
    <n v="55"/>
    <n v="71"/>
    <n v="0"/>
    <n v="71"/>
    <n v="0"/>
    <n v="331"/>
    <n v="0"/>
    <n v="0"/>
    <n v="0"/>
    <m/>
    <n v="-28.997826086956501"/>
    <n v="0"/>
    <n v="-0.59782608695652195"/>
    <n v="-28.4"/>
    <n v="0"/>
    <n v="0"/>
    <n v="0"/>
  </r>
  <r>
    <x v="1"/>
    <s v="Manzanita Sol¬Æ (30 fl oz)"/>
    <n v="400"/>
    <n v="0"/>
    <n v="0"/>
    <n v="0"/>
    <n v="0"/>
    <n v="0"/>
    <n v="80"/>
    <n v="106"/>
    <n v="0"/>
    <n v="106"/>
    <n v="0"/>
    <n v="506"/>
    <n v="0"/>
    <n v="0"/>
    <n v="0"/>
    <m/>
    <n v="-43.269565217391303"/>
    <n v="0"/>
    <n v="-0.86956521739130399"/>
    <n v="-42.4"/>
    <n v="0"/>
    <n v="0"/>
    <n v="0"/>
  </r>
  <r>
    <x v="1"/>
    <s v="Miranda¬Æ Strawberry (12 fl oz)"/>
    <n v="160"/>
    <n v="0"/>
    <n v="0"/>
    <n v="0"/>
    <n v="0"/>
    <n v="0"/>
    <n v="70"/>
    <n v="44"/>
    <n v="0"/>
    <n v="44"/>
    <n v="0"/>
    <n v="204"/>
    <n v="0"/>
    <n v="0"/>
    <n v="0"/>
    <m/>
    <n v="-18.360869565217399"/>
    <n v="0"/>
    <n v="-0.76086956521739102"/>
    <n v="-17.600000000000001"/>
    <n v="0"/>
    <n v="0"/>
    <n v="0"/>
  </r>
  <r>
    <x v="1"/>
    <s v="Miranda¬Æ Strawberry (16 fl oz)"/>
    <n v="220"/>
    <n v="0"/>
    <n v="0"/>
    <n v="0"/>
    <n v="0"/>
    <n v="0"/>
    <n v="95"/>
    <n v="58"/>
    <n v="0"/>
    <n v="58"/>
    <n v="0"/>
    <n v="278"/>
    <n v="0"/>
    <n v="0"/>
    <n v="0"/>
    <m/>
    <n v="-24.2326086956522"/>
    <n v="0"/>
    <n v="-1.0326086956521701"/>
    <n v="-23.2"/>
    <n v="0"/>
    <n v="0"/>
    <n v="0"/>
  </r>
  <r>
    <x v="1"/>
    <s v="Miranda¬Æ Strawberry (20 fl oz)"/>
    <n v="270"/>
    <n v="0"/>
    <n v="0"/>
    <n v="0"/>
    <n v="0"/>
    <n v="0"/>
    <n v="120"/>
    <n v="73"/>
    <n v="0"/>
    <n v="73"/>
    <n v="0"/>
    <n v="343"/>
    <n v="0"/>
    <n v="0"/>
    <n v="0"/>
    <m/>
    <n v="-30.504347826086999"/>
    <n v="0"/>
    <n v="-1.3043478260869601"/>
    <n v="-29.2"/>
    <n v="0"/>
    <n v="0"/>
    <n v="0"/>
  </r>
  <r>
    <x v="1"/>
    <s v="Miranda¬Æ Strawberry (30 fl oz)"/>
    <n v="410"/>
    <n v="0"/>
    <n v="0"/>
    <n v="0"/>
    <n v="0"/>
    <n v="0"/>
    <n v="180"/>
    <n v="109"/>
    <n v="0"/>
    <n v="109"/>
    <n v="0"/>
    <n v="519"/>
    <n v="0"/>
    <n v="0"/>
    <n v="0"/>
    <m/>
    <n v="-45.556521739130403"/>
    <n v="0"/>
    <n v="-1.9565217391304399"/>
    <n v="-43.6"/>
    <n v="0"/>
    <n v="0"/>
    <n v="0"/>
  </r>
  <r>
    <x v="1"/>
    <s v="Mist Twst¬Æ (12 fl oz)"/>
    <n v="150"/>
    <n v="0"/>
    <n v="0"/>
    <n v="0"/>
    <n v="0"/>
    <n v="0"/>
    <n v="35"/>
    <n v="41"/>
    <n v="0"/>
    <n v="41"/>
    <n v="0"/>
    <n v="191"/>
    <n v="0"/>
    <n v="0"/>
    <n v="0"/>
    <m/>
    <n v="-16.780434782608701"/>
    <n v="0"/>
    <n v="-0.38043478260869601"/>
    <n v="-16.399999999999999"/>
    <n v="0"/>
    <n v="0"/>
    <n v="0"/>
  </r>
  <r>
    <x v="1"/>
    <s v="Mist Twst¬Æ (16 fl oz)"/>
    <n v="200"/>
    <n v="0"/>
    <n v="0"/>
    <n v="0"/>
    <n v="0"/>
    <n v="0"/>
    <n v="45"/>
    <n v="54"/>
    <n v="0"/>
    <n v="54"/>
    <n v="0"/>
    <n v="254"/>
    <n v="0"/>
    <n v="0"/>
    <n v="0"/>
    <m/>
    <n v="-22.0891304347826"/>
    <n v="0"/>
    <n v="-0.48913043478260898"/>
    <n v="-21.6"/>
    <n v="0"/>
    <n v="0"/>
    <n v="0"/>
  </r>
  <r>
    <x v="1"/>
    <s v="Mist Twst¬Æ (20 fl oz)"/>
    <n v="260"/>
    <n v="0"/>
    <n v="0"/>
    <n v="0"/>
    <n v="0"/>
    <n v="0"/>
    <n v="55"/>
    <n v="68"/>
    <n v="0"/>
    <n v="68"/>
    <n v="0"/>
    <n v="328"/>
    <n v="0"/>
    <n v="0"/>
    <n v="0"/>
    <m/>
    <n v="-27.797826086956501"/>
    <n v="0"/>
    <n v="-0.59782608695652195"/>
    <n v="-27.2"/>
    <n v="0"/>
    <n v="0"/>
    <n v="0"/>
  </r>
  <r>
    <x v="1"/>
    <s v="Mist Twst¬Æ (30 fl oz)"/>
    <n v="380"/>
    <n v="0"/>
    <n v="0"/>
    <n v="0"/>
    <n v="0"/>
    <n v="0"/>
    <n v="80"/>
    <n v="101"/>
    <n v="0"/>
    <n v="101"/>
    <n v="0"/>
    <n v="481"/>
    <n v="0"/>
    <n v="0"/>
    <n v="0"/>
    <m/>
    <n v="-41.269565217391303"/>
    <n v="0"/>
    <n v="-0.86956521739130399"/>
    <n v="-40.4"/>
    <n v="0"/>
    <n v="0"/>
    <n v="0"/>
  </r>
  <r>
    <x v="1"/>
    <s v="MNT DEW Sweet Lightning (20 fl oz)"/>
    <n v="120"/>
    <n v="0"/>
    <n v="0"/>
    <n v="0"/>
    <n v="0"/>
    <n v="0"/>
    <n v="190"/>
    <n v="32"/>
    <n v="0"/>
    <n v="25"/>
    <n v="0"/>
    <n v="145"/>
    <n v="0"/>
    <n v="0"/>
    <n v="0"/>
    <m/>
    <n v="-12.0652173913043"/>
    <n v="0"/>
    <n v="-2.0652173913043499"/>
    <n v="-10"/>
    <n v="0"/>
    <n v="0"/>
    <n v="0"/>
  </r>
  <r>
    <x v="1"/>
    <s v="Mountain Dew¬Æ (12 fl oz)"/>
    <n v="160"/>
    <n v="0"/>
    <n v="0"/>
    <n v="0"/>
    <n v="0"/>
    <n v="0"/>
    <n v="50"/>
    <n v="44"/>
    <n v="0"/>
    <n v="44"/>
    <n v="0"/>
    <n v="204"/>
    <n v="0"/>
    <n v="0"/>
    <n v="0"/>
    <m/>
    <n v="-18.1434782608696"/>
    <n v="0"/>
    <n v="-0.54347826086956497"/>
    <n v="-17.600000000000001"/>
    <n v="0"/>
    <n v="0"/>
    <n v="0"/>
  </r>
  <r>
    <x v="1"/>
    <s v="Mountain Dew¬Æ (16 fl oz)"/>
    <n v="220"/>
    <n v="0"/>
    <n v="0"/>
    <n v="0"/>
    <n v="0"/>
    <n v="0"/>
    <n v="70"/>
    <n v="59"/>
    <n v="0"/>
    <n v="58"/>
    <n v="0"/>
    <n v="278"/>
    <n v="0"/>
    <n v="0"/>
    <n v="0"/>
    <m/>
    <n v="-23.960869565217401"/>
    <n v="0"/>
    <n v="-0.76086956521739102"/>
    <n v="-23.2"/>
    <n v="0"/>
    <n v="0"/>
    <n v="0"/>
  </r>
  <r>
    <x v="1"/>
    <s v="Mountain Dew¬Æ (20 fl oz)"/>
    <n v="270"/>
    <n v="0"/>
    <n v="0"/>
    <n v="0"/>
    <n v="0"/>
    <n v="0"/>
    <n v="85"/>
    <n v="73"/>
    <n v="0"/>
    <n v="73"/>
    <n v="0"/>
    <n v="343"/>
    <n v="0"/>
    <n v="0"/>
    <n v="0"/>
    <m/>
    <n v="-30.1239130434783"/>
    <n v="0"/>
    <n v="-0.92391304347826098"/>
    <n v="-29.2"/>
    <n v="0"/>
    <n v="0"/>
    <n v="0"/>
  </r>
  <r>
    <x v="1"/>
    <s v="Mountain Dew¬Æ (30 fl oz)"/>
    <n v="410"/>
    <n v="0"/>
    <n v="0"/>
    <n v="0"/>
    <n v="0"/>
    <n v="0"/>
    <n v="125"/>
    <n v="110"/>
    <n v="0"/>
    <n v="109"/>
    <n v="0"/>
    <n v="519"/>
    <n v="0"/>
    <n v="0"/>
    <n v="0"/>
    <m/>
    <n v="-44.958695652173901"/>
    <n v="0"/>
    <n v="-1.35869565217391"/>
    <n v="-43.6"/>
    <n v="0"/>
    <n v="0"/>
    <n v="0"/>
  </r>
  <r>
    <x v="1"/>
    <s v="Mug Root Beer¬Æ (12 fl oz)"/>
    <n v="140"/>
    <n v="0"/>
    <n v="0"/>
    <n v="0"/>
    <n v="0"/>
    <n v="0"/>
    <n v="45"/>
    <n v="39"/>
    <n v="0"/>
    <n v="39"/>
    <n v="0"/>
    <n v="179"/>
    <n v="0"/>
    <n v="0"/>
    <n v="0"/>
    <m/>
    <n v="-16.0891304347826"/>
    <n v="0"/>
    <n v="-0.48913043478260898"/>
    <n v="-15.6"/>
    <n v="0"/>
    <n v="0"/>
    <n v="0"/>
  </r>
  <r>
    <x v="1"/>
    <s v="Mug Root Beer¬Æ (16 fl oz)"/>
    <n v="190"/>
    <n v="0"/>
    <n v="0"/>
    <n v="0"/>
    <n v="0"/>
    <n v="0"/>
    <n v="60"/>
    <n v="52"/>
    <n v="0"/>
    <n v="52"/>
    <n v="0"/>
    <n v="242"/>
    <n v="0"/>
    <n v="0"/>
    <n v="0"/>
    <m/>
    <n v="-21.452173913043499"/>
    <n v="0"/>
    <n v="-0.65217391304347805"/>
    <n v="-20.8"/>
    <n v="0"/>
    <n v="0"/>
    <n v="0"/>
  </r>
  <r>
    <x v="1"/>
    <s v="Mug Root Beer¬Æ (20 fl oz)"/>
    <n v="240"/>
    <n v="0"/>
    <n v="0"/>
    <n v="0"/>
    <n v="0"/>
    <n v="0"/>
    <n v="75"/>
    <n v="65"/>
    <n v="0"/>
    <n v="65"/>
    <n v="0"/>
    <n v="305"/>
    <n v="0"/>
    <n v="0"/>
    <n v="0"/>
    <m/>
    <n v="-26.815217391304301"/>
    <n v="0"/>
    <n v="-0.815217391304348"/>
    <n v="-26"/>
    <n v="0"/>
    <n v="0"/>
    <n v="0"/>
  </r>
  <r>
    <x v="1"/>
    <s v="Mug Root Beer¬Æ (30 fl oz)"/>
    <n v="360"/>
    <n v="0"/>
    <n v="0"/>
    <n v="0"/>
    <n v="0"/>
    <n v="0"/>
    <n v="110"/>
    <n v="98"/>
    <n v="0"/>
    <n v="98"/>
    <n v="0"/>
    <n v="458"/>
    <n v="0"/>
    <n v="0"/>
    <n v="0"/>
    <m/>
    <n v="-40.395652173913"/>
    <n v="0"/>
    <n v="-1.1956521739130399"/>
    <n v="-39.200000000000003"/>
    <n v="0"/>
    <n v="0"/>
    <n v="0"/>
  </r>
  <r>
    <x v="1"/>
    <s v="Pepsi Zero Sugar¬Æ (30 fl oz)"/>
    <n v="0"/>
    <n v="0"/>
    <n v="0"/>
    <n v="0"/>
    <n v="0"/>
    <n v="0"/>
    <n v="95"/>
    <n v="1"/>
    <n v="0"/>
    <n v="0"/>
    <n v="0"/>
    <n v="0"/>
    <n v="0"/>
    <n v="0"/>
    <n v="0"/>
    <m/>
    <n v="-1.0326086956521701"/>
    <n v="0"/>
    <n v="-1.0326086956521701"/>
    <n v="0"/>
    <n v="0"/>
    <n v="0"/>
    <n v="0"/>
  </r>
  <r>
    <x v="1"/>
    <s v="Pepsi¬Æ (12 fl oz)"/>
    <n v="150"/>
    <n v="0"/>
    <n v="0"/>
    <n v="0"/>
    <n v="0"/>
    <n v="0"/>
    <n v="30"/>
    <n v="41"/>
    <n v="0"/>
    <n v="41"/>
    <n v="0"/>
    <n v="191"/>
    <n v="0"/>
    <n v="0"/>
    <n v="0"/>
    <m/>
    <n v="-16.726086956521701"/>
    <n v="0"/>
    <n v="-0.32608695652173902"/>
    <n v="-16.399999999999999"/>
    <n v="0"/>
    <n v="0"/>
    <n v="0"/>
  </r>
  <r>
    <x v="1"/>
    <s v="Pepsi¬Æ (16 fl oz)"/>
    <n v="200"/>
    <n v="0"/>
    <n v="0"/>
    <n v="0"/>
    <n v="0"/>
    <n v="0"/>
    <n v="45"/>
    <n v="55"/>
    <n v="0"/>
    <n v="55"/>
    <n v="0"/>
    <n v="255"/>
    <n v="0"/>
    <n v="0"/>
    <n v="0"/>
    <m/>
    <n v="-22.489130434782599"/>
    <n v="0"/>
    <n v="-0.48913043478260898"/>
    <n v="-22"/>
    <n v="0"/>
    <n v="0"/>
    <n v="0"/>
  </r>
  <r>
    <x v="1"/>
    <s v="Pepsi¬Æ (20 fl oz)"/>
    <n v="250"/>
    <n v="0"/>
    <n v="0"/>
    <n v="0"/>
    <n v="0"/>
    <n v="0"/>
    <n v="55"/>
    <n v="69"/>
    <n v="0"/>
    <n v="69"/>
    <n v="0"/>
    <n v="319"/>
    <n v="0"/>
    <n v="0"/>
    <n v="0"/>
    <m/>
    <n v="-28.1978260869565"/>
    <n v="0"/>
    <n v="-0.59782608695652195"/>
    <n v="-27.6"/>
    <n v="0"/>
    <n v="0"/>
    <n v="0"/>
  </r>
  <r>
    <x v="1"/>
    <s v="Pepsi¬Æ (30 fl oz)"/>
    <n v="380"/>
    <n v="0"/>
    <n v="0"/>
    <n v="0"/>
    <n v="0"/>
    <n v="0"/>
    <n v="80"/>
    <n v="104"/>
    <n v="0"/>
    <n v="103"/>
    <n v="0"/>
    <n v="483"/>
    <n v="0"/>
    <n v="0"/>
    <n v="0"/>
    <m/>
    <n v="-42.0695652173913"/>
    <n v="0"/>
    <n v="-0.86956521739130399"/>
    <n v="-41.2"/>
    <n v="0"/>
    <n v="0"/>
    <n v="0"/>
  </r>
  <r>
    <x v="1"/>
    <s v="Sobe Lifewater Yumberry Pomegranate (30 fl oz)"/>
    <n v="5"/>
    <n v="0"/>
    <n v="0"/>
    <n v="0"/>
    <n v="0"/>
    <n v="0"/>
    <n v="120"/>
    <n v="1"/>
    <n v="0"/>
    <n v="0"/>
    <n v="0"/>
    <n v="5"/>
    <n v="0"/>
    <n v="0"/>
    <n v="0"/>
    <m/>
    <n v="-1.3043478260869601"/>
    <n v="0"/>
    <n v="-1.3043478260869601"/>
    <n v="0"/>
    <n v="0"/>
    <n v="0"/>
    <n v="0"/>
  </r>
  <r>
    <x v="1"/>
    <s v="Strawberry Lemonade (1/2 Gallon)"/>
    <n v="950"/>
    <n v="0"/>
    <n v="0"/>
    <n v="0"/>
    <n v="0"/>
    <n v="0"/>
    <n v="790"/>
    <n v="270"/>
    <n v="0"/>
    <n v="264"/>
    <n v="0"/>
    <n v="1214"/>
    <n v="0"/>
    <n v="1"/>
    <n v="0"/>
    <m/>
    <n v="-114.18695652173901"/>
    <n v="0"/>
    <n v="-8.5869565217391308"/>
    <n v="-105.6"/>
    <n v="0"/>
    <n v="0"/>
    <n v="0"/>
  </r>
  <r>
    <x v="1"/>
    <s v="Strawberry Lemonade (20 fl oz)"/>
    <n v="170"/>
    <n v="0"/>
    <n v="0"/>
    <n v="0"/>
    <n v="0"/>
    <n v="0"/>
    <n v="130"/>
    <n v="45"/>
    <n v="0"/>
    <n v="44"/>
    <n v="0"/>
    <n v="214"/>
    <n v="0"/>
    <n v="0"/>
    <n v="0"/>
    <m/>
    <n v="-19.013043478260901"/>
    <n v="0"/>
    <n v="-1.4130434782608701"/>
    <n v="-17.600000000000001"/>
    <n v="0"/>
    <n v="0"/>
    <n v="0"/>
  </r>
  <r>
    <x v="1"/>
    <s v="Tropicana¬Æ Fruit Punch (12 fl oz)"/>
    <n v="170"/>
    <n v="0"/>
    <n v="0"/>
    <n v="0"/>
    <n v="0"/>
    <n v="0"/>
    <n v="35"/>
    <n v="45"/>
    <n v="0"/>
    <n v="45"/>
    <n v="0"/>
    <n v="215"/>
    <n v="0"/>
    <n v="0"/>
    <n v="0"/>
    <m/>
    <n v="-18.380434782608699"/>
    <n v="0"/>
    <n v="-0.38043478260869601"/>
    <n v="-18"/>
    <n v="0"/>
    <n v="0"/>
    <n v="0"/>
  </r>
  <r>
    <x v="1"/>
    <s v="Tropicana¬Æ Fruit Punch (16 fl oz)"/>
    <n v="230"/>
    <n v="0"/>
    <n v="0"/>
    <n v="0"/>
    <n v="0"/>
    <n v="0"/>
    <n v="45"/>
    <n v="60"/>
    <n v="0"/>
    <n v="60"/>
    <n v="0"/>
    <n v="290"/>
    <n v="0"/>
    <n v="0"/>
    <n v="0"/>
    <m/>
    <n v="-24.489130434782599"/>
    <n v="0"/>
    <n v="-0.48913043478260898"/>
    <n v="-24"/>
    <n v="0"/>
    <n v="0"/>
    <n v="0"/>
  </r>
  <r>
    <x v="1"/>
    <s v="Tropicana¬Æ Fruit Punch (20 fl oz)"/>
    <n v="280"/>
    <n v="0"/>
    <n v="0"/>
    <n v="0"/>
    <n v="0"/>
    <n v="0"/>
    <n v="60"/>
    <n v="75"/>
    <n v="0"/>
    <n v="75"/>
    <n v="0"/>
    <n v="355"/>
    <n v="0"/>
    <n v="0"/>
    <n v="0"/>
    <m/>
    <n v="-30.652173913043502"/>
    <n v="0"/>
    <n v="-0.65217391304347805"/>
    <n v="-30"/>
    <n v="0"/>
    <n v="0"/>
    <n v="0"/>
  </r>
  <r>
    <x v="1"/>
    <s v="Tropicana¬Æ Fruit Punch (30 fl oz)"/>
    <n v="420"/>
    <n v="0"/>
    <n v="0"/>
    <n v="0"/>
    <n v="0"/>
    <n v="0"/>
    <n v="90"/>
    <n v="113"/>
    <n v="0"/>
    <n v="112"/>
    <n v="0"/>
    <n v="532"/>
    <n v="0"/>
    <n v="0"/>
    <n v="0"/>
    <m/>
    <n v="-45.778260869565202"/>
    <n v="0"/>
    <n v="-0.97826086956521796"/>
    <n v="-44.8"/>
    <n v="0"/>
    <n v="0"/>
    <n v="0"/>
  </r>
  <r>
    <x v="1"/>
    <s v="Tropicana¬Æ Light Lemonade (30 fl oz)"/>
    <n v="15"/>
    <n v="0"/>
    <n v="0"/>
    <n v="0"/>
    <n v="0"/>
    <n v="0"/>
    <n v="350"/>
    <n v="1"/>
    <n v="0"/>
    <n v="0"/>
    <n v="0"/>
    <n v="15"/>
    <n v="0"/>
    <n v="0"/>
    <n v="0"/>
    <m/>
    <n v="-3.8043478260869601"/>
    <n v="0"/>
    <n v="-3.8043478260869601"/>
    <n v="0"/>
    <n v="0"/>
    <n v="0"/>
    <n v="0"/>
  </r>
  <r>
    <x v="1"/>
    <s v="Tropicana¬Æ Pink Lemonade (12 fl oz)"/>
    <n v="150"/>
    <n v="0"/>
    <n v="0"/>
    <n v="0"/>
    <n v="0"/>
    <n v="0"/>
    <n v="160"/>
    <n v="40"/>
    <n v="0"/>
    <n v="40"/>
    <n v="0"/>
    <n v="190"/>
    <n v="0"/>
    <n v="0"/>
    <n v="0"/>
    <m/>
    <n v="-17.739130434782599"/>
    <n v="0"/>
    <n v="-1.73913043478261"/>
    <n v="-16"/>
    <n v="0"/>
    <n v="0"/>
    <n v="0"/>
  </r>
  <r>
    <x v="1"/>
    <s v="Tropicana¬Æ Pink Lemonade (16 fl oz)"/>
    <n v="210"/>
    <n v="0"/>
    <n v="0"/>
    <n v="0"/>
    <n v="0"/>
    <n v="0"/>
    <n v="210"/>
    <n v="53"/>
    <n v="0"/>
    <n v="53"/>
    <n v="0"/>
    <n v="263"/>
    <n v="0"/>
    <n v="0"/>
    <n v="0"/>
    <m/>
    <n v="-23.4826086956522"/>
    <n v="0"/>
    <n v="-2.2826086956521698"/>
    <n v="-21.2"/>
    <n v="0"/>
    <n v="0"/>
    <n v="0"/>
  </r>
  <r>
    <x v="1"/>
    <s v="Tropicana¬Æ Pink Lemonade (20 fl oz)"/>
    <n v="260"/>
    <n v="0"/>
    <n v="0"/>
    <n v="0"/>
    <n v="0"/>
    <n v="0"/>
    <n v="260"/>
    <n v="67"/>
    <n v="0"/>
    <n v="67"/>
    <n v="0"/>
    <n v="327"/>
    <n v="0"/>
    <n v="0"/>
    <n v="0"/>
    <m/>
    <n v="-29.6260869565217"/>
    <n v="0"/>
    <n v="-2.8260869565217401"/>
    <n v="-26.8"/>
    <n v="0"/>
    <n v="0"/>
    <n v="0"/>
  </r>
  <r>
    <x v="1"/>
    <s v="Tropicana¬Æ Pink Lemonade (30 fl oz)"/>
    <n v="390"/>
    <n v="0"/>
    <n v="0"/>
    <n v="0"/>
    <n v="0"/>
    <n v="0"/>
    <n v="390"/>
    <n v="100"/>
    <n v="0"/>
    <n v="100"/>
    <n v="0"/>
    <n v="490"/>
    <n v="0"/>
    <n v="0"/>
    <n v="0"/>
    <m/>
    <n v="-44.239130434782602"/>
    <n v="0"/>
    <n v="-4.2391304347826102"/>
    <n v="-40"/>
    <n v="0"/>
    <n v="0"/>
    <n v="0"/>
  </r>
  <r>
    <x v="1"/>
    <s v="Tropicana¬Æ Twister¬Æ Orange (12 fl oz)"/>
    <n v="170"/>
    <n v="0"/>
    <n v="0"/>
    <n v="0"/>
    <n v="0"/>
    <n v="0"/>
    <n v="35"/>
    <n v="46"/>
    <n v="0"/>
    <n v="46"/>
    <n v="0"/>
    <n v="216"/>
    <n v="0"/>
    <n v="0"/>
    <n v="0"/>
    <m/>
    <n v="-18.780434782608701"/>
    <n v="0"/>
    <n v="-0.38043478260869601"/>
    <n v="-18.399999999999999"/>
    <n v="0"/>
    <n v="0"/>
    <n v="0"/>
  </r>
  <r>
    <x v="1"/>
    <s v="Tropicana¬Æ Twister¬Æ Orange (16 fl oz)"/>
    <n v="230"/>
    <n v="0"/>
    <n v="0"/>
    <n v="0"/>
    <n v="0"/>
    <n v="0"/>
    <n v="50"/>
    <n v="61"/>
    <n v="0"/>
    <n v="61"/>
    <n v="0"/>
    <n v="291"/>
    <n v="0"/>
    <n v="0"/>
    <n v="0"/>
    <m/>
    <n v="-24.9434782608696"/>
    <n v="0"/>
    <n v="-0.54347826086956497"/>
    <n v="-24.4"/>
    <n v="0"/>
    <n v="0"/>
    <n v="0"/>
  </r>
  <r>
    <x v="1"/>
    <s v="Tropicana¬Æ Twister¬Æ Orange (20 fl oz)"/>
    <n v="290"/>
    <n v="0"/>
    <n v="0"/>
    <n v="0"/>
    <n v="0"/>
    <n v="0"/>
    <n v="60"/>
    <n v="76"/>
    <n v="0"/>
    <n v="76"/>
    <n v="0"/>
    <n v="366"/>
    <n v="0"/>
    <n v="0"/>
    <n v="0"/>
    <m/>
    <n v="-31.0521739130435"/>
    <n v="0"/>
    <n v="-0.65217391304347805"/>
    <n v="-30.4"/>
    <n v="0"/>
    <n v="0"/>
    <n v="0"/>
  </r>
  <r>
    <x v="1"/>
    <s v="Tropicana¬Æ Twister¬Æ Orange (30 fl oz)"/>
    <n v="430"/>
    <n v="0"/>
    <n v="0"/>
    <n v="0"/>
    <n v="0"/>
    <n v="0"/>
    <n v="90"/>
    <n v="115"/>
    <n v="0"/>
    <n v="114"/>
    <n v="0"/>
    <n v="544"/>
    <n v="0"/>
    <n v="0"/>
    <n v="0"/>
    <m/>
    <n v="-46.578260869565199"/>
    <n v="0"/>
    <n v="-0.97826086956521796"/>
    <n v="-45.6"/>
    <n v="0"/>
    <n v="0"/>
    <n v="0"/>
  </r>
  <r>
    <x v="1"/>
    <s v="Wild Cherry Pepsi¬Æ (12 fl oz)"/>
    <n v="160"/>
    <n v="0"/>
    <n v="0"/>
    <n v="0"/>
    <n v="0"/>
    <n v="0"/>
    <n v="30"/>
    <n v="42"/>
    <n v="0"/>
    <n v="42"/>
    <n v="0"/>
    <n v="202"/>
    <n v="0"/>
    <n v="0"/>
    <n v="0"/>
    <m/>
    <n v="-17.1260869565217"/>
    <n v="0"/>
    <n v="-0.32608695652173902"/>
    <n v="-16.8"/>
    <n v="0"/>
    <n v="0"/>
    <n v="0"/>
  </r>
  <r>
    <x v="1"/>
    <s v="Wild Cherry Pepsi¬Æ (16 fl oz)"/>
    <n v="210"/>
    <n v="0"/>
    <n v="0"/>
    <n v="0"/>
    <n v="0"/>
    <n v="0"/>
    <n v="40"/>
    <n v="56"/>
    <n v="0"/>
    <n v="56"/>
    <n v="0"/>
    <n v="266"/>
    <n v="0"/>
    <n v="0"/>
    <n v="0"/>
    <m/>
    <n v="-22.834782608695701"/>
    <n v="0"/>
    <n v="-0.434782608695652"/>
    <n v="-22.4"/>
    <n v="0"/>
    <n v="0"/>
    <n v="0"/>
  </r>
  <r>
    <x v="1"/>
    <s v="Wild Cherry Pepsi¬Æ (20 fl oz)"/>
    <n v="260"/>
    <n v="0"/>
    <n v="0"/>
    <n v="0"/>
    <n v="0"/>
    <n v="0"/>
    <n v="50"/>
    <n v="70"/>
    <n v="0"/>
    <n v="70"/>
    <n v="0"/>
    <n v="330"/>
    <n v="0"/>
    <n v="0"/>
    <n v="0"/>
    <m/>
    <n v="-28.543478260869598"/>
    <n v="0"/>
    <n v="-0.54347826086956497"/>
    <n v="-28"/>
    <n v="0"/>
    <n v="0"/>
    <n v="0"/>
  </r>
  <r>
    <x v="1"/>
    <s v="Wild Cherry Pepsi¬Æ (30 fl oz)"/>
    <n v="390"/>
    <n v="0"/>
    <n v="0"/>
    <n v="0"/>
    <n v="0"/>
    <n v="0"/>
    <n v="80"/>
    <n v="105"/>
    <n v="0"/>
    <n v="105"/>
    <n v="0"/>
    <n v="495"/>
    <n v="0"/>
    <n v="0"/>
    <n v="0"/>
    <m/>
    <n v="-42.869565217391298"/>
    <n v="0"/>
    <n v="-0.86956521739130399"/>
    <n v="-42"/>
    <n v="0"/>
    <n v="0"/>
    <n v="0"/>
  </r>
  <r>
    <x v="2"/>
    <s v="Premium Caesar Salad with Grilled Chicken"/>
    <n v="220"/>
    <n v="60"/>
    <n v="6"/>
    <n v="3"/>
    <n v="0"/>
    <n v="75"/>
    <n v="890"/>
    <n v="12"/>
    <n v="3"/>
    <n v="5"/>
    <n v="30"/>
    <n v="198"/>
    <n v="13.636363636363599"/>
    <n v="1"/>
    <n v="0"/>
    <m/>
    <n v="-5.3524844720496896"/>
    <n v="-0.75"/>
    <n v="-9.6739130434782599"/>
    <n v="-2"/>
    <n v="0"/>
    <n v="6"/>
    <n v="1.0714285714285701"/>
  </r>
  <r>
    <x v="2"/>
    <s v="Premium Bacon Ranch Salad with Grilled Chicken"/>
    <n v="260"/>
    <n v="90"/>
    <n v="9"/>
    <n v="4"/>
    <n v="0"/>
    <n v="90"/>
    <n v="1010"/>
    <n v="12"/>
    <n v="3"/>
    <n v="5"/>
    <n v="33"/>
    <n v="236"/>
    <n v="12.692307692307701"/>
    <n v="1"/>
    <n v="0"/>
    <m/>
    <n v="-6.3068322981366496"/>
    <n v="-1"/>
    <n v="-10.978260869565201"/>
    <n v="-2"/>
    <n v="0"/>
    <n v="6.6"/>
    <n v="1.0714285714285701"/>
  </r>
  <r>
    <x v="2"/>
    <s v="Nonfat Cappuccino (Small)"/>
    <n v="60"/>
    <n v="0"/>
    <n v="0"/>
    <n v="0"/>
    <n v="0"/>
    <n v="5"/>
    <n v="85"/>
    <n v="9"/>
    <n v="0"/>
    <n v="9"/>
    <n v="6"/>
    <n v="63"/>
    <n v="10"/>
    <n v="0"/>
    <n v="0"/>
    <m/>
    <n v="-3.3239130434782602"/>
    <n v="0"/>
    <n v="-0.92391304347826098"/>
    <n v="-3.6"/>
    <n v="0"/>
    <n v="1.2"/>
    <n v="0"/>
  </r>
  <r>
    <x v="2"/>
    <s v="Nonfat Cappuccino (Medium)"/>
    <n v="80"/>
    <n v="0"/>
    <n v="0"/>
    <n v="0"/>
    <n v="0"/>
    <n v="5"/>
    <n v="110"/>
    <n v="12"/>
    <n v="0"/>
    <n v="12"/>
    <n v="8"/>
    <n v="84"/>
    <n v="10"/>
    <n v="0"/>
    <n v="0"/>
    <m/>
    <n v="-4.3956521739130396"/>
    <n v="0"/>
    <n v="-1.1956521739130399"/>
    <n v="-4.8"/>
    <n v="0"/>
    <n v="1.6"/>
    <n v="0"/>
  </r>
  <r>
    <x v="2"/>
    <s v="Nonfat Cappuccino (Large)"/>
    <n v="90"/>
    <n v="0"/>
    <n v="0"/>
    <n v="0"/>
    <n v="0"/>
    <n v="5"/>
    <n v="130"/>
    <n v="13"/>
    <n v="0"/>
    <n v="13"/>
    <n v="9"/>
    <n v="94"/>
    <n v="10"/>
    <n v="0"/>
    <n v="0"/>
    <m/>
    <n v="-4.8130434782608704"/>
    <n v="0"/>
    <n v="-1.4130434782608701"/>
    <n v="-5.2"/>
    <n v="0"/>
    <n v="1.8"/>
    <n v="0"/>
  </r>
  <r>
    <x v="2"/>
    <s v="Nonfat Latte (Small)"/>
    <n v="90"/>
    <n v="0"/>
    <n v="0"/>
    <n v="0"/>
    <n v="0"/>
    <n v="5"/>
    <n v="115"/>
    <n v="13"/>
    <n v="0"/>
    <n v="13"/>
    <n v="9"/>
    <n v="94"/>
    <n v="10"/>
    <n v="0"/>
    <n v="0"/>
    <m/>
    <n v="-4.6500000000000004"/>
    <n v="0"/>
    <n v="-1.25"/>
    <n v="-5.2"/>
    <n v="0"/>
    <n v="1.8"/>
    <n v="0"/>
  </r>
  <r>
    <x v="2"/>
    <s v="Nonfat Latte (Large)"/>
    <n v="120"/>
    <n v="0"/>
    <n v="0"/>
    <n v="0"/>
    <n v="0"/>
    <n v="5"/>
    <n v="160"/>
    <n v="18"/>
    <n v="0"/>
    <n v="18"/>
    <n v="12"/>
    <n v="126"/>
    <n v="10"/>
    <n v="0"/>
    <n v="0"/>
    <m/>
    <n v="-6.53913043478261"/>
    <n v="0"/>
    <n v="-1.73913043478261"/>
    <n v="-7.2"/>
    <n v="0"/>
    <n v="2.4"/>
    <n v="0"/>
  </r>
  <r>
    <x v="2"/>
    <s v="Nonfat Cappuccino with Sugar Free Vanilla Syrup (Small)"/>
    <n v="50"/>
    <n v="0"/>
    <n v="0"/>
    <n v="0"/>
    <n v="0"/>
    <n v="5"/>
    <n v="100"/>
    <n v="15"/>
    <n v="0"/>
    <n v="8"/>
    <n v="5"/>
    <n v="53"/>
    <n v="10"/>
    <n v="0"/>
    <n v="0"/>
    <m/>
    <n v="-3.2869565217391301"/>
    <n v="0"/>
    <n v="-1.0869565217391299"/>
    <n v="-3.2"/>
    <n v="0"/>
    <n v="1"/>
    <n v="0"/>
  </r>
  <r>
    <x v="2"/>
    <s v="Nonfat Cappuccino with Sugar Free Vanilla Syrup (Medium)"/>
    <n v="70"/>
    <n v="0"/>
    <n v="0"/>
    <n v="0"/>
    <n v="0"/>
    <n v="5"/>
    <n v="130"/>
    <n v="19"/>
    <n v="0"/>
    <n v="10"/>
    <n v="7"/>
    <n v="73"/>
    <n v="10"/>
    <n v="0"/>
    <n v="0"/>
    <m/>
    <n v="-4.0130434782608697"/>
    <n v="0"/>
    <n v="-1.4130434782608701"/>
    <n v="-4"/>
    <n v="0"/>
    <n v="1.4"/>
    <n v="0"/>
  </r>
  <r>
    <x v="2"/>
    <s v="Nonfat Cappuccino with Sugar Free Vanilla Syrup (Large)"/>
    <n v="80"/>
    <n v="0"/>
    <n v="0"/>
    <n v="0"/>
    <n v="0"/>
    <n v="5"/>
    <n v="150"/>
    <n v="22"/>
    <n v="0"/>
    <n v="11"/>
    <n v="8"/>
    <n v="83"/>
    <n v="10"/>
    <n v="0"/>
    <n v="0"/>
    <m/>
    <n v="-4.4304347826086996"/>
    <n v="0"/>
    <n v="-1.6304347826087"/>
    <n v="-4.4000000000000004"/>
    <n v="0"/>
    <n v="1.6"/>
    <n v="0"/>
  </r>
  <r>
    <x v="2"/>
    <s v="Nonfat Latte with Sugar Free Vanilla Syrup (Medium)"/>
    <n v="90"/>
    <n v="0"/>
    <n v="0"/>
    <n v="0"/>
    <n v="0"/>
    <n v="5"/>
    <n v="160"/>
    <n v="22"/>
    <n v="0"/>
    <n v="13"/>
    <n v="9"/>
    <n v="94"/>
    <n v="10"/>
    <n v="0"/>
    <n v="0"/>
    <m/>
    <n v="-5.1391304347826097"/>
    <n v="0"/>
    <n v="-1.73913043478261"/>
    <n v="-5.2"/>
    <n v="0"/>
    <n v="1.8"/>
    <n v="0"/>
  </r>
  <r>
    <x v="2"/>
    <s v="Nonfat Latte with Sugar Free Vanilla Syrup (Large)"/>
    <n v="110"/>
    <n v="0"/>
    <n v="0"/>
    <n v="0"/>
    <n v="0"/>
    <n v="5"/>
    <n v="190"/>
    <n v="27"/>
    <n v="0"/>
    <n v="15"/>
    <n v="11"/>
    <n v="114"/>
    <n v="10"/>
    <n v="0"/>
    <n v="0"/>
    <m/>
    <n v="-5.8652173913043502"/>
    <n v="0"/>
    <n v="-2.0652173913043499"/>
    <n v="-6"/>
    <n v="0"/>
    <n v="2.2000000000000002"/>
    <n v="0"/>
  </r>
  <r>
    <x v="2"/>
    <s v="Iced Nonfat Latte (Small)"/>
    <n v="50"/>
    <n v="0"/>
    <n v="0"/>
    <n v="0"/>
    <n v="0"/>
    <n v="5"/>
    <n v="70"/>
    <n v="7"/>
    <n v="0"/>
    <n v="7"/>
    <n v="5"/>
    <n v="52"/>
    <n v="10"/>
    <n v="0"/>
    <n v="0"/>
    <m/>
    <n v="-2.5608695652173901"/>
    <n v="0"/>
    <n v="-0.76086956521739102"/>
    <n v="-2.8"/>
    <n v="0"/>
    <n v="1"/>
    <n v="0"/>
  </r>
  <r>
    <x v="2"/>
    <s v="Iced Nonfat Latte (Medium)"/>
    <n v="60"/>
    <n v="0"/>
    <n v="0"/>
    <n v="0"/>
    <n v="0"/>
    <n v="5"/>
    <n v="90"/>
    <n v="9"/>
    <n v="0"/>
    <n v="9"/>
    <n v="6"/>
    <n v="63"/>
    <n v="10"/>
    <n v="0"/>
    <n v="0"/>
    <m/>
    <n v="-3.3782608695652199"/>
    <n v="0"/>
    <n v="-0.97826086956521796"/>
    <n v="-3.6"/>
    <n v="0"/>
    <n v="1.2"/>
    <n v="0"/>
  </r>
  <r>
    <x v="2"/>
    <s v="Iced Nonfat Latte (Large)"/>
    <n v="70"/>
    <n v="0"/>
    <n v="0"/>
    <n v="0"/>
    <n v="0"/>
    <n v="5"/>
    <n v="105"/>
    <n v="11"/>
    <n v="0"/>
    <n v="11"/>
    <n v="7"/>
    <n v="74"/>
    <n v="10"/>
    <n v="0"/>
    <n v="0"/>
    <m/>
    <n v="-4.1413043478260896"/>
    <n v="0"/>
    <n v="-1.14130434782609"/>
    <n v="-4.4000000000000004"/>
    <n v="0"/>
    <n v="1.4"/>
    <n v="0"/>
  </r>
  <r>
    <x v="2"/>
    <s v="Iced Nonfat Latte with Sugar Free Vanilla Syrup (Small)"/>
    <n v="40"/>
    <n v="0"/>
    <n v="0"/>
    <n v="0"/>
    <n v="0"/>
    <n v="0"/>
    <n v="85"/>
    <n v="13"/>
    <n v="0"/>
    <n v="5"/>
    <n v="4"/>
    <n v="41"/>
    <n v="10"/>
    <n v="0"/>
    <n v="0"/>
    <m/>
    <n v="-2.12391304347826"/>
    <n v="0"/>
    <n v="-0.92391304347826098"/>
    <n v="-2"/>
    <n v="0"/>
    <n v="0.8"/>
    <n v="0"/>
  </r>
  <r>
    <x v="2"/>
    <s v="Iced Nonfat Latte with Sugar Free Vanilla Syrup (Medium)"/>
    <n v="50"/>
    <n v="0"/>
    <n v="0"/>
    <n v="0"/>
    <n v="0"/>
    <n v="5"/>
    <n v="100"/>
    <n v="14"/>
    <n v="0"/>
    <n v="6"/>
    <n v="5"/>
    <n v="51"/>
    <n v="10"/>
    <n v="0"/>
    <n v="0"/>
    <m/>
    <n v="-2.4869565217391298"/>
    <n v="0"/>
    <n v="-1.0869565217391299"/>
    <n v="-2.4"/>
    <n v="0"/>
    <n v="1"/>
    <n v="0"/>
  </r>
  <r>
    <x v="2"/>
    <s v="Iced Nonfat Latte with Sugar Free Vanilla Syrup (Large)"/>
    <n v="60"/>
    <n v="0"/>
    <n v="0"/>
    <n v="0"/>
    <n v="0"/>
    <n v="5"/>
    <n v="130"/>
    <n v="19"/>
    <n v="0"/>
    <n v="8"/>
    <n v="6"/>
    <n v="62"/>
    <n v="10"/>
    <n v="0"/>
    <n v="0"/>
    <m/>
    <n v="-3.4130434782608701"/>
    <n v="0"/>
    <n v="-1.4130434782608701"/>
    <n v="-3.2"/>
    <n v="0"/>
    <n v="1.2"/>
    <n v="0"/>
  </r>
  <r>
    <x v="2"/>
    <s v="Premium Southwest Salad with Grilled Chicken"/>
    <n v="320"/>
    <n v="80"/>
    <n v="9"/>
    <n v="3"/>
    <n v="0"/>
    <n v="70"/>
    <n v="960"/>
    <n v="30"/>
    <n v="6"/>
    <n v="11"/>
    <n v="30"/>
    <n v="304"/>
    <n v="9.375"/>
    <n v="1"/>
    <n v="0"/>
    <m/>
    <n v="-7.4419254658385103"/>
    <n v="-0.75"/>
    <n v="-10.4347826086957"/>
    <n v="-4.4000000000000004"/>
    <n v="0"/>
    <n v="6"/>
    <n v="2.1428571428571401"/>
  </r>
  <r>
    <x v="2"/>
    <s v="Nonfat Latte (Medium)"/>
    <n v="110"/>
    <n v="0"/>
    <n v="0"/>
    <n v="0"/>
    <n v="0"/>
    <n v="5"/>
    <n v="140"/>
    <n v="15"/>
    <n v="0"/>
    <n v="15"/>
    <n v="10"/>
    <n v="115"/>
    <n v="9.0909090909090899"/>
    <n v="0"/>
    <n v="0"/>
    <m/>
    <n v="-5.5217391304347796"/>
    <n v="0"/>
    <n v="-1.52173913043478"/>
    <n v="-6"/>
    <n v="0"/>
    <n v="2"/>
    <n v="0"/>
  </r>
  <r>
    <x v="2"/>
    <s v="Nonfat Latte with Sugar Free Vanilla Syrup (Small)"/>
    <n v="80"/>
    <n v="0"/>
    <n v="0"/>
    <n v="0"/>
    <n v="0"/>
    <n v="5"/>
    <n v="130"/>
    <n v="18"/>
    <n v="0"/>
    <n v="11"/>
    <n v="7"/>
    <n v="84"/>
    <n v="8.75"/>
    <n v="0"/>
    <n v="0"/>
    <m/>
    <n v="-4.4130434782608701"/>
    <n v="0"/>
    <n v="-1.4130434782608701"/>
    <n v="-4.4000000000000004"/>
    <n v="0"/>
    <n v="1.4"/>
    <n v="0"/>
  </r>
  <r>
    <x v="2"/>
    <s v="Premium Grilled Chicken Ranch BLT Sandwich"/>
    <n v="380"/>
    <n v="90"/>
    <n v="10"/>
    <n v="3"/>
    <n v="0"/>
    <n v="75"/>
    <n v="1000"/>
    <n v="41"/>
    <n v="4"/>
    <n v="9"/>
    <n v="31"/>
    <n v="361"/>
    <n v="8.1578947368421098"/>
    <n v="1"/>
    <n v="0"/>
    <m/>
    <n v="-7.59099378881987"/>
    <n v="-0.75"/>
    <n v="-10.869565217391299"/>
    <n v="-3.6"/>
    <n v="0"/>
    <n v="6.2"/>
    <n v="1.4285714285714299"/>
  </r>
  <r>
    <x v="2"/>
    <s v="1% Low Fat Milk Jug"/>
    <n v="100"/>
    <n v="20"/>
    <n v="2.5"/>
    <n v="1.5"/>
    <n v="0"/>
    <n v="10"/>
    <n v="125"/>
    <n v="12"/>
    <n v="0"/>
    <n v="12"/>
    <n v="8"/>
    <n v="105.5"/>
    <n v="8"/>
    <n v="0"/>
    <n v="0"/>
    <m/>
    <n v="-4.9336956521739097"/>
    <n v="-0.375"/>
    <n v="-1.35869565217391"/>
    <n v="-4.8"/>
    <n v="0"/>
    <n v="1.6"/>
    <n v="0"/>
  </r>
  <r>
    <x v="2"/>
    <s v="Premium Caesar Salad with Crispy Chicken"/>
    <n v="330"/>
    <n v="150"/>
    <n v="17"/>
    <n v="4.5"/>
    <n v="0"/>
    <n v="60"/>
    <n v="840"/>
    <n v="20"/>
    <n v="3"/>
    <n v="6"/>
    <n v="26"/>
    <n v="314.5"/>
    <n v="7.8787878787878798"/>
    <n v="1"/>
    <n v="0"/>
    <m/>
    <n v="-6.3840062111801199"/>
    <n v="-1.125"/>
    <n v="-9.1304347826087007"/>
    <n v="-2.4"/>
    <n v="0"/>
    <n v="5.2"/>
    <n v="1.0714285714285701"/>
  </r>
  <r>
    <x v="2"/>
    <s v="Premium Bacon Ranch Salad with Crispy Chicken"/>
    <n v="370"/>
    <n v="180"/>
    <n v="20"/>
    <n v="6"/>
    <n v="0"/>
    <n v="75"/>
    <n v="970"/>
    <n v="20"/>
    <n v="3"/>
    <n v="6"/>
    <n v="29"/>
    <n v="353"/>
    <n v="7.8378378378378404"/>
    <n v="1"/>
    <n v="0"/>
    <m/>
    <n v="-7.5720496894410001"/>
    <n v="-1.5"/>
    <n v="-10.5434782608696"/>
    <n v="-2.4"/>
    <n v="0"/>
    <n v="5.8"/>
    <n v="1.0714285714285701"/>
  </r>
  <r>
    <x v="2"/>
    <s v="Premium Caesar Salad (without chicken)"/>
    <n v="90"/>
    <n v="35"/>
    <n v="4"/>
    <n v="2.5"/>
    <n v="0"/>
    <n v="10"/>
    <n v="180"/>
    <n v="9"/>
    <n v="3"/>
    <n v="4"/>
    <n v="7"/>
    <n v="89.5"/>
    <n v="7.7777777777777803"/>
    <n v="0"/>
    <n v="0"/>
    <m/>
    <n v="-1.71009316770186"/>
    <n v="-0.625"/>
    <n v="-1.9565217391304399"/>
    <n v="-1.6"/>
    <n v="0"/>
    <n v="1.4"/>
    <n v="1.0714285714285701"/>
  </r>
  <r>
    <x v="2"/>
    <s v="Premium Grilled Chicken Club Sandwich"/>
    <n v="460"/>
    <n v="150"/>
    <n v="17"/>
    <n v="6"/>
    <n v="0"/>
    <n v="90"/>
    <n v="1040"/>
    <n v="43"/>
    <n v="4"/>
    <n v="9"/>
    <n v="35"/>
    <n v="440"/>
    <n v="7.6086956521739104"/>
    <n v="1"/>
    <n v="0"/>
    <m/>
    <n v="-7.9757763975155296"/>
    <n v="-1.5"/>
    <n v="-11.304347826087"/>
    <n v="-3.6"/>
    <n v="0"/>
    <n v="7"/>
    <n v="1.4285714285714299"/>
  </r>
  <r>
    <x v="2"/>
    <s v="Premium Grilled Chicken Classic Sandwich"/>
    <n v="360"/>
    <n v="80"/>
    <n v="9"/>
    <n v="2"/>
    <n v="0"/>
    <n v="65"/>
    <n v="820"/>
    <n v="41"/>
    <n v="4"/>
    <n v="8"/>
    <n v="27"/>
    <n v="343"/>
    <n v="7.5"/>
    <n v="1"/>
    <n v="0"/>
    <m/>
    <n v="-5.7844720496894402"/>
    <n v="-0.5"/>
    <n v="-8.9130434782608692"/>
    <n v="-3.2"/>
    <n v="0"/>
    <n v="5.4"/>
    <n v="1.4285714285714299"/>
  </r>
  <r>
    <x v="2"/>
    <s v="Honey Mustard Snack Wrap¬Æ (Grilled)"/>
    <n v="260"/>
    <n v="80"/>
    <n v="9"/>
    <n v="3.5"/>
    <n v="0"/>
    <n v="45"/>
    <n v="800"/>
    <n v="27"/>
    <n v="1"/>
    <n v="4"/>
    <n v="18"/>
    <n v="249.5"/>
    <n v="6.9230769230769198"/>
    <n v="1"/>
    <n v="0"/>
    <m/>
    <n v="-7.2135093167701898"/>
    <n v="-0.875"/>
    <n v="-8.6956521739130395"/>
    <n v="-1.6"/>
    <n v="0"/>
    <n v="3.6"/>
    <n v="0.35714285714285698"/>
  </r>
  <r>
    <x v="2"/>
    <s v="Chipotle BBQ Snack Wrap¬Æ (Grilled)"/>
    <n v="260"/>
    <n v="80"/>
    <n v="9"/>
    <n v="3.5"/>
    <n v="0"/>
    <n v="45"/>
    <n v="830"/>
    <n v="28"/>
    <n v="1"/>
    <n v="5"/>
    <n v="18"/>
    <n v="250.5"/>
    <n v="6.9230769230769198"/>
    <n v="1"/>
    <n v="0"/>
    <m/>
    <n v="-7.9395962732919303"/>
    <n v="-0.875"/>
    <n v="-9.0217391304347796"/>
    <n v="-2"/>
    <n v="0"/>
    <n v="3.6"/>
    <n v="0.35714285714285698"/>
  </r>
  <r>
    <x v="2"/>
    <s v="Ranch Snack Wrap¬Æ (Grilled)"/>
    <n v="270"/>
    <n v="90"/>
    <n v="10"/>
    <n v="4"/>
    <n v="0"/>
    <n v="45"/>
    <n v="830"/>
    <n v="26"/>
    <n v="1"/>
    <n v="2"/>
    <n v="18"/>
    <n v="258"/>
    <n v="6.6666666666666696"/>
    <n v="1"/>
    <n v="0"/>
    <m/>
    <n v="-6.8645962732919301"/>
    <n v="-1"/>
    <n v="-9.0217391304347796"/>
    <n v="-0.8"/>
    <n v="0"/>
    <n v="3.6"/>
    <n v="0.35714285714285698"/>
  </r>
  <r>
    <x v="2"/>
    <s v="Double Quarter Pounder¬Æ with Cheese"/>
    <n v="740"/>
    <n v="380"/>
    <n v="42"/>
    <n v="19"/>
    <n v="2.5"/>
    <n v="155"/>
    <n v="1380"/>
    <n v="40"/>
    <n v="3"/>
    <n v="9"/>
    <n v="48"/>
    <n v="720"/>
    <n v="6.4864864864864904"/>
    <n v="1"/>
    <n v="0"/>
    <m/>
    <n v="-12.6810714285714"/>
    <n v="-4.75"/>
    <n v="-15"/>
    <n v="-3.6"/>
    <n v="-2.5000000000000001E-3"/>
    <n v="9.6"/>
    <n v="1.0714285714285701"/>
  </r>
  <r>
    <x v="2"/>
    <s v="Premium Bacon Ranch Salad (without chicken)"/>
    <n v="140"/>
    <n v="70"/>
    <n v="7"/>
    <n v="3.5"/>
    <n v="0"/>
    <n v="25"/>
    <n v="300"/>
    <n v="10"/>
    <n v="3"/>
    <n v="4"/>
    <n v="9"/>
    <n v="138.5"/>
    <n v="6.4285714285714297"/>
    <n v="0"/>
    <n v="0"/>
    <m/>
    <n v="-2.8644409937888198"/>
    <n v="-0.875"/>
    <n v="-3.2608695652173898"/>
    <n v="-1.6"/>
    <n v="0"/>
    <n v="1.8"/>
    <n v="1.0714285714285701"/>
  </r>
  <r>
    <x v="2"/>
    <s v="Premium Southwest Salad with Crispy Chicken"/>
    <n v="430"/>
    <n v="180"/>
    <n v="20"/>
    <n v="4"/>
    <n v="0"/>
    <n v="55"/>
    <n v="920"/>
    <n v="38"/>
    <n v="6"/>
    <n v="12"/>
    <n v="26"/>
    <n v="420"/>
    <n v="6.0465116279069804"/>
    <n v="1"/>
    <n v="0"/>
    <m/>
    <n v="-8.4571428571428608"/>
    <n v="-1"/>
    <n v="-10"/>
    <n v="-4.8"/>
    <n v="0"/>
    <n v="5.2"/>
    <n v="2.1428571428571401"/>
  </r>
  <r>
    <x v="2"/>
    <s v="Southern Style Crispy Chicken Sandwich"/>
    <n v="400"/>
    <n v="150"/>
    <n v="17"/>
    <n v="3"/>
    <n v="0"/>
    <n v="45"/>
    <n v="1030"/>
    <n v="39"/>
    <n v="1"/>
    <n v="6"/>
    <n v="24"/>
    <n v="385"/>
    <n v="6"/>
    <n v="1"/>
    <n v="0"/>
    <m/>
    <n v="-9.1885093167701903"/>
    <n v="-0.75"/>
    <n v="-11.195652173913"/>
    <n v="-2.4"/>
    <n v="0"/>
    <n v="4.8"/>
    <n v="0.35714285714285698"/>
  </r>
  <r>
    <x v="2"/>
    <s v="Egg McMuffin¬Æ"/>
    <n v="300"/>
    <n v="110"/>
    <n v="12"/>
    <n v="5"/>
    <n v="0"/>
    <n v="260"/>
    <n v="820"/>
    <n v="30"/>
    <n v="2"/>
    <n v="3"/>
    <n v="18"/>
    <n v="290"/>
    <n v="6"/>
    <n v="1"/>
    <n v="0"/>
    <m/>
    <n v="-7.04875776397515"/>
    <n v="-1.25"/>
    <n v="-8.9130434782608692"/>
    <n v="-1.2"/>
    <n v="0"/>
    <n v="3.6"/>
    <n v="0.71428571428571397"/>
  </r>
  <r>
    <x v="2"/>
    <s v="Iced Latte (Medium)"/>
    <n v="100"/>
    <n v="50"/>
    <n v="6"/>
    <n v="3.5"/>
    <n v="0"/>
    <n v="15"/>
    <n v="80"/>
    <n v="8"/>
    <n v="0"/>
    <n v="8"/>
    <n v="6"/>
    <n v="105.5"/>
    <n v="6"/>
    <n v="0"/>
    <n v="0"/>
    <m/>
    <n v="-3.7445652173913002"/>
    <n v="-0.875"/>
    <n v="-0.86956521739130399"/>
    <n v="-3.2"/>
    <n v="0"/>
    <n v="1.2"/>
    <n v="0"/>
  </r>
  <r>
    <x v="2"/>
    <s v="Chicken Selects¬Æ Premium Breast Strips (5 pc)"/>
    <n v="660"/>
    <n v="360"/>
    <n v="40"/>
    <n v="6"/>
    <n v="0"/>
    <n v="85"/>
    <n v="1680"/>
    <n v="39"/>
    <n v="0"/>
    <n v="0"/>
    <n v="38"/>
    <n v="628"/>
    <n v="5.7575757575757596"/>
    <n v="1"/>
    <n v="0"/>
    <m/>
    <n v="-12.1608695652174"/>
    <n v="-1.5"/>
    <n v="-18.260869565217401"/>
    <n v="0"/>
    <n v="0"/>
    <n v="7.6"/>
    <n v="0"/>
  </r>
  <r>
    <x v="2"/>
    <s v="Chicken Selects¬Æ Premium Breast Strips (3 pc)"/>
    <n v="400"/>
    <n v="210"/>
    <n v="24"/>
    <n v="3.5"/>
    <n v="0"/>
    <n v="50"/>
    <n v="1010"/>
    <n v="23"/>
    <n v="0"/>
    <n v="0"/>
    <n v="23"/>
    <n v="380.5"/>
    <n v="5.75"/>
    <n v="1"/>
    <n v="0"/>
    <m/>
    <n v="-7.2532608695652199"/>
    <n v="-0.875"/>
    <n v="-10.978260869565201"/>
    <n v="0"/>
    <n v="0"/>
    <n v="4.5999999999999996"/>
    <n v="0"/>
  </r>
  <r>
    <x v="2"/>
    <s v="Angus Mushroom &amp; Swiss"/>
    <n v="770"/>
    <n v="360"/>
    <n v="40"/>
    <n v="17"/>
    <n v="2"/>
    <n v="135"/>
    <n v="1170"/>
    <n v="59"/>
    <n v="4"/>
    <n v="8"/>
    <n v="44"/>
    <n v="751"/>
    <n v="5.71428571428571"/>
    <n v="1"/>
    <n v="0"/>
    <m/>
    <n v="-9.9408198757763895"/>
    <n v="-4.25"/>
    <n v="-12.7173913043478"/>
    <n v="-3.2"/>
    <n v="-2E-3"/>
    <n v="8.8000000000000007"/>
    <n v="1.4285714285714299"/>
  </r>
  <r>
    <x v="2"/>
    <s v="Cappuccino (Medium)"/>
    <n v="140"/>
    <n v="70"/>
    <n v="8"/>
    <n v="4.5"/>
    <n v="0"/>
    <n v="25"/>
    <n v="105"/>
    <n v="11"/>
    <n v="0"/>
    <n v="11"/>
    <n v="8"/>
    <n v="147.5"/>
    <n v="5.71428571428571"/>
    <n v="0"/>
    <n v="0"/>
    <m/>
    <n v="-5.0663043478260903"/>
    <n v="-1.125"/>
    <n v="-1.14130434782609"/>
    <n v="-4.4000000000000004"/>
    <n v="0"/>
    <n v="1.6"/>
    <n v="0"/>
  </r>
  <r>
    <x v="2"/>
    <s v="Angus Bacon &amp; Cheese"/>
    <n v="790"/>
    <n v="350"/>
    <n v="39"/>
    <n v="17"/>
    <n v="2"/>
    <n v="145"/>
    <n v="2070"/>
    <n v="63"/>
    <n v="4"/>
    <n v="13"/>
    <n v="45"/>
    <n v="775"/>
    <n v="5.6962025316455698"/>
    <n v="1"/>
    <n v="0"/>
    <m/>
    <n v="-21.5234285714286"/>
    <n v="-4.25"/>
    <n v="-22.5"/>
    <n v="-5.2"/>
    <n v="-2E-3"/>
    <n v="9"/>
    <n v="1.4285714285714299"/>
  </r>
  <r>
    <x v="2"/>
    <s v=" Quarter Pounder¬Æ with Cheese"/>
    <n v="510"/>
    <n v="230"/>
    <n v="26"/>
    <n v="12"/>
    <n v="1.5"/>
    <n v="90"/>
    <n v="1190"/>
    <n v="40"/>
    <n v="3"/>
    <n v="9"/>
    <n v="29"/>
    <n v="502"/>
    <n v="5.68627450980392"/>
    <n v="1"/>
    <n v="0"/>
    <m/>
    <n v="-12.6648540372671"/>
    <n v="-3"/>
    <n v="-12.9347826086957"/>
    <n v="-3.6"/>
    <n v="-1.5E-3"/>
    <n v="5.8"/>
    <n v="1.0714285714285701"/>
  </r>
  <r>
    <x v="2"/>
    <s v="Double Cheeseburger"/>
    <n v="440"/>
    <n v="210"/>
    <n v="23"/>
    <n v="11"/>
    <n v="1.5"/>
    <n v="80"/>
    <n v="1150"/>
    <n v="34"/>
    <n v="2"/>
    <n v="7"/>
    <n v="25"/>
    <n v="433"/>
    <n v="5.6818181818181799"/>
    <n v="1"/>
    <n v="0"/>
    <m/>
    <n v="-12.3372142857143"/>
    <n v="-2.75"/>
    <n v="-12.5"/>
    <n v="-2.8"/>
    <n v="-1.5E-3"/>
    <n v="5"/>
    <n v="0.71428571428571397"/>
  </r>
  <r>
    <x v="2"/>
    <s v="McDouble"/>
    <n v="390"/>
    <n v="170"/>
    <n v="19"/>
    <n v="8"/>
    <n v="1"/>
    <n v="65"/>
    <n v="920"/>
    <n v="33"/>
    <n v="2"/>
    <n v="7"/>
    <n v="22"/>
    <n v="383"/>
    <n v="5.6410256410256396"/>
    <n v="1"/>
    <n v="0"/>
    <m/>
    <n v="-9.6867142857142898"/>
    <n v="-2"/>
    <n v="-10"/>
    <n v="-2.8"/>
    <n v="-1E-3"/>
    <n v="4.4000000000000004"/>
    <n v="0.71428571428571397"/>
  </r>
  <r>
    <x v="2"/>
    <s v="Angus Chipotle BBQ Bacon"/>
    <n v="800"/>
    <n v="350"/>
    <n v="39"/>
    <n v="18"/>
    <n v="2"/>
    <n v="145"/>
    <n v="2020"/>
    <n v="66"/>
    <n v="4"/>
    <n v="16"/>
    <n v="45"/>
    <n v="789"/>
    <n v="5.625"/>
    <n v="1"/>
    <n v="0"/>
    <m/>
    <n v="-22.429950310559001"/>
    <n v="-4.5"/>
    <n v="-21.956521739130402"/>
    <n v="-6.4"/>
    <n v="-2E-3"/>
    <n v="9"/>
    <n v="1.4285714285714299"/>
  </r>
  <r>
    <x v="2"/>
    <s v="Latte (Medium)"/>
    <n v="180"/>
    <n v="90"/>
    <n v="10"/>
    <n v="6"/>
    <n v="0"/>
    <n v="30"/>
    <n v="130"/>
    <n v="13"/>
    <n v="0"/>
    <n v="13"/>
    <n v="10"/>
    <n v="189"/>
    <n v="5.5555555555555598"/>
    <n v="0"/>
    <n v="0"/>
    <m/>
    <n v="-6.1130434782608702"/>
    <n v="-1.5"/>
    <n v="-1.4130434782608701"/>
    <n v="-5.2"/>
    <n v="0"/>
    <n v="2"/>
    <n v="0"/>
  </r>
  <r>
    <x v="2"/>
    <s v="Latte with Sugar Free Vanilla Syrup (Large)"/>
    <n v="180"/>
    <n v="90"/>
    <n v="10"/>
    <n v="6"/>
    <n v="0"/>
    <n v="30"/>
    <n v="180"/>
    <n v="25"/>
    <n v="0"/>
    <n v="13"/>
    <n v="10"/>
    <n v="189"/>
    <n v="5.5555555555555598"/>
    <n v="0"/>
    <n v="0"/>
    <m/>
    <n v="-6.6565217391304303"/>
    <n v="-1.5"/>
    <n v="-1.9565217391304399"/>
    <n v="-5.2"/>
    <n v="0"/>
    <n v="2"/>
    <n v="0"/>
  </r>
  <r>
    <x v="2"/>
    <s v="Iced Latte with Sugar Free Vanilla Syrup (Medium)"/>
    <n v="90"/>
    <n v="40"/>
    <n v="5"/>
    <n v="3"/>
    <n v="0"/>
    <n v="15"/>
    <n v="105"/>
    <n v="14"/>
    <n v="0"/>
    <n v="6"/>
    <n v="5"/>
    <n v="94"/>
    <n v="5.5555555555555598"/>
    <n v="0"/>
    <n v="0"/>
    <m/>
    <n v="-3.2913043478260899"/>
    <n v="-0.75"/>
    <n v="-1.14130434782609"/>
    <n v="-2.4"/>
    <n v="0"/>
    <n v="1"/>
    <n v="0"/>
  </r>
  <r>
    <x v="2"/>
    <s v="Iced Latte with Sugar Free Vanilla Syrup (Large)"/>
    <n v="110"/>
    <n v="50"/>
    <n v="6"/>
    <n v="3.5"/>
    <n v="0"/>
    <n v="15"/>
    <n v="130"/>
    <n v="19"/>
    <n v="0"/>
    <n v="8"/>
    <n v="6"/>
    <n v="115.5"/>
    <n v="5.4545454545454497"/>
    <n v="0"/>
    <n v="0"/>
    <m/>
    <n v="-4.2880434782608701"/>
    <n v="-0.875"/>
    <n v="-1.4130434782608701"/>
    <n v="-3.2"/>
    <n v="0"/>
    <n v="1.2"/>
    <n v="0"/>
  </r>
  <r>
    <x v="2"/>
    <s v="Angus Bacon &amp; Cheese Snack Wrap"/>
    <n v="390"/>
    <n v="190"/>
    <n v="21"/>
    <n v="9"/>
    <n v="1"/>
    <n v="75"/>
    <n v="1080"/>
    <n v="28"/>
    <n v="1"/>
    <n v="4"/>
    <n v="21"/>
    <n v="382"/>
    <n v="5.3846153846153904"/>
    <n v="1"/>
    <n v="0"/>
    <m/>
    <n v="-11.032987577639799"/>
    <n v="-2.25"/>
    <n v="-11.7391304347826"/>
    <n v="-1.6"/>
    <n v="-1E-3"/>
    <n v="4.2"/>
    <n v="0.35714285714285698"/>
  </r>
  <r>
    <x v="2"/>
    <s v="Latte with Sugar Free Vanilla Syrup (Small)"/>
    <n v="130"/>
    <n v="60"/>
    <n v="7"/>
    <n v="4"/>
    <n v="0"/>
    <n v="20"/>
    <n v="125"/>
    <n v="17"/>
    <n v="0"/>
    <n v="10"/>
    <n v="7"/>
    <n v="137"/>
    <n v="5.3846153846153904"/>
    <n v="0"/>
    <n v="0"/>
    <m/>
    <n v="-4.9586956521739101"/>
    <n v="-1"/>
    <n v="-1.35869565217391"/>
    <n v="-4"/>
    <n v="0"/>
    <n v="1.4"/>
    <n v="0"/>
  </r>
  <r>
    <x v="2"/>
    <s v="Angus Deluxe"/>
    <n v="750"/>
    <n v="350"/>
    <n v="39"/>
    <n v="16"/>
    <n v="2"/>
    <n v="135"/>
    <n v="1700"/>
    <n v="61"/>
    <n v="4"/>
    <n v="10"/>
    <n v="40"/>
    <n v="736"/>
    <n v="5.3333333333333304"/>
    <n v="1"/>
    <n v="0"/>
    <m/>
    <n v="-17.051689440993801"/>
    <n v="-4"/>
    <n v="-18.478260869565201"/>
    <n v="-4"/>
    <n v="-2E-3"/>
    <n v="8"/>
    <n v="1.4285714285714299"/>
  </r>
  <r>
    <x v="2"/>
    <s v="Latte (Small) "/>
    <n v="150"/>
    <n v="70"/>
    <n v="8"/>
    <n v="4.5"/>
    <n v="0"/>
    <n v="25"/>
    <n v="105"/>
    <n v="11"/>
    <n v="0"/>
    <n v="11"/>
    <n v="8"/>
    <n v="157.5"/>
    <n v="5.3333333333333304"/>
    <n v="0"/>
    <n v="0"/>
    <m/>
    <n v="-5.0663043478260903"/>
    <n v="-1.125"/>
    <n v="-1.14130434782609"/>
    <n v="-4.4000000000000004"/>
    <n v="0"/>
    <n v="1.6"/>
    <n v="0"/>
  </r>
  <r>
    <x v="2"/>
    <s v="Cappuccino with Sugar Free Vanilla Syrup (Large)"/>
    <n v="150"/>
    <n v="70"/>
    <n v="8"/>
    <n v="4.5"/>
    <n v="0"/>
    <n v="25"/>
    <n v="160"/>
    <n v="22"/>
    <n v="0"/>
    <n v="11"/>
    <n v="8"/>
    <n v="157.5"/>
    <n v="5.3333333333333304"/>
    <n v="0"/>
    <n v="0"/>
    <m/>
    <n v="-5.66413043478261"/>
    <n v="-1.125"/>
    <n v="-1.73913043478261"/>
    <n v="-4.4000000000000004"/>
    <n v="0"/>
    <n v="1.6"/>
    <n v="0"/>
  </r>
  <r>
    <x v="2"/>
    <s v="Big N‚Äô Tasty¬Æ with Cheese"/>
    <n v="510"/>
    <n v="250"/>
    <n v="28"/>
    <n v="11"/>
    <n v="1.5"/>
    <n v="85"/>
    <n v="960"/>
    <n v="38"/>
    <n v="3"/>
    <n v="8"/>
    <n v="27"/>
    <n v="502"/>
    <n v="5.2941176470588198"/>
    <n v="1"/>
    <n v="0"/>
    <m/>
    <n v="-9.9148540372670801"/>
    <n v="-2.75"/>
    <n v="-10.4347826086957"/>
    <n v="-3.2"/>
    <n v="-1.5E-3"/>
    <n v="5.4"/>
    <n v="1.0714285714285701"/>
  </r>
  <r>
    <x v="2"/>
    <s v="1% Low Fat Chocolate Milk Jug"/>
    <n v="170"/>
    <n v="25"/>
    <n v="3"/>
    <n v="1.5"/>
    <n v="0"/>
    <n v="5"/>
    <n v="150"/>
    <n v="26"/>
    <n v="1"/>
    <n v="25"/>
    <n v="9"/>
    <n v="187.5"/>
    <n v="5.2941176470588198"/>
    <n v="0"/>
    <n v="0"/>
    <m/>
    <n v="-9.8482919254658405"/>
    <n v="-0.375"/>
    <n v="-1.6304347826087"/>
    <n v="-10"/>
    <n v="0"/>
    <n v="1.8"/>
    <n v="0.35714285714285698"/>
  </r>
  <r>
    <x v="2"/>
    <s v="Angus Chipotle BBQ Bacon Snack Wrap"/>
    <n v="400"/>
    <n v="190"/>
    <n v="22"/>
    <n v="10"/>
    <n v="1"/>
    <n v="75"/>
    <n v="1060"/>
    <n v="30"/>
    <n v="1"/>
    <n v="6"/>
    <n v="21"/>
    <n v="395"/>
    <n v="5.25"/>
    <n v="1"/>
    <n v="0"/>
    <m/>
    <n v="-11.865596273291899"/>
    <n v="-2.5"/>
    <n v="-11.521739130434799"/>
    <n v="-2.4"/>
    <n v="-1E-3"/>
    <n v="4.2"/>
    <n v="0.35714285714285698"/>
  </r>
  <r>
    <x v="2"/>
    <s v="Latte (Large)"/>
    <n v="210"/>
    <n v="100"/>
    <n v="11"/>
    <n v="7"/>
    <n v="0"/>
    <n v="35"/>
    <n v="150"/>
    <n v="16"/>
    <n v="0"/>
    <n v="16"/>
    <n v="11"/>
    <n v="222"/>
    <n v="5.2380952380952399"/>
    <n v="0"/>
    <n v="0"/>
    <m/>
    <n v="-7.5804347826087"/>
    <n v="-1.75"/>
    <n v="-1.6304347826087"/>
    <n v="-6.4"/>
    <n v="0"/>
    <n v="2.2000000000000002"/>
    <n v="0"/>
  </r>
  <r>
    <x v="2"/>
    <s v="Big N‚Äô Tasty¬Æ"/>
    <n v="460"/>
    <n v="220"/>
    <n v="24"/>
    <n v="8"/>
    <n v="1.5"/>
    <n v="70"/>
    <n v="720"/>
    <n v="37"/>
    <n v="3"/>
    <n v="8"/>
    <n v="24"/>
    <n v="452"/>
    <n v="5.2173913043478297"/>
    <n v="1"/>
    <n v="0"/>
    <m/>
    <n v="-7.1561583850931703"/>
    <n v="-2"/>
    <n v="-7.8260869565217401"/>
    <n v="-3.2"/>
    <n v="-1.5E-3"/>
    <n v="4.8"/>
    <n v="1.0714285714285701"/>
  </r>
  <r>
    <x v="2"/>
    <s v="Angus Mushroom &amp; Swiss Snack Wrap"/>
    <n v="430"/>
    <n v="230"/>
    <n v="26"/>
    <n v="10"/>
    <n v="1.5"/>
    <n v="75"/>
    <n v="730"/>
    <n v="27"/>
    <n v="2"/>
    <n v="2"/>
    <n v="22"/>
    <n v="420"/>
    <n v="5.1162790697674403"/>
    <n v="1"/>
    <n v="0"/>
    <m/>
    <n v="-6.1219968944099401"/>
    <n v="-2.5"/>
    <n v="-7.9347826086956497"/>
    <n v="-0.8"/>
    <n v="-1.5E-3"/>
    <n v="4.4000000000000004"/>
    <n v="0.71428571428571397"/>
  </r>
  <r>
    <x v="2"/>
    <s v="6 Piece Chicken McNuggets¬Æ Happy Meal"/>
    <n v="475"/>
    <n v="0"/>
    <n v="22"/>
    <n v="4.5"/>
    <n v="0"/>
    <n v="50"/>
    <n v="680"/>
    <n v="46"/>
    <n v="2"/>
    <n v="14"/>
    <n v="24"/>
    <m/>
    <n v="5.0526315789473699"/>
    <n v="1"/>
    <n v="0"/>
    <m/>
    <n v="-8.6020186335403697"/>
    <n v="-1.125"/>
    <n v="-7.3913043478260896"/>
    <n v="-5.6"/>
    <n v="0"/>
    <n v="4.8"/>
    <n v="0.71428571428571397"/>
  </r>
  <r>
    <x v="2"/>
    <s v="Cheeseburger"/>
    <n v="300"/>
    <n v="110"/>
    <n v="12"/>
    <n v="6"/>
    <n v="0.5"/>
    <n v="40"/>
    <n v="750"/>
    <n v="33"/>
    <n v="2"/>
    <n v="6"/>
    <n v="15"/>
    <n v="297"/>
    <n v="5"/>
    <n v="1"/>
    <n v="0"/>
    <m/>
    <n v="-8.3383881987577695"/>
    <n v="-1.5"/>
    <n v="-8.1521739130434803"/>
    <n v="-2.4"/>
    <n v="-5.0000000000000001E-4"/>
    <n v="3"/>
    <n v="0.71428571428571397"/>
  </r>
  <r>
    <x v="2"/>
    <s v="Premium Crispy Chicken Club Sandwich"/>
    <n v="620"/>
    <n v="260"/>
    <n v="29"/>
    <n v="7"/>
    <n v="0"/>
    <n v="70"/>
    <n v="1200"/>
    <n v="57"/>
    <n v="3"/>
    <n v="11"/>
    <n v="31"/>
    <n v="607"/>
    <n v="5"/>
    <n v="1"/>
    <n v="0"/>
    <m/>
    <n v="-11.922049689441"/>
    <n v="-1.75"/>
    <n v="-13.0434782608696"/>
    <n v="-4.4000000000000004"/>
    <n v="0"/>
    <n v="6.2"/>
    <n v="1.0714285714285701"/>
  </r>
  <r>
    <x v="2"/>
    <s v="Premium Crispy Chicken Ranch BLT Sandwich"/>
    <n v="540"/>
    <n v="210"/>
    <n v="23"/>
    <n v="4.5"/>
    <n v="0"/>
    <n v="55"/>
    <n v="1160"/>
    <n v="56"/>
    <n v="3"/>
    <n v="11"/>
    <n v="27"/>
    <n v="528.5"/>
    <n v="5"/>
    <n v="1"/>
    <n v="0"/>
    <m/>
    <n v="-11.6622670807453"/>
    <n v="-1.125"/>
    <n v="-12.6086956521739"/>
    <n v="-4.4000000000000004"/>
    <n v="0"/>
    <n v="5.4"/>
    <n v="1.0714285714285701"/>
  </r>
  <r>
    <x v="2"/>
    <s v="Side Salad"/>
    <n v="20"/>
    <n v="0"/>
    <n v="0"/>
    <n v="0"/>
    <n v="0"/>
    <n v="0"/>
    <n v="10"/>
    <n v="4"/>
    <n v="1"/>
    <n v="2"/>
    <n v="1"/>
    <n v="21"/>
    <n v="5"/>
    <n v="0"/>
    <n v="0"/>
    <m/>
    <n v="-0.35155279503105602"/>
    <n v="0"/>
    <n v="-0.108695652173913"/>
    <n v="-0.8"/>
    <n v="0"/>
    <n v="0.2"/>
    <n v="0.35714285714285698"/>
  </r>
  <r>
    <x v="2"/>
    <s v="Steak, Egg &amp; Cheese Bagel"/>
    <n v="660"/>
    <n v="300"/>
    <n v="33"/>
    <n v="12"/>
    <n v="1"/>
    <n v="300"/>
    <n v="1580"/>
    <n v="56"/>
    <n v="3"/>
    <n v="7"/>
    <n v="33"/>
    <n v="646"/>
    <n v="5"/>
    <n v="1"/>
    <n v="0"/>
    <m/>
    <n v="-15.3034844720497"/>
    <n v="-3"/>
    <n v="-17.173913043478301"/>
    <n v="-2.8"/>
    <n v="-1E-3"/>
    <n v="6.6"/>
    <n v="1.0714285714285701"/>
  </r>
  <r>
    <x v="2"/>
    <s v="Cappuccino (Small)"/>
    <n v="120"/>
    <n v="60"/>
    <n v="7"/>
    <n v="4"/>
    <n v="0"/>
    <n v="20"/>
    <n v="85"/>
    <n v="9"/>
    <n v="0"/>
    <n v="9"/>
    <n v="6"/>
    <n v="127"/>
    <n v="5"/>
    <n v="0"/>
    <n v="0"/>
    <m/>
    <n v="-4.3239130434782602"/>
    <n v="-1"/>
    <n v="-0.92391304347826098"/>
    <n v="-3.6"/>
    <n v="0"/>
    <n v="1.2"/>
    <n v="0"/>
  </r>
  <r>
    <x v="2"/>
    <s v="Cappuccino (Large)"/>
    <n v="180"/>
    <n v="90"/>
    <n v="10"/>
    <n v="6"/>
    <n v="0"/>
    <n v="30"/>
    <n v="130"/>
    <n v="13"/>
    <n v="0"/>
    <n v="13"/>
    <n v="9"/>
    <n v="190"/>
    <n v="5"/>
    <n v="0"/>
    <n v="0"/>
    <m/>
    <n v="-6.3130434782608704"/>
    <n v="-1.5"/>
    <n v="-1.4130434782608701"/>
    <n v="-5.2"/>
    <n v="0"/>
    <n v="1.8"/>
    <n v="0"/>
  </r>
  <r>
    <x v="2"/>
    <s v="Cappuccino with Sugar Free Vanilla Syrup (Small)"/>
    <n v="100"/>
    <n v="50"/>
    <n v="5"/>
    <n v="3"/>
    <n v="0"/>
    <n v="15"/>
    <n v="105"/>
    <n v="15"/>
    <n v="0"/>
    <n v="7"/>
    <n v="5"/>
    <n v="105"/>
    <n v="5"/>
    <n v="0"/>
    <n v="0"/>
    <m/>
    <n v="-3.6913043478260898"/>
    <n v="-0.75"/>
    <n v="-1.14130434782609"/>
    <n v="-2.8"/>
    <n v="0"/>
    <n v="1"/>
    <n v="0"/>
  </r>
  <r>
    <x v="2"/>
    <s v="Cappuccino with Sugar Free Vanilla Syrup (Medium)"/>
    <n v="120"/>
    <n v="60"/>
    <n v="6"/>
    <n v="3.5"/>
    <n v="0"/>
    <n v="20"/>
    <n v="130"/>
    <n v="18"/>
    <n v="0"/>
    <n v="9"/>
    <n v="6"/>
    <n v="126.5"/>
    <n v="5"/>
    <n v="0"/>
    <n v="0"/>
    <m/>
    <n v="-4.6880434782608704"/>
    <n v="-0.875"/>
    <n v="-1.4130434782608701"/>
    <n v="-3.6"/>
    <n v="0"/>
    <n v="1.2"/>
    <n v="0"/>
  </r>
  <r>
    <x v="2"/>
    <s v="Latte with Sugar Free Vanilla Syrup (Medium)"/>
    <n v="160"/>
    <n v="70"/>
    <n v="8"/>
    <n v="5"/>
    <n v="0"/>
    <n v="25"/>
    <n v="150"/>
    <n v="21"/>
    <n v="0"/>
    <n v="11"/>
    <n v="8"/>
    <n v="168"/>
    <n v="5"/>
    <n v="0"/>
    <n v="0"/>
    <m/>
    <n v="-5.6804347826086996"/>
    <n v="-1.25"/>
    <n v="-1.6304347826087"/>
    <n v="-4.4000000000000004"/>
    <n v="0"/>
    <n v="1.6"/>
    <n v="0"/>
  </r>
  <r>
    <x v="2"/>
    <s v="Iced Latte (Small)"/>
    <n v="80"/>
    <n v="40"/>
    <n v="4.5"/>
    <n v="2.5"/>
    <n v="0"/>
    <n v="15"/>
    <n v="65"/>
    <n v="6"/>
    <n v="0"/>
    <n v="6"/>
    <n v="4"/>
    <n v="84.5"/>
    <n v="5"/>
    <n v="0"/>
    <n v="0"/>
    <m/>
    <n v="-2.93152173913044"/>
    <n v="-0.625"/>
    <n v="-0.70652173913043503"/>
    <n v="-2.4"/>
    <n v="0"/>
    <n v="0.8"/>
    <n v="0"/>
  </r>
  <r>
    <x v="2"/>
    <s v="Iced Latte (Large)"/>
    <n v="140"/>
    <n v="70"/>
    <n v="8"/>
    <n v="4.5"/>
    <n v="0"/>
    <n v="25"/>
    <n v="105"/>
    <n v="10"/>
    <n v="0"/>
    <n v="10"/>
    <n v="7"/>
    <n v="147.5"/>
    <n v="5"/>
    <n v="0"/>
    <n v="0"/>
    <m/>
    <n v="-4.8663043478260901"/>
    <n v="-1.125"/>
    <n v="-1.14130434782609"/>
    <n v="-4"/>
    <n v="0"/>
    <n v="1.4"/>
    <n v="0"/>
  </r>
  <r>
    <x v="2"/>
    <s v="Iced Latte with Sugar Free Vanilla Syrup (Small)"/>
    <n v="60"/>
    <n v="30"/>
    <n v="3"/>
    <n v="2"/>
    <n v="0"/>
    <n v="10"/>
    <n v="80"/>
    <n v="12"/>
    <n v="0"/>
    <n v="4"/>
    <n v="3"/>
    <n v="63"/>
    <n v="5"/>
    <n v="0"/>
    <n v="0"/>
    <m/>
    <n v="-2.3695652173913002"/>
    <n v="-0.5"/>
    <n v="-0.86956521739130399"/>
    <n v="-1.6"/>
    <n v="0"/>
    <n v="0.6"/>
    <n v="0"/>
  </r>
  <r>
    <x v="2"/>
    <s v="Angus Deluxe Snack Wrap"/>
    <n v="410"/>
    <n v="220"/>
    <n v="25"/>
    <n v="10"/>
    <n v="1.5"/>
    <n v="75"/>
    <n v="990"/>
    <n v="27"/>
    <n v="2"/>
    <n v="3"/>
    <n v="20"/>
    <n v="403"/>
    <n v="4.8780487804878003"/>
    <n v="1"/>
    <n v="0"/>
    <m/>
    <n v="-9.7480838509316801"/>
    <n v="-2.5"/>
    <n v="-10.7608695652174"/>
    <n v="-1.2"/>
    <n v="-1.5E-3"/>
    <n v="4"/>
    <n v="0.71428571428571397"/>
  </r>
  <r>
    <x v="2"/>
    <s v="4 Piece Chicken McNuggets Happy Meal"/>
    <n v="395"/>
    <n v="0"/>
    <n v="17"/>
    <n v="3.5"/>
    <n v="0"/>
    <n v="35"/>
    <n v="510"/>
    <n v="41"/>
    <n v="1"/>
    <n v="14"/>
    <n v="19"/>
    <m/>
    <n v="4.81012658227848"/>
    <n v="1"/>
    <n v="0"/>
    <m/>
    <n v="-7.8613354037267102"/>
    <n v="-0.875"/>
    <n v="-5.5434782608695699"/>
    <n v="-5.6"/>
    <n v="0"/>
    <n v="3.8"/>
    <n v="0.35714285714285698"/>
  </r>
  <r>
    <x v="2"/>
    <s v="Hamburger"/>
    <n v="250"/>
    <n v="80"/>
    <n v="9"/>
    <n v="3.5"/>
    <n v="0.5"/>
    <n v="25"/>
    <n v="520"/>
    <n v="31"/>
    <n v="2"/>
    <n v="6"/>
    <n v="12"/>
    <n v="247.5"/>
    <n v="4.8"/>
    <n v="1"/>
    <n v="0"/>
    <m/>
    <n v="-5.8133881987577603"/>
    <n v="-0.875"/>
    <n v="-5.6521739130434803"/>
    <n v="-2.4"/>
    <n v="-5.0000000000000001E-4"/>
    <n v="2.4"/>
    <n v="0.71428571428571397"/>
  </r>
  <r>
    <x v="2"/>
    <s v="Chicken McNuggets¬Æ (4 piece)"/>
    <n v="190"/>
    <n v="110"/>
    <n v="12"/>
    <n v="2"/>
    <n v="0"/>
    <n v="25"/>
    <n v="360"/>
    <n v="12"/>
    <n v="1"/>
    <n v="0"/>
    <n v="9"/>
    <n v="183"/>
    <n v="4.7368421052631602"/>
    <n v="0"/>
    <n v="0"/>
    <m/>
    <n v="-2.2559006211180099"/>
    <n v="-0.5"/>
    <n v="-3.9130434782608701"/>
    <n v="0"/>
    <n v="0"/>
    <n v="1.8"/>
    <n v="0.35714285714285698"/>
  </r>
  <r>
    <x v="2"/>
    <s v="Premium Crispy Chicken Classic Sandwich"/>
    <n v="510"/>
    <n v="200"/>
    <n v="22"/>
    <n v="3.5"/>
    <n v="0"/>
    <n v="45"/>
    <n v="990"/>
    <n v="56"/>
    <n v="3"/>
    <n v="10"/>
    <n v="24"/>
    <n v="499.5"/>
    <n v="4.7058823529411802"/>
    <n v="1"/>
    <n v="0"/>
    <m/>
    <n v="-9.7644409937888206"/>
    <n v="-0.875"/>
    <n v="-10.7608695652174"/>
    <n v="-4"/>
    <n v="0"/>
    <n v="4.8"/>
    <n v="1.0714285714285701"/>
  </r>
  <r>
    <x v="2"/>
    <s v="Chicken McNuggets¬Æ (10 piece)"/>
    <n v="470"/>
    <n v="270"/>
    <n v="30"/>
    <n v="5"/>
    <n v="0"/>
    <n v="65"/>
    <n v="900"/>
    <n v="30"/>
    <n v="2"/>
    <n v="0"/>
    <n v="22"/>
    <n v="453"/>
    <n v="4.68085106382979"/>
    <n v="1"/>
    <n v="0"/>
    <m/>
    <n v="-5.91832298136646"/>
    <n v="-1.25"/>
    <n v="-9.7826086956521703"/>
    <n v="0"/>
    <n v="0"/>
    <n v="4.4000000000000004"/>
    <n v="0.71428571428571397"/>
  </r>
  <r>
    <x v="2"/>
    <s v="Sausage McMuffin¬Æ with Egg"/>
    <n v="450"/>
    <n v="250"/>
    <n v="27"/>
    <n v="10"/>
    <n v="0"/>
    <n v="285"/>
    <n v="920"/>
    <n v="30"/>
    <n v="2"/>
    <n v="2"/>
    <n v="21"/>
    <n v="441"/>
    <n v="4.6666666666666696"/>
    <n v="1"/>
    <n v="0"/>
    <m/>
    <n v="-8.3857142857142897"/>
    <n v="-2.5"/>
    <n v="-10"/>
    <n v="-0.8"/>
    <n v="0"/>
    <n v="4.2"/>
    <n v="0.71428571428571397"/>
  </r>
  <r>
    <x v="2"/>
    <s v="Chicken McNuggets¬Æ (6 piece)"/>
    <n v="280"/>
    <n v="160"/>
    <n v="18"/>
    <n v="3"/>
    <n v="0"/>
    <n v="40"/>
    <n v="540"/>
    <n v="18"/>
    <n v="1"/>
    <n v="0"/>
    <n v="13"/>
    <n v="270"/>
    <n v="4.6428571428571397"/>
    <n v="1"/>
    <n v="0"/>
    <m/>
    <n v="-3.66242236024845"/>
    <n v="-0.75"/>
    <n v="-5.8695652173913002"/>
    <n v="0"/>
    <n v="0"/>
    <n v="2.6"/>
    <n v="0.35714285714285698"/>
  </r>
  <r>
    <x v="2"/>
    <s v="Hamburger Happy Meal"/>
    <n v="475"/>
    <n v="0"/>
    <n v="16"/>
    <s v="5.5 g"/>
    <n v="0"/>
    <n v="40"/>
    <n v="690"/>
    <n v="62"/>
    <n v="2"/>
    <n v="20"/>
    <n v="22"/>
    <m/>
    <n v="4.6315789473684204"/>
    <n v="1"/>
    <n v="0"/>
    <m/>
    <n v="-11.7607142857143"/>
    <n v="-1.375"/>
    <n v="-7.5"/>
    <n v="-8"/>
    <n v="0"/>
    <n v="4.4000000000000004"/>
    <n v="0.71428571428571397"/>
  </r>
  <r>
    <x v="2"/>
    <s v="Big Mac¬Æ"/>
    <n v="540"/>
    <n v="260"/>
    <n v="29"/>
    <n v="10"/>
    <n v="1.5"/>
    <n v="75"/>
    <n v="1040"/>
    <n v="45"/>
    <n v="3"/>
    <n v="9"/>
    <n v="25"/>
    <n v="534"/>
    <n v="4.6296296296296298"/>
    <n v="1"/>
    <n v="0"/>
    <m/>
    <n v="-11.3344192546584"/>
    <n v="-2.5"/>
    <n v="-11.304347826087"/>
    <n v="-3.6"/>
    <n v="-1.5E-3"/>
    <n v="5"/>
    <n v="1.0714285714285701"/>
  </r>
  <r>
    <x v="2"/>
    <s v="Mac Snack Wrap"/>
    <n v="330"/>
    <n v="170"/>
    <n v="19"/>
    <n v="7"/>
    <n v="1"/>
    <n v="45"/>
    <n v="690"/>
    <n v="26"/>
    <n v="1"/>
    <n v="3"/>
    <n v="15"/>
    <n v="325"/>
    <n v="4.5454545454545503"/>
    <n v="1"/>
    <n v="0"/>
    <m/>
    <n v="-7.0938571428571402"/>
    <n v="-1.75"/>
    <n v="-7.5"/>
    <n v="-1.2"/>
    <n v="-1E-3"/>
    <n v="3"/>
    <n v="0.35714285714285698"/>
  </r>
  <r>
    <x v="2"/>
    <s v="Peanuts (for Sundaes)"/>
    <n v="45"/>
    <n v="30"/>
    <n v="3.5"/>
    <n v="0.5"/>
    <n v="0"/>
    <n v="0"/>
    <n v="0"/>
    <n v="2"/>
    <n v="1"/>
    <n v="0"/>
    <n v="2"/>
    <n v="43.5"/>
    <n v="4.4444444444444402"/>
    <n v="0"/>
    <n v="0"/>
    <m/>
    <n v="0.63214285714285701"/>
    <n v="-0.125"/>
    <n v="0"/>
    <n v="0"/>
    <n v="0"/>
    <n v="0.4"/>
    <n v="0.35714285714285698"/>
  </r>
  <r>
    <x v="2"/>
    <s v="McSkillet‚Ñ¢ Burrito with Sausage"/>
    <n v="610"/>
    <n v="320"/>
    <n v="36"/>
    <n v="14"/>
    <n v="0.5"/>
    <n v="410"/>
    <n v="1390"/>
    <n v="44"/>
    <n v="3"/>
    <n v="4"/>
    <n v="27"/>
    <n v="601"/>
    <n v="4.4262295081967196"/>
    <n v="1"/>
    <n v="1"/>
    <m/>
    <n v="-13.7377670807453"/>
    <n v="-3.5"/>
    <n v="-15.1086956521739"/>
    <n v="-1.6"/>
    <n v="-5.0000000000000001E-4"/>
    <n v="5.4"/>
    <n v="1.0714285714285701"/>
  </r>
  <r>
    <x v="2"/>
    <s v="McRib ¬Æ"/>
    <n v="500"/>
    <n v="240"/>
    <n v="26"/>
    <n v="10"/>
    <n v="0"/>
    <n v="70"/>
    <n v="980"/>
    <n v="44"/>
    <n v="3"/>
    <n v="11"/>
    <n v="22"/>
    <n v="499"/>
    <n v="4.4000000000000004"/>
    <n v="1"/>
    <n v="0"/>
    <m/>
    <n v="-12.0807453416149"/>
    <n v="-2.5"/>
    <n v="-10.6521739130435"/>
    <n v="-4.4000000000000004"/>
    <n v="0"/>
    <n v="4.4000000000000004"/>
    <n v="1.0714285714285701"/>
  </r>
  <r>
    <x v="2"/>
    <s v="Premium Southwest Salad (without chicken)"/>
    <n v="140"/>
    <n v="40"/>
    <n v="4.5"/>
    <n v="2"/>
    <n v="0"/>
    <n v="10"/>
    <n v="150"/>
    <n v="20"/>
    <n v="6"/>
    <n v="6"/>
    <n v="6"/>
    <n v="142"/>
    <n v="4.28571428571429"/>
    <n v="0"/>
    <n v="0"/>
    <m/>
    <n v="-1.1875776397515501"/>
    <n v="-0.5"/>
    <n v="-1.6304347826087"/>
    <n v="-2.4"/>
    <n v="0"/>
    <n v="1.2"/>
    <n v="2.1428571428571401"/>
  </r>
  <r>
    <x v="2"/>
    <s v="Bacon, Egg &amp; Cheese Bagel"/>
    <n v="560"/>
    <n v="240"/>
    <n v="27"/>
    <n v="9"/>
    <n v="0.5"/>
    <n v="260"/>
    <n v="1300"/>
    <n v="56"/>
    <n v="3"/>
    <n v="7"/>
    <n v="24"/>
    <n v="552"/>
    <n v="4.28571428571429"/>
    <n v="1"/>
    <n v="0"/>
    <m/>
    <n v="-13.3095062111801"/>
    <n v="-2.25"/>
    <n v="-14.130434782608701"/>
    <n v="-2.8"/>
    <n v="-5.0000000000000001E-4"/>
    <n v="4.8"/>
    <n v="1.0714285714285701"/>
  </r>
  <r>
    <x v="2"/>
    <s v="Nonfat Caramel Mocha (Large)"/>
    <n v="280"/>
    <n v="35"/>
    <n v="4"/>
    <n v="2.5"/>
    <n v="0"/>
    <n v="10"/>
    <n v="260"/>
    <n v="49"/>
    <n v="0"/>
    <n v="46"/>
    <n v="12"/>
    <n v="316.5"/>
    <n v="4.28571428571429"/>
    <n v="0"/>
    <n v="0"/>
    <m/>
    <n v="-19.451086956521699"/>
    <n v="-0.625"/>
    <n v="-2.8260869565217401"/>
    <n v="-18.399999999999999"/>
    <n v="0"/>
    <n v="2.4"/>
    <n v="0"/>
  </r>
  <r>
    <x v="2"/>
    <s v="Honey Mustard Snack Wrap¬Æ (Crispy)"/>
    <n v="330"/>
    <n v="140"/>
    <n v="16"/>
    <n v="4.5"/>
    <n v="0"/>
    <n v="30"/>
    <n v="780"/>
    <n v="34"/>
    <n v="1"/>
    <n v="4"/>
    <n v="14"/>
    <n v="324.5"/>
    <n v="4.2424242424242404"/>
    <n v="1"/>
    <n v="0"/>
    <m/>
    <n v="-8.0461180124223599"/>
    <n v="-1.125"/>
    <n v="-8.4782608695652204"/>
    <n v="-1.6"/>
    <n v="0"/>
    <n v="2.8"/>
    <n v="0.35714285714285698"/>
  </r>
  <r>
    <x v="2"/>
    <s v="Chipotle BBQ Snack Wrap¬Æ (Crispy)"/>
    <n v="330"/>
    <n v="140"/>
    <n v="15"/>
    <n v="4.5"/>
    <n v="0"/>
    <n v="30"/>
    <n v="810"/>
    <n v="35"/>
    <n v="1"/>
    <n v="4"/>
    <n v="14"/>
    <n v="324.5"/>
    <n v="4.2424242424242404"/>
    <n v="1"/>
    <n v="0"/>
    <m/>
    <n v="-8.3722049689441"/>
    <n v="-1.125"/>
    <n v="-8.8043478260869605"/>
    <n v="-1.6"/>
    <n v="0"/>
    <n v="2.8"/>
    <n v="0.35714285714285698"/>
  </r>
  <r>
    <x v="2"/>
    <s v="Southern Style Chicken Biscuit (Regular Size Biscuit)"/>
    <n v="410"/>
    <n v="180"/>
    <n v="20"/>
    <n v="8"/>
    <n v="0"/>
    <n v="30"/>
    <n v="1180"/>
    <n v="41"/>
    <n v="2"/>
    <n v="3"/>
    <n v="17"/>
    <n v="404"/>
    <n v="4.1463414634146298"/>
    <n v="1"/>
    <n v="0"/>
    <m/>
    <n v="-11.911801242236001"/>
    <n v="-2"/>
    <n v="-12.826086956521699"/>
    <n v="-1.2"/>
    <n v="0"/>
    <n v="3.4"/>
    <n v="0.71428571428571397"/>
  </r>
  <r>
    <x v="2"/>
    <s v="Ranch Snack Wrap¬Æ (Crispy)"/>
    <n v="340"/>
    <n v="150"/>
    <n v="17"/>
    <n v="4.5"/>
    <n v="0"/>
    <n v="30"/>
    <n v="810"/>
    <n v="33"/>
    <n v="1"/>
    <n v="2"/>
    <n v="14"/>
    <n v="332.5"/>
    <n v="4.1176470588235299"/>
    <n v="1"/>
    <n v="0"/>
    <m/>
    <n v="-7.5722049689441002"/>
    <n v="-1.125"/>
    <n v="-8.8043478260869605"/>
    <n v="-0.8"/>
    <n v="0"/>
    <n v="2.8"/>
    <n v="0.35714285714285698"/>
  </r>
  <r>
    <x v="2"/>
    <s v="Nonfat Caramel Latte (Small)"/>
    <n v="170"/>
    <n v="0"/>
    <n v="0"/>
    <n v="0"/>
    <n v="0"/>
    <n v="5"/>
    <n v="150"/>
    <n v="36"/>
    <n v="0"/>
    <n v="36"/>
    <n v="7"/>
    <n v="199"/>
    <n v="4.1176470588235299"/>
    <n v="0"/>
    <n v="0"/>
    <m/>
    <n v="-14.630434782608701"/>
    <n v="0"/>
    <n v="-1.6304347826087"/>
    <n v="-14.4"/>
    <n v="0"/>
    <n v="1.4"/>
    <n v="0"/>
  </r>
  <r>
    <x v="2"/>
    <s v="Hot Chocolate with Nonfat Milk (Large)"/>
    <n v="390"/>
    <n v="50"/>
    <n v="6"/>
    <n v="3.5"/>
    <n v="0"/>
    <n v="10"/>
    <n v="250"/>
    <n v="68"/>
    <n v="0"/>
    <n v="59"/>
    <n v="16"/>
    <n v="436.5"/>
    <n v="4.1025641025641004"/>
    <n v="0"/>
    <n v="0"/>
    <m/>
    <n v="-23.992391304347802"/>
    <n v="-0.875"/>
    <n v="-2.7173913043478302"/>
    <n v="-23.6"/>
    <n v="0"/>
    <n v="3.2"/>
    <n v="0"/>
  </r>
  <r>
    <x v="2"/>
    <s v="Nonfat Caramel Latte (Medium)"/>
    <n v="220"/>
    <n v="0"/>
    <n v="0"/>
    <n v="0"/>
    <n v="0"/>
    <n v="5"/>
    <n v="180"/>
    <n v="45"/>
    <n v="0"/>
    <n v="45"/>
    <n v="9"/>
    <n v="256"/>
    <n v="4.0909090909090899"/>
    <n v="0"/>
    <n v="0"/>
    <m/>
    <n v="-18.156521739130401"/>
    <n v="0"/>
    <n v="-1.9565217391304399"/>
    <n v="-18"/>
    <n v="0"/>
    <n v="1.8"/>
    <n v="0"/>
  </r>
  <r>
    <x v="2"/>
    <s v="Nonfat Hazelnut Latte (Medium)"/>
    <n v="220"/>
    <n v="0"/>
    <n v="0"/>
    <n v="0"/>
    <n v="0"/>
    <n v="5"/>
    <n v="115"/>
    <n v="46"/>
    <n v="0"/>
    <n v="46"/>
    <n v="9"/>
    <n v="257"/>
    <n v="4.0909090909090899"/>
    <n v="0"/>
    <n v="0"/>
    <m/>
    <n v="-17.850000000000001"/>
    <n v="0"/>
    <n v="-1.25"/>
    <n v="-18.399999999999999"/>
    <n v="0"/>
    <n v="1.8"/>
    <n v="0"/>
  </r>
  <r>
    <x v="2"/>
    <s v="Nonfat Vanilla Latte (Medium)"/>
    <n v="220"/>
    <n v="0"/>
    <n v="0"/>
    <n v="0"/>
    <n v="0"/>
    <n v="5"/>
    <n v="115"/>
    <n v="46"/>
    <n v="0"/>
    <n v="46"/>
    <n v="9"/>
    <n v="257"/>
    <n v="4.0909090909090899"/>
    <n v="0"/>
    <n v="0"/>
    <m/>
    <n v="-17.850000000000001"/>
    <n v="0"/>
    <n v="-1.25"/>
    <n v="-18.399999999999999"/>
    <n v="0"/>
    <n v="1.8"/>
    <n v="0"/>
  </r>
  <r>
    <x v="2"/>
    <s v="Sausage Burrito"/>
    <n v="300"/>
    <n v="140"/>
    <n v="16"/>
    <n v="7"/>
    <n v="0"/>
    <n v="115"/>
    <n v="830"/>
    <n v="26"/>
    <n v="1"/>
    <n v="2"/>
    <n v="12"/>
    <n v="297"/>
    <n v="4"/>
    <n v="1"/>
    <n v="0"/>
    <m/>
    <n v="-8.8145962732919294"/>
    <n v="-1.75"/>
    <n v="-9.0217391304347796"/>
    <n v="-0.8"/>
    <n v="0"/>
    <n v="2.4"/>
    <n v="0.35714285714285698"/>
  </r>
  <r>
    <x v="2"/>
    <s v="Nonfat Caramel Mocha (Small)"/>
    <n v="200"/>
    <n v="35"/>
    <n v="4"/>
    <n v="2.5"/>
    <n v="0"/>
    <n v="5"/>
    <n v="170"/>
    <n v="34"/>
    <n v="0"/>
    <n v="31"/>
    <n v="8"/>
    <n v="225.5"/>
    <n v="4"/>
    <n v="0"/>
    <n v="0"/>
    <m/>
    <n v="-13.272826086956499"/>
    <n v="-0.625"/>
    <n v="-1.84782608695652"/>
    <n v="-12.4"/>
    <n v="0"/>
    <n v="1.6"/>
    <n v="0"/>
  </r>
  <r>
    <x v="2"/>
    <s v="Filet-O-Fish¬Æ"/>
    <n v="380"/>
    <n v="170"/>
    <n v="18"/>
    <n v="3.5"/>
    <n v="0"/>
    <n v="40"/>
    <n v="640"/>
    <n v="38"/>
    <n v="2"/>
    <n v="5"/>
    <n v="15"/>
    <n v="373.5"/>
    <n v="3.9473684210526301"/>
    <n v="1"/>
    <n v="0"/>
    <m/>
    <n v="-6.1172360248447202"/>
    <n v="-0.875"/>
    <n v="-6.9565217391304301"/>
    <n v="-2"/>
    <n v="0"/>
    <n v="3"/>
    <n v="0.71428571428571397"/>
  </r>
  <r>
    <x v="2"/>
    <s v="McChicken ¬Æ"/>
    <n v="360"/>
    <n v="150"/>
    <n v="16"/>
    <n v="3"/>
    <n v="0"/>
    <n v="35"/>
    <n v="830"/>
    <n v="40"/>
    <n v="2"/>
    <n v="5"/>
    <n v="14"/>
    <n v="354"/>
    <n v="3.8888888888888902"/>
    <n v="1"/>
    <n v="0"/>
    <m/>
    <n v="-8.2574534161490707"/>
    <n v="-0.75"/>
    <n v="-9.0217391304347796"/>
    <n v="-2"/>
    <n v="0"/>
    <n v="2.8"/>
    <n v="0.71428571428571397"/>
  </r>
  <r>
    <x v="2"/>
    <s v="Nonfat Hazelnut Latte (Small)"/>
    <n v="180"/>
    <n v="0"/>
    <n v="0"/>
    <n v="0"/>
    <n v="0"/>
    <n v="5"/>
    <n v="95"/>
    <n v="37"/>
    <n v="0"/>
    <n v="37"/>
    <n v="7"/>
    <n v="210"/>
    <n v="3.8888888888888902"/>
    <n v="0"/>
    <n v="0"/>
    <m/>
    <n v="-14.432608695652201"/>
    <n v="0"/>
    <n v="-1.0326086956521701"/>
    <n v="-14.8"/>
    <n v="0"/>
    <n v="1.4"/>
    <n v="0"/>
  </r>
  <r>
    <x v="2"/>
    <s v="Nonfat Vanilla Latte (Small)"/>
    <n v="180"/>
    <n v="0"/>
    <n v="0"/>
    <n v="0"/>
    <n v="0"/>
    <n v="5"/>
    <n v="95"/>
    <n v="37"/>
    <n v="0"/>
    <n v="37"/>
    <n v="7"/>
    <n v="210"/>
    <n v="3.8888888888888902"/>
    <n v="0"/>
    <n v="0"/>
    <m/>
    <n v="-14.432608695652201"/>
    <n v="0"/>
    <n v="-1.0326086956521701"/>
    <n v="-14.8"/>
    <n v="0"/>
    <n v="1.4"/>
    <n v="0"/>
  </r>
  <r>
    <x v="2"/>
    <s v="Nonfat Caramel Latte (Large)"/>
    <n v="260"/>
    <n v="0"/>
    <n v="0"/>
    <n v="0"/>
    <n v="0"/>
    <n v="5"/>
    <n v="220"/>
    <n v="53"/>
    <n v="0"/>
    <n v="53"/>
    <n v="10"/>
    <n v="303"/>
    <n v="3.8461538461538498"/>
    <n v="0"/>
    <n v="0"/>
    <m/>
    <n v="-21.5913043478261"/>
    <n v="0"/>
    <n v="-2.39130434782609"/>
    <n v="-21.2"/>
    <n v="0"/>
    <n v="2"/>
    <n v="0"/>
  </r>
  <r>
    <x v="2"/>
    <s v="Nonfat Hazelnut Latte (Large)"/>
    <n v="260"/>
    <n v="0"/>
    <n v="0"/>
    <n v="0"/>
    <n v="0"/>
    <n v="5"/>
    <n v="135"/>
    <n v="55"/>
    <n v="0"/>
    <n v="55"/>
    <n v="10"/>
    <n v="305"/>
    <n v="3.8461538461538498"/>
    <n v="0"/>
    <n v="0"/>
    <m/>
    <n v="-21.4673913043478"/>
    <n v="0"/>
    <n v="-1.4673913043478299"/>
    <n v="-22"/>
    <n v="0"/>
    <n v="2"/>
    <n v="0"/>
  </r>
  <r>
    <x v="2"/>
    <s v="Nonfat Vanilla Latte (Large)"/>
    <n v="260"/>
    <n v="0"/>
    <n v="0"/>
    <n v="0"/>
    <n v="0"/>
    <n v="5"/>
    <n v="135"/>
    <n v="55"/>
    <n v="0"/>
    <n v="55"/>
    <n v="10"/>
    <n v="305"/>
    <n v="3.8461538461538498"/>
    <n v="0"/>
    <n v="0"/>
    <m/>
    <n v="-21.4673913043478"/>
    <n v="0"/>
    <n v="-1.4673913043478299"/>
    <n v="-22"/>
    <n v="0"/>
    <n v="2"/>
    <n v="0"/>
  </r>
  <r>
    <x v="2"/>
    <s v="Sausage McMuffin¬Æ"/>
    <n v="370"/>
    <n v="200"/>
    <n v="22"/>
    <n v="8"/>
    <n v="0"/>
    <n v="45"/>
    <n v="850"/>
    <n v="29"/>
    <n v="2"/>
    <n v="2"/>
    <n v="14"/>
    <n v="366"/>
    <n v="3.7837837837837802"/>
    <n v="1"/>
    <n v="0"/>
    <m/>
    <n v="-8.5248447204968905"/>
    <n v="-2"/>
    <n v="-9.2391304347826093"/>
    <n v="-0.8"/>
    <n v="0"/>
    <n v="2.8"/>
    <n v="0.71428571428571397"/>
  </r>
  <r>
    <x v="2"/>
    <s v="Big Breakfast¬Æ (Regular Size Biscuit)"/>
    <n v="740"/>
    <n v="430"/>
    <n v="48"/>
    <n v="17"/>
    <n v="0"/>
    <n v="555"/>
    <n v="1560"/>
    <n v="51"/>
    <n v="3"/>
    <n v="3"/>
    <n v="28"/>
    <n v="732"/>
    <n v="3.7837837837837802"/>
    <n v="1"/>
    <n v="1"/>
    <m/>
    <n v="-15.735093167701899"/>
    <n v="-4.25"/>
    <n v="-16.956521739130402"/>
    <n v="-1.2"/>
    <n v="0"/>
    <n v="5.6"/>
    <n v="1.0714285714285701"/>
  </r>
  <r>
    <x v="2"/>
    <s v="Iced Nonfat Caramel Mocha (Medium)"/>
    <n v="240"/>
    <n v="60"/>
    <n v="6"/>
    <n v="4"/>
    <n v="0"/>
    <n v="10"/>
    <n v="190"/>
    <n v="37"/>
    <n v="0"/>
    <n v="34"/>
    <n v="9"/>
    <n v="269"/>
    <n v="3.75"/>
    <n v="0"/>
    <n v="0"/>
    <m/>
    <n v="-14.8652173913043"/>
    <n v="-1"/>
    <n v="-2.0652173913043499"/>
    <n v="-13.6"/>
    <n v="0"/>
    <n v="1.8"/>
    <n v="0"/>
  </r>
  <r>
    <x v="2"/>
    <s v="Nonfat Caramel Mocha (Medium)"/>
    <n v="240"/>
    <n v="35"/>
    <n v="4"/>
    <n v="2.5"/>
    <n v="0"/>
    <n v="5"/>
    <n v="200"/>
    <n v="41"/>
    <n v="0"/>
    <n v="38"/>
    <n v="9"/>
    <n v="271.5"/>
    <n v="3.75"/>
    <n v="0"/>
    <n v="0"/>
    <m/>
    <n v="-16.198913043478299"/>
    <n v="-0.625"/>
    <n v="-2.1739130434782599"/>
    <n v="-15.2"/>
    <n v="0"/>
    <n v="1.8"/>
    <n v="0"/>
  </r>
  <r>
    <x v="2"/>
    <s v="Iced Nonfat Caramel Mocha (Large)"/>
    <n v="300"/>
    <n v="60"/>
    <n v="6"/>
    <n v="4"/>
    <n v="0"/>
    <n v="10"/>
    <n v="230"/>
    <n v="49"/>
    <n v="0"/>
    <n v="45"/>
    <n v="11"/>
    <n v="338"/>
    <n v="3.6666666666666701"/>
    <n v="0"/>
    <n v="0"/>
    <m/>
    <n v="-19.3"/>
    <n v="-1"/>
    <n v="-2.5"/>
    <n v="-18"/>
    <n v="0"/>
    <n v="2.2000000000000002"/>
    <n v="0"/>
  </r>
  <r>
    <x v="2"/>
    <s v="Southern Style Chicken Biscuit (Large Size Biscuit)"/>
    <n v="470"/>
    <n v="220"/>
    <n v="24"/>
    <n v="9"/>
    <n v="0"/>
    <n v="30"/>
    <n v="1290"/>
    <n v="46"/>
    <n v="3"/>
    <n v="4"/>
    <n v="17"/>
    <n v="466"/>
    <n v="3.6170212765957399"/>
    <n v="1"/>
    <n v="0"/>
    <m/>
    <n v="-13.400310559006201"/>
    <n v="-2.25"/>
    <n v="-14.021739130434799"/>
    <n v="-1.6"/>
    <n v="0"/>
    <n v="3.4"/>
    <n v="1.0714285714285701"/>
  </r>
  <r>
    <x v="2"/>
    <s v="Bacon, Egg &amp; Cheese Biscuit (Regular Size Biscuit)"/>
    <n v="420"/>
    <n v="210"/>
    <n v="23"/>
    <n v="12"/>
    <n v="0"/>
    <n v="235"/>
    <n v="1160"/>
    <n v="37"/>
    <n v="2"/>
    <n v="3"/>
    <n v="15"/>
    <n v="420"/>
    <n v="3.5714285714285698"/>
    <n v="1"/>
    <n v="0"/>
    <m/>
    <n v="-13.0944099378882"/>
    <n v="-3"/>
    <n v="-12.6086956521739"/>
    <n v="-1.2"/>
    <n v="0"/>
    <n v="3"/>
    <n v="0.71428571428571397"/>
  </r>
  <r>
    <x v="2"/>
    <s v="Bacon, Egg &amp; Cheese McGriddles¬Æ"/>
    <n v="420"/>
    <n v="160"/>
    <n v="18"/>
    <n v="8"/>
    <n v="0"/>
    <n v="240"/>
    <n v="1110"/>
    <n v="48"/>
    <n v="2"/>
    <n v="15"/>
    <n v="15"/>
    <n v="428"/>
    <n v="3.5714285714285698"/>
    <n v="1"/>
    <n v="0"/>
    <m/>
    <n v="-16.3509316770186"/>
    <n v="-2"/>
    <n v="-12.0652173913043"/>
    <n v="-6"/>
    <n v="0"/>
    <n v="3"/>
    <n v="0.71428571428571397"/>
  </r>
  <r>
    <x v="2"/>
    <s v="Sausage, Egg &amp; Cheese McGriddles¬Æ"/>
    <n v="560"/>
    <n v="290"/>
    <n v="32"/>
    <n v="12"/>
    <n v="0"/>
    <n v="265"/>
    <n v="1360"/>
    <n v="48"/>
    <n v="2"/>
    <n v="15"/>
    <n v="20"/>
    <n v="567"/>
    <n v="3.5714285714285698"/>
    <n v="1"/>
    <n v="0"/>
    <m/>
    <n v="-19.068322981366499"/>
    <n v="-3"/>
    <n v="-14.7826086956522"/>
    <n v="-6"/>
    <n v="0"/>
    <n v="4"/>
    <n v="0.71428571428571397"/>
  </r>
  <r>
    <x v="2"/>
    <s v="Hot Chocolate with Nonfat Milk (Medium)"/>
    <n v="310"/>
    <n v="50"/>
    <n v="6"/>
    <n v="3.5"/>
    <n v="0"/>
    <n v="10"/>
    <n v="190"/>
    <n v="55"/>
    <n v="0"/>
    <n v="47"/>
    <n v="11"/>
    <n v="349.5"/>
    <n v="3.54838709677419"/>
    <n v="0"/>
    <n v="0"/>
    <m/>
    <n v="-19.540217391304299"/>
    <n v="-0.875"/>
    <n v="-2.0652173913043499"/>
    <n v="-18.8"/>
    <n v="0"/>
    <n v="2.2000000000000002"/>
    <n v="0"/>
  </r>
  <r>
    <x v="2"/>
    <s v="Sausage Biscuit with Egg (Regular Size Biscuit)"/>
    <n v="510"/>
    <n v="290"/>
    <n v="33"/>
    <n v="14"/>
    <n v="0"/>
    <n v="250"/>
    <n v="1170"/>
    <n v="36"/>
    <n v="2"/>
    <n v="2"/>
    <n v="18"/>
    <n v="508"/>
    <n v="3.52941176470588"/>
    <n v="1"/>
    <n v="0"/>
    <m/>
    <n v="-12.703105590062099"/>
    <n v="-3.5"/>
    <n v="-12.7173913043478"/>
    <n v="-0.8"/>
    <n v="0"/>
    <n v="3.6"/>
    <n v="0.71428571428571397"/>
  </r>
  <r>
    <x v="2"/>
    <s v="Big Breakfast¬Æ (Large Size Biscuit)"/>
    <n v="800"/>
    <n v="470"/>
    <n v="52"/>
    <n v="18"/>
    <n v="0"/>
    <n v="555"/>
    <n v="1680"/>
    <n v="56"/>
    <n v="4"/>
    <n v="3"/>
    <n v="28"/>
    <n v="793"/>
    <n v="3.5"/>
    <n v="1"/>
    <n v="1"/>
    <m/>
    <n v="-16.932298136646001"/>
    <n v="-4.5"/>
    <n v="-18.260869565217401"/>
    <n v="-1.2"/>
    <n v="0"/>
    <n v="5.6"/>
    <n v="1.4285714285714299"/>
  </r>
  <r>
    <x v="2"/>
    <s v="Butter Garlic Croutons"/>
    <n v="60"/>
    <n v="15"/>
    <n v="1.5"/>
    <n v="0"/>
    <n v="0"/>
    <n v="0"/>
    <n v="140"/>
    <n v="10"/>
    <n v="1"/>
    <n v="0"/>
    <n v="2"/>
    <n v="58"/>
    <n v="3.3333333333333299"/>
    <n v="0"/>
    <n v="0"/>
    <m/>
    <n v="-0.76459627329192603"/>
    <n v="0"/>
    <n v="-1.52173913043478"/>
    <n v="0"/>
    <n v="0"/>
    <n v="0.4"/>
    <n v="0.35714285714285698"/>
  </r>
  <r>
    <x v="2"/>
    <s v="Nonfat Caramel Cappuccino (Small)"/>
    <n v="150"/>
    <n v="0"/>
    <n v="0"/>
    <n v="0"/>
    <n v="0"/>
    <n v="5"/>
    <n v="120"/>
    <n v="33"/>
    <n v="0"/>
    <n v="32"/>
    <n v="5"/>
    <n v="177"/>
    <n v="3.3333333333333299"/>
    <n v="0"/>
    <n v="0"/>
    <m/>
    <n v="-13.104347826087"/>
    <n v="0"/>
    <n v="-1.3043478260869601"/>
    <n v="-12.8"/>
    <n v="0"/>
    <n v="1"/>
    <n v="0"/>
  </r>
  <r>
    <x v="2"/>
    <s v="Nonfat Hazelnut Cappuccino (Small)"/>
    <n v="150"/>
    <n v="0"/>
    <n v="0"/>
    <n v="0"/>
    <n v="0"/>
    <n v="5"/>
    <n v="70"/>
    <n v="34"/>
    <n v="0"/>
    <n v="34"/>
    <n v="5"/>
    <n v="179"/>
    <n v="3.3333333333333299"/>
    <n v="0"/>
    <n v="0"/>
    <m/>
    <n v="-13.360869565217399"/>
    <n v="0"/>
    <n v="-0.76086956521739102"/>
    <n v="-13.6"/>
    <n v="0"/>
    <n v="1"/>
    <n v="0"/>
  </r>
  <r>
    <x v="2"/>
    <s v="Nonfat Vanilla Cappuccino (Small)"/>
    <n v="150"/>
    <n v="0"/>
    <n v="0"/>
    <n v="0"/>
    <n v="0"/>
    <n v="5"/>
    <n v="70"/>
    <n v="34"/>
    <n v="0"/>
    <n v="34"/>
    <n v="5"/>
    <n v="179"/>
    <n v="3.3333333333333299"/>
    <n v="0"/>
    <n v="0"/>
    <m/>
    <n v="-13.360869565217399"/>
    <n v="0"/>
    <n v="-0.76086956521739102"/>
    <n v="-13.6"/>
    <n v="0"/>
    <n v="1"/>
    <n v="0"/>
  </r>
  <r>
    <x v="2"/>
    <s v="Iced Nonfat Caramel Latte (Medium)"/>
    <n v="150"/>
    <n v="0"/>
    <n v="0"/>
    <n v="0"/>
    <n v="0"/>
    <n v="5"/>
    <n v="120"/>
    <n v="32"/>
    <n v="0"/>
    <n v="32"/>
    <n v="5"/>
    <n v="177"/>
    <n v="3.3333333333333299"/>
    <n v="0"/>
    <n v="0"/>
    <m/>
    <n v="-13.104347826087"/>
    <n v="0"/>
    <n v="-1.3043478260869601"/>
    <n v="-12.8"/>
    <n v="0"/>
    <n v="1"/>
    <n v="0"/>
  </r>
  <r>
    <x v="2"/>
    <s v="Iced Nonfat Hazelnut Latte (Medium)"/>
    <n v="150"/>
    <n v="0"/>
    <n v="0"/>
    <n v="0"/>
    <n v="0"/>
    <n v="5"/>
    <n v="70"/>
    <n v="33"/>
    <n v="0"/>
    <n v="33"/>
    <n v="5"/>
    <n v="178"/>
    <n v="3.3333333333333299"/>
    <n v="0"/>
    <n v="0"/>
    <m/>
    <n v="-12.960869565217401"/>
    <n v="0"/>
    <n v="-0.76086956521739102"/>
    <n v="-13.2"/>
    <n v="0"/>
    <n v="1"/>
    <n v="0"/>
  </r>
  <r>
    <x v="2"/>
    <s v="Iced Nonfat Vanilla Latte (Medium)"/>
    <n v="150"/>
    <n v="0"/>
    <n v="0"/>
    <n v="0"/>
    <n v="0"/>
    <n v="5"/>
    <n v="70"/>
    <n v="33"/>
    <n v="0"/>
    <n v="33"/>
    <n v="5"/>
    <n v="178"/>
    <n v="3.3333333333333299"/>
    <n v="0"/>
    <n v="0"/>
    <m/>
    <n v="-12.960869565217401"/>
    <n v="0"/>
    <n v="-0.76086956521739102"/>
    <n v="-13.2"/>
    <n v="0"/>
    <n v="1"/>
    <n v="0"/>
  </r>
  <r>
    <x v="2"/>
    <s v="Big Breakfast with Hotcakes (Regular Size Biscuit)"/>
    <n v="1090"/>
    <n v="510"/>
    <n v="56"/>
    <n v="19"/>
    <n v="0"/>
    <n v="575"/>
    <n v="2150"/>
    <n v="111"/>
    <n v="6"/>
    <n v="17"/>
    <n v="36"/>
    <n v="1090"/>
    <n v="3.3027522935779801"/>
    <n v="1"/>
    <n v="1"/>
    <m/>
    <n v="-25.576708074534199"/>
    <n v="-4.75"/>
    <n v="-23.369565217391301"/>
    <n v="-6.8"/>
    <n v="0"/>
    <n v="7.2"/>
    <n v="2.1428571428571401"/>
  </r>
  <r>
    <x v="2"/>
    <s v="Hot Chocolate with Nonfat Milk (Small)"/>
    <n v="250"/>
    <n v="45"/>
    <n v="5"/>
    <n v="3"/>
    <n v="0"/>
    <n v="10"/>
    <n v="140"/>
    <n v="43"/>
    <n v="0"/>
    <n v="37"/>
    <n v="8"/>
    <n v="282"/>
    <n v="3.2"/>
    <n v="0"/>
    <n v="0"/>
    <m/>
    <n v="-15.4717391304348"/>
    <n v="-0.75"/>
    <n v="-1.52173913043478"/>
    <n v="-14.8"/>
    <n v="0"/>
    <n v="1.6"/>
    <n v="0"/>
  </r>
  <r>
    <x v="2"/>
    <s v="Sausage Biscuit with Egg (Large Size Biscuit)"/>
    <n v="570"/>
    <n v="330"/>
    <n v="37"/>
    <n v="15"/>
    <n v="0"/>
    <n v="250"/>
    <n v="1280"/>
    <n v="42"/>
    <n v="3"/>
    <n v="3"/>
    <n v="18"/>
    <n v="570"/>
    <n v="3.1578947368421102"/>
    <n v="1"/>
    <n v="0"/>
    <m/>
    <n v="-14.191614906832299"/>
    <n v="-3.75"/>
    <n v="-13.913043478260899"/>
    <n v="-1.2"/>
    <n v="0"/>
    <n v="3.6"/>
    <n v="1.0714285714285701"/>
  </r>
  <r>
    <x v="2"/>
    <s v="Nonfat Caramel Cappuccino (Medium)"/>
    <n v="190"/>
    <n v="0"/>
    <n v="0"/>
    <n v="0"/>
    <n v="0"/>
    <n v="5"/>
    <n v="150"/>
    <n v="41"/>
    <n v="0"/>
    <n v="41"/>
    <n v="6"/>
    <n v="225"/>
    <n v="3.1578947368421102"/>
    <n v="0"/>
    <n v="0"/>
    <m/>
    <n v="-16.830434782608702"/>
    <n v="0"/>
    <n v="-1.6304347826087"/>
    <n v="-16.399999999999999"/>
    <n v="0"/>
    <n v="1.2"/>
    <n v="0"/>
  </r>
  <r>
    <x v="2"/>
    <s v="Nonfat Hazelnut Cappuccino (Medium)"/>
    <n v="190"/>
    <n v="0"/>
    <n v="0"/>
    <n v="0"/>
    <n v="0"/>
    <n v="5"/>
    <n v="90"/>
    <n v="43"/>
    <n v="0"/>
    <n v="43"/>
    <n v="6"/>
    <n v="227"/>
    <n v="3.1578947368421102"/>
    <n v="0"/>
    <n v="0"/>
    <m/>
    <n v="-16.978260869565201"/>
    <n v="0"/>
    <n v="-0.97826086956521796"/>
    <n v="-17.2"/>
    <n v="0"/>
    <n v="1.2"/>
    <n v="0"/>
  </r>
  <r>
    <x v="2"/>
    <s v="Nonfat Vanilla Cappuccino (Medium)"/>
    <n v="190"/>
    <n v="0"/>
    <n v="0"/>
    <n v="0"/>
    <n v="0"/>
    <n v="5"/>
    <n v="90"/>
    <n v="42"/>
    <n v="0"/>
    <n v="42"/>
    <n v="6"/>
    <n v="226"/>
    <n v="3.1578947368421102"/>
    <n v="0"/>
    <n v="0"/>
    <m/>
    <n v="-16.578260869565199"/>
    <n v="0"/>
    <n v="-0.97826086956521796"/>
    <n v="-16.8"/>
    <n v="0"/>
    <n v="1.2"/>
    <n v="0"/>
  </r>
  <r>
    <x v="2"/>
    <s v="Iced Nonfat Caramel Latte (Large)"/>
    <n v="190"/>
    <n v="0"/>
    <n v="0"/>
    <n v="0"/>
    <n v="0"/>
    <n v="5"/>
    <n v="150"/>
    <n v="40"/>
    <n v="0"/>
    <n v="40"/>
    <n v="6"/>
    <n v="224"/>
    <n v="3.1578947368421102"/>
    <n v="0"/>
    <n v="0"/>
    <m/>
    <n v="-16.4304347826087"/>
    <n v="0"/>
    <n v="-1.6304347826087"/>
    <n v="-16"/>
    <n v="0"/>
    <n v="1.2"/>
    <n v="0"/>
  </r>
  <r>
    <x v="2"/>
    <s v="Iced Nonfat Hazelnut Latte (Large)"/>
    <n v="190"/>
    <n v="0"/>
    <n v="0"/>
    <n v="0"/>
    <n v="0"/>
    <n v="5"/>
    <n v="80"/>
    <n v="42"/>
    <n v="0"/>
    <n v="42"/>
    <n v="6"/>
    <n v="226"/>
    <n v="3.1578947368421102"/>
    <n v="0"/>
    <n v="0"/>
    <m/>
    <n v="-16.469565217391299"/>
    <n v="0"/>
    <n v="-0.86956521739130399"/>
    <n v="-16.8"/>
    <n v="0"/>
    <n v="1.2"/>
    <n v="0"/>
  </r>
  <r>
    <x v="2"/>
    <s v="Iced Nonfat Vanilla Latte (Large)"/>
    <n v="190"/>
    <n v="0"/>
    <n v="0"/>
    <n v="0"/>
    <n v="0"/>
    <n v="5"/>
    <n v="85"/>
    <n v="41"/>
    <n v="0"/>
    <n v="41"/>
    <n v="6"/>
    <n v="225"/>
    <n v="3.1578947368421102"/>
    <n v="0"/>
    <n v="0"/>
    <m/>
    <n v="-16.1239130434783"/>
    <n v="0"/>
    <n v="-0.92391304347826098"/>
    <n v="-16.399999999999999"/>
    <n v="0"/>
    <n v="1.2"/>
    <n v="0"/>
  </r>
  <r>
    <x v="2"/>
    <s v="Big Breakfast with Hotcakes (Large Size Biscuit)"/>
    <n v="1150"/>
    <n v="540"/>
    <n v="60"/>
    <n v="20"/>
    <n v="0"/>
    <n v="575"/>
    <n v="2260"/>
    <n v="116"/>
    <n v="7"/>
    <n v="17"/>
    <n v="36"/>
    <n v="1151"/>
    <n v="3.1304347826086998"/>
    <n v="1"/>
    <n v="1"/>
    <m/>
    <n v="-26.665217391304299"/>
    <n v="-5"/>
    <n v="-24.565217391304301"/>
    <n v="-6.8"/>
    <n v="0"/>
    <n v="7.2"/>
    <n v="2.5"/>
  </r>
  <r>
    <x v="2"/>
    <s v="English Muffin"/>
    <n v="160"/>
    <n v="30"/>
    <n v="3"/>
    <n v="0.5"/>
    <n v="0"/>
    <n v="0"/>
    <n v="280"/>
    <n v="27"/>
    <n v="2"/>
    <n v="2"/>
    <n v="5"/>
    <n v="157.5"/>
    <n v="3.125"/>
    <n v="0"/>
    <n v="0"/>
    <m/>
    <n v="-2.2541925465838499"/>
    <n v="-0.125"/>
    <n v="-3.0434782608695699"/>
    <n v="-0.8"/>
    <n v="0"/>
    <n v="1"/>
    <n v="0.71428571428571397"/>
  </r>
  <r>
    <x v="2"/>
    <s v="Bacon, Egg &amp; Cheese Biscuit (Large Size Biscuit)"/>
    <n v="480"/>
    <n v="240"/>
    <n v="27"/>
    <n v="12"/>
    <n v="0"/>
    <n v="235"/>
    <n v="1270"/>
    <n v="43"/>
    <n v="3"/>
    <n v="4"/>
    <n v="15"/>
    <n v="481"/>
    <n v="3.125"/>
    <n v="1"/>
    <n v="0"/>
    <m/>
    <n v="-14.3329192546584"/>
    <n v="-3"/>
    <n v="-13.804347826087"/>
    <n v="-1.6"/>
    <n v="0"/>
    <n v="3"/>
    <n v="1.0714285714285701"/>
  </r>
  <r>
    <x v="2"/>
    <s v="Nonfat Caramel Cappuccino (Large)"/>
    <n v="230"/>
    <n v="0"/>
    <n v="0"/>
    <n v="0"/>
    <n v="0"/>
    <n v="5"/>
    <n v="180"/>
    <n v="49"/>
    <n v="0"/>
    <n v="49"/>
    <n v="7"/>
    <n v="272"/>
    <n v="3.0434782608695699"/>
    <n v="0"/>
    <n v="0"/>
    <m/>
    <n v="-20.156521739130401"/>
    <n v="0"/>
    <n v="-1.9565217391304399"/>
    <n v="-19.600000000000001"/>
    <n v="0"/>
    <n v="1.4"/>
    <n v="0"/>
  </r>
  <r>
    <x v="2"/>
    <s v="Nonfat Hazelnut Cappuccino (Large)"/>
    <n v="230"/>
    <n v="0"/>
    <n v="0"/>
    <n v="0"/>
    <n v="0"/>
    <n v="5"/>
    <n v="100"/>
    <n v="51"/>
    <n v="0"/>
    <n v="51"/>
    <n v="7"/>
    <n v="274"/>
    <n v="3.0434782608695699"/>
    <n v="0"/>
    <n v="0"/>
    <m/>
    <n v="-20.086956521739101"/>
    <n v="0"/>
    <n v="-1.0869565217391299"/>
    <n v="-20.399999999999999"/>
    <n v="0"/>
    <n v="1.4"/>
    <n v="0"/>
  </r>
  <r>
    <x v="2"/>
    <s v="Nonfat Vanilla Cappuccino (Large)"/>
    <n v="230"/>
    <n v="0"/>
    <n v="0"/>
    <n v="0"/>
    <n v="0"/>
    <n v="5"/>
    <n v="100"/>
    <n v="51"/>
    <n v="0"/>
    <n v="51"/>
    <n v="7"/>
    <n v="274"/>
    <n v="3.0434782608695699"/>
    <n v="0"/>
    <n v="0"/>
    <m/>
    <n v="-20.086956521739101"/>
    <n v="0"/>
    <n v="-1.0869565217391299"/>
    <n v="-20.399999999999999"/>
    <n v="0"/>
    <n v="1.4"/>
    <n v="0"/>
  </r>
  <r>
    <x v="2"/>
    <s v="Caramel Latte (Small)"/>
    <n v="230"/>
    <n v="60"/>
    <n v="7"/>
    <n v="4"/>
    <n v="0"/>
    <n v="20"/>
    <n v="140"/>
    <n v="35"/>
    <n v="0"/>
    <n v="35"/>
    <n v="7"/>
    <n v="262"/>
    <n v="3.0434782608695699"/>
    <n v="0"/>
    <n v="0"/>
    <m/>
    <n v="-15.121739130434801"/>
    <n v="-1"/>
    <n v="-1.52173913043478"/>
    <n v="-14"/>
    <n v="0"/>
    <n v="1.4"/>
    <n v="0"/>
  </r>
  <r>
    <x v="2"/>
    <s v="Hazelnut Latte (Small)"/>
    <n v="230"/>
    <n v="60"/>
    <n v="7"/>
    <n v="4"/>
    <n v="0"/>
    <n v="20"/>
    <n v="90"/>
    <n v="36"/>
    <n v="0"/>
    <n v="36"/>
    <n v="7"/>
    <n v="263"/>
    <n v="3.0434782608695699"/>
    <n v="0"/>
    <n v="0"/>
    <m/>
    <n v="-14.978260869565201"/>
    <n v="-1"/>
    <n v="-0.97826086956521796"/>
    <n v="-14.4"/>
    <n v="0"/>
    <n v="1.4"/>
    <n v="0"/>
  </r>
  <r>
    <x v="2"/>
    <s v="Vanilla Latte (Small)"/>
    <n v="230"/>
    <n v="60"/>
    <n v="7"/>
    <n v="4"/>
    <n v="0"/>
    <n v="20"/>
    <n v="90"/>
    <n v="36"/>
    <n v="0"/>
    <n v="36"/>
    <n v="7"/>
    <n v="263"/>
    <n v="3.0434782608695699"/>
    <n v="0"/>
    <n v="0"/>
    <m/>
    <n v="-14.978260869565201"/>
    <n v="-1"/>
    <n v="-0.97826086956521796"/>
    <n v="-14.4"/>
    <n v="0"/>
    <n v="1.4"/>
    <n v="0"/>
  </r>
  <r>
    <x v="2"/>
    <s v="Mocha with Nonfat Milk (Large)"/>
    <n v="330"/>
    <n v="50"/>
    <n v="6"/>
    <n v="3.5"/>
    <n v="0"/>
    <n v="10"/>
    <n v="190"/>
    <n v="58"/>
    <n v="0"/>
    <n v="50"/>
    <n v="10"/>
    <n v="373.5"/>
    <n v="3.0303030303030298"/>
    <n v="0"/>
    <n v="0"/>
    <m/>
    <n v="-20.940217391304301"/>
    <n v="-0.875"/>
    <n v="-2.0652173913043499"/>
    <n v="-20"/>
    <n v="0"/>
    <n v="2"/>
    <n v="0"/>
  </r>
  <r>
    <x v="2"/>
    <s v="Iced Nonfat Caramel Mocha (Small)"/>
    <n v="200"/>
    <n v="50"/>
    <n v="6"/>
    <n v="4"/>
    <n v="0"/>
    <n v="10"/>
    <n v="140"/>
    <n v="29"/>
    <n v="0"/>
    <n v="26"/>
    <n v="6"/>
    <n v="224"/>
    <n v="3"/>
    <n v="0"/>
    <n v="0"/>
    <m/>
    <n v="-11.7217391304348"/>
    <n v="-1"/>
    <n v="-1.52173913043478"/>
    <n v="-10.4"/>
    <n v="0"/>
    <n v="1.2"/>
    <n v="0"/>
  </r>
  <r>
    <x v="2"/>
    <s v="Mocha with Nonfat Milk (Small)"/>
    <n v="240"/>
    <n v="45"/>
    <n v="5"/>
    <n v="3"/>
    <n v="0"/>
    <n v="5"/>
    <n v="130"/>
    <n v="41"/>
    <n v="0"/>
    <n v="34"/>
    <n v="7"/>
    <n v="270"/>
    <n v="2.9166666666666701"/>
    <n v="0"/>
    <n v="0"/>
    <m/>
    <n v="-14.3630434782609"/>
    <n v="-0.75"/>
    <n v="-1.4130434782608701"/>
    <n v="-13.6"/>
    <n v="0"/>
    <n v="1.4"/>
    <n v="0"/>
  </r>
  <r>
    <x v="2"/>
    <s v="Hotcakes and Sausage"/>
    <n v="520"/>
    <n v="210"/>
    <n v="24"/>
    <n v="7"/>
    <n v="0"/>
    <n v="50"/>
    <n v="930"/>
    <n v="61"/>
    <n v="3"/>
    <n v="14"/>
    <n v="15"/>
    <n v="526"/>
    <n v="2.8846153846153801"/>
    <n v="1"/>
    <n v="0"/>
    <m/>
    <n v="-13.3872670807453"/>
    <n v="-1.75"/>
    <n v="-10.1086956521739"/>
    <n v="-5.6"/>
    <n v="0"/>
    <n v="3"/>
    <n v="1.0714285714285701"/>
  </r>
  <r>
    <x v="2"/>
    <s v="Mocha with Nonfat Milk (Medium)"/>
    <n v="280"/>
    <n v="50"/>
    <n v="6"/>
    <n v="3.5"/>
    <n v="0"/>
    <n v="10"/>
    <n v="160"/>
    <n v="50"/>
    <n v="0"/>
    <n v="42"/>
    <n v="8"/>
    <n v="317.5"/>
    <n v="2.8571428571428599"/>
    <n v="0"/>
    <n v="0"/>
    <m/>
    <n v="-17.814130434782601"/>
    <n v="-0.875"/>
    <n v="-1.73913043478261"/>
    <n v="-16.8"/>
    <n v="0"/>
    <n v="1.6"/>
    <n v="0"/>
  </r>
  <r>
    <x v="2"/>
    <s v="Caramel Latte (Medium)"/>
    <n v="280"/>
    <n v="70"/>
    <n v="8"/>
    <n v="4.5"/>
    <n v="0"/>
    <n v="25"/>
    <n v="170"/>
    <n v="43"/>
    <n v="0"/>
    <n v="43"/>
    <n v="8"/>
    <n v="319.5"/>
    <n v="2.8571428571428599"/>
    <n v="0"/>
    <n v="0"/>
    <m/>
    <n v="-18.5728260869565"/>
    <n v="-1.125"/>
    <n v="-1.84782608695652"/>
    <n v="-17.2"/>
    <n v="0"/>
    <n v="1.6"/>
    <n v="0"/>
  </r>
  <r>
    <x v="2"/>
    <s v="Hazelnut Latte (Medium)"/>
    <n v="280"/>
    <n v="70"/>
    <n v="8"/>
    <n v="4.5"/>
    <n v="0"/>
    <n v="25"/>
    <n v="110"/>
    <n v="45"/>
    <n v="0"/>
    <n v="45"/>
    <n v="8"/>
    <n v="321.5"/>
    <n v="2.8571428571428599"/>
    <n v="0"/>
    <n v="0"/>
    <m/>
    <n v="-18.720652173912999"/>
    <n v="-1.125"/>
    <n v="-1.1956521739130399"/>
    <n v="-18"/>
    <n v="0"/>
    <n v="1.6"/>
    <n v="0"/>
  </r>
  <r>
    <x v="2"/>
    <s v="Vanilla Latte (Medium)"/>
    <n v="280"/>
    <n v="70"/>
    <n v="8"/>
    <n v="4.5"/>
    <n v="0"/>
    <n v="25"/>
    <n v="110"/>
    <n v="44"/>
    <n v="0"/>
    <n v="44"/>
    <n v="8"/>
    <n v="320.5"/>
    <n v="2.8571428571428599"/>
    <n v="0"/>
    <n v="0"/>
    <m/>
    <n v="-18.320652173913"/>
    <n v="-1.125"/>
    <n v="-1.1956521739130399"/>
    <n v="-17.600000000000001"/>
    <n v="0"/>
    <n v="1.6"/>
    <n v="0"/>
  </r>
  <r>
    <x v="2"/>
    <s v="Hot Chocolate (Large)"/>
    <n v="460"/>
    <n v="160"/>
    <n v="18"/>
    <n v="10"/>
    <n v="0.5"/>
    <n v="40"/>
    <n v="220"/>
    <n v="63"/>
    <n v="0"/>
    <n v="54"/>
    <n v="13"/>
    <n v="511"/>
    <n v="2.8260869565217401"/>
    <n v="0"/>
    <n v="0"/>
    <m/>
    <n v="-23.891804347826099"/>
    <n v="-2.5"/>
    <n v="-2.39130434782609"/>
    <n v="-21.6"/>
    <n v="-5.0000000000000001E-4"/>
    <n v="2.6"/>
    <n v="0"/>
  </r>
  <r>
    <x v="2"/>
    <s v="Caramel Mocha (Small)"/>
    <n v="250"/>
    <n v="90"/>
    <n v="11"/>
    <n v="6"/>
    <n v="0"/>
    <n v="25"/>
    <n v="150"/>
    <n v="33"/>
    <n v="0"/>
    <n v="31"/>
    <n v="7"/>
    <n v="280"/>
    <n v="2.8"/>
    <n v="0"/>
    <n v="0"/>
    <m/>
    <n v="-14.130434782608701"/>
    <n v="-1.5"/>
    <n v="-1.6304347826087"/>
    <n v="-12.4"/>
    <n v="0"/>
    <n v="1.4"/>
    <n v="0"/>
  </r>
  <r>
    <x v="2"/>
    <s v="Caramel Mocha (Large)"/>
    <n v="360"/>
    <n v="130"/>
    <n v="14"/>
    <n v="8"/>
    <n v="0.5"/>
    <n v="35"/>
    <n v="220"/>
    <n v="47"/>
    <n v="0"/>
    <n v="46"/>
    <n v="10"/>
    <n v="404"/>
    <n v="2.7777777777777799"/>
    <n v="0"/>
    <n v="0"/>
    <m/>
    <n v="-20.791804347826101"/>
    <n v="-2"/>
    <n v="-2.39130434782609"/>
    <n v="-18.399999999999999"/>
    <n v="-5.0000000000000001E-4"/>
    <n v="2"/>
    <n v="0"/>
  </r>
  <r>
    <x v="2"/>
    <s v="Caramel Cappuccino (Large)"/>
    <n v="290"/>
    <n v="70"/>
    <n v="8"/>
    <n v="4.5"/>
    <n v="0"/>
    <n v="25"/>
    <n v="190"/>
    <n v="49"/>
    <n v="0"/>
    <n v="49"/>
    <n v="8"/>
    <n v="335.5"/>
    <n v="2.7586206896551699"/>
    <n v="0"/>
    <n v="0"/>
    <m/>
    <n v="-21.190217391304301"/>
    <n v="-1.125"/>
    <n v="-2.0652173913043499"/>
    <n v="-19.600000000000001"/>
    <n v="0"/>
    <n v="1.6"/>
    <n v="0"/>
  </r>
  <r>
    <x v="2"/>
    <s v="Caramel Mocha (Medium)"/>
    <n v="290"/>
    <n v="100"/>
    <n v="12"/>
    <n v="7"/>
    <n v="0"/>
    <n v="25"/>
    <n v="180"/>
    <n v="39"/>
    <n v="0"/>
    <n v="38"/>
    <n v="8"/>
    <n v="327"/>
    <n v="2.7586206896551699"/>
    <n v="0"/>
    <n v="0"/>
    <m/>
    <n v="-17.3065217391304"/>
    <n v="-1.75"/>
    <n v="-1.9565217391304399"/>
    <n v="-15.2"/>
    <n v="0"/>
    <n v="1.6"/>
    <n v="0"/>
  </r>
  <r>
    <x v="2"/>
    <s v="Caramel Latte (Large)"/>
    <n v="330"/>
    <n v="80"/>
    <n v="9"/>
    <n v="5"/>
    <n v="0"/>
    <n v="30"/>
    <n v="210"/>
    <n v="52"/>
    <n v="0"/>
    <n v="51"/>
    <n v="9"/>
    <n v="377"/>
    <n v="2.7272727272727302"/>
    <n v="0"/>
    <n v="0"/>
    <m/>
    <n v="-22.132608695652198"/>
    <n v="-1.25"/>
    <n v="-2.2826086956521698"/>
    <n v="-20.399999999999999"/>
    <n v="0"/>
    <n v="1.8"/>
    <n v="0"/>
  </r>
  <r>
    <x v="2"/>
    <s v="Hazelnut Latte (Large)"/>
    <n v="330"/>
    <n v="80"/>
    <n v="9"/>
    <n v="5"/>
    <n v="0"/>
    <n v="30"/>
    <n v="130"/>
    <n v="53"/>
    <n v="0"/>
    <n v="53"/>
    <n v="9"/>
    <n v="379"/>
    <n v="2.7272727272727302"/>
    <n v="0"/>
    <n v="0"/>
    <m/>
    <n v="-22.063043478260902"/>
    <n v="-1.25"/>
    <n v="-1.4130434782608701"/>
    <n v="-21.2"/>
    <n v="0"/>
    <n v="1.8"/>
    <n v="0"/>
  </r>
  <r>
    <x v="2"/>
    <s v="Vanilla Latte (Large)"/>
    <n v="330"/>
    <n v="80"/>
    <n v="9"/>
    <n v="5"/>
    <n v="0"/>
    <n v="30"/>
    <n v="130"/>
    <n v="53"/>
    <n v="0"/>
    <n v="53"/>
    <n v="9"/>
    <n v="379"/>
    <n v="2.7272727272727302"/>
    <n v="0"/>
    <n v="0"/>
    <m/>
    <n v="-22.063043478260902"/>
    <n v="-1.25"/>
    <n v="-1.4130434782608701"/>
    <n v="-21.2"/>
    <n v="0"/>
    <n v="1.8"/>
    <n v="0"/>
  </r>
  <r>
    <x v="2"/>
    <s v="Vanilla Reduced Fat Ice Cream Cone"/>
    <n v="150"/>
    <n v="35"/>
    <n v="3.5"/>
    <n v="2"/>
    <n v="0"/>
    <n v="15"/>
    <n v="60"/>
    <n v="24"/>
    <n v="0"/>
    <n v="18"/>
    <n v="4"/>
    <n v="166"/>
    <n v="2.6666666666666701"/>
    <n v="0"/>
    <n v="0"/>
    <m/>
    <n v="-7.5521739130434797"/>
    <n v="-0.5"/>
    <n v="-0.65217391304347805"/>
    <n v="-7.2"/>
    <n v="0"/>
    <n v="0.8"/>
    <n v="0"/>
  </r>
  <r>
    <x v="2"/>
    <s v="Hot Chocolate (Small)"/>
    <n v="300"/>
    <n v="110"/>
    <n v="12"/>
    <n v="7"/>
    <n v="0"/>
    <n v="25"/>
    <n v="135"/>
    <n v="41"/>
    <n v="0"/>
    <n v="35"/>
    <n v="8"/>
    <n v="334"/>
    <n v="2.6666666666666701"/>
    <n v="0"/>
    <n v="0"/>
    <m/>
    <n v="-15.6173913043478"/>
    <n v="-1.75"/>
    <n v="-1.4673913043478299"/>
    <n v="-14"/>
    <n v="0"/>
    <n v="1.6"/>
    <n v="0"/>
  </r>
  <r>
    <x v="2"/>
    <s v="Iced Caramel Mocha (Medium)"/>
    <n v="300"/>
    <n v="120"/>
    <n v="14"/>
    <n v="8"/>
    <n v="0"/>
    <n v="30"/>
    <n v="160"/>
    <n v="36"/>
    <n v="0"/>
    <n v="33"/>
    <n v="8"/>
    <n v="333"/>
    <n v="2.6666666666666701"/>
    <n v="0"/>
    <n v="0"/>
    <m/>
    <n v="-15.3391304347826"/>
    <n v="-2"/>
    <n v="-1.73913043478261"/>
    <n v="-13.2"/>
    <n v="0"/>
    <n v="1.6"/>
    <n v="0"/>
  </r>
  <r>
    <x v="2"/>
    <s v="Hot Chocolate (Medium)"/>
    <n v="380"/>
    <n v="130"/>
    <n v="15"/>
    <n v="9"/>
    <n v="0.5"/>
    <n v="30"/>
    <n v="170"/>
    <n v="53"/>
    <n v="0"/>
    <n v="45"/>
    <n v="10"/>
    <n v="424"/>
    <n v="2.6315789473684199"/>
    <n v="0"/>
    <n v="0"/>
    <m/>
    <n v="-20.098326086956501"/>
    <n v="-2.25"/>
    <n v="-1.84782608695652"/>
    <n v="-18"/>
    <n v="-5.0000000000000001E-4"/>
    <n v="2"/>
    <n v="0"/>
  </r>
  <r>
    <x v="2"/>
    <s v="Iced Vanilla Latte (Medium)"/>
    <n v="190"/>
    <n v="40"/>
    <n v="4.5"/>
    <n v="2.5"/>
    <n v="0"/>
    <n v="15"/>
    <n v="70"/>
    <n v="33"/>
    <n v="0"/>
    <n v="33"/>
    <n v="5"/>
    <n v="220.5"/>
    <n v="2.6315789473684199"/>
    <n v="0"/>
    <n v="0"/>
    <m/>
    <n v="-13.585869565217401"/>
    <n v="-0.625"/>
    <n v="-0.76086956521739102"/>
    <n v="-13.2"/>
    <n v="0"/>
    <n v="1"/>
    <n v="0"/>
  </r>
  <r>
    <x v="2"/>
    <s v="Iced Caramel Mocha (Large)"/>
    <n v="380"/>
    <n v="140"/>
    <n v="16"/>
    <n v="9"/>
    <n v="0.5"/>
    <n v="35"/>
    <n v="210"/>
    <n v="48"/>
    <n v="0"/>
    <n v="46"/>
    <n v="10"/>
    <n v="425"/>
    <n v="2.6315789473684199"/>
    <n v="0"/>
    <n v="0"/>
    <m/>
    <n v="-20.933108695652201"/>
    <n v="-2.25"/>
    <n v="-2.2826086956521698"/>
    <n v="-18.399999999999999"/>
    <n v="-5.0000000000000001E-4"/>
    <n v="2"/>
    <n v="0"/>
  </r>
  <r>
    <x v="2"/>
    <s v="Sausage McGriddles¬Æ"/>
    <n v="420"/>
    <n v="200"/>
    <n v="22"/>
    <n v="8"/>
    <n v="0"/>
    <n v="35"/>
    <n v="1030"/>
    <n v="44"/>
    <n v="2"/>
    <n v="15"/>
    <n v="11"/>
    <n v="432"/>
    <n v="2.61904761904762"/>
    <n v="1"/>
    <n v="0"/>
    <m/>
    <n v="-16.2813664596273"/>
    <n v="-2"/>
    <n v="-11.195652173913"/>
    <n v="-6"/>
    <n v="0"/>
    <n v="2.2000000000000002"/>
    <n v="0.71428571428571397"/>
  </r>
  <r>
    <x v="2"/>
    <s v="Iced Caramel Latte (Large)"/>
    <n v="230"/>
    <n v="50"/>
    <n v="6"/>
    <n v="3.5"/>
    <n v="0"/>
    <n v="15"/>
    <n v="150"/>
    <n v="40"/>
    <n v="0"/>
    <n v="40"/>
    <n v="6"/>
    <n v="267.5"/>
    <n v="2.60869565217391"/>
    <n v="0"/>
    <n v="0"/>
    <m/>
    <n v="-17.3054347826087"/>
    <n v="-0.875"/>
    <n v="-1.6304347826087"/>
    <n v="-16"/>
    <n v="0"/>
    <n v="1.2"/>
    <n v="0"/>
  </r>
  <r>
    <x v="2"/>
    <s v="Iced Hazelnut Latte (Large)"/>
    <n v="230"/>
    <n v="50"/>
    <n v="6"/>
    <n v="3.5"/>
    <n v="0"/>
    <n v="15"/>
    <n v="85"/>
    <n v="41"/>
    <n v="0"/>
    <n v="41"/>
    <n v="6"/>
    <n v="268.5"/>
    <n v="2.60869565217391"/>
    <n v="0"/>
    <n v="0"/>
    <m/>
    <n v="-16.9989130434783"/>
    <n v="-0.875"/>
    <n v="-0.92391304347826098"/>
    <n v="-16.399999999999999"/>
    <n v="0"/>
    <n v="1.2"/>
    <n v="0"/>
  </r>
  <r>
    <x v="2"/>
    <s v="Iced Vanilla Latte (Large)"/>
    <n v="230"/>
    <n v="50"/>
    <n v="6"/>
    <n v="3.5"/>
    <n v="0"/>
    <n v="15"/>
    <n v="85"/>
    <n v="41"/>
    <n v="0"/>
    <n v="41"/>
    <n v="6"/>
    <n v="268.5"/>
    <n v="2.60869565217391"/>
    <n v="0"/>
    <n v="0"/>
    <m/>
    <n v="-16.9989130434783"/>
    <n v="-0.875"/>
    <n v="-0.92391304347826098"/>
    <n v="-16.399999999999999"/>
    <n v="0"/>
    <n v="1.2"/>
    <n v="0"/>
  </r>
  <r>
    <x v="2"/>
    <s v="Iced Mocha with Nonfat Milk (Medium)"/>
    <n v="270"/>
    <n v="70"/>
    <n v="8"/>
    <n v="4.5"/>
    <n v="0"/>
    <n v="10"/>
    <n v="140"/>
    <n v="43"/>
    <n v="0"/>
    <n v="35"/>
    <n v="7"/>
    <n v="302.5"/>
    <n v="2.5925925925925899"/>
    <n v="0"/>
    <n v="0"/>
    <m/>
    <n v="-15.246739130434801"/>
    <n v="-1.125"/>
    <n v="-1.52173913043478"/>
    <n v="-14"/>
    <n v="0"/>
    <n v="1.4"/>
    <n v="0"/>
  </r>
  <r>
    <x v="2"/>
    <s v="Sausage Biscuit (Regular Size Biscuit)"/>
    <n v="430"/>
    <n v="240"/>
    <n v="27"/>
    <n v="12"/>
    <n v="0"/>
    <n v="30"/>
    <n v="1080"/>
    <n v="34"/>
    <n v="2"/>
    <n v="2"/>
    <n v="11"/>
    <n v="433"/>
    <n v="2.5581395348837201"/>
    <n v="1"/>
    <n v="0"/>
    <m/>
    <n v="-12.624844720496901"/>
    <n v="-3"/>
    <n v="-11.7391304347826"/>
    <n v="-0.8"/>
    <n v="0"/>
    <n v="2.2000000000000002"/>
    <n v="0.71428571428571397"/>
  </r>
  <r>
    <x v="2"/>
    <s v="Fruit ‚Äòn Yogurt Parfait (7 oz)"/>
    <n v="160"/>
    <n v="20"/>
    <n v="2"/>
    <n v="1"/>
    <n v="0"/>
    <n v="5"/>
    <n v="85"/>
    <n v="31"/>
    <n v="1"/>
    <n v="21"/>
    <n v="4"/>
    <n v="178"/>
    <n v="2.5"/>
    <n v="0"/>
    <n v="0"/>
    <m/>
    <n v="-8.4167701863354001"/>
    <n v="-0.25"/>
    <n v="-0.92391304347826098"/>
    <n v="-8.4"/>
    <n v="0"/>
    <n v="0.8"/>
    <n v="0.35714285714285698"/>
  </r>
  <r>
    <x v="2"/>
    <s v="Caramel Cappuccino (Small)"/>
    <n v="200"/>
    <n v="45"/>
    <n v="5"/>
    <n v="3"/>
    <n v="0"/>
    <n v="15"/>
    <n v="125"/>
    <n v="32"/>
    <n v="0"/>
    <n v="32"/>
    <n v="5"/>
    <n v="230"/>
    <n v="2.5"/>
    <n v="0"/>
    <n v="0"/>
    <m/>
    <n v="-13.9086956521739"/>
    <n v="-0.75"/>
    <n v="-1.35869565217391"/>
    <n v="-12.8"/>
    <n v="0"/>
    <n v="1"/>
    <n v="0"/>
  </r>
  <r>
    <x v="2"/>
    <s v="Caramel Cappuccino (Medium)"/>
    <n v="240"/>
    <n v="50"/>
    <n v="6"/>
    <n v="3.5"/>
    <n v="0"/>
    <n v="20"/>
    <n v="150"/>
    <n v="41"/>
    <n v="0"/>
    <n v="40"/>
    <n v="6"/>
    <n v="277.5"/>
    <n v="2.5"/>
    <n v="0"/>
    <n v="0"/>
    <m/>
    <n v="-17.3054347826087"/>
    <n v="-0.875"/>
    <n v="-1.6304347826087"/>
    <n v="-16"/>
    <n v="0"/>
    <n v="1.2"/>
    <n v="0"/>
  </r>
  <r>
    <x v="2"/>
    <s v="Hazelnut Cappuccino (Small)"/>
    <n v="200"/>
    <n v="45"/>
    <n v="5"/>
    <n v="3"/>
    <n v="0"/>
    <n v="15"/>
    <n v="70"/>
    <n v="34"/>
    <n v="0"/>
    <n v="34"/>
    <n v="5"/>
    <n v="232"/>
    <n v="2.5"/>
    <n v="0"/>
    <n v="0"/>
    <m/>
    <n v="-14.110869565217399"/>
    <n v="-0.75"/>
    <n v="-0.76086956521739102"/>
    <n v="-13.6"/>
    <n v="0"/>
    <n v="1"/>
    <n v="0"/>
  </r>
  <r>
    <x v="2"/>
    <s v="Hazelnut Cappuccino (Medium)"/>
    <n v="240"/>
    <n v="50"/>
    <n v="6"/>
    <n v="3.5"/>
    <n v="0"/>
    <n v="20"/>
    <n v="85"/>
    <n v="42"/>
    <n v="0"/>
    <n v="42"/>
    <n v="6"/>
    <n v="279.5"/>
    <n v="2.5"/>
    <n v="0"/>
    <n v="0"/>
    <m/>
    <n v="-17.398913043478299"/>
    <n v="-0.875"/>
    <n v="-0.92391304347826098"/>
    <n v="-16.8"/>
    <n v="0"/>
    <n v="1.2"/>
    <n v="0"/>
  </r>
  <r>
    <x v="2"/>
    <s v="Vanilla Cappuccino (Small)"/>
    <n v="200"/>
    <n v="45"/>
    <n v="5"/>
    <n v="3"/>
    <n v="0"/>
    <n v="15"/>
    <n v="70"/>
    <n v="34"/>
    <n v="0"/>
    <n v="34"/>
    <n v="5"/>
    <n v="232"/>
    <n v="2.5"/>
    <n v="0"/>
    <n v="0"/>
    <m/>
    <n v="-14.110869565217399"/>
    <n v="-0.75"/>
    <n v="-0.76086956521739102"/>
    <n v="-13.6"/>
    <n v="0"/>
    <n v="1"/>
    <n v="0"/>
  </r>
  <r>
    <x v="2"/>
    <s v="Vanilla Cappuccino (Medium)"/>
    <n v="240"/>
    <n v="50"/>
    <n v="6"/>
    <n v="3.5"/>
    <n v="0"/>
    <n v="20"/>
    <n v="85"/>
    <n v="42"/>
    <n v="0"/>
    <n v="42"/>
    <n v="6"/>
    <n v="279.5"/>
    <n v="2.5"/>
    <n v="0"/>
    <n v="0"/>
    <m/>
    <n v="-17.398913043478299"/>
    <n v="-0.875"/>
    <n v="-0.92391304347826098"/>
    <n v="-16.8"/>
    <n v="0"/>
    <n v="1.2"/>
    <n v="0"/>
  </r>
  <r>
    <x v="2"/>
    <s v="Mocha (Large)"/>
    <n v="400"/>
    <n v="130"/>
    <n v="14"/>
    <n v="8"/>
    <n v="0.5"/>
    <n v="30"/>
    <n v="190"/>
    <n v="58"/>
    <n v="0"/>
    <n v="49"/>
    <n v="10"/>
    <n v="447"/>
    <n v="2.5"/>
    <n v="0"/>
    <n v="0"/>
    <m/>
    <n v="-21.665717391304302"/>
    <n v="-2"/>
    <n v="-2.0652173913043499"/>
    <n v="-19.600000000000001"/>
    <n v="-5.0000000000000001E-4"/>
    <n v="2"/>
    <n v="0"/>
  </r>
  <r>
    <x v="2"/>
    <s v="Iced Caramel Mocha (Small)"/>
    <n v="240"/>
    <n v="100"/>
    <n v="12"/>
    <n v="7"/>
    <n v="0"/>
    <n v="25"/>
    <n v="130"/>
    <n v="29"/>
    <n v="0"/>
    <n v="26"/>
    <n v="6"/>
    <n v="267"/>
    <n v="2.5"/>
    <n v="0"/>
    <n v="0"/>
    <m/>
    <n v="-12.3630434782609"/>
    <n v="-1.75"/>
    <n v="-1.4130434782608701"/>
    <n v="-10.4"/>
    <n v="0"/>
    <n v="1.2"/>
    <n v="0"/>
  </r>
  <r>
    <x v="2"/>
    <s v="Hot Fudge Sundae"/>
    <n v="330"/>
    <n v="90"/>
    <n v="10"/>
    <n v="7"/>
    <n v="0"/>
    <n v="25"/>
    <n v="180"/>
    <n v="54"/>
    <n v="2"/>
    <n v="48"/>
    <n v="8"/>
    <n v="377"/>
    <n v="2.4242424242424199"/>
    <n v="0"/>
    <n v="0"/>
    <m/>
    <n v="-20.592236024844699"/>
    <n v="-1.75"/>
    <n v="-1.9565217391304399"/>
    <n v="-19.2"/>
    <n v="0"/>
    <n v="1.6"/>
    <n v="0.71428571428571397"/>
  </r>
  <r>
    <x v="2"/>
    <s v="Hazelnut Cappuccino (Large)"/>
    <n v="290"/>
    <n v="70"/>
    <n v="8"/>
    <n v="4.5"/>
    <n v="0"/>
    <n v="25"/>
    <n v="105"/>
    <n v="51"/>
    <n v="0"/>
    <n v="51"/>
    <n v="7"/>
    <n v="338.5"/>
    <n v="2.4137931034482798"/>
    <n v="0"/>
    <n v="0"/>
    <m/>
    <n v="-21.2663043478261"/>
    <n v="-1.125"/>
    <n v="-1.14130434782609"/>
    <n v="-20.399999999999999"/>
    <n v="0"/>
    <n v="1.4"/>
    <n v="0"/>
  </r>
  <r>
    <x v="2"/>
    <s v="Vanilla Cappuccino (Large)"/>
    <n v="290"/>
    <n v="70"/>
    <n v="8"/>
    <n v="4.5"/>
    <n v="0"/>
    <n v="25"/>
    <n v="105"/>
    <n v="51"/>
    <n v="0"/>
    <n v="51"/>
    <n v="7"/>
    <n v="338.5"/>
    <n v="2.4137931034482798"/>
    <n v="0"/>
    <n v="0"/>
    <m/>
    <n v="-21.2663043478261"/>
    <n v="-1.125"/>
    <n v="-1.14130434782609"/>
    <n v="-20.399999999999999"/>
    <n v="0"/>
    <n v="1.4"/>
    <n v="0"/>
  </r>
  <r>
    <x v="2"/>
    <s v="Strawberry Triple Thick¬Æ Shake (12 fl oz cup)"/>
    <n v="420"/>
    <n v="90"/>
    <n v="10"/>
    <n v="6"/>
    <n v="0.5"/>
    <n v="40"/>
    <n v="130"/>
    <n v="73"/>
    <n v="0"/>
    <n v="63"/>
    <n v="10"/>
    <n v="479"/>
    <n v="2.38095238095238"/>
    <n v="0"/>
    <n v="0"/>
    <m/>
    <n v="-26.113543478260901"/>
    <n v="-1.5"/>
    <n v="-1.4130434782608701"/>
    <n v="-25.2"/>
    <n v="-5.0000000000000001E-4"/>
    <n v="2"/>
    <n v="0"/>
  </r>
  <r>
    <x v="2"/>
    <s v="Vanilla Triple Thick¬Æ Shake (16 fl oz cup)"/>
    <n v="550"/>
    <n v="120"/>
    <n v="13"/>
    <n v="8"/>
    <n v="1"/>
    <n v="50"/>
    <n v="190"/>
    <n v="96"/>
    <n v="0"/>
    <n v="72"/>
    <n v="13"/>
    <n v="617"/>
    <n v="2.3636363636363602"/>
    <n v="0"/>
    <n v="0"/>
    <m/>
    <n v="-30.266217391304298"/>
    <n v="-2"/>
    <n v="-2.0652173913043499"/>
    <n v="-28.8"/>
    <n v="-1E-3"/>
    <n v="2.6"/>
    <n v="0"/>
  </r>
  <r>
    <x v="2"/>
    <s v="Snack Size McFlurry¬Æ with OREO¬Æ Cookies"/>
    <n v="340"/>
    <n v="100"/>
    <n v="12"/>
    <n v="6"/>
    <n v="0"/>
    <n v="30"/>
    <n v="200"/>
    <n v="53"/>
    <n v="2"/>
    <n v="43"/>
    <n v="8"/>
    <n v="381"/>
    <n v="2.3529411764705901"/>
    <n v="0"/>
    <n v="0"/>
    <m/>
    <n v="-18.559627329192502"/>
    <n v="-1.5"/>
    <n v="-2.1739130434782599"/>
    <n v="-17.2"/>
    <n v="0"/>
    <n v="1.6"/>
    <n v="0.71428571428571397"/>
  </r>
  <r>
    <x v="2"/>
    <s v="Chocolate Triple Thick¬Æ Shake (21 fl oz cup)"/>
    <n v="770"/>
    <n v="160"/>
    <n v="18"/>
    <n v="11"/>
    <n v="1"/>
    <n v="70"/>
    <n v="330"/>
    <n v="134"/>
    <n v="1"/>
    <n v="111"/>
    <n v="18"/>
    <n v="874"/>
    <n v="2.3376623376623402"/>
    <n v="0"/>
    <n v="0"/>
    <m/>
    <n v="-46.780813664596302"/>
    <n v="-2.75"/>
    <n v="-3.5869565217391299"/>
    <n v="-44.4"/>
    <n v="-1E-3"/>
    <n v="3.6"/>
    <n v="0.35714285714285698"/>
  </r>
  <r>
    <x v="2"/>
    <s v="Chocolate Triple Thick¬Æ Shake (32 fl oz cup)"/>
    <n v="1160"/>
    <n v="240"/>
    <n v="27"/>
    <n v="16"/>
    <n v="2"/>
    <n v="100"/>
    <n v="510"/>
    <n v="203"/>
    <n v="2"/>
    <n v="168"/>
    <n v="27"/>
    <n v="1317"/>
    <n v="2.3275862068965498"/>
    <n v="1"/>
    <n v="0"/>
    <m/>
    <n v="-70.631192546583804"/>
    <n v="-4"/>
    <n v="-5.5434782608695699"/>
    <n v="-67.2"/>
    <n v="-2E-3"/>
    <n v="5.4"/>
    <n v="0.71428571428571397"/>
  </r>
  <r>
    <x v="2"/>
    <s v="Strawberry Triple Thick¬Æ Shake (16 fl oz cup)"/>
    <n v="560"/>
    <n v="120"/>
    <n v="13"/>
    <n v="8"/>
    <n v="1"/>
    <n v="50"/>
    <n v="170"/>
    <n v="97"/>
    <n v="0"/>
    <n v="84"/>
    <n v="13"/>
    <n v="639"/>
    <n v="2.3214285714285698"/>
    <n v="0"/>
    <n v="0"/>
    <m/>
    <n v="-34.8488260869565"/>
    <n v="-2"/>
    <n v="-1.84782608695652"/>
    <n v="-33.6"/>
    <n v="-1E-3"/>
    <n v="2.6"/>
    <n v="0"/>
  </r>
  <r>
    <x v="2"/>
    <s v="Strawberry Triple Thick¬Æ Shake (21 fl oz cup)"/>
    <n v="740"/>
    <n v="160"/>
    <n v="18"/>
    <n v="11"/>
    <n v="1"/>
    <n v="70"/>
    <n v="230"/>
    <n v="128"/>
    <n v="0"/>
    <n v="111"/>
    <n v="17"/>
    <n v="845"/>
    <n v="2.2972972972973"/>
    <n v="0"/>
    <n v="0"/>
    <m/>
    <n v="-46.250999999999998"/>
    <n v="-2.75"/>
    <n v="-2.5"/>
    <n v="-44.4"/>
    <n v="-1E-3"/>
    <n v="3.4"/>
    <n v="0"/>
  </r>
  <r>
    <x v="2"/>
    <s v="Vanilla Triple Thick¬Æ Shake (21 fl oz cup)"/>
    <n v="740"/>
    <n v="160"/>
    <n v="18"/>
    <n v="11"/>
    <n v="1"/>
    <n v="70"/>
    <n v="250"/>
    <n v="128"/>
    <n v="0"/>
    <n v="96"/>
    <n v="17"/>
    <n v="830"/>
    <n v="2.2972972972973"/>
    <n v="0"/>
    <n v="0"/>
    <m/>
    <n v="-40.468391304347797"/>
    <n v="-2.75"/>
    <n v="-2.7173913043478302"/>
    <n v="-38.4"/>
    <n v="-1E-3"/>
    <n v="3.4"/>
    <n v="0"/>
  </r>
  <r>
    <x v="2"/>
    <s v="Sausage Biscuit (Large Size Biscuit)"/>
    <n v="480"/>
    <n v="280"/>
    <n v="31"/>
    <n v="13"/>
    <n v="0"/>
    <n v="30"/>
    <n v="1190"/>
    <n v="39"/>
    <n v="3"/>
    <n v="3"/>
    <n v="11"/>
    <n v="485"/>
    <n v="2.2916666666666701"/>
    <n v="1"/>
    <n v="0"/>
    <m/>
    <n v="-14.113354037267101"/>
    <n v="-3.25"/>
    <n v="-12.9347826086957"/>
    <n v="-1.2"/>
    <n v="0"/>
    <n v="2.2000000000000002"/>
    <n v="1.0714285714285701"/>
  </r>
  <r>
    <x v="2"/>
    <s v="Hotcakes"/>
    <n v="350"/>
    <n v="80"/>
    <n v="9"/>
    <n v="2"/>
    <n v="0"/>
    <n v="20"/>
    <n v="590"/>
    <n v="60"/>
    <n v="3"/>
    <n v="14"/>
    <n v="8"/>
    <n v="358"/>
    <n v="2.28571428571429"/>
    <n v="1"/>
    <n v="0"/>
    <m/>
    <n v="-9.8416149068322998"/>
    <n v="-0.5"/>
    <n v="-6.4130434782608701"/>
    <n v="-5.6"/>
    <n v="0"/>
    <n v="1.6"/>
    <n v="1.0714285714285701"/>
  </r>
  <r>
    <x v="2"/>
    <s v="Chocolate Triple Thick¬Æ Shake (12 fl oz cup)"/>
    <n v="440"/>
    <n v="90"/>
    <n v="10"/>
    <n v="6"/>
    <n v="0.5"/>
    <n v="40"/>
    <n v="190"/>
    <n v="76"/>
    <n v="1"/>
    <n v="63"/>
    <n v="10"/>
    <n v="499"/>
    <n v="2.2727272727272698"/>
    <n v="0"/>
    <n v="0"/>
    <m/>
    <n v="-26.408574534161499"/>
    <n v="-1.5"/>
    <n v="-2.0652173913043499"/>
    <n v="-25.2"/>
    <n v="-5.0000000000000001E-4"/>
    <n v="2"/>
    <n v="0.35714285714285698"/>
  </r>
  <r>
    <x v="2"/>
    <s v="Iced Mocha (Medium)"/>
    <n v="310"/>
    <n v="120"/>
    <n v="13"/>
    <n v="8"/>
    <n v="0"/>
    <n v="25"/>
    <n v="140"/>
    <n v="42"/>
    <n v="0"/>
    <n v="35"/>
    <n v="7"/>
    <n v="346"/>
    <n v="2.2580645161290298"/>
    <n v="0"/>
    <n v="0"/>
    <m/>
    <n v="-16.121739130434801"/>
    <n v="-2"/>
    <n v="-1.52173913043478"/>
    <n v="-14"/>
    <n v="0"/>
    <n v="1.4"/>
    <n v="0"/>
  </r>
  <r>
    <x v="2"/>
    <s v="Strawberry Triple Thick¬Æ Shake (32 fl oz cup)"/>
    <n v="1110"/>
    <n v="240"/>
    <n v="26"/>
    <n v="16"/>
    <n v="2"/>
    <n v="100"/>
    <n v="350"/>
    <n v="194"/>
    <n v="0"/>
    <n v="168"/>
    <n v="25"/>
    <n v="1269"/>
    <n v="2.2522522522522501"/>
    <n v="0"/>
    <n v="0"/>
    <m/>
    <n v="-70.006347826086994"/>
    <n v="-4"/>
    <n v="-3.8043478260869601"/>
    <n v="-67.2"/>
    <n v="-2E-3"/>
    <n v="5"/>
    <n v="0"/>
  </r>
  <r>
    <x v="2"/>
    <s v="Vanilla Triple Thick Shake¬Æ (32 fl oz cup)"/>
    <n v="1110"/>
    <n v="240"/>
    <n v="26"/>
    <n v="16"/>
    <n v="2"/>
    <n v="100"/>
    <n v="370"/>
    <n v="193"/>
    <n v="0"/>
    <n v="145"/>
    <n v="25"/>
    <n v="1246"/>
    <n v="2.2522522522522501"/>
    <n v="0"/>
    <n v="0"/>
    <m/>
    <n v="-61.023739130434798"/>
    <n v="-4"/>
    <n v="-4.0217391304347796"/>
    <n v="-58"/>
    <n v="-2E-3"/>
    <n v="5"/>
    <n v="0"/>
  </r>
  <r>
    <x v="2"/>
    <s v="McFlurry¬Æ with OREO¬Æ Cookies (12 fl oz cup)"/>
    <n v="580"/>
    <n v="170"/>
    <n v="19"/>
    <n v="10"/>
    <n v="1"/>
    <n v="50"/>
    <n v="320"/>
    <n v="89"/>
    <n v="3"/>
    <n v="73"/>
    <n v="13"/>
    <n v="650"/>
    <n v="2.2413793103448301"/>
    <n v="0"/>
    <n v="0"/>
    <m/>
    <n v="-31.507832298136599"/>
    <n v="-2.5"/>
    <n v="-3.47826086956522"/>
    <n v="-29.2"/>
    <n v="-1E-3"/>
    <n v="2.6"/>
    <n v="1.0714285714285701"/>
  </r>
  <r>
    <x v="2"/>
    <s v="Chocolate Triple Thick¬Æ Shake (16 fl oz cup)"/>
    <n v="580"/>
    <n v="120"/>
    <n v="14"/>
    <n v="8"/>
    <n v="1"/>
    <n v="50"/>
    <n v="250"/>
    <n v="102"/>
    <n v="1"/>
    <n v="84"/>
    <n v="13"/>
    <n v="659"/>
    <n v="2.2413793103448301"/>
    <n v="0"/>
    <n v="0"/>
    <m/>
    <n v="-35.361248447205"/>
    <n v="-2"/>
    <n v="-2.7173913043478302"/>
    <n v="-33.6"/>
    <n v="-1E-3"/>
    <n v="2.6"/>
    <n v="0.35714285714285698"/>
  </r>
  <r>
    <x v="2"/>
    <s v="Kiddie Cone"/>
    <n v="45"/>
    <n v="10"/>
    <n v="1"/>
    <n v="0.5"/>
    <n v="0"/>
    <n v="5"/>
    <n v="20"/>
    <n v="8"/>
    <n v="0"/>
    <n v="6"/>
    <n v="1"/>
    <n v="50.5"/>
    <n v="2.2222222222222201"/>
    <n v="0"/>
    <n v="0"/>
    <m/>
    <n v="-2.5423913043478299"/>
    <n v="-0.125"/>
    <n v="-0.217391304347826"/>
    <n v="-2.4"/>
    <n v="0"/>
    <n v="0.2"/>
    <n v="0"/>
  </r>
  <r>
    <x v="2"/>
    <s v="Iced Coffee with Sugar Free Vanilla Syrup (Medium)"/>
    <n v="90"/>
    <n v="70"/>
    <n v="8"/>
    <n v="5"/>
    <n v="0"/>
    <n v="30"/>
    <n v="100"/>
    <n v="11"/>
    <n v="0"/>
    <n v="2"/>
    <n v="2"/>
    <n v="95"/>
    <n v="2.2222222222222201"/>
    <n v="0"/>
    <n v="0"/>
    <m/>
    <n v="-2.7369565217391298"/>
    <n v="-1.25"/>
    <n v="-1.0869565217391299"/>
    <n v="-0.8"/>
    <n v="0"/>
    <n v="0.4"/>
    <n v="0"/>
  </r>
  <r>
    <x v="2"/>
    <s v="Iced Caramel Latte (Medium)"/>
    <n v="180"/>
    <n v="40"/>
    <n v="4.5"/>
    <n v="2.5"/>
    <n v="0"/>
    <n v="15"/>
    <n v="120"/>
    <n v="31"/>
    <n v="0"/>
    <n v="31"/>
    <n v="4"/>
    <n v="209.5"/>
    <n v="2.2222222222222201"/>
    <n v="0"/>
    <n v="0"/>
    <m/>
    <n v="-13.529347826086999"/>
    <n v="-0.625"/>
    <n v="-1.3043478260869601"/>
    <n v="-12.4"/>
    <n v="0"/>
    <n v="0.8"/>
    <n v="0"/>
  </r>
  <r>
    <x v="2"/>
    <s v="Iced Hazelnut Latte (Medium)"/>
    <n v="180"/>
    <n v="40"/>
    <n v="4.5"/>
    <n v="2.5"/>
    <n v="0"/>
    <n v="15"/>
    <n v="65"/>
    <n v="33"/>
    <n v="0"/>
    <n v="33"/>
    <n v="4"/>
    <n v="211.5"/>
    <n v="2.2222222222222201"/>
    <n v="0"/>
    <n v="0"/>
    <m/>
    <n v="-13.7315217391304"/>
    <n v="-0.625"/>
    <n v="-0.70652173913043503"/>
    <n v="-13.2"/>
    <n v="0"/>
    <n v="0.8"/>
    <n v="0"/>
  </r>
  <r>
    <x v="2"/>
    <s v="Strawberry Sundae"/>
    <n v="280"/>
    <n v="60"/>
    <n v="6"/>
    <n v="4"/>
    <n v="0"/>
    <n v="25"/>
    <n v="95"/>
    <n v="49"/>
    <n v="1"/>
    <n v="45"/>
    <n v="6"/>
    <n v="323"/>
    <n v="2.1428571428571401"/>
    <n v="0"/>
    <n v="0"/>
    <m/>
    <n v="-18.475465838509301"/>
    <n v="-1"/>
    <n v="-1.0326086956521701"/>
    <n v="-18"/>
    <n v="0"/>
    <n v="1.2"/>
    <n v="0.35714285714285698"/>
  </r>
  <r>
    <x v="2"/>
    <s v="Vanilla Triple Thick¬Æ Shake (12 fl oz cup)"/>
    <n v="420"/>
    <n v="90"/>
    <n v="10"/>
    <n v="6"/>
    <n v="0.5"/>
    <n v="40"/>
    <n v="140"/>
    <n v="72"/>
    <n v="0"/>
    <n v="54"/>
    <n v="9"/>
    <n v="471"/>
    <n v="2.1428571428571401"/>
    <n v="0"/>
    <n v="0"/>
    <m/>
    <n v="-22.822239130434799"/>
    <n v="-1.5"/>
    <n v="-1.52173913043478"/>
    <n v="-21.6"/>
    <n v="-5.0000000000000001E-4"/>
    <n v="1.8"/>
    <n v="0"/>
  </r>
  <r>
    <x v="2"/>
    <s v="Iced Nonfat Caramel Latte (Small)"/>
    <n v="140"/>
    <n v="0"/>
    <n v="0"/>
    <n v="0"/>
    <n v="0"/>
    <n v="0"/>
    <n v="105"/>
    <n v="30"/>
    <n v="0"/>
    <n v="30"/>
    <n v="3"/>
    <n v="167"/>
    <n v="2.1428571428571401"/>
    <n v="0"/>
    <n v="0"/>
    <m/>
    <n v="-12.541304347826101"/>
    <n v="0"/>
    <n v="-1.14130434782609"/>
    <n v="-12"/>
    <n v="0"/>
    <n v="0.6"/>
    <n v="0"/>
  </r>
  <r>
    <x v="2"/>
    <s v="Iced Nonfat Hazelnut Latte (Small)"/>
    <n v="140"/>
    <n v="0"/>
    <n v="0"/>
    <n v="0"/>
    <n v="0"/>
    <n v="0"/>
    <n v="50"/>
    <n v="32"/>
    <n v="0"/>
    <n v="32"/>
    <n v="3"/>
    <n v="169"/>
    <n v="2.1428571428571401"/>
    <n v="0"/>
    <n v="0"/>
    <m/>
    <n v="-12.743478260869599"/>
    <n v="0"/>
    <n v="-0.54347826086956497"/>
    <n v="-12.8"/>
    <n v="0"/>
    <n v="0.6"/>
    <n v="0"/>
  </r>
  <r>
    <x v="2"/>
    <s v="Iced Nonfat Vanilla Latte (Small)"/>
    <n v="140"/>
    <n v="0"/>
    <n v="0"/>
    <n v="0"/>
    <n v="0"/>
    <n v="0"/>
    <n v="50"/>
    <n v="31"/>
    <n v="0"/>
    <n v="31"/>
    <n v="3"/>
    <n v="168"/>
    <n v="2.1428571428571401"/>
    <n v="0"/>
    <n v="0"/>
    <m/>
    <n v="-12.343478260869601"/>
    <n v="0"/>
    <n v="-0.54347826086956497"/>
    <n v="-12.4"/>
    <n v="0"/>
    <n v="0.6"/>
    <n v="0"/>
  </r>
  <r>
    <x v="2"/>
    <s v="Mocha (Small)"/>
    <n v="280"/>
    <n v="100"/>
    <n v="11"/>
    <n v="6"/>
    <n v="0"/>
    <n v="20"/>
    <n v="125"/>
    <n v="40"/>
    <n v="0"/>
    <n v="33"/>
    <n v="6"/>
    <n v="313"/>
    <n v="2.1428571428571401"/>
    <n v="0"/>
    <n v="0"/>
    <m/>
    <n v="-14.8586956521739"/>
    <n v="-1.5"/>
    <n v="-1.35869565217391"/>
    <n v="-13.2"/>
    <n v="0"/>
    <n v="1.2"/>
    <n v="0"/>
  </r>
  <r>
    <x v="2"/>
    <s v="Mocha (Medium)"/>
    <n v="330"/>
    <n v="110"/>
    <n v="12"/>
    <n v="7"/>
    <n v="0"/>
    <n v="25"/>
    <n v="150"/>
    <n v="48"/>
    <n v="0"/>
    <n v="41"/>
    <n v="7"/>
    <n v="371"/>
    <n v="2.1212121212121202"/>
    <n v="0"/>
    <n v="0"/>
    <m/>
    <n v="-18.380434782608699"/>
    <n v="-1.75"/>
    <n v="-1.6304347826087"/>
    <n v="-16.399999999999999"/>
    <n v="0"/>
    <n v="1.4"/>
    <n v="0"/>
  </r>
  <r>
    <x v="2"/>
    <s v="McFlurry¬Æ with M&amp;M‚ÄôS¬Æ Candies (12 fl oz cup)"/>
    <n v="710"/>
    <n v="230"/>
    <n v="25"/>
    <n v="16"/>
    <n v="1"/>
    <n v="60"/>
    <n v="220"/>
    <n v="105"/>
    <n v="4"/>
    <n v="97"/>
    <n v="15"/>
    <n v="808"/>
    <n v="2.1126760563380298"/>
    <n v="0"/>
    <n v="0"/>
    <m/>
    <n v="-40.7637329192547"/>
    <n v="-4"/>
    <n v="-2.39130434782609"/>
    <n v="-38.799999999999997"/>
    <n v="-1E-3"/>
    <n v="3"/>
    <n v="1.4285714285714299"/>
  </r>
  <r>
    <x v="2"/>
    <s v="Snack Size McFlurry¬Æ with M&amp;M‚ÄôS¬Æ Candies"/>
    <n v="430"/>
    <n v="140"/>
    <n v="16"/>
    <n v="10"/>
    <n v="0.5"/>
    <n v="35"/>
    <n v="130"/>
    <n v="64"/>
    <n v="2"/>
    <n v="59"/>
    <n v="9"/>
    <n v="490"/>
    <n v="2.0930232558139501"/>
    <n v="0"/>
    <n v="0"/>
    <m/>
    <n v="-24.999257763975201"/>
    <n v="-2.5"/>
    <n v="-1.4130434782608701"/>
    <n v="-23.6"/>
    <n v="-5.0000000000000001E-4"/>
    <n v="1.8"/>
    <n v="0.71428571428571397"/>
  </r>
  <r>
    <x v="2"/>
    <s v="Strawberry McCaf√©¬Æ Shake (22 fl oz cup)"/>
    <n v="860"/>
    <n v="220"/>
    <n v="24"/>
    <n v="15"/>
    <n v="1.5"/>
    <n v="75"/>
    <n v="260"/>
    <n v="144"/>
    <n v="0"/>
    <n v="124"/>
    <n v="18"/>
    <n v="981"/>
    <n v="2.0930232558139501"/>
    <n v="0"/>
    <n v="0"/>
    <m/>
    <n v="-52.577586956521699"/>
    <n v="-3.75"/>
    <n v="-2.8260869565217401"/>
    <n v="-49.6"/>
    <n v="-1.5E-3"/>
    <n v="3.6"/>
    <n v="0"/>
  </r>
  <r>
    <x v="2"/>
    <s v="Chocolate McCaf√©¬Æ Shake (16 fl oz cup)"/>
    <n v="720"/>
    <n v="180"/>
    <n v="20"/>
    <n v="12"/>
    <n v="1"/>
    <n v="60"/>
    <n v="300"/>
    <n v="119"/>
    <n v="1"/>
    <n v="98"/>
    <n v="15"/>
    <n v="815"/>
    <n v="2.0833333333333299"/>
    <n v="0"/>
    <n v="0"/>
    <m/>
    <n v="-42.104726708074502"/>
    <n v="-3"/>
    <n v="-3.2608695652173898"/>
    <n v="-39.200000000000003"/>
    <n v="-1E-3"/>
    <n v="3"/>
    <n v="0.35714285714285698"/>
  </r>
  <r>
    <x v="2"/>
    <s v="Hot Caramel Sundae"/>
    <n v="340"/>
    <n v="70"/>
    <n v="8"/>
    <n v="5"/>
    <n v="0"/>
    <n v="30"/>
    <n v="160"/>
    <n v="60"/>
    <n v="1"/>
    <n v="44"/>
    <n v="7"/>
    <n v="382"/>
    <n v="2.0588235294117601"/>
    <n v="0"/>
    <n v="0"/>
    <m/>
    <n v="-18.831987577639801"/>
    <n v="-1.25"/>
    <n v="-1.73913043478261"/>
    <n v="-17.600000000000001"/>
    <n v="0"/>
    <n v="1.4"/>
    <n v="0.35714285714285698"/>
  </r>
  <r>
    <x v="2"/>
    <s v="Vanilla McCaf√©¬Æ Shake (16 fl oz cup)"/>
    <n v="680"/>
    <n v="180"/>
    <n v="20"/>
    <n v="12"/>
    <n v="1"/>
    <n v="60"/>
    <n v="220"/>
    <n v="111"/>
    <n v="0"/>
    <n v="82"/>
    <n v="14"/>
    <n v="760"/>
    <n v="2.0588235294117601"/>
    <n v="0"/>
    <n v="0"/>
    <m/>
    <n v="-35.392304347826098"/>
    <n v="-3"/>
    <n v="-2.39130434782609"/>
    <n v="-32.799999999999997"/>
    <n v="-1E-3"/>
    <n v="2.8"/>
    <n v="0"/>
  </r>
  <r>
    <x v="2"/>
    <s v="Vanilla McCaf√©¬Æ Shake (22 fl oz cup)"/>
    <n v="830"/>
    <n v="210"/>
    <n v="24"/>
    <n v="14"/>
    <n v="1.5"/>
    <n v="75"/>
    <n v="270"/>
    <n v="138"/>
    <n v="0"/>
    <n v="103"/>
    <n v="17"/>
    <n v="930"/>
    <n v="2.0481927710843402"/>
    <n v="0"/>
    <n v="0"/>
    <m/>
    <n v="-44.236282608695703"/>
    <n v="-3.5"/>
    <n v="-2.9347826086956501"/>
    <n v="-41.2"/>
    <n v="-1.5E-3"/>
    <n v="3.4"/>
    <n v="0"/>
  </r>
  <r>
    <x v="2"/>
    <s v="Chocolate McCaf√©¬Æ Shake (22 fl oz cup)"/>
    <n v="880"/>
    <n v="220"/>
    <n v="24"/>
    <n v="15"/>
    <n v="1.5"/>
    <n v="75"/>
    <n v="370"/>
    <n v="147"/>
    <n v="1"/>
    <n v="121"/>
    <n v="18"/>
    <n v="998"/>
    <n v="2.0454545454545499"/>
    <n v="0"/>
    <n v="0"/>
    <m/>
    <n v="-52.216096273291903"/>
    <n v="-3.75"/>
    <n v="-4.0217391304347796"/>
    <n v="-48.4"/>
    <n v="-1.5E-3"/>
    <n v="3.6"/>
    <n v="0.35714285714285698"/>
  </r>
  <r>
    <x v="2"/>
    <s v="Strawberry McCaf√©¬Æ Shake (16 fl oz cup)"/>
    <n v="710"/>
    <n v="180"/>
    <n v="20"/>
    <n v="12"/>
    <n v="1"/>
    <n v="65"/>
    <n v="210"/>
    <n v="116"/>
    <n v="0"/>
    <n v="100"/>
    <n v="14"/>
    <n v="808"/>
    <n v="1.9718309859154901"/>
    <n v="0"/>
    <n v="0"/>
    <m/>
    <n v="-42.483608695652201"/>
    <n v="-3"/>
    <n v="-2.2826086956521698"/>
    <n v="-40"/>
    <n v="-1E-3"/>
    <n v="2.8"/>
    <n v="0"/>
  </r>
  <r>
    <x v="2"/>
    <s v="Strawberry McCaf√©¬Æ Shake (12 fl oz cup)"/>
    <n v="570"/>
    <n v="150"/>
    <n v="17"/>
    <n v="10"/>
    <n v="1"/>
    <n v="50"/>
    <n v="170"/>
    <n v="92"/>
    <n v="0"/>
    <n v="79"/>
    <n v="11"/>
    <n v="648"/>
    <n v="1.9298245614035101"/>
    <n v="0"/>
    <n v="0"/>
    <m/>
    <n v="-33.748826086956498"/>
    <n v="-2.5"/>
    <n v="-1.84782608695652"/>
    <n v="-31.6"/>
    <n v="-1E-3"/>
    <n v="2.2000000000000002"/>
    <n v="0"/>
  </r>
  <r>
    <x v="2"/>
    <s v="Fruit &amp; Maple Oatmeal without Brown Sugar"/>
    <n v="260"/>
    <n v="40"/>
    <n v="4.5"/>
    <n v="2"/>
    <n v="0"/>
    <n v="10"/>
    <n v="115"/>
    <n v="48"/>
    <n v="5"/>
    <n v="18"/>
    <n v="5"/>
    <n v="275"/>
    <n v="1.92307692307692"/>
    <n v="0"/>
    <n v="0"/>
    <m/>
    <n v="-6.1642857142857101"/>
    <n v="-0.5"/>
    <n v="-1.25"/>
    <n v="-7.2"/>
    <n v="0"/>
    <n v="1"/>
    <n v="1.78571428571429"/>
  </r>
  <r>
    <x v="2"/>
    <s v="Snack Size Fruit &amp; Walnut Salad"/>
    <n v="210"/>
    <n v="70"/>
    <n v="8"/>
    <n v="1.5"/>
    <n v="0"/>
    <n v="5"/>
    <n v="60"/>
    <n v="31"/>
    <n v="2"/>
    <n v="25"/>
    <n v="4"/>
    <n v="232.5"/>
    <n v="1.9047619047619"/>
    <n v="0"/>
    <n v="0"/>
    <m/>
    <n v="-9.5128881987577607"/>
    <n v="-0.375"/>
    <n v="-0.65217391304347805"/>
    <n v="-10"/>
    <n v="0"/>
    <n v="0.8"/>
    <n v="0.71428571428571397"/>
  </r>
  <r>
    <x v="2"/>
    <s v="Chocolate McCaf√©¬Æ Shake (12 fl oz cup)"/>
    <n v="580"/>
    <n v="150"/>
    <n v="17"/>
    <n v="10"/>
    <n v="1"/>
    <n v="50"/>
    <n v="240"/>
    <n v="94"/>
    <n v="1"/>
    <n v="77"/>
    <n v="11"/>
    <n v="656"/>
    <n v="1.8965517241379299"/>
    <n v="0"/>
    <n v="0"/>
    <m/>
    <n v="-33.352552795031102"/>
    <n v="-2.5"/>
    <n v="-2.60869565217391"/>
    <n v="-30.8"/>
    <n v="-1E-3"/>
    <n v="2.2000000000000002"/>
    <n v="0.35714285714285698"/>
  </r>
  <r>
    <x v="2"/>
    <s v="Iced Caramel Latte (Small)"/>
    <n v="160"/>
    <n v="25"/>
    <n v="3"/>
    <n v="1.5"/>
    <n v="0"/>
    <n v="10"/>
    <n v="100"/>
    <n v="29"/>
    <n v="0"/>
    <n v="29"/>
    <n v="3"/>
    <n v="187.5"/>
    <n v="1.875"/>
    <n v="0"/>
    <n v="0"/>
    <m/>
    <n v="-12.461956521739101"/>
    <n v="-0.375"/>
    <n v="-1.0869565217391299"/>
    <n v="-11.6"/>
    <n v="0"/>
    <n v="0.6"/>
    <n v="0"/>
  </r>
  <r>
    <x v="2"/>
    <s v="Iced Hazelnut Latte (Small)"/>
    <n v="160"/>
    <n v="25"/>
    <n v="3"/>
    <n v="1.5"/>
    <n v="0"/>
    <n v="10"/>
    <n v="45"/>
    <n v="31"/>
    <n v="0"/>
    <n v="31"/>
    <n v="3"/>
    <n v="189.5"/>
    <n v="1.875"/>
    <n v="0"/>
    <n v="0"/>
    <m/>
    <n v="-12.664130434782599"/>
    <n v="-0.375"/>
    <n v="-0.48913043478260898"/>
    <n v="-12.4"/>
    <n v="0"/>
    <n v="0.6"/>
    <n v="0"/>
  </r>
  <r>
    <x v="2"/>
    <s v="Iced Vanilla Latte (Small)"/>
    <n v="160"/>
    <n v="25"/>
    <n v="3"/>
    <n v="1.5"/>
    <n v="0"/>
    <n v="10"/>
    <n v="45"/>
    <n v="31"/>
    <n v="0"/>
    <n v="31"/>
    <n v="3"/>
    <n v="189.5"/>
    <n v="1.875"/>
    <n v="0"/>
    <n v="0"/>
    <m/>
    <n v="-12.664130434782599"/>
    <n v="-0.375"/>
    <n v="-0.48913043478260898"/>
    <n v="-12.4"/>
    <n v="0"/>
    <n v="0.6"/>
    <n v="0"/>
  </r>
  <r>
    <x v="2"/>
    <s v="Vanilla McCaf√©¬Æ Shake (12 fl oz cup)"/>
    <n v="540"/>
    <n v="150"/>
    <n v="16"/>
    <n v="10"/>
    <n v="1"/>
    <n v="45"/>
    <n v="170"/>
    <n v="88"/>
    <n v="0"/>
    <n v="64"/>
    <n v="10"/>
    <n v="604"/>
    <n v="1.8518518518518501"/>
    <n v="0"/>
    <n v="0"/>
    <m/>
    <n v="-27.948826086956501"/>
    <n v="-2.5"/>
    <n v="-1.84782608695652"/>
    <n v="-25.6"/>
    <n v="-1E-3"/>
    <n v="2"/>
    <n v="0"/>
  </r>
  <r>
    <x v="2"/>
    <s v="Fruit &amp; Maple Oatmeal"/>
    <n v="290"/>
    <n v="40"/>
    <n v="4.5"/>
    <n v="2"/>
    <n v="0"/>
    <n v="10"/>
    <n v="160"/>
    <n v="57"/>
    <n v="5"/>
    <n v="32"/>
    <n v="5"/>
    <n v="319"/>
    <n v="1.72413793103448"/>
    <n v="0"/>
    <n v="0"/>
    <m/>
    <n v="-12.2534161490683"/>
    <n v="-0.5"/>
    <n v="-1.73913043478261"/>
    <n v="-12.8"/>
    <n v="0"/>
    <n v="1"/>
    <n v="1.78571428571429"/>
  </r>
  <r>
    <x v="2"/>
    <s v="Hot Mustard Sauce"/>
    <n v="60"/>
    <n v="20"/>
    <n v="2.5"/>
    <n v="0"/>
    <n v="0"/>
    <n v="5"/>
    <n v="250"/>
    <n v="9"/>
    <n v="2"/>
    <n v="6"/>
    <n v="1"/>
    <n v="65"/>
    <n v="1.6666666666666701"/>
    <n v="0"/>
    <n v="0"/>
    <m/>
    <n v="-4.2031055900621102"/>
    <n v="0"/>
    <n v="-2.7173913043478302"/>
    <n v="-2.4"/>
    <n v="0"/>
    <n v="0.2"/>
    <n v="0.71428571428571397"/>
  </r>
  <r>
    <x v="2"/>
    <s v="Newman‚Äôs Own¬Æ Low Fat Family Recipe Italian Dressing"/>
    <n v="60"/>
    <n v="20"/>
    <n v="2.5"/>
    <n v="0"/>
    <n v="0"/>
    <n v="0"/>
    <n v="730"/>
    <n v="8"/>
    <n v="0"/>
    <n v="1"/>
    <n v="1"/>
    <n v="60"/>
    <n v="1.6666666666666701"/>
    <n v="1"/>
    <n v="0"/>
    <m/>
    <n v="-8.1347826086956498"/>
    <n v="0"/>
    <n v="-7.9347826086956497"/>
    <n v="-0.4"/>
    <n v="0"/>
    <n v="0.2"/>
    <n v="0"/>
  </r>
  <r>
    <x v="2"/>
    <s v="Iced Coffee with Sugar Free Vanilla Syrup (Small)"/>
    <n v="60"/>
    <n v="50"/>
    <n v="5"/>
    <n v="3.5"/>
    <n v="0"/>
    <n v="20"/>
    <n v="70"/>
    <n v="8"/>
    <n v="0"/>
    <n v="1"/>
    <n v="1"/>
    <n v="63.5"/>
    <n v="1.6666666666666701"/>
    <n v="0"/>
    <n v="0"/>
    <m/>
    <n v="-1.83586956521739"/>
    <n v="-0.875"/>
    <n v="-0.76086956521739102"/>
    <n v="-0.4"/>
    <n v="0"/>
    <n v="0.2"/>
    <n v="0"/>
  </r>
  <r>
    <x v="2"/>
    <s v="Iced Coffee with Sugar Free Vanilla Syrup (Large)"/>
    <n v="120"/>
    <n v="100"/>
    <n v="11"/>
    <n v="7"/>
    <n v="0"/>
    <n v="40"/>
    <n v="140"/>
    <n v="16"/>
    <n v="0"/>
    <n v="2"/>
    <n v="2"/>
    <n v="127"/>
    <n v="1.6666666666666701"/>
    <n v="0"/>
    <n v="0"/>
    <m/>
    <n v="-3.67173913043478"/>
    <n v="-1.75"/>
    <n v="-1.52173913043478"/>
    <n v="-0.8"/>
    <n v="0"/>
    <n v="0.4"/>
    <n v="0"/>
  </r>
  <r>
    <x v="2"/>
    <s v="Minute Maid¬Æ Orange Juice (Medium)"/>
    <n v="190"/>
    <n v="0"/>
    <n v="0"/>
    <n v="0"/>
    <n v="0"/>
    <n v="0"/>
    <n v="0"/>
    <n v="39"/>
    <n v="0"/>
    <n v="39"/>
    <n v="3"/>
    <n v="226"/>
    <n v="1.57894736842105"/>
    <n v="0"/>
    <n v="0"/>
    <m/>
    <n v="-15"/>
    <n v="0"/>
    <n v="0"/>
    <n v="-15.6"/>
    <n v="0"/>
    <n v="0.6"/>
    <n v="0"/>
  </r>
  <r>
    <x v="2"/>
    <s v="Frappe Mocha (Small)"/>
    <n v="450"/>
    <n v="180"/>
    <n v="20"/>
    <n v="13"/>
    <n v="1"/>
    <n v="55"/>
    <n v="130"/>
    <n v="62"/>
    <n v="1"/>
    <n v="56"/>
    <n v="7"/>
    <n v="512"/>
    <n v="1.55555555555556"/>
    <n v="0"/>
    <n v="0"/>
    <m/>
    <n v="-25.306900621118"/>
    <n v="-3.25"/>
    <n v="-1.4130434782608701"/>
    <n v="-22.4"/>
    <n v="-1E-3"/>
    <n v="1.4"/>
    <n v="0.35714285714285698"/>
  </r>
  <r>
    <x v="2"/>
    <s v="McDonaldland¬Æ Cookies"/>
    <n v="260"/>
    <n v="70"/>
    <n v="8"/>
    <n v="2.5"/>
    <n v="0"/>
    <n v="0"/>
    <n v="300"/>
    <n v="43"/>
    <n v="1"/>
    <n v="13"/>
    <n v="4"/>
    <n v="271.5"/>
    <n v="1.5384615384615401"/>
    <n v="0"/>
    <n v="0"/>
    <m/>
    <n v="-7.9287267080745298"/>
    <n v="-0.625"/>
    <n v="-3.2608695652173898"/>
    <n v="-5.2"/>
    <n v="0"/>
    <n v="0.8"/>
    <n v="0.35714285714285698"/>
  </r>
  <r>
    <x v="2"/>
    <s v="Frappe Caramel (Large)"/>
    <n v="680"/>
    <n v="260"/>
    <n v="29"/>
    <n v="18"/>
    <n v="1.5"/>
    <n v="85"/>
    <n v="200"/>
    <n v="94"/>
    <n v="0"/>
    <n v="88"/>
    <n v="10"/>
    <n v="776"/>
    <n v="1.47058823529412"/>
    <n v="0"/>
    <n v="0"/>
    <m/>
    <n v="-39.875413043478297"/>
    <n v="-4.5"/>
    <n v="-2.1739130434782599"/>
    <n v="-35.200000000000003"/>
    <n v="-1.5E-3"/>
    <n v="2"/>
    <n v="0"/>
  </r>
  <r>
    <x v="2"/>
    <s v="Frappe Mocha (Large)"/>
    <n v="680"/>
    <n v="250"/>
    <n v="28"/>
    <n v="18"/>
    <n v="1"/>
    <n v="80"/>
    <n v="200"/>
    <n v="96"/>
    <n v="1"/>
    <n v="87"/>
    <n v="10"/>
    <n v="775"/>
    <n v="1.47058823529412"/>
    <n v="0"/>
    <n v="0"/>
    <m/>
    <n v="-39.117770186335399"/>
    <n v="-4.5"/>
    <n v="-2.1739130434782599"/>
    <n v="-34.799999999999997"/>
    <n v="-1E-3"/>
    <n v="2"/>
    <n v="0.35714285714285698"/>
  </r>
  <r>
    <x v="2"/>
    <s v="Frappe Caramel (Medium)"/>
    <n v="550"/>
    <n v="220"/>
    <n v="24"/>
    <n v="15"/>
    <n v="1"/>
    <n v="70"/>
    <n v="160"/>
    <n v="76"/>
    <n v="0"/>
    <n v="71"/>
    <n v="8"/>
    <n v="628"/>
    <n v="1.4545454545454499"/>
    <n v="0"/>
    <n v="0"/>
    <m/>
    <n v="-32.290130434782597"/>
    <n v="-3.75"/>
    <n v="-1.73913043478261"/>
    <n v="-28.4"/>
    <n v="-1E-3"/>
    <n v="1.6"/>
    <n v="0"/>
  </r>
  <r>
    <x v="2"/>
    <s v="Minute Maid¬Æ Orange Juice (Large)"/>
    <n v="280"/>
    <n v="0"/>
    <n v="0"/>
    <n v="0"/>
    <n v="0"/>
    <n v="0"/>
    <n v="5"/>
    <n v="58"/>
    <n v="0"/>
    <n v="58"/>
    <n v="4"/>
    <n v="334"/>
    <n v="1.4285714285714299"/>
    <n v="0"/>
    <n v="0"/>
    <m/>
    <n v="-22.454347826087002"/>
    <n v="0"/>
    <n v="-5.4347826086956499E-2"/>
    <n v="-23.2"/>
    <n v="0"/>
    <n v="0.8"/>
    <n v="0"/>
  </r>
  <r>
    <x v="2"/>
    <s v="Frappe Mocha (Medium)"/>
    <n v="560"/>
    <n v="210"/>
    <n v="24"/>
    <n v="15"/>
    <n v="1"/>
    <n v="65"/>
    <n v="160"/>
    <n v="78"/>
    <n v="1"/>
    <n v="70"/>
    <n v="8"/>
    <n v="637"/>
    <n v="1.4285714285714299"/>
    <n v="0"/>
    <n v="0"/>
    <m/>
    <n v="-31.532987577639702"/>
    <n v="-3.75"/>
    <n v="-1.73913043478261"/>
    <n v="-28"/>
    <n v="-1E-3"/>
    <n v="1.6"/>
    <n v="0.35714285714285698"/>
  </r>
  <r>
    <x v="2"/>
    <s v="Oatmeal Raisin Cookie"/>
    <n v="150"/>
    <n v="50"/>
    <n v="6"/>
    <n v="2.5"/>
    <n v="0"/>
    <n v="10"/>
    <n v="135"/>
    <n v="22"/>
    <n v="1"/>
    <n v="13"/>
    <n v="2"/>
    <n v="163.5"/>
    <n v="1.3333333333333299"/>
    <n v="0"/>
    <n v="0"/>
    <m/>
    <n v="-6.5352484472049701"/>
    <n v="-0.625"/>
    <n v="-1.4673913043478299"/>
    <n v="-5.2"/>
    <n v="0"/>
    <n v="0.4"/>
    <n v="0.35714285714285698"/>
  </r>
  <r>
    <x v="2"/>
    <s v="Minute Maid¬Æ Orange Juice (Small)"/>
    <n v="150"/>
    <n v="0"/>
    <n v="0"/>
    <n v="0"/>
    <n v="0"/>
    <n v="0"/>
    <n v="0"/>
    <n v="30"/>
    <n v="0"/>
    <n v="30"/>
    <n v="2"/>
    <n v="178"/>
    <n v="1.3333333333333299"/>
    <n v="0"/>
    <n v="0"/>
    <m/>
    <n v="-11.6"/>
    <n v="0"/>
    <n v="0"/>
    <n v="-12"/>
    <n v="0"/>
    <n v="0.4"/>
    <n v="0"/>
  </r>
  <r>
    <x v="2"/>
    <s v="Frappe Caramel (Small)"/>
    <n v="450"/>
    <n v="180"/>
    <n v="20"/>
    <n v="13"/>
    <n v="1"/>
    <n v="55"/>
    <n v="135"/>
    <n v="61"/>
    <n v="0"/>
    <n v="57"/>
    <n v="6"/>
    <n v="514"/>
    <n v="1.3333333333333299"/>
    <n v="0"/>
    <n v="0"/>
    <m/>
    <n v="-26.318391304347799"/>
    <n v="-3.25"/>
    <n v="-1.4673913043478299"/>
    <n v="-22.8"/>
    <n v="-1E-3"/>
    <n v="1.2"/>
    <n v="0"/>
  </r>
  <r>
    <x v="2"/>
    <s v="Small French Fries"/>
    <n v="230"/>
    <n v="100"/>
    <n v="11"/>
    <n v="1.5"/>
    <n v="0"/>
    <n v="0"/>
    <n v="160"/>
    <n v="29"/>
    <n v="3"/>
    <n v="0"/>
    <n v="3"/>
    <n v="228.5"/>
    <n v="1.3043478260869601"/>
    <n v="0"/>
    <n v="0"/>
    <m/>
    <n v="-0.442701863354037"/>
    <n v="-0.375"/>
    <n v="-1.73913043478261"/>
    <n v="0"/>
    <n v="0"/>
    <n v="0.6"/>
    <n v="1.0714285714285701"/>
  </r>
  <r>
    <x v="2"/>
    <s v="Cinnamon Melts"/>
    <n v="460"/>
    <n v="170"/>
    <n v="19"/>
    <n v="9"/>
    <n v="0"/>
    <n v="15"/>
    <n v="370"/>
    <n v="66"/>
    <n v="3"/>
    <n v="32"/>
    <n v="6"/>
    <n v="495"/>
    <n v="1.3043478260869601"/>
    <n v="0"/>
    <n v="0"/>
    <m/>
    <n v="-16.800310559006199"/>
    <n v="-2.25"/>
    <n v="-4.0217391304347796"/>
    <n v="-12.8"/>
    <n v="0"/>
    <n v="1.2"/>
    <n v="1.0714285714285701"/>
  </r>
  <r>
    <x v="2"/>
    <s v="Chocolate Chip Cookie"/>
    <n v="160"/>
    <n v="70"/>
    <n v="8"/>
    <n v="3.5"/>
    <n v="0"/>
    <n v="10"/>
    <n v="90"/>
    <n v="21"/>
    <n v="1"/>
    <n v="15"/>
    <n v="2"/>
    <n v="176.5"/>
    <n v="1.25"/>
    <n v="0"/>
    <n v="0"/>
    <m/>
    <n v="-7.0961180124223597"/>
    <n v="-0.875"/>
    <n v="-0.97826086956521796"/>
    <n v="-6"/>
    <n v="0"/>
    <n v="0.4"/>
    <n v="0.35714285714285698"/>
  </r>
  <r>
    <x v="2"/>
    <s v="Sugar Cookie"/>
    <n v="160"/>
    <n v="60"/>
    <n v="7"/>
    <n v="3"/>
    <n v="0"/>
    <n v="5"/>
    <n v="120"/>
    <n v="21"/>
    <n v="0"/>
    <n v="11"/>
    <n v="2"/>
    <n v="172"/>
    <n v="1.25"/>
    <n v="0"/>
    <n v="0"/>
    <m/>
    <n v="-6.0543478260869596"/>
    <n v="-0.75"/>
    <n v="-1.3043478260869601"/>
    <n v="-4.4000000000000004"/>
    <n v="0"/>
    <n v="0.4"/>
    <n v="0"/>
  </r>
  <r>
    <x v="2"/>
    <s v="Large French Fries"/>
    <n v="500"/>
    <n v="220"/>
    <n v="25"/>
    <n v="3.5"/>
    <n v="0"/>
    <n v="0"/>
    <n v="350"/>
    <n v="63"/>
    <n v="6"/>
    <n v="0"/>
    <n v="6"/>
    <n v="497.5"/>
    <n v="1.2"/>
    <n v="0"/>
    <n v="0"/>
    <m/>
    <n v="-1.33649068322981"/>
    <n v="-0.875"/>
    <n v="-3.8043478260869601"/>
    <n v="0"/>
    <n v="0"/>
    <n v="1.2"/>
    <n v="2.1428571428571401"/>
  </r>
  <r>
    <x v="2"/>
    <s v="Wild Berry Smoothie (Medium)"/>
    <n v="260"/>
    <n v="5"/>
    <n v="1"/>
    <n v="0"/>
    <n v="0"/>
    <n v="5"/>
    <n v="35"/>
    <n v="60"/>
    <n v="4"/>
    <n v="55"/>
    <n v="3"/>
    <n v="312"/>
    <n v="1.15384615384615"/>
    <n v="0"/>
    <n v="0"/>
    <m/>
    <n v="-20.351863354037299"/>
    <n v="0"/>
    <n v="-0.38043478260869601"/>
    <n v="-22"/>
    <n v="0"/>
    <n v="0.6"/>
    <n v="1.4285714285714299"/>
  </r>
  <r>
    <x v="2"/>
    <s v="Medium French Fries"/>
    <n v="380"/>
    <n v="170"/>
    <n v="19"/>
    <n v="2.5"/>
    <n v="0"/>
    <n v="0"/>
    <n v="270"/>
    <n v="48"/>
    <n v="5"/>
    <n v="0"/>
    <n v="4"/>
    <n v="378.5"/>
    <n v="1.0526315789473699"/>
    <n v="0"/>
    <n v="0"/>
    <m/>
    <n v="-0.97406832298136603"/>
    <n v="-0.625"/>
    <n v="-2.9347826086956501"/>
    <n v="0"/>
    <n v="0"/>
    <n v="0.8"/>
    <n v="1.78571428571429"/>
  </r>
  <r>
    <x v="2"/>
    <s v="Newman‚Äôs Own¬Æ Creamy Caesar Dressing"/>
    <n v="190"/>
    <n v="170"/>
    <n v="18"/>
    <n v="3.5"/>
    <n v="0"/>
    <n v="20"/>
    <n v="500"/>
    <n v="4"/>
    <n v="0"/>
    <n v="2"/>
    <n v="2"/>
    <n v="193.5"/>
    <n v="1.0526315789473699"/>
    <n v="1"/>
    <n v="0"/>
    <m/>
    <n v="-6.70978260869565"/>
    <n v="-0.875"/>
    <n v="-5.4347826086956497"/>
    <n v="-0.8"/>
    <n v="0"/>
    <n v="0.4"/>
    <n v="0"/>
  </r>
  <r>
    <x v="2"/>
    <s v="Iced Coffee‚Äì Caramel (Medium)"/>
    <n v="190"/>
    <n v="70"/>
    <n v="8"/>
    <n v="5"/>
    <n v="0"/>
    <n v="30"/>
    <n v="115"/>
    <n v="27"/>
    <n v="0"/>
    <n v="27"/>
    <n v="2"/>
    <n v="220"/>
    <n v="1.0526315789473699"/>
    <n v="0"/>
    <n v="0"/>
    <m/>
    <n v="-12.9"/>
    <n v="-1.25"/>
    <n v="-1.25"/>
    <n v="-10.8"/>
    <n v="0"/>
    <n v="0.4"/>
    <n v="0"/>
  </r>
  <r>
    <x v="2"/>
    <s v="Iced Coffee‚Äì Hazelnut (Medium)"/>
    <n v="190"/>
    <n v="70"/>
    <n v="8"/>
    <n v="5"/>
    <n v="0"/>
    <n v="30"/>
    <n v="60"/>
    <n v="29"/>
    <n v="0"/>
    <n v="29"/>
    <n v="2"/>
    <n v="222"/>
    <n v="1.0526315789473699"/>
    <n v="0"/>
    <n v="0"/>
    <m/>
    <n v="-13.102173913043501"/>
    <n v="-1.25"/>
    <n v="-0.65217391304347805"/>
    <n v="-11.6"/>
    <n v="0"/>
    <n v="0.4"/>
    <n v="0"/>
  </r>
  <r>
    <x v="2"/>
    <s v="Iced Coffee‚Äì Vanilla (Medium)"/>
    <n v="190"/>
    <n v="70"/>
    <n v="8"/>
    <n v="5"/>
    <n v="0"/>
    <n v="30"/>
    <n v="60"/>
    <n v="29"/>
    <n v="0"/>
    <n v="28"/>
    <n v="2"/>
    <n v="221"/>
    <n v="1.0526315789473699"/>
    <n v="0"/>
    <n v="0"/>
    <m/>
    <n v="-12.702173913043501"/>
    <n v="-1.25"/>
    <n v="-0.65217391304347805"/>
    <n v="-11.2"/>
    <n v="0"/>
    <n v="0.4"/>
    <n v="0"/>
  </r>
  <r>
    <x v="2"/>
    <s v="Newman‚Äôs Own¬Æ Creamy Southwest Dressing"/>
    <n v="100"/>
    <n v="50"/>
    <n v="6"/>
    <n v="1"/>
    <n v="0"/>
    <n v="20"/>
    <n v="340"/>
    <n v="11"/>
    <n v="0"/>
    <n v="3"/>
    <n v="1"/>
    <n v="103"/>
    <n v="1"/>
    <n v="0"/>
    <n v="0"/>
    <m/>
    <n v="-4.9456521739130404"/>
    <n v="-0.25"/>
    <n v="-3.6956521739130399"/>
    <n v="-1.2"/>
    <n v="0"/>
    <n v="0.2"/>
    <n v="0"/>
  </r>
  <r>
    <x v="2"/>
    <s v="Iced Coffee‚Äì Regular (Medium)"/>
    <n v="200"/>
    <n v="70"/>
    <n v="8"/>
    <n v="5"/>
    <n v="0"/>
    <n v="30"/>
    <n v="60"/>
    <n v="30"/>
    <n v="0"/>
    <n v="30"/>
    <n v="2"/>
    <n v="233"/>
    <n v="1"/>
    <n v="0"/>
    <n v="0"/>
    <m/>
    <n v="-13.502173913043499"/>
    <n v="-1.25"/>
    <n v="-0.65217391304347805"/>
    <n v="-12"/>
    <n v="0"/>
    <n v="0.4"/>
    <n v="0"/>
  </r>
  <r>
    <x v="2"/>
    <s v="Strawberry Banana Smoothie (Small)"/>
    <n v="210"/>
    <n v="5"/>
    <n v="0.5"/>
    <n v="0"/>
    <n v="0"/>
    <n v="5"/>
    <n v="35"/>
    <n v="49"/>
    <n v="2"/>
    <n v="44"/>
    <n v="2"/>
    <n v="252"/>
    <n v="0.952380952380952"/>
    <n v="0"/>
    <n v="0"/>
    <m/>
    <n v="-16.866149068323001"/>
    <n v="0"/>
    <n v="-0.38043478260869601"/>
    <n v="-17.600000000000001"/>
    <n v="0"/>
    <n v="0.4"/>
    <n v="0.71428571428571397"/>
  </r>
  <r>
    <x v="2"/>
    <s v="Wild Berry Smoothie (Small)"/>
    <n v="210"/>
    <n v="5"/>
    <n v="0.5"/>
    <n v="0"/>
    <n v="0"/>
    <n v="5"/>
    <n v="30"/>
    <n v="48"/>
    <n v="3"/>
    <n v="44"/>
    <n v="2"/>
    <n v="252"/>
    <n v="0.952380952380952"/>
    <n v="0"/>
    <n v="0"/>
    <m/>
    <n v="-16.4546583850932"/>
    <n v="0"/>
    <n v="-0.32608695652173902"/>
    <n v="-17.600000000000001"/>
    <n v="0"/>
    <n v="0.4"/>
    <n v="1.0714285714285701"/>
  </r>
  <r>
    <x v="2"/>
    <s v="Wild Berry Smoothie (Large)"/>
    <n v="320"/>
    <n v="10"/>
    <n v="1"/>
    <n v="0.5"/>
    <n v="0"/>
    <n v="5"/>
    <n v="45"/>
    <n v="75"/>
    <n v="4"/>
    <n v="69"/>
    <n v="3"/>
    <n v="386.5"/>
    <n v="0.9375"/>
    <n v="0"/>
    <n v="0"/>
    <m/>
    <n v="-26.1855590062112"/>
    <n v="-0.125"/>
    <n v="-0.48913043478260898"/>
    <n v="-27.6"/>
    <n v="0"/>
    <n v="0.6"/>
    <n v="1.4285714285714299"/>
  </r>
  <r>
    <x v="2"/>
    <s v="Strawberry Banana Smoothie (Large)"/>
    <n v="330"/>
    <n v="10"/>
    <n v="1"/>
    <n v="0.5"/>
    <n v="0"/>
    <n v="5"/>
    <n v="55"/>
    <n v="77"/>
    <n v="4"/>
    <n v="70"/>
    <n v="3"/>
    <n v="397.5"/>
    <n v="0.90909090909090895"/>
    <n v="0"/>
    <n v="0"/>
    <m/>
    <n v="-26.694254658385098"/>
    <n v="-0.125"/>
    <n v="-0.59782608695652195"/>
    <n v="-28"/>
    <n v="0"/>
    <n v="0.6"/>
    <n v="1.4285714285714299"/>
  </r>
  <r>
    <x v="2"/>
    <s v="Baked Hot Apple Pie"/>
    <n v="250"/>
    <n v="110"/>
    <n v="13"/>
    <n v="7"/>
    <n v="0"/>
    <n v="0"/>
    <n v="170"/>
    <n v="32"/>
    <n v="4"/>
    <n v="13"/>
    <n v="2"/>
    <n v="268"/>
    <n v="0.8"/>
    <n v="0"/>
    <n v="0"/>
    <m/>
    <n v="-6.9692546583850898"/>
    <n v="-1.75"/>
    <n v="-1.84782608695652"/>
    <n v="-5.2"/>
    <n v="0"/>
    <n v="0.4"/>
    <n v="1.4285714285714299"/>
  </r>
  <r>
    <x v="2"/>
    <s v="Iced Coffee‚Äì Caramel (Small)"/>
    <n v="130"/>
    <n v="50"/>
    <n v="5"/>
    <n v="3.5"/>
    <n v="0"/>
    <n v="20"/>
    <n v="80"/>
    <n v="21"/>
    <n v="0"/>
    <n v="20"/>
    <n v="1"/>
    <n v="152.5"/>
    <n v="0.76923076923076905"/>
    <n v="0"/>
    <n v="0"/>
    <m/>
    <n v="-9.5445652173913107"/>
    <n v="-0.875"/>
    <n v="-0.86956521739130399"/>
    <n v="-8"/>
    <n v="0"/>
    <n v="0.2"/>
    <n v="0"/>
  </r>
  <r>
    <x v="2"/>
    <s v="Iced Coffee‚Äì Hazelnut (Small)"/>
    <n v="130"/>
    <n v="50"/>
    <n v="5"/>
    <n v="3.5"/>
    <n v="0"/>
    <n v="20"/>
    <n v="40"/>
    <n v="21"/>
    <n v="0"/>
    <n v="21"/>
    <n v="1"/>
    <n v="153.5"/>
    <n v="0.76923076923076905"/>
    <n v="0"/>
    <n v="0"/>
    <m/>
    <n v="-9.5097826086956498"/>
    <n v="-0.875"/>
    <n v="-0.434782608695652"/>
    <n v="-8.4"/>
    <n v="0"/>
    <n v="0.2"/>
    <n v="0"/>
  </r>
  <r>
    <x v="2"/>
    <s v="Iced Coffee‚Äì Vanilla (Small)"/>
    <n v="130"/>
    <n v="50"/>
    <n v="5"/>
    <n v="3.5"/>
    <n v="0"/>
    <n v="20"/>
    <n v="40"/>
    <n v="21"/>
    <n v="0"/>
    <n v="21"/>
    <n v="1"/>
    <n v="153.5"/>
    <n v="0.76923076923076905"/>
    <n v="0"/>
    <n v="0"/>
    <m/>
    <n v="-9.5097826086956498"/>
    <n v="-0.875"/>
    <n v="-0.434782608695652"/>
    <n v="-8.4"/>
    <n v="0"/>
    <n v="0.2"/>
    <n v="0"/>
  </r>
  <r>
    <x v="2"/>
    <s v="Strawberry Banana Smoothie (Medium)"/>
    <n v="260"/>
    <n v="5"/>
    <n v="1"/>
    <n v="0"/>
    <n v="0"/>
    <n v="5"/>
    <n v="40"/>
    <n v="60"/>
    <n v="3"/>
    <n v="54"/>
    <n v="2"/>
    <n v="312"/>
    <n v="0.76923076923076905"/>
    <n v="0"/>
    <n v="0"/>
    <m/>
    <n v="-20.5633540372671"/>
    <n v="0"/>
    <n v="-0.434782608695652"/>
    <n v="-21.6"/>
    <n v="0"/>
    <n v="0.4"/>
    <n v="1.0714285714285701"/>
  </r>
  <r>
    <x v="2"/>
    <s v="Iced Coffee‚Äì Caramel (Large)"/>
    <n v="270"/>
    <n v="100"/>
    <n v="11"/>
    <n v="7"/>
    <n v="0"/>
    <n v="40"/>
    <n v="160"/>
    <n v="41"/>
    <n v="0"/>
    <n v="41"/>
    <n v="2"/>
    <n v="316"/>
    <n v="0.74074074074074103"/>
    <n v="0"/>
    <n v="0"/>
    <m/>
    <n v="-19.489130434782599"/>
    <n v="-1.75"/>
    <n v="-1.73913043478261"/>
    <n v="-16.399999999999999"/>
    <n v="0"/>
    <n v="0.4"/>
    <n v="0"/>
  </r>
  <r>
    <x v="2"/>
    <s v="Iced Coffee‚Äì Hazelnut (Large)"/>
    <n v="270"/>
    <n v="100"/>
    <n v="11"/>
    <n v="7"/>
    <n v="0"/>
    <n v="40"/>
    <n v="85"/>
    <n v="43"/>
    <n v="0"/>
    <n v="43"/>
    <n v="2"/>
    <n v="318"/>
    <n v="0.74074074074074103"/>
    <n v="0"/>
    <n v="0"/>
    <m/>
    <n v="-19.473913043478301"/>
    <n v="-1.75"/>
    <n v="-0.92391304347826098"/>
    <n v="-17.2"/>
    <n v="0"/>
    <n v="0.4"/>
    <n v="0"/>
  </r>
  <r>
    <x v="2"/>
    <s v="Iced Coffee‚Äì Vanilla (Large)"/>
    <n v="270"/>
    <n v="100"/>
    <n v="11"/>
    <n v="7"/>
    <n v="0"/>
    <n v="40"/>
    <n v="80"/>
    <n v="43"/>
    <n v="0"/>
    <n v="43"/>
    <n v="2"/>
    <n v="318"/>
    <n v="0.74074074074074103"/>
    <n v="0"/>
    <n v="0"/>
    <m/>
    <n v="-19.419565217391298"/>
    <n v="-1.75"/>
    <n v="-0.86956521739130399"/>
    <n v="-17.2"/>
    <n v="0"/>
    <n v="0.4"/>
    <n v="0"/>
  </r>
  <r>
    <x v="2"/>
    <s v="Iced Coffee‚Äì Regular (Small)"/>
    <n v="140"/>
    <n v="50"/>
    <n v="5"/>
    <n v="3.5"/>
    <n v="0"/>
    <n v="20"/>
    <n v="40"/>
    <n v="22"/>
    <n v="0"/>
    <n v="22"/>
    <n v="1"/>
    <n v="164.5"/>
    <n v="0.71428571428571397"/>
    <n v="0"/>
    <n v="0"/>
    <m/>
    <n v="-9.9097826086956502"/>
    <n v="-0.875"/>
    <n v="-0.434782608695652"/>
    <n v="-8.8000000000000007"/>
    <n v="0"/>
    <n v="0.2"/>
    <n v="0"/>
  </r>
  <r>
    <x v="2"/>
    <s v="Iced Coffee‚Äì Regular (Large)"/>
    <n v="280"/>
    <n v="100"/>
    <n v="11"/>
    <n v="7"/>
    <n v="0"/>
    <n v="40"/>
    <n v="85"/>
    <n v="45"/>
    <n v="0"/>
    <n v="45"/>
    <n v="2"/>
    <n v="330"/>
    <n v="0.71428571428571397"/>
    <n v="0"/>
    <n v="0"/>
    <m/>
    <n v="-20.273913043478299"/>
    <n v="-1.75"/>
    <n v="-0.92391304347826098"/>
    <n v="-18"/>
    <n v="0"/>
    <n v="0.4"/>
    <n v="0"/>
  </r>
  <r>
    <x v="2"/>
    <s v="Hash Brown"/>
    <n v="150"/>
    <n v="80"/>
    <n v="9"/>
    <n v="1.5"/>
    <n v="0"/>
    <n v="0"/>
    <n v="310"/>
    <n v="15"/>
    <n v="2"/>
    <n v="0"/>
    <n v="1"/>
    <n v="150.5"/>
    <n v="0.66666666666666696"/>
    <n v="0"/>
    <n v="0"/>
    <m/>
    <n v="-2.8302795031055901"/>
    <n v="-0.375"/>
    <n v="-3.3695652173913002"/>
    <n v="0"/>
    <n v="0"/>
    <n v="0.2"/>
    <n v="0.71428571428571397"/>
  </r>
  <r>
    <x v="2"/>
    <s v="Sweet Tea (Small)"/>
    <n v="150"/>
    <n v="0"/>
    <n v="0"/>
    <n v="0"/>
    <n v="0"/>
    <n v="0"/>
    <n v="10"/>
    <n v="36"/>
    <n v="0"/>
    <n v="36"/>
    <n v="1"/>
    <n v="185"/>
    <n v="0.66666666666666696"/>
    <n v="0"/>
    <n v="0"/>
    <m/>
    <n v="-14.308695652173901"/>
    <n v="0"/>
    <n v="-0.108695652173913"/>
    <n v="-14.4"/>
    <n v="0"/>
    <n v="0.2"/>
    <n v="0"/>
  </r>
  <r>
    <x v="2"/>
    <s v="Newman‚Äôs Own¬Æ Ranch Dressing"/>
    <n v="170"/>
    <n v="130"/>
    <n v="15"/>
    <n v="2.5"/>
    <n v="0"/>
    <n v="20"/>
    <n v="530"/>
    <n v="9"/>
    <n v="0"/>
    <n v="4"/>
    <n v="1"/>
    <n v="175.5"/>
    <n v="0.58823529411764697"/>
    <n v="1"/>
    <n v="0"/>
    <m/>
    <n v="-7.7858695652173902"/>
    <n v="-0.625"/>
    <n v="-5.7608695652173898"/>
    <n v="-1.6"/>
    <n v="0"/>
    <n v="0.2"/>
    <n v="0"/>
  </r>
  <r>
    <x v="2"/>
    <s v="Sweet Tea (Medium)"/>
    <n v="180"/>
    <n v="0"/>
    <n v="0"/>
    <n v="0"/>
    <n v="0"/>
    <n v="0"/>
    <n v="10"/>
    <n v="45"/>
    <n v="0"/>
    <n v="45"/>
    <n v="1"/>
    <n v="224"/>
    <n v="0.55555555555555602"/>
    <n v="0"/>
    <n v="0"/>
    <m/>
    <n v="-17.9086956521739"/>
    <n v="0"/>
    <n v="-0.108695652173913"/>
    <n v="-18"/>
    <n v="0"/>
    <n v="0.2"/>
    <n v="0"/>
  </r>
  <r>
    <x v="2"/>
    <s v="Sweet Tea (Large)"/>
    <n v="280"/>
    <n v="0"/>
    <n v="0"/>
    <n v="0"/>
    <n v="0"/>
    <n v="0"/>
    <n v="15"/>
    <n v="69"/>
    <n v="0"/>
    <n v="69"/>
    <n v="1"/>
    <n v="348"/>
    <n v="0.35714285714285698"/>
    <n v="0"/>
    <n v="0"/>
    <m/>
    <n v="-27.563043478260902"/>
    <n v="0"/>
    <n v="-0.16304347826087001"/>
    <n v="-27.6"/>
    <n v="0"/>
    <n v="0.2"/>
    <n v="0"/>
  </r>
  <r>
    <x v="2"/>
    <s v="Ketchup Packet"/>
    <n v="15"/>
    <n v="0"/>
    <n v="0"/>
    <n v="0"/>
    <n v="0"/>
    <n v="0"/>
    <n v="110"/>
    <n v="3"/>
    <n v="0"/>
    <n v="2"/>
    <n v="0"/>
    <n v="17"/>
    <n v="0"/>
    <n v="0"/>
    <n v="0"/>
    <m/>
    <n v="-1.99565217391304"/>
    <n v="0"/>
    <n v="-1.1956521739130399"/>
    <n v="-0.8"/>
    <n v="0"/>
    <n v="0"/>
    <n v="0"/>
  </r>
  <r>
    <x v="2"/>
    <s v="Salt Packet"/>
    <n v="0"/>
    <n v="0"/>
    <n v="0"/>
    <n v="0"/>
    <n v="0"/>
    <n v="0"/>
    <n v="270"/>
    <n v="0"/>
    <n v="0"/>
    <n v="0"/>
    <n v="0"/>
    <n v="0"/>
    <n v="0"/>
    <n v="0"/>
    <n v="0"/>
    <m/>
    <n v="-2.9347826086956501"/>
    <n v="0"/>
    <n v="-2.9347826086956501"/>
    <n v="0"/>
    <n v="0"/>
    <n v="0"/>
    <n v="0"/>
  </r>
  <r>
    <x v="2"/>
    <s v="Barbeque Sauce"/>
    <n v="50"/>
    <n v="0"/>
    <n v="0"/>
    <n v="0"/>
    <n v="0"/>
    <n v="0"/>
    <n v="260"/>
    <n v="12"/>
    <n v="0"/>
    <n v="10"/>
    <n v="0"/>
    <n v="60"/>
    <n v="0"/>
    <n v="0"/>
    <n v="0"/>
    <m/>
    <n v="-6.8260869565217401"/>
    <n v="0"/>
    <n v="-2.8260869565217401"/>
    <n v="-4"/>
    <n v="0"/>
    <n v="0"/>
    <n v="0"/>
  </r>
  <r>
    <x v="2"/>
    <s v="Honey"/>
    <n v="50"/>
    <n v="0"/>
    <n v="0"/>
    <n v="0"/>
    <n v="0"/>
    <n v="0"/>
    <n v="0"/>
    <n v="12"/>
    <n v="0"/>
    <n v="11"/>
    <n v="0"/>
    <n v="61"/>
    <n v="0"/>
    <n v="0"/>
    <n v="0"/>
    <m/>
    <n v="-4.4000000000000004"/>
    <n v="0"/>
    <n v="0"/>
    <n v="-4.4000000000000004"/>
    <n v="0"/>
    <n v="0"/>
    <n v="0"/>
  </r>
  <r>
    <x v="2"/>
    <s v="Sweet ‚ÄòN Sour Sauce"/>
    <n v="50"/>
    <n v="0"/>
    <n v="0"/>
    <n v="0"/>
    <n v="0"/>
    <n v="0"/>
    <n v="150"/>
    <n v="12"/>
    <n v="0"/>
    <n v="10"/>
    <n v="0"/>
    <n v="60"/>
    <n v="0"/>
    <n v="0"/>
    <n v="0"/>
    <m/>
    <n v="-5.6304347826086998"/>
    <n v="0"/>
    <n v="-1.6304347826087"/>
    <n v="-4"/>
    <n v="0"/>
    <n v="0"/>
    <n v="0"/>
  </r>
  <r>
    <x v="2"/>
    <s v="Spicy Buffalo Sauce"/>
    <n v="60"/>
    <n v="50"/>
    <n v="6"/>
    <n v="1"/>
    <n v="0"/>
    <n v="0"/>
    <n v="800"/>
    <n v="1"/>
    <n v="1"/>
    <n v="0"/>
    <n v="0"/>
    <n v="61"/>
    <n v="0"/>
    <n v="1"/>
    <n v="0"/>
    <m/>
    <n v="-8.5885093167701907"/>
    <n v="-0.25"/>
    <n v="-8.6956521739130395"/>
    <n v="0"/>
    <n v="0"/>
    <n v="0"/>
    <n v="0.35714285714285698"/>
  </r>
  <r>
    <x v="2"/>
    <s v="Creamy Ranch Sauce"/>
    <n v="170"/>
    <n v="160"/>
    <n v="18"/>
    <n v="3"/>
    <n v="0"/>
    <n v="10"/>
    <n v="270"/>
    <n v="2"/>
    <n v="0"/>
    <n v="1"/>
    <n v="0"/>
    <n v="174"/>
    <n v="0"/>
    <n v="0"/>
    <n v="0"/>
    <m/>
    <n v="-4.08478260869565"/>
    <n v="-0.75"/>
    <n v="-2.9347826086956501"/>
    <n v="-0.4"/>
    <n v="0"/>
    <n v="0"/>
    <n v="0"/>
  </r>
  <r>
    <x v="2"/>
    <s v="Tangy Honey Mustard Sauce"/>
    <n v="60"/>
    <n v="20"/>
    <n v="2"/>
    <n v="0"/>
    <n v="0"/>
    <n v="5"/>
    <n v="140"/>
    <n v="10"/>
    <n v="0"/>
    <n v="8"/>
    <n v="0"/>
    <n v="68"/>
    <n v="0"/>
    <n v="0"/>
    <n v="0"/>
    <m/>
    <n v="-4.7217391304347798"/>
    <n v="0"/>
    <n v="-1.52173913043478"/>
    <n v="-3.2"/>
    <n v="0"/>
    <n v="0"/>
    <n v="0"/>
  </r>
  <r>
    <x v="2"/>
    <s v="Southwestern Chipotle Barbeque Sauce"/>
    <n v="60"/>
    <n v="0"/>
    <n v="0"/>
    <n v="0"/>
    <n v="0"/>
    <n v="0"/>
    <n v="210"/>
    <n v="15"/>
    <n v="1"/>
    <n v="11"/>
    <n v="0"/>
    <n v="71"/>
    <n v="0"/>
    <n v="0"/>
    <n v="0"/>
    <m/>
    <n v="-6.3254658385093201"/>
    <n v="0"/>
    <n v="-2.2826086956521698"/>
    <n v="-4.4000000000000004"/>
    <n v="0"/>
    <n v="0"/>
    <n v="0.35714285714285698"/>
  </r>
  <r>
    <x v="2"/>
    <s v="Newman‚Äôs Own¬Æ Low Fat Balsamic Vinaigrette"/>
    <n v="40"/>
    <n v="25"/>
    <n v="3"/>
    <n v="0"/>
    <n v="0"/>
    <n v="0"/>
    <n v="730"/>
    <n v="4"/>
    <n v="0"/>
    <n v="3"/>
    <n v="0"/>
    <n v="43"/>
    <n v="0"/>
    <n v="1"/>
    <n v="0"/>
    <m/>
    <n v="-9.1347826086956498"/>
    <n v="0"/>
    <n v="-7.9347826086956497"/>
    <n v="-1.2"/>
    <n v="0"/>
    <n v="0"/>
    <n v="0"/>
  </r>
  <r>
    <x v="2"/>
    <s v="Hotcake Syrup"/>
    <n v="180"/>
    <n v="0"/>
    <n v="0"/>
    <n v="0"/>
    <n v="0"/>
    <n v="0"/>
    <n v="20"/>
    <n v="45"/>
    <n v="0"/>
    <n v="32"/>
    <n v="0"/>
    <n v="212"/>
    <n v="0"/>
    <n v="0"/>
    <n v="0"/>
    <m/>
    <n v="-13.0173913043478"/>
    <n v="0"/>
    <n v="-0.217391304347826"/>
    <n v="-12.8"/>
    <n v="0"/>
    <n v="0"/>
    <n v="0"/>
  </r>
  <r>
    <x v="2"/>
    <s v="Whipped Margarine (1 pat)"/>
    <n v="40"/>
    <n v="40"/>
    <n v="4.5"/>
    <n v="1.5"/>
    <n v="0"/>
    <n v="0"/>
    <n v="55"/>
    <n v="0"/>
    <n v="0"/>
    <n v="0"/>
    <n v="0"/>
    <n v="41.5"/>
    <n v="0"/>
    <n v="0"/>
    <n v="0"/>
    <m/>
    <n v="-0.97282608695652195"/>
    <n v="-0.375"/>
    <n v="-0.59782608695652195"/>
    <n v="0"/>
    <n v="0"/>
    <n v="0"/>
    <n v="0"/>
  </r>
  <r>
    <x v="2"/>
    <s v="Grape Jam"/>
    <n v="35"/>
    <n v="0"/>
    <n v="0"/>
    <n v="0"/>
    <n v="0"/>
    <n v="0"/>
    <n v="0"/>
    <n v="9"/>
    <n v="0"/>
    <n v="9"/>
    <n v="0"/>
    <n v="44"/>
    <n v="0"/>
    <n v="0"/>
    <n v="0"/>
    <m/>
    <n v="-3.6"/>
    <n v="0"/>
    <n v="0"/>
    <n v="-3.6"/>
    <n v="0"/>
    <n v="0"/>
    <n v="0"/>
  </r>
  <r>
    <x v="2"/>
    <s v="Strawberry Preserves"/>
    <n v="35"/>
    <n v="0"/>
    <n v="0"/>
    <n v="0"/>
    <n v="0"/>
    <n v="0"/>
    <n v="0"/>
    <n v="9"/>
    <n v="0"/>
    <n v="9"/>
    <n v="0"/>
    <n v="44"/>
    <n v="0"/>
    <n v="0"/>
    <n v="0"/>
    <m/>
    <n v="-3.6"/>
    <n v="0"/>
    <n v="0"/>
    <n v="-3.6"/>
    <n v="0"/>
    <n v="0"/>
    <n v="0"/>
  </r>
  <r>
    <x v="2"/>
    <s v="Low Fat Caramel Dip"/>
    <n v="70"/>
    <n v="5"/>
    <n v="0.5"/>
    <n v="0"/>
    <n v="0"/>
    <n v="5"/>
    <n v="35"/>
    <n v="15"/>
    <n v="0"/>
    <n v="9"/>
    <n v="0"/>
    <n v="79"/>
    <n v="0"/>
    <n v="0"/>
    <n v="0"/>
    <m/>
    <n v="-3.9804347826086999"/>
    <n v="0"/>
    <n v="-0.38043478260869601"/>
    <n v="-3.6"/>
    <n v="0"/>
    <n v="0"/>
    <n v="0"/>
  </r>
  <r>
    <x v="2"/>
    <s v="Apple Dippers with Low Fat Caramel Dip"/>
    <n v="100"/>
    <n v="5"/>
    <n v="0.5"/>
    <n v="0"/>
    <n v="0"/>
    <n v="5"/>
    <n v="35"/>
    <n v="23"/>
    <n v="0"/>
    <n v="15"/>
    <n v="0"/>
    <n v="115"/>
    <n v="0"/>
    <n v="0"/>
    <n v="0"/>
    <m/>
    <n v="-6.3804347826086998"/>
    <n v="0"/>
    <n v="-0.38043478260869601"/>
    <n v="-6"/>
    <n v="0"/>
    <n v="0"/>
    <n v="0"/>
  </r>
  <r>
    <x v="2"/>
    <s v="Minute Maid¬Æ 100% Apple Juice Box"/>
    <n v="100"/>
    <n v="0"/>
    <n v="0"/>
    <n v="0"/>
    <n v="0"/>
    <n v="0"/>
    <n v="15"/>
    <n v="23"/>
    <n v="0"/>
    <n v="22"/>
    <n v="0"/>
    <n v="122"/>
    <n v="0"/>
    <n v="0"/>
    <n v="0"/>
    <m/>
    <n v="-8.9630434782608699"/>
    <n v="0"/>
    <n v="-0.16304347826087001"/>
    <n v="-8.8000000000000007"/>
    <n v="0"/>
    <n v="0"/>
    <n v="0"/>
  </r>
  <r>
    <x v="2"/>
    <s v="Coca-Cola¬Æ Classic (Child)"/>
    <n v="110"/>
    <n v="0"/>
    <n v="0"/>
    <n v="0"/>
    <n v="0"/>
    <n v="0"/>
    <n v="5"/>
    <n v="29"/>
    <n v="0"/>
    <n v="29"/>
    <n v="0"/>
    <n v="139"/>
    <n v="0"/>
    <n v="0"/>
    <n v="0"/>
    <m/>
    <n v="-11.654347826086999"/>
    <n v="0"/>
    <n v="-5.4347826086956499E-2"/>
    <n v="-11.6"/>
    <n v="0"/>
    <n v="0"/>
    <n v="0"/>
  </r>
  <r>
    <x v="2"/>
    <s v="Coca-Cola¬Æ Classic (Small)"/>
    <n v="150"/>
    <n v="0"/>
    <n v="0"/>
    <n v="0"/>
    <n v="0"/>
    <n v="0"/>
    <n v="10"/>
    <n v="40"/>
    <n v="0"/>
    <n v="40"/>
    <n v="0"/>
    <n v="190"/>
    <n v="0"/>
    <n v="0"/>
    <n v="0"/>
    <m/>
    <n v="-16.1086956521739"/>
    <n v="0"/>
    <n v="-0.108695652173913"/>
    <n v="-16"/>
    <n v="0"/>
    <n v="0"/>
    <n v="0"/>
  </r>
  <r>
    <x v="2"/>
    <s v="Coca-Cola¬Æ Classic (Medium)"/>
    <n v="210"/>
    <n v="0"/>
    <n v="0"/>
    <n v="0"/>
    <n v="0"/>
    <n v="0"/>
    <n v="15"/>
    <n v="58"/>
    <n v="0"/>
    <n v="58"/>
    <n v="0"/>
    <n v="268"/>
    <n v="0"/>
    <n v="0"/>
    <n v="0"/>
    <m/>
    <n v="-23.363043478260899"/>
    <n v="0"/>
    <n v="-0.16304347826087001"/>
    <n v="-23.2"/>
    <n v="0"/>
    <n v="0"/>
    <n v="0"/>
  </r>
  <r>
    <x v="2"/>
    <s v="Coca-Cola¬Æ Classic (Large)"/>
    <n v="310"/>
    <n v="0"/>
    <n v="0"/>
    <n v="0"/>
    <n v="0"/>
    <n v="0"/>
    <n v="20"/>
    <n v="86"/>
    <n v="0"/>
    <n v="86"/>
    <n v="0"/>
    <n v="396"/>
    <n v="0"/>
    <n v="0"/>
    <n v="0"/>
    <m/>
    <n v="-34.617391304347798"/>
    <n v="0"/>
    <n v="-0.217391304347826"/>
    <n v="-34.4"/>
    <n v="0"/>
    <n v="0"/>
    <n v="0"/>
  </r>
  <r>
    <x v="2"/>
    <s v="Sprite¬Æ (Child)"/>
    <n v="110"/>
    <n v="0"/>
    <n v="0"/>
    <n v="0"/>
    <n v="0"/>
    <n v="0"/>
    <n v="30"/>
    <n v="28"/>
    <n v="0"/>
    <n v="28"/>
    <n v="0"/>
    <n v="138"/>
    <n v="0"/>
    <n v="0"/>
    <n v="0"/>
    <m/>
    <n v="-11.5260869565217"/>
    <n v="0"/>
    <n v="-0.32608695652173902"/>
    <n v="-11.2"/>
    <n v="0"/>
    <n v="0"/>
    <n v="0"/>
  </r>
  <r>
    <x v="2"/>
    <s v="Sprite¬Æ (Small)"/>
    <n v="150"/>
    <n v="0"/>
    <n v="0"/>
    <n v="0"/>
    <n v="0"/>
    <n v="0"/>
    <n v="40"/>
    <n v="39"/>
    <n v="0"/>
    <n v="39"/>
    <n v="0"/>
    <n v="189"/>
    <n v="0"/>
    <n v="0"/>
    <n v="0"/>
    <m/>
    <n v="-16.0347826086957"/>
    <n v="0"/>
    <n v="-0.434782608695652"/>
    <n v="-15.6"/>
    <n v="0"/>
    <n v="0"/>
    <n v="0"/>
  </r>
  <r>
    <x v="2"/>
    <s v="Sprite¬Æ (Medium)"/>
    <n v="210"/>
    <n v="0"/>
    <n v="0"/>
    <n v="0"/>
    <n v="0"/>
    <n v="0"/>
    <n v="55"/>
    <n v="56"/>
    <n v="0"/>
    <n v="56"/>
    <n v="0"/>
    <n v="266"/>
    <n v="0"/>
    <n v="0"/>
    <n v="0"/>
    <m/>
    <n v="-22.997826086956501"/>
    <n v="0"/>
    <n v="-0.59782608695652195"/>
    <n v="-22.4"/>
    <n v="0"/>
    <n v="0"/>
    <n v="0"/>
  </r>
  <r>
    <x v="2"/>
    <s v="Sprite¬Æ (Large)"/>
    <n v="310"/>
    <n v="0"/>
    <n v="0"/>
    <n v="0"/>
    <n v="0"/>
    <n v="0"/>
    <n v="80"/>
    <n v="83"/>
    <n v="0"/>
    <n v="83"/>
    <n v="0"/>
    <n v="393"/>
    <n v="0"/>
    <n v="0"/>
    <n v="0"/>
    <m/>
    <n v="-34.0695652173913"/>
    <n v="0"/>
    <n v="-0.86956521739130399"/>
    <n v="-33.200000000000003"/>
    <n v="0"/>
    <n v="0"/>
    <n v="0"/>
  </r>
  <r>
    <x v="2"/>
    <s v="Hi-C¬Æ Orange Lavaburst (Child)"/>
    <n v="120"/>
    <n v="0"/>
    <n v="0"/>
    <n v="0"/>
    <n v="0"/>
    <n v="0"/>
    <n v="0"/>
    <n v="32"/>
    <n v="0"/>
    <n v="32"/>
    <n v="0"/>
    <n v="152"/>
    <n v="0"/>
    <n v="0"/>
    <n v="0"/>
    <m/>
    <n v="-12.8"/>
    <n v="0"/>
    <n v="0"/>
    <n v="-12.8"/>
    <n v="0"/>
    <n v="0"/>
    <n v="0"/>
  </r>
  <r>
    <x v="2"/>
    <s v="Hi-C¬Æ Orange Lavaburst (Small)"/>
    <n v="160"/>
    <n v="0"/>
    <n v="0"/>
    <n v="0"/>
    <n v="0"/>
    <n v="0"/>
    <n v="5"/>
    <n v="44"/>
    <n v="0"/>
    <n v="44"/>
    <n v="0"/>
    <n v="204"/>
    <n v="0"/>
    <n v="0"/>
    <n v="0"/>
    <m/>
    <n v="-17.654347826087001"/>
    <n v="0"/>
    <n v="-5.4347826086956499E-2"/>
    <n v="-17.600000000000001"/>
    <n v="0"/>
    <n v="0"/>
    <n v="0"/>
  </r>
  <r>
    <x v="2"/>
    <s v="Hi-C¬Æ Orange Lavaburst (Medium)"/>
    <n v="240"/>
    <n v="0"/>
    <n v="0"/>
    <n v="0"/>
    <n v="0"/>
    <n v="0"/>
    <n v="10"/>
    <n v="64"/>
    <n v="0"/>
    <n v="64"/>
    <n v="0"/>
    <n v="304"/>
    <n v="0"/>
    <n v="0"/>
    <n v="0"/>
    <m/>
    <n v="-25.708695652173901"/>
    <n v="0"/>
    <n v="-0.108695652173913"/>
    <n v="-25.6"/>
    <n v="0"/>
    <n v="0"/>
    <n v="0"/>
  </r>
  <r>
    <x v="2"/>
    <s v="Hi-C¬Æ Orange Lavaburst (Large)"/>
    <n v="350"/>
    <n v="0"/>
    <n v="0"/>
    <n v="0"/>
    <n v="0"/>
    <n v="0"/>
    <n v="10"/>
    <n v="94"/>
    <n v="0"/>
    <n v="94"/>
    <n v="0"/>
    <n v="444"/>
    <n v="0"/>
    <n v="0"/>
    <n v="0"/>
    <m/>
    <n v="-37.708695652173901"/>
    <n v="0"/>
    <n v="-0.108695652173913"/>
    <n v="-37.6"/>
    <n v="0"/>
    <n v="0"/>
    <n v="0"/>
  </r>
  <r>
    <x v="2"/>
    <s v="POWERade¬Æ Mountain Blast (Child)"/>
    <n v="70"/>
    <n v="0"/>
    <n v="0"/>
    <n v="0"/>
    <n v="0"/>
    <n v="0"/>
    <n v="65"/>
    <n v="20"/>
    <n v="0"/>
    <n v="16"/>
    <n v="0"/>
    <n v="86"/>
    <n v="0"/>
    <n v="0"/>
    <n v="0"/>
    <m/>
    <n v="-7.1065217391304296"/>
    <n v="0"/>
    <n v="-0.70652173913043503"/>
    <n v="-6.4"/>
    <n v="0"/>
    <n v="0"/>
    <n v="0"/>
  </r>
  <r>
    <x v="2"/>
    <s v="POWERade¬Æ Mountain Blast (Small)"/>
    <n v="100"/>
    <n v="0"/>
    <n v="0"/>
    <n v="0"/>
    <n v="0"/>
    <n v="0"/>
    <n v="85"/>
    <n v="27"/>
    <n v="0"/>
    <n v="21"/>
    <n v="0"/>
    <n v="121"/>
    <n v="0"/>
    <n v="0"/>
    <n v="0"/>
    <m/>
    <n v="-9.3239130434782602"/>
    <n v="0"/>
    <n v="-0.92391304347826098"/>
    <n v="-8.4"/>
    <n v="0"/>
    <n v="0"/>
    <n v="0"/>
  </r>
  <r>
    <x v="2"/>
    <s v="POWERade¬Æ Mountain Blast (Medium)"/>
    <n v="150"/>
    <n v="0"/>
    <n v="0"/>
    <n v="0"/>
    <n v="0"/>
    <n v="0"/>
    <n v="130"/>
    <n v="39"/>
    <n v="0"/>
    <n v="31"/>
    <n v="0"/>
    <n v="181"/>
    <n v="0"/>
    <n v="0"/>
    <n v="0"/>
    <m/>
    <n v="-13.8130434782609"/>
    <n v="0"/>
    <n v="-1.4130434782608701"/>
    <n v="-12.4"/>
    <n v="0"/>
    <n v="0"/>
    <n v="0"/>
  </r>
  <r>
    <x v="2"/>
    <s v="POWERade¬Æ Mountain Blast (Large)"/>
    <n v="220"/>
    <n v="0"/>
    <n v="0"/>
    <n v="0"/>
    <n v="0"/>
    <n v="0"/>
    <n v="190"/>
    <n v="58"/>
    <n v="0"/>
    <n v="46"/>
    <n v="0"/>
    <n v="266"/>
    <n v="0"/>
    <n v="0"/>
    <n v="0"/>
    <m/>
    <n v="-20.4652173913043"/>
    <n v="0"/>
    <n v="-2.0652173913043499"/>
    <n v="-18.399999999999999"/>
    <n v="0"/>
    <n v="0"/>
    <n v="0"/>
  </r>
  <r>
    <x v="2"/>
    <s v="Iced Tea (Large)"/>
    <n v="0"/>
    <n v="0"/>
    <n v="0"/>
    <n v="0"/>
    <n v="0"/>
    <n v="0"/>
    <n v="20"/>
    <n v="1"/>
    <n v="0"/>
    <n v="0"/>
    <n v="0"/>
    <n v="0"/>
    <n v="0"/>
    <n v="0"/>
    <n v="0"/>
    <m/>
    <n v="-0.217391304347826"/>
    <n v="0"/>
    <n v="-0.217391304347826"/>
    <n v="0"/>
    <n v="0"/>
    <n v="0"/>
    <n v="0"/>
  </r>
  <r>
    <x v="2"/>
    <s v="Coffee Cream"/>
    <n v="20"/>
    <n v="20"/>
    <n v="2"/>
    <n v="1.5"/>
    <n v="0"/>
    <n v="10"/>
    <n v="15"/>
    <n v="0"/>
    <n v="0"/>
    <n v="0"/>
    <n v="0"/>
    <n v="21.5"/>
    <n v="0"/>
    <n v="0"/>
    <n v="0"/>
    <m/>
    <n v="-0.53804347826086996"/>
    <n v="-0.375"/>
    <n v="-0.16304347826087001"/>
    <n v="0"/>
    <n v="0"/>
    <n v="0"/>
    <n v="0"/>
  </r>
  <r>
    <x v="2"/>
    <s v="Sugar Packet"/>
    <n v="15"/>
    <n v="0"/>
    <n v="0"/>
    <n v="0"/>
    <n v="0"/>
    <n v="0"/>
    <n v="0"/>
    <n v="4"/>
    <n v="0"/>
    <n v="4"/>
    <n v="0"/>
    <n v="19"/>
    <n v="0"/>
    <n v="0"/>
    <n v="0"/>
    <m/>
    <n v="-1.6"/>
    <n v="0"/>
    <n v="0"/>
    <n v="-1.6"/>
    <n v="0"/>
    <n v="0"/>
    <n v="0"/>
  </r>
  <r>
    <x v="2"/>
    <s v="EQUAL¬Æ 0_x000a_Calorie Sweetener"/>
    <n v="0"/>
    <n v="0"/>
    <n v="0"/>
    <n v="0"/>
    <n v="0"/>
    <n v="0"/>
    <n v="0"/>
    <n v="1"/>
    <n v="0"/>
    <n v="1"/>
    <n v="0"/>
    <n v="1"/>
    <n v="0"/>
    <n v="0"/>
    <n v="0"/>
    <m/>
    <n v="-0.4"/>
    <n v="0"/>
    <n v="0"/>
    <n v="-0.4"/>
    <n v="0"/>
    <n v="0"/>
    <n v="0"/>
  </r>
  <r>
    <x v="2"/>
    <s v="SPLENDA¬Æ No_x000a_Calorie Sweetener"/>
    <n v="0"/>
    <n v="0"/>
    <n v="0"/>
    <n v="0"/>
    <n v="0"/>
    <n v="0"/>
    <n v="0"/>
    <n v="1"/>
    <n v="0"/>
    <n v="1"/>
    <n v="0"/>
    <n v="1"/>
    <n v="0"/>
    <n v="0"/>
    <n v="0"/>
    <m/>
    <n v="-0.4"/>
    <n v="0"/>
    <n v="0"/>
    <n v="-0.4"/>
    <n v="0"/>
    <n v="0"/>
    <n v="0"/>
  </r>
  <r>
    <x v="2"/>
    <s v="Sweet Tea (Child)"/>
    <n v="110"/>
    <n v="0"/>
    <n v="0"/>
    <n v="0"/>
    <n v="0"/>
    <n v="0"/>
    <n v="5"/>
    <n v="27"/>
    <n v="0"/>
    <n v="27"/>
    <n v="0"/>
    <n v="137"/>
    <n v="0"/>
    <n v="0"/>
    <n v="0"/>
    <m/>
    <n v="-10.854347826087"/>
    <n v="0"/>
    <n v="-5.4347826086956499E-2"/>
    <n v="-10.8"/>
    <n v="0"/>
    <n v="0"/>
    <n v="0"/>
  </r>
  <r>
    <x v="3"/>
    <s v="Hand Tossed Slices Hawaiian Chicken Small"/>
    <n v="130"/>
    <n v="0"/>
    <n v="4"/>
    <n v="1.5"/>
    <n v="0"/>
    <n v="10"/>
    <n v="270"/>
    <n v="17"/>
    <n v="1"/>
    <n v="1"/>
    <n v="7"/>
    <m/>
    <n v="5.3846153846153904"/>
    <n v="0"/>
    <n v="0"/>
    <m/>
    <n v="-1.9526397515528"/>
    <n v="-0.375"/>
    <n v="-2.9347826086956501"/>
    <n v="-0.4"/>
    <n v="0"/>
    <n v="1.4"/>
    <n v="0.35714285714285698"/>
  </r>
  <r>
    <x v="3"/>
    <s v="Hand Tossed Slices Hawaiian Chicken Large"/>
    <n v="280"/>
    <n v="0"/>
    <n v="9"/>
    <n v="4"/>
    <n v="0"/>
    <n v="30"/>
    <n v="580"/>
    <n v="36"/>
    <n v="3"/>
    <n v="3"/>
    <n v="15"/>
    <m/>
    <n v="5.3571428571428603"/>
    <n v="1"/>
    <n v="0"/>
    <m/>
    <n v="-4.4329192546583904"/>
    <n v="-1"/>
    <n v="-6.3043478260869596"/>
    <n v="-1.2"/>
    <n v="0"/>
    <n v="3"/>
    <n v="1.0714285714285701"/>
  </r>
  <r>
    <x v="3"/>
    <s v="Pan Pizza Slices Hawaiian Chicken Personal Pan"/>
    <n v="150"/>
    <n v="0"/>
    <n v="5"/>
    <n v="2"/>
    <n v="0"/>
    <n v="15"/>
    <n v="330"/>
    <n v="18"/>
    <n v="1"/>
    <n v="3"/>
    <n v="8"/>
    <m/>
    <n v="5.3333333333333304"/>
    <n v="0"/>
    <n v="0"/>
    <m/>
    <n v="-3.3298136645962702"/>
    <n v="-0.5"/>
    <n v="-3.5869565217391299"/>
    <n v="-1.2"/>
    <n v="0"/>
    <n v="1.6"/>
    <n v="0.35714285714285698"/>
  </r>
  <r>
    <x v="3"/>
    <s v="Hand Tossed Slices Chicken Bacon Parmesan Large"/>
    <n v="310"/>
    <n v="0"/>
    <n v="13"/>
    <n v="5"/>
    <n v="0"/>
    <n v="35"/>
    <n v="560"/>
    <n v="33"/>
    <n v="2"/>
    <n v="1"/>
    <n v="16"/>
    <m/>
    <n v="5.1612903225806503"/>
    <n v="1"/>
    <n v="0"/>
    <m/>
    <n v="-3.8226708074534201"/>
    <n v="-1.25"/>
    <n v="-6.0869565217391299"/>
    <n v="-0.4"/>
    <n v="0"/>
    <n v="3.2"/>
    <n v="0.71428571428571397"/>
  </r>
  <r>
    <x v="3"/>
    <s v="Pan Pizza Slices Chicken Bacon Parmesan Personal Pan"/>
    <n v="180"/>
    <n v="0"/>
    <n v="8"/>
    <n v="3"/>
    <n v="0"/>
    <n v="20"/>
    <n v="350"/>
    <n v="17"/>
    <n v="1"/>
    <n v="2"/>
    <n v="9"/>
    <m/>
    <n v="5"/>
    <n v="0"/>
    <n v="0"/>
    <m/>
    <n v="-3.1972049689440998"/>
    <n v="-0.75"/>
    <n v="-3.8043478260869601"/>
    <n v="-0.8"/>
    <n v="0"/>
    <n v="1.8"/>
    <n v="0.35714285714285698"/>
  </r>
  <r>
    <x v="3"/>
    <s v="Pan Pizza Slices Hawaiian Chicken Medium"/>
    <n v="240"/>
    <n v="0"/>
    <n v="9"/>
    <n v="3.5"/>
    <n v="0"/>
    <n v="20"/>
    <n v="480"/>
    <n v="29"/>
    <n v="2"/>
    <n v="2"/>
    <n v="12"/>
    <m/>
    <n v="5"/>
    <n v="1"/>
    <n v="0"/>
    <m/>
    <n v="-3.7781055900621099"/>
    <n v="-0.875"/>
    <n v="-5.2173913043478297"/>
    <n v="-0.8"/>
    <n v="0"/>
    <n v="2.4"/>
    <n v="0.71428571428571397"/>
  </r>
  <r>
    <x v="3"/>
    <s v="Pan Pizza Slices Hawaiian Chicken Large"/>
    <n v="350"/>
    <n v="0"/>
    <n v="15"/>
    <n v="5"/>
    <n v="0"/>
    <n v="30"/>
    <n v="690"/>
    <n v="38"/>
    <n v="2"/>
    <n v="3"/>
    <n v="17"/>
    <m/>
    <n v="4.8571428571428603"/>
    <n v="1"/>
    <n v="0"/>
    <m/>
    <n v="-5.8357142857142801"/>
    <n v="-1.25"/>
    <n v="-7.5"/>
    <n v="-1.2"/>
    <n v="0"/>
    <n v="3.4"/>
    <n v="0.71428571428571397"/>
  </r>
  <r>
    <x v="3"/>
    <s v="Hand Tossed Slices Ultimate Cheese Lover‚Äôs¬Æ Large"/>
    <n v="310"/>
    <n v="0"/>
    <n v="13"/>
    <n v="6"/>
    <n v="0"/>
    <n v="35"/>
    <n v="540"/>
    <n v="33"/>
    <n v="2"/>
    <n v="1"/>
    <n v="15"/>
    <m/>
    <n v="4.8387096774193497"/>
    <n v="1"/>
    <n v="0"/>
    <m/>
    <n v="-4.0552795031055897"/>
    <n v="-1.5"/>
    <n v="-5.8695652173913002"/>
    <n v="-0.4"/>
    <n v="0"/>
    <n v="3"/>
    <n v="0.71428571428571397"/>
  </r>
  <r>
    <x v="3"/>
    <s v="Hand Tossed Slices  Buffalo Chicken Large"/>
    <n v="270"/>
    <n v="0"/>
    <n v="8"/>
    <n v="4"/>
    <n v="0"/>
    <n v="30"/>
    <n v="740"/>
    <n v="37"/>
    <n v="2"/>
    <n v="2"/>
    <n v="13"/>
    <m/>
    <n v="4.8148148148148104"/>
    <n v="1"/>
    <n v="0"/>
    <m/>
    <n v="-6.5291925465838503"/>
    <n v="-1"/>
    <n v="-8.0434782608695592"/>
    <n v="-0.8"/>
    <n v="0"/>
    <n v="2.6"/>
    <n v="0.71428571428571397"/>
  </r>
  <r>
    <x v="3"/>
    <s v="Hand Tossed Slices Chicken Bacon Parmesan Medium"/>
    <n v="230"/>
    <n v="0"/>
    <n v="9"/>
    <n v="4"/>
    <n v="0"/>
    <n v="25"/>
    <n v="410"/>
    <n v="25"/>
    <n v="2"/>
    <n v="1"/>
    <n v="11"/>
    <m/>
    <n v="4.7826086956521703"/>
    <n v="0"/>
    <n v="0"/>
    <m/>
    <n v="-2.9422360248447199"/>
    <n v="-1"/>
    <n v="-4.4565217391304301"/>
    <n v="-0.4"/>
    <n v="0"/>
    <n v="2.2000000000000002"/>
    <n v="0.71428571428571397"/>
  </r>
  <r>
    <x v="3"/>
    <s v="Hand Tossed Slices Ultimate Cheese Lover‚Äôs¬Æ Medium"/>
    <n v="230"/>
    <n v="0"/>
    <n v="10"/>
    <n v="4.5"/>
    <n v="0"/>
    <n v="25"/>
    <n v="390"/>
    <n v="25"/>
    <n v="2"/>
    <n v="1"/>
    <n v="11"/>
    <m/>
    <n v="4.7826086956521703"/>
    <n v="0"/>
    <n v="0"/>
    <m/>
    <n v="-2.8498447204968902"/>
    <n v="-1.125"/>
    <n v="-4.2391304347826102"/>
    <n v="-0.4"/>
    <n v="0"/>
    <n v="2.2000000000000002"/>
    <n v="0.71428571428571397"/>
  </r>
  <r>
    <x v="3"/>
    <s v="Hand Tossed Slices Cheese Medium"/>
    <n v="210"/>
    <n v="0"/>
    <n v="8"/>
    <n v="3.5"/>
    <n v="0"/>
    <n v="20"/>
    <n v="390"/>
    <n v="26"/>
    <n v="2"/>
    <n v="1"/>
    <n v="10"/>
    <m/>
    <n v="4.7619047619047601"/>
    <n v="0"/>
    <n v="0"/>
    <m/>
    <n v="-2.7998447204968899"/>
    <n v="-0.875"/>
    <n v="-4.2391304347826102"/>
    <n v="-0.4"/>
    <n v="0"/>
    <n v="2"/>
    <n v="0.71428571428571397"/>
  </r>
  <r>
    <x v="3"/>
    <s v="Hand Tossed Slices Hawaiian Chicken Medium"/>
    <n v="210"/>
    <n v="0"/>
    <n v="6"/>
    <n v="3"/>
    <n v="0"/>
    <n v="20"/>
    <n v="420"/>
    <n v="27"/>
    <n v="2"/>
    <n v="2"/>
    <n v="10"/>
    <m/>
    <n v="4.7619047619047601"/>
    <n v="0"/>
    <n v="0"/>
    <m/>
    <n v="-3.40093167701863"/>
    <n v="-0.75"/>
    <n v="-4.5652173913043503"/>
    <n v="-0.8"/>
    <n v="0"/>
    <n v="2"/>
    <n v="0.71428571428571397"/>
  </r>
  <r>
    <x v="3"/>
    <s v="Pan Pizza Slices Ultimate Cheese Lover‚Äôs¬Æ Personal Pan"/>
    <n v="170"/>
    <n v="0"/>
    <n v="8"/>
    <n v="3.5"/>
    <n v="0"/>
    <n v="15"/>
    <n v="330"/>
    <n v="17"/>
    <n v="1"/>
    <n v="2"/>
    <n v="8"/>
    <m/>
    <n v="4.7058823529411802"/>
    <n v="0"/>
    <n v="0"/>
    <m/>
    <n v="-3.3048136645962698"/>
    <n v="-0.875"/>
    <n v="-3.5869565217391299"/>
    <n v="-0.8"/>
    <n v="0"/>
    <n v="1.6"/>
    <n v="0.35714285714285698"/>
  </r>
  <r>
    <x v="3"/>
    <s v="Pan Pizza Slices Cheese Personal Pan"/>
    <n v="150"/>
    <n v="0"/>
    <n v="6"/>
    <n v="2.5"/>
    <n v="0"/>
    <n v="15"/>
    <n v="310"/>
    <n v="17"/>
    <n v="1"/>
    <n v="2"/>
    <n v="7"/>
    <m/>
    <n v="4.6666666666666696"/>
    <n v="0"/>
    <n v="0"/>
    <m/>
    <n v="-3.03742236024845"/>
    <n v="-0.625"/>
    <n v="-3.3695652173913002"/>
    <n v="-0.8"/>
    <n v="0"/>
    <n v="1.4"/>
    <n v="0.35714285714285698"/>
  </r>
  <r>
    <x v="3"/>
    <s v="Hand Tossed Slices Backyard BBQ Chicken Large"/>
    <n v="300"/>
    <n v="0"/>
    <n v="10"/>
    <n v="4.5"/>
    <n v="0"/>
    <n v="30"/>
    <n v="530"/>
    <n v="40"/>
    <n v="2"/>
    <n v="7"/>
    <n v="14"/>
    <m/>
    <n v="4.6666666666666696"/>
    <n v="1"/>
    <n v="0"/>
    <m/>
    <n v="-6.1715838509316798"/>
    <n v="-1.125"/>
    <n v="-5.7608695652173898"/>
    <n v="-2.8"/>
    <n v="0"/>
    <n v="2.8"/>
    <n v="0.71428571428571397"/>
  </r>
  <r>
    <x v="3"/>
    <s v="Hand Tossed Slices Chicken Bacon Parmesan Small"/>
    <n v="150"/>
    <n v="0"/>
    <n v="6"/>
    <n v="2.5"/>
    <n v="0"/>
    <n v="15"/>
    <n v="270"/>
    <n v="16"/>
    <n v="1"/>
    <n v="0"/>
    <n v="7"/>
    <m/>
    <n v="4.6666666666666696"/>
    <n v="0"/>
    <n v="0"/>
    <m/>
    <n v="-1.8026397515527901"/>
    <n v="-0.625"/>
    <n v="-2.9347826086956501"/>
    <n v="0"/>
    <n v="0"/>
    <n v="1.4"/>
    <n v="0.35714285714285698"/>
  </r>
  <r>
    <x v="3"/>
    <s v="Detroit Double Cheesy Pizza Slice"/>
    <n v="280"/>
    <n v="0"/>
    <n v="12"/>
    <n v="6"/>
    <n v="0"/>
    <n v="30"/>
    <n v="560"/>
    <n v="31"/>
    <n v="2"/>
    <n v="2"/>
    <n v="13"/>
    <m/>
    <n v="4.6428571428571397"/>
    <n v="1"/>
    <n v="0"/>
    <m/>
    <n v="-5.0726708074534201"/>
    <n v="-1.5"/>
    <n v="-6.0869565217391299"/>
    <n v="-0.8"/>
    <n v="0"/>
    <n v="2.6"/>
    <n v="0.71428571428571397"/>
  </r>
  <r>
    <x v="3"/>
    <s v="Pan Pizza Slices Chicken Bacon Parmesan Large"/>
    <n v="390"/>
    <n v="0"/>
    <n v="20"/>
    <n v="7"/>
    <n v="0"/>
    <n v="40"/>
    <n v="680"/>
    <n v="35"/>
    <n v="2"/>
    <n v="2"/>
    <n v="18"/>
    <m/>
    <n v="4.6153846153846203"/>
    <n v="1"/>
    <n v="0"/>
    <m/>
    <n v="-5.62701863354037"/>
    <n v="-1.75"/>
    <n v="-7.3913043478260896"/>
    <n v="-0.8"/>
    <n v="0"/>
    <n v="3.6"/>
    <n v="0.71428571428571397"/>
  </r>
  <r>
    <x v="3"/>
    <s v="Hand Tossed Slices  Buffalo Chicken Small"/>
    <n v="130"/>
    <n v="0"/>
    <n v="3.5"/>
    <n v="1.5"/>
    <n v="0"/>
    <n v="10"/>
    <n v="380"/>
    <n v="19"/>
    <n v="0"/>
    <n v="0"/>
    <n v="6"/>
    <m/>
    <n v="4.6153846153846203"/>
    <n v="0"/>
    <n v="0"/>
    <m/>
    <n v="-3.3054347826087001"/>
    <n v="-0.375"/>
    <n v="-4.1304347826086998"/>
    <n v="0"/>
    <n v="0"/>
    <n v="1.2"/>
    <n v="0"/>
  </r>
  <r>
    <x v="3"/>
    <s v="Hand Tossed Slices Cheese Small"/>
    <n v="130"/>
    <n v="0"/>
    <n v="4.5"/>
    <n v="2"/>
    <n v="0"/>
    <n v="10"/>
    <n v="250"/>
    <n v="17"/>
    <n v="1"/>
    <n v="0"/>
    <n v="6"/>
    <m/>
    <n v="4.6153846153846203"/>
    <n v="0"/>
    <n v="0"/>
    <m/>
    <n v="-1.6602484472049699"/>
    <n v="-0.5"/>
    <n v="-2.7173913043478302"/>
    <n v="0"/>
    <n v="0"/>
    <n v="1.2"/>
    <n v="0.35714285714285698"/>
  </r>
  <r>
    <x v="3"/>
    <s v="Hand Tossed Slices Pepperoni Small"/>
    <n v="130"/>
    <n v="0"/>
    <n v="5"/>
    <n v="2"/>
    <n v="0"/>
    <n v="10"/>
    <n v="260"/>
    <n v="16"/>
    <n v="1"/>
    <n v="0"/>
    <n v="6"/>
    <m/>
    <n v="4.6153846153846203"/>
    <n v="0"/>
    <n v="0"/>
    <m/>
    <n v="-1.7689440993788801"/>
    <n v="-0.5"/>
    <n v="-2.8260869565217401"/>
    <n v="0"/>
    <n v="0"/>
    <n v="1.2"/>
    <n v="0.35714285714285698"/>
  </r>
  <r>
    <x v="3"/>
    <s v="Hand Tossed Slices Pepperoni Lover‚Äôs¬Æ Large"/>
    <n v="370"/>
    <n v="0"/>
    <n v="18"/>
    <n v="8"/>
    <n v="0"/>
    <n v="50"/>
    <n v="740"/>
    <n v="35"/>
    <n v="3"/>
    <n v="2"/>
    <n v="17"/>
    <m/>
    <n v="4.5945945945945903"/>
    <n v="1"/>
    <n v="0"/>
    <m/>
    <n v="-6.3720496894409902"/>
    <n v="-2"/>
    <n v="-8.0434782608695592"/>
    <n v="-0.8"/>
    <n v="0"/>
    <n v="3.4"/>
    <n v="1.0714285714285701"/>
  </r>
  <r>
    <x v="3"/>
    <s v="Pan Pizza Slices Buffalo Chicken Medium"/>
    <n v="240"/>
    <n v="0"/>
    <n v="9"/>
    <n v="3.5"/>
    <n v="0"/>
    <n v="20"/>
    <n v="680"/>
    <n v="31"/>
    <n v="2"/>
    <n v="2"/>
    <n v="11"/>
    <m/>
    <n v="4.5833333333333304"/>
    <n v="1"/>
    <n v="0"/>
    <m/>
    <n v="-6.1520186335403704"/>
    <n v="-0.875"/>
    <n v="-7.3913043478260896"/>
    <n v="-0.8"/>
    <n v="0"/>
    <n v="2.2000000000000002"/>
    <n v="0.71428571428571397"/>
  </r>
  <r>
    <x v="3"/>
    <s v="Hand Tossed Slices Backyard BBQ Chicken Medium"/>
    <n v="220"/>
    <n v="0"/>
    <n v="7"/>
    <n v="3"/>
    <n v="0"/>
    <n v="20"/>
    <n v="390"/>
    <n v="31"/>
    <n v="2"/>
    <n v="6"/>
    <n v="10"/>
    <m/>
    <n v="4.5454545454545503"/>
    <n v="0"/>
    <n v="0"/>
    <m/>
    <n v="-4.6748447204968899"/>
    <n v="-0.75"/>
    <n v="-4.2391304347826102"/>
    <n v="-2.4"/>
    <n v="0"/>
    <n v="2"/>
    <n v="0.71428571428571397"/>
  </r>
  <r>
    <x v="3"/>
    <s v="Hand Tossed Slices Beyond Meat¬Æ Pepperoni Medium"/>
    <n v="200"/>
    <n v="0"/>
    <n v="7"/>
    <n v="3.5"/>
    <n v="0"/>
    <n v="15"/>
    <n v="410"/>
    <n v="26"/>
    <n v="2"/>
    <n v="1"/>
    <n v="9"/>
    <m/>
    <n v="4.5"/>
    <n v="0"/>
    <n v="0"/>
    <m/>
    <n v="-3.2172360248447198"/>
    <n v="-0.875"/>
    <n v="-4.4565217391304301"/>
    <n v="-0.4"/>
    <n v="0"/>
    <n v="1.8"/>
    <n v="0.71428571428571397"/>
  </r>
  <r>
    <x v="3"/>
    <s v="Hand Tossed Slices  Buffalo Chicken Medium"/>
    <n v="200"/>
    <n v="0"/>
    <n v="5"/>
    <n v="2.5"/>
    <n v="0"/>
    <n v="20"/>
    <n v="560"/>
    <n v="28"/>
    <n v="2"/>
    <n v="1"/>
    <n v="9"/>
    <m/>
    <n v="4.5"/>
    <n v="1"/>
    <n v="0"/>
    <m/>
    <n v="-4.5976708074534196"/>
    <n v="-0.625"/>
    <n v="-6.0869565217391299"/>
    <n v="-0.4"/>
    <n v="0"/>
    <n v="1.8"/>
    <n v="0.71428571428571397"/>
  </r>
  <r>
    <x v="3"/>
    <s v="Detroit Supremo Pizza Slice"/>
    <n v="290"/>
    <n v="0"/>
    <n v="13"/>
    <n v="6"/>
    <n v="0"/>
    <n v="30"/>
    <n v="570"/>
    <n v="31"/>
    <n v="2"/>
    <n v="2"/>
    <n v="13"/>
    <m/>
    <n v="4.4827586206896504"/>
    <n v="1"/>
    <n v="0"/>
    <m/>
    <n v="-5.1813664596273297"/>
    <n v="-1.5"/>
    <n v="-6.1956521739130404"/>
    <n v="-0.8"/>
    <n v="0"/>
    <n v="2.6"/>
    <n v="0.71428571428571397"/>
  </r>
  <r>
    <x v="3"/>
    <s v="Hand Tossed Slices Cheese Large"/>
    <n v="290"/>
    <n v="0"/>
    <n v="10"/>
    <n v="5"/>
    <n v="0"/>
    <n v="30"/>
    <n v="540"/>
    <n v="34"/>
    <n v="3"/>
    <n v="2"/>
    <n v="13"/>
    <m/>
    <n v="4.4827586206896504"/>
    <n v="1"/>
    <n v="0"/>
    <m/>
    <n v="-4.2481366459627301"/>
    <n v="-1.25"/>
    <n v="-5.8695652173913002"/>
    <n v="-0.8"/>
    <n v="0"/>
    <n v="2.6"/>
    <n v="1.0714285714285701"/>
  </r>
  <r>
    <x v="3"/>
    <s v="Pan Pizza Slices Backyard BBQ Chicken Personal Pan"/>
    <n v="180"/>
    <n v="0"/>
    <n v="6"/>
    <n v="2"/>
    <n v="0"/>
    <n v="15"/>
    <n v="370"/>
    <n v="25"/>
    <n v="1"/>
    <n v="8"/>
    <n v="8"/>
    <m/>
    <n v="4.4444444444444402"/>
    <n v="0"/>
    <n v="0"/>
    <m/>
    <n v="-5.7645962732919296"/>
    <n v="-0.5"/>
    <n v="-4.0217391304347796"/>
    <n v="-3.2"/>
    <n v="0"/>
    <n v="1.6"/>
    <n v="0.35714285714285698"/>
  </r>
  <r>
    <x v="3"/>
    <s v="Pan Pizza Slices Cheese Large"/>
    <n v="360"/>
    <n v="0"/>
    <n v="17"/>
    <n v="7"/>
    <n v="0"/>
    <n v="35"/>
    <n v="660"/>
    <n v="37"/>
    <n v="2"/>
    <n v="2"/>
    <n v="16"/>
    <m/>
    <n v="4.4444444444444402"/>
    <n v="1"/>
    <n v="0"/>
    <m/>
    <n v="-5.8096273291925504"/>
    <n v="-1.75"/>
    <n v="-7.1739130434782599"/>
    <n v="-0.8"/>
    <n v="0"/>
    <n v="3.2"/>
    <n v="0.71428571428571397"/>
  </r>
  <r>
    <x v="3"/>
    <s v="Pan Pizza Slices Chicken Bacon Parmesan Medium"/>
    <n v="270"/>
    <n v="0"/>
    <n v="13"/>
    <n v="4.5"/>
    <n v="0"/>
    <n v="30"/>
    <n v="470"/>
    <n v="27"/>
    <n v="2"/>
    <n v="1"/>
    <n v="12"/>
    <m/>
    <n v="4.4444444444444402"/>
    <n v="1"/>
    <n v="0"/>
    <m/>
    <n v="-3.5194099378882"/>
    <n v="-1.125"/>
    <n v="-5.1086956521739104"/>
    <n v="-0.4"/>
    <n v="0"/>
    <n v="2.4"/>
    <n v="0.71428571428571397"/>
  </r>
  <r>
    <x v="3"/>
    <s v="Pan Pizza Slices Pepperoni Lover‚Äôs¬Æ Personal Pan"/>
    <n v="180"/>
    <n v="0"/>
    <n v="9"/>
    <n v="3.5"/>
    <n v="0"/>
    <n v="20"/>
    <n v="370"/>
    <n v="17"/>
    <n v="1"/>
    <n v="2"/>
    <n v="8"/>
    <m/>
    <n v="4.4444444444444402"/>
    <n v="0"/>
    <n v="0"/>
    <m/>
    <n v="-3.7395962732919301"/>
    <n v="-0.875"/>
    <n v="-4.0217391304347796"/>
    <n v="-0.8"/>
    <n v="0"/>
    <n v="1.6"/>
    <n v="0.35714285714285698"/>
  </r>
  <r>
    <x v="3"/>
    <s v="Pan Pizza Slices Ultimate Cheese Lover‚Äôs¬Æ Medium"/>
    <n v="270"/>
    <n v="0"/>
    <n v="13"/>
    <n v="5"/>
    <n v="0"/>
    <n v="25"/>
    <n v="470"/>
    <n v="27"/>
    <n v="2"/>
    <n v="1"/>
    <n v="12"/>
    <m/>
    <n v="4.4444444444444402"/>
    <n v="1"/>
    <n v="0"/>
    <m/>
    <n v="-3.6444099378882"/>
    <n v="-1.25"/>
    <n v="-5.1086956521739104"/>
    <n v="-0.4"/>
    <n v="0"/>
    <n v="2.4"/>
    <n v="0.71428571428571397"/>
  </r>
  <r>
    <x v="3"/>
    <s v="Hand Tossed Slices Pepperoni Lover‚Äôs¬Æ Medium"/>
    <n v="270"/>
    <n v="0"/>
    <n v="13"/>
    <n v="6"/>
    <n v="0"/>
    <n v="35"/>
    <n v="530"/>
    <n v="26"/>
    <n v="2"/>
    <n v="1"/>
    <n v="12"/>
    <m/>
    <n v="4.4444444444444402"/>
    <n v="1"/>
    <n v="0"/>
    <m/>
    <n v="-4.5465838509316798"/>
    <n v="-1.5"/>
    <n v="-5.7608695652173898"/>
    <n v="-0.4"/>
    <n v="0"/>
    <n v="2.4"/>
    <n v="0.71428571428571397"/>
  </r>
  <r>
    <x v="3"/>
    <s v="Pan Pizza Slices Cheese Medium"/>
    <n v="250"/>
    <n v="0"/>
    <n v="10"/>
    <n v="4.5"/>
    <n v="0"/>
    <n v="25"/>
    <n v="450"/>
    <n v="28"/>
    <n v="2"/>
    <n v="1"/>
    <n v="11"/>
    <m/>
    <n v="4.4000000000000004"/>
    <n v="0"/>
    <n v="0"/>
    <m/>
    <n v="-3.50201863354037"/>
    <n v="-1.125"/>
    <n v="-4.8913043478260896"/>
    <n v="-0.4"/>
    <n v="0"/>
    <n v="2.2000000000000002"/>
    <n v="0.71428571428571397"/>
  </r>
  <r>
    <x v="3"/>
    <s v="Detroit Meaty Pizza Slice"/>
    <n v="320"/>
    <n v="0"/>
    <n v="16"/>
    <n v="6"/>
    <n v="0"/>
    <n v="35"/>
    <n v="640"/>
    <n v="31"/>
    <n v="2"/>
    <n v="2"/>
    <n v="14"/>
    <m/>
    <n v="4.375"/>
    <n v="1"/>
    <n v="0"/>
    <m/>
    <n v="-5.7422360248447202"/>
    <n v="-1.5"/>
    <n v="-6.9565217391304301"/>
    <n v="-0.8"/>
    <n v="0"/>
    <n v="2.8"/>
    <n v="0.71428571428571397"/>
  </r>
  <r>
    <x v="3"/>
    <s v="Pan Pizza Slices Buffalo Chicken Personal Pan"/>
    <n v="160"/>
    <n v="0"/>
    <n v="5"/>
    <n v="2"/>
    <n v="0"/>
    <n v="15"/>
    <n v="570"/>
    <n v="22"/>
    <n v="1"/>
    <n v="2"/>
    <n v="7"/>
    <m/>
    <n v="4.375"/>
    <n v="1"/>
    <n v="0"/>
    <m/>
    <n v="-5.7385093167701902"/>
    <n v="-0.5"/>
    <n v="-6.1956521739130404"/>
    <n v="-0.8"/>
    <n v="0"/>
    <n v="1.4"/>
    <n v="0.35714285714285698"/>
  </r>
  <r>
    <x v="3"/>
    <s v="Hand Tossed Slices Pepperoni Lover‚Äôs¬Æ Small"/>
    <n v="160"/>
    <n v="0"/>
    <n v="7"/>
    <n v="3"/>
    <n v="0"/>
    <n v="20"/>
    <n v="310"/>
    <n v="17"/>
    <n v="1"/>
    <n v="0"/>
    <n v="7"/>
    <m/>
    <n v="4.375"/>
    <n v="0"/>
    <n v="0"/>
    <m/>
    <n v="-2.3624223602484502"/>
    <n v="-0.75"/>
    <n v="-3.3695652173913002"/>
    <n v="0"/>
    <n v="0"/>
    <n v="1.4"/>
    <n v="0.35714285714285698"/>
  </r>
  <r>
    <x v="3"/>
    <s v="Hand Tossed Slices Supreme Large"/>
    <n v="320"/>
    <n v="0"/>
    <n v="14"/>
    <n v="6"/>
    <n v="0"/>
    <n v="35"/>
    <n v="630"/>
    <n v="35"/>
    <n v="3"/>
    <n v="2"/>
    <n v="14"/>
    <m/>
    <n v="4.375"/>
    <n v="1"/>
    <n v="0"/>
    <m/>
    <n v="-5.2763975155279503"/>
    <n v="-1.5"/>
    <n v="-6.8478260869565197"/>
    <n v="-0.8"/>
    <n v="0"/>
    <n v="2.8"/>
    <n v="1.0714285714285701"/>
  </r>
  <r>
    <x v="3"/>
    <s v="Pan Pizza Slices Ultimate Cheese Lover‚Äôs¬Æ Large"/>
    <n v="390"/>
    <n v="0"/>
    <n v="20"/>
    <n v="8"/>
    <n v="0"/>
    <n v="40"/>
    <n v="670"/>
    <n v="36"/>
    <n v="2"/>
    <n v="2"/>
    <n v="17"/>
    <m/>
    <n v="4.3589743589743604"/>
    <n v="1"/>
    <n v="0"/>
    <m/>
    <n v="-5.9683229813664598"/>
    <n v="-2"/>
    <n v="-7.2826086956521703"/>
    <n v="-0.8"/>
    <n v="0"/>
    <n v="3.4"/>
    <n v="0.71428571428571397"/>
  </r>
  <r>
    <x v="3"/>
    <s v="Hand Tossed Slices Meat Lover‚Äôs¬Æ Large"/>
    <n v="390"/>
    <n v="0"/>
    <n v="21"/>
    <n v="8"/>
    <n v="0"/>
    <n v="45"/>
    <n v="830"/>
    <n v="34"/>
    <n v="3"/>
    <n v="2"/>
    <n v="17"/>
    <m/>
    <n v="4.3589743589743604"/>
    <n v="1"/>
    <n v="0"/>
    <m/>
    <n v="-7.3503105590062097"/>
    <n v="-2"/>
    <n v="-9.0217391304347796"/>
    <n v="-0.8"/>
    <n v="0"/>
    <n v="3.4"/>
    <n v="1.0714285714285701"/>
  </r>
  <r>
    <x v="3"/>
    <s v="Pan Pizza Slices Pepperoni Lover‚Äôs¬Æ Medium"/>
    <n v="300"/>
    <n v="0"/>
    <n v="15"/>
    <n v="6"/>
    <n v="0"/>
    <n v="35"/>
    <n v="580"/>
    <n v="28"/>
    <n v="2"/>
    <n v="1"/>
    <n v="13"/>
    <m/>
    <n v="4.3333333333333304"/>
    <n v="1"/>
    <n v="0"/>
    <m/>
    <n v="-4.8900621118012397"/>
    <n v="-1.5"/>
    <n v="-6.3043478260869596"/>
    <n v="-0.4"/>
    <n v="0"/>
    <n v="2.6"/>
    <n v="0.71428571428571397"/>
  </r>
  <r>
    <x v="3"/>
    <s v="Hand Tossed Slices Pepperoni Large"/>
    <n v="300"/>
    <n v="0"/>
    <n v="13"/>
    <n v="6"/>
    <n v="0"/>
    <n v="30"/>
    <n v="590"/>
    <n v="34"/>
    <n v="3"/>
    <n v="2"/>
    <n v="13"/>
    <m/>
    <n v="4.3333333333333304"/>
    <n v="1"/>
    <n v="0"/>
    <m/>
    <n v="-5.0416149068323"/>
    <n v="-1.5"/>
    <n v="-6.4130434782608701"/>
    <n v="-0.8"/>
    <n v="0"/>
    <n v="2.6"/>
    <n v="1.0714285714285701"/>
  </r>
  <r>
    <x v="3"/>
    <s v="Pan Pizza Slices Pepperoni Lover‚Äôs¬Æ Large"/>
    <n v="440"/>
    <n v="0"/>
    <n v="24"/>
    <n v="9"/>
    <n v="0.5"/>
    <n v="50"/>
    <n v="850"/>
    <n v="37"/>
    <n v="3"/>
    <n v="2"/>
    <n v="19"/>
    <m/>
    <n v="4.3181818181818201"/>
    <n v="1"/>
    <n v="0"/>
    <m/>
    <n v="-7.4182018633540396"/>
    <n v="-2.25"/>
    <n v="-9.2391304347826093"/>
    <n v="-0.8"/>
    <n v="-5.0000000000000001E-4"/>
    <n v="3.8"/>
    <n v="1.0714285714285701"/>
  </r>
  <r>
    <x v="3"/>
    <s v="Pan Pizza Slices Buffalo Chicken Large"/>
    <n v="350"/>
    <n v="0"/>
    <n v="14"/>
    <n v="5"/>
    <n v="0"/>
    <n v="30"/>
    <n v="850"/>
    <n v="40"/>
    <n v="2"/>
    <n v="2"/>
    <n v="15"/>
    <m/>
    <n v="4.28571428571429"/>
    <n v="1"/>
    <n v="0"/>
    <m/>
    <n v="-7.5748447204968903"/>
    <n v="-1.25"/>
    <n v="-9.2391304347826093"/>
    <n v="-0.8"/>
    <n v="0"/>
    <n v="3"/>
    <n v="0.71428571428571397"/>
  </r>
  <r>
    <x v="3"/>
    <s v="Pan Pizza Slices Meat Lover‚Äôs¬Æ Personal Pan"/>
    <n v="210"/>
    <n v="0"/>
    <n v="12"/>
    <n v="4.5"/>
    <n v="0"/>
    <n v="25"/>
    <n v="460"/>
    <n v="18"/>
    <n v="1"/>
    <n v="2"/>
    <n v="9"/>
    <m/>
    <n v="4.28571428571429"/>
    <n v="0"/>
    <n v="0"/>
    <m/>
    <n v="-4.7678571428571397"/>
    <n v="-1.125"/>
    <n v="-5"/>
    <n v="-0.8"/>
    <n v="0"/>
    <n v="1.8"/>
    <n v="0.35714285714285698"/>
  </r>
  <r>
    <x v="3"/>
    <s v="Pan Pizza Slices Veggie Lover‚Äôs¬Æ Personal Pan"/>
    <n v="140"/>
    <n v="0"/>
    <n v="5"/>
    <n v="2"/>
    <n v="0"/>
    <n v="10"/>
    <n v="290"/>
    <n v="18"/>
    <n v="1"/>
    <n v="2"/>
    <n v="6"/>
    <m/>
    <n v="4.28571428571429"/>
    <n v="0"/>
    <n v="0"/>
    <m/>
    <n v="-2.89503105590062"/>
    <n v="-0.5"/>
    <n v="-3.1521739130434798"/>
    <n v="-0.8"/>
    <n v="0"/>
    <n v="1.2"/>
    <n v="0.35714285714285698"/>
  </r>
  <r>
    <x v="3"/>
    <s v="Hand Tossed Slices Backyard BBQ Chicken Small"/>
    <n v="140"/>
    <n v="0"/>
    <n v="4"/>
    <n v="2"/>
    <n v="0"/>
    <n v="15"/>
    <n v="250"/>
    <n v="20"/>
    <n v="1"/>
    <n v="4"/>
    <n v="6"/>
    <m/>
    <n v="4.28571428571429"/>
    <n v="0"/>
    <n v="0"/>
    <m/>
    <n v="-3.2602484472049702"/>
    <n v="-0.5"/>
    <n v="-2.7173913043478302"/>
    <n v="-1.6"/>
    <n v="0"/>
    <n v="1.2"/>
    <n v="0.35714285714285698"/>
  </r>
  <r>
    <x v="3"/>
    <s v="Hand Tossed Slices Beyond Meat¬Æ Pepperoni Large"/>
    <n v="280"/>
    <n v="0"/>
    <n v="10"/>
    <n v="5"/>
    <n v="0"/>
    <n v="20"/>
    <n v="560"/>
    <n v="35"/>
    <n v="3"/>
    <n v="2"/>
    <n v="12"/>
    <m/>
    <n v="4.28571428571429"/>
    <n v="1"/>
    <n v="0"/>
    <m/>
    <n v="-4.66552795031056"/>
    <n v="-1.25"/>
    <n v="-6.0869565217391299"/>
    <n v="-0.8"/>
    <n v="0"/>
    <n v="2.4"/>
    <n v="1.0714285714285701"/>
  </r>
  <r>
    <x v="3"/>
    <s v="Detroit Double Pepperoni Pizza Slice"/>
    <n v="330"/>
    <n v="0"/>
    <n v="17"/>
    <n v="7"/>
    <n v="0"/>
    <n v="40"/>
    <n v="720"/>
    <n v="30"/>
    <n v="2"/>
    <n v="2"/>
    <n v="14"/>
    <m/>
    <n v="4.2424242424242404"/>
    <n v="1"/>
    <n v="0"/>
    <m/>
    <n v="-6.8618012422360302"/>
    <n v="-1.75"/>
    <n v="-7.8260869565217401"/>
    <n v="-0.8"/>
    <n v="0"/>
    <n v="2.8"/>
    <n v="0.71428571428571397"/>
  </r>
  <r>
    <x v="3"/>
    <s v="Pan Pizza Slices Veggie Lover‚Äôs¬Æ Large"/>
    <n v="330"/>
    <n v="0"/>
    <n v="15"/>
    <n v="5"/>
    <n v="0"/>
    <n v="25"/>
    <n v="620"/>
    <n v="38"/>
    <n v="3"/>
    <n v="3"/>
    <n v="14"/>
    <m/>
    <n v="4.2424242424242404"/>
    <n v="1"/>
    <n v="0"/>
    <m/>
    <n v="-5.3177018633540403"/>
    <n v="-1.25"/>
    <n v="-6.7391304347826102"/>
    <n v="-1.2"/>
    <n v="0"/>
    <n v="2.8"/>
    <n v="1.0714285714285701"/>
  </r>
  <r>
    <x v="3"/>
    <s v="Hand Tossed Slices Veggie Lover‚Äôs¬Æ Large"/>
    <n v="260"/>
    <n v="0"/>
    <n v="9"/>
    <n v="4"/>
    <n v="0"/>
    <n v="20"/>
    <n v="510"/>
    <n v="36"/>
    <n v="3"/>
    <n v="3"/>
    <n v="11"/>
    <m/>
    <n v="4.2307692307692299"/>
    <n v="1"/>
    <n v="0"/>
    <m/>
    <n v="-4.4720496894409898"/>
    <n v="-1"/>
    <n v="-5.5434782608695699"/>
    <n v="-1.2"/>
    <n v="0"/>
    <n v="2.2000000000000002"/>
    <n v="1.0714285714285701"/>
  </r>
  <r>
    <x v="3"/>
    <s v="Pan Pizza Slices Backyard BBQ Chicken Large"/>
    <n v="380"/>
    <n v="0"/>
    <n v="16"/>
    <n v="6"/>
    <n v="0"/>
    <n v="35"/>
    <n v="650"/>
    <n v="43"/>
    <n v="2"/>
    <n v="7"/>
    <n v="16"/>
    <m/>
    <n v="4.2105263157894699"/>
    <n v="1"/>
    <n v="0"/>
    <m/>
    <n v="-7.4509316770186302"/>
    <n v="-1.5"/>
    <n v="-7.0652173913043503"/>
    <n v="-2.8"/>
    <n v="0"/>
    <n v="3.2"/>
    <n v="0.71428571428571397"/>
  </r>
  <r>
    <x v="3"/>
    <s v="Pan Pizza Slices Beyond Meat¬Æ Pepperoni Medium"/>
    <n v="240"/>
    <n v="0"/>
    <n v="10"/>
    <n v="4.5"/>
    <n v="0"/>
    <n v="15"/>
    <n v="470"/>
    <n v="29"/>
    <n v="2"/>
    <n v="1"/>
    <n v="10"/>
    <m/>
    <n v="4.1666666666666696"/>
    <n v="1"/>
    <n v="0"/>
    <m/>
    <n v="-3.9194099378881999"/>
    <n v="-1.125"/>
    <n v="-5.1086956521739104"/>
    <n v="-0.4"/>
    <n v="0"/>
    <n v="2"/>
    <n v="0.71428571428571397"/>
  </r>
  <r>
    <x v="3"/>
    <s v="Hand Tossed Slices Supreme Medium"/>
    <n v="240"/>
    <n v="0"/>
    <n v="10"/>
    <n v="4"/>
    <n v="0"/>
    <n v="25"/>
    <n v="450"/>
    <n v="26"/>
    <n v="2"/>
    <n v="2"/>
    <n v="10"/>
    <m/>
    <n v="4.1666666666666696"/>
    <n v="0"/>
    <n v="0"/>
    <m/>
    <n v="-3.9770186335403701"/>
    <n v="-1"/>
    <n v="-4.8913043478260896"/>
    <n v="-0.8"/>
    <n v="0"/>
    <n v="2"/>
    <n v="0.71428571428571397"/>
  </r>
  <r>
    <x v="3"/>
    <s v="Hand Tossed Slices Veggie Lover‚Äôs¬Æ Small"/>
    <n v="120"/>
    <n v="0"/>
    <n v="4"/>
    <n v="1.5"/>
    <n v="0"/>
    <n v="10"/>
    <n v="230"/>
    <n v="17"/>
    <n v="1"/>
    <n v="1"/>
    <n v="5"/>
    <m/>
    <n v="4.1666666666666696"/>
    <n v="0"/>
    <n v="0"/>
    <m/>
    <n v="-1.91785714285714"/>
    <n v="-0.375"/>
    <n v="-2.5"/>
    <n v="-0.4"/>
    <n v="0"/>
    <n v="1"/>
    <n v="0.35714285714285698"/>
  </r>
  <r>
    <x v="3"/>
    <s v="Hand Tossed Slices Meat Lover‚Äôs¬Æ Medium"/>
    <n v="290"/>
    <n v="0"/>
    <n v="15"/>
    <n v="6"/>
    <n v="0"/>
    <n v="30"/>
    <n v="590"/>
    <n v="26"/>
    <n v="2"/>
    <n v="1"/>
    <n v="12"/>
    <m/>
    <n v="4.1379310344827598"/>
    <n v="1"/>
    <n v="0"/>
    <m/>
    <n v="-5.1987577639751503"/>
    <n v="-1.5"/>
    <n v="-6.4130434782608701"/>
    <n v="-0.4"/>
    <n v="0"/>
    <n v="2.4"/>
    <n v="0.71428571428571397"/>
  </r>
  <r>
    <x v="3"/>
    <s v="Pan Pizza Slices Supreme Personal Pan"/>
    <n v="170"/>
    <n v="0"/>
    <n v="8"/>
    <n v="3"/>
    <n v="0"/>
    <n v="15"/>
    <n v="360"/>
    <n v="18"/>
    <n v="1"/>
    <n v="2"/>
    <n v="7"/>
    <m/>
    <n v="4.1176470588235299"/>
    <n v="0"/>
    <n v="0"/>
    <m/>
    <n v="-3.7059006211180101"/>
    <n v="-0.75"/>
    <n v="-3.9130434782608701"/>
    <n v="-0.8"/>
    <n v="0"/>
    <n v="1.4"/>
    <n v="0.35714285714285698"/>
  </r>
  <r>
    <x v="3"/>
    <s v="Pan Pizza Slices Supreme Large"/>
    <n v="390"/>
    <n v="0"/>
    <n v="20"/>
    <n v="7"/>
    <n v="0"/>
    <n v="40"/>
    <n v="740"/>
    <n v="37"/>
    <n v="2"/>
    <n v="2"/>
    <n v="16"/>
    <m/>
    <n v="4.1025641025641004"/>
    <n v="1"/>
    <n v="0"/>
    <m/>
    <n v="-6.6791925465838498"/>
    <n v="-1.75"/>
    <n v="-8.0434782608695592"/>
    <n v="-0.8"/>
    <n v="0"/>
    <n v="3.2"/>
    <n v="0.71428571428571397"/>
  </r>
  <r>
    <x v="3"/>
    <s v="Hand Tossed Slices Pepperoni Medium"/>
    <n v="220"/>
    <n v="0"/>
    <n v="9"/>
    <n v="4"/>
    <n v="0"/>
    <n v="20"/>
    <n v="420"/>
    <n v="25"/>
    <n v="2"/>
    <n v="1"/>
    <n v="9"/>
    <m/>
    <n v="4.0909090909090899"/>
    <n v="0"/>
    <n v="0"/>
    <m/>
    <n v="-3.4509316770186298"/>
    <n v="-1"/>
    <n v="-4.5652173913043503"/>
    <n v="-0.4"/>
    <n v="0"/>
    <n v="1.8"/>
    <n v="0.71428571428571397"/>
  </r>
  <r>
    <x v="3"/>
    <s v="Pan Pizza Slices Backyard BBQ Chicken Medium"/>
    <n v="270"/>
    <n v="0"/>
    <n v="10"/>
    <n v="4"/>
    <n v="0"/>
    <n v="25"/>
    <n v="450"/>
    <n v="33"/>
    <n v="2"/>
    <n v="6"/>
    <n v="11"/>
    <m/>
    <n v="4.07407407407407"/>
    <n v="0"/>
    <n v="0"/>
    <m/>
    <n v="-5.37701863354037"/>
    <n v="-1"/>
    <n v="-4.8913043478260896"/>
    <n v="-2.4"/>
    <n v="0"/>
    <n v="2.2000000000000002"/>
    <n v="0.71428571428571397"/>
  </r>
  <r>
    <x v="3"/>
    <s v="Pan Pizza Slices Supreme Medium"/>
    <n v="270"/>
    <n v="0"/>
    <n v="13"/>
    <n v="5"/>
    <n v="0"/>
    <n v="25"/>
    <n v="500"/>
    <n v="29"/>
    <n v="2"/>
    <n v="2"/>
    <n v="11"/>
    <m/>
    <n v="4.07407407407407"/>
    <n v="1"/>
    <n v="0"/>
    <m/>
    <n v="-4.5704968944099402"/>
    <n v="-1.25"/>
    <n v="-5.4347826086956497"/>
    <n v="-0.8"/>
    <n v="0"/>
    <n v="2.2000000000000002"/>
    <n v="0.71428571428571397"/>
  </r>
  <r>
    <x v="3"/>
    <s v="Pan Pizza Slices Meat Lover‚Äôs¬Æ Medium"/>
    <n v="320"/>
    <n v="0"/>
    <n v="17"/>
    <n v="6"/>
    <n v="0"/>
    <n v="35"/>
    <n v="640"/>
    <n v="28"/>
    <n v="2"/>
    <n v="1"/>
    <n v="13"/>
    <m/>
    <n v="4.0625"/>
    <n v="1"/>
    <n v="0"/>
    <m/>
    <n v="-5.54223602484472"/>
    <n v="-1.5"/>
    <n v="-6.9565217391304301"/>
    <n v="-0.4"/>
    <n v="0"/>
    <n v="2.6"/>
    <n v="0.71428571428571397"/>
  </r>
  <r>
    <x v="3"/>
    <s v="Pan Pizza Slices Pepperoni Large"/>
    <n v="370"/>
    <n v="0"/>
    <n v="18"/>
    <n v="6"/>
    <n v="0"/>
    <n v="35"/>
    <n v="680"/>
    <n v="36"/>
    <n v="2"/>
    <n v="2"/>
    <n v="15"/>
    <m/>
    <n v="4.0540540540540499"/>
    <n v="1"/>
    <n v="0"/>
    <m/>
    <n v="-5.9770186335403697"/>
    <n v="-1.5"/>
    <n v="-7.3913043478260896"/>
    <n v="-0.8"/>
    <n v="0"/>
    <n v="3"/>
    <n v="0.71428571428571397"/>
  </r>
  <r>
    <x v="3"/>
    <s v="Pan Pizza Slices Meat Lover‚Äôs¬Æ Large"/>
    <n v="470"/>
    <n v="0"/>
    <n v="27"/>
    <n v="10"/>
    <n v="0"/>
    <n v="50"/>
    <n v="940"/>
    <n v="37"/>
    <n v="2"/>
    <n v="2"/>
    <n v="19"/>
    <m/>
    <n v="4.0425531914893602"/>
    <n v="1"/>
    <n v="0"/>
    <m/>
    <n v="-9.0031055900621109"/>
    <n v="-2.5"/>
    <n v="-10.2173913043478"/>
    <n v="-0.8"/>
    <n v="0"/>
    <n v="3.8"/>
    <n v="0.71428571428571397"/>
  </r>
  <r>
    <x v="3"/>
    <s v="Pan Pizza Slices Beyond Meat¬Æ Pepperoni Large"/>
    <n v="350"/>
    <n v="0"/>
    <n v="16"/>
    <n v="6"/>
    <n v="0"/>
    <n v="25"/>
    <n v="680"/>
    <n v="38"/>
    <n v="3"/>
    <n v="2"/>
    <n v="14"/>
    <m/>
    <n v="4"/>
    <n v="1"/>
    <n v="0"/>
    <m/>
    <n v="-5.8198757763975104"/>
    <n v="-1.5"/>
    <n v="-7.3913043478260896"/>
    <n v="-0.8"/>
    <n v="0"/>
    <n v="2.8"/>
    <n v="1.0714285714285701"/>
  </r>
  <r>
    <x v="3"/>
    <s v="Pan Pizza Slices Pepperoni Personal Pan"/>
    <n v="150"/>
    <n v="0"/>
    <n v="7"/>
    <n v="2.5"/>
    <n v="0"/>
    <n v="15"/>
    <n v="310"/>
    <n v="17"/>
    <n v="1"/>
    <n v="2"/>
    <n v="6"/>
    <m/>
    <n v="4"/>
    <n v="0"/>
    <n v="0"/>
    <m/>
    <n v="-3.2374223602484502"/>
    <n v="-0.625"/>
    <n v="-3.3695652173913002"/>
    <n v="-0.8"/>
    <n v="0"/>
    <n v="1.2"/>
    <n v="0.35714285714285698"/>
  </r>
  <r>
    <x v="3"/>
    <s v="Pan Pizza Slices Pepperoni Medium"/>
    <n v="250"/>
    <n v="0"/>
    <n v="11"/>
    <n v="4.5"/>
    <n v="0"/>
    <n v="25"/>
    <n v="470"/>
    <n v="28"/>
    <n v="2"/>
    <n v="1"/>
    <n v="10"/>
    <m/>
    <n v="4"/>
    <n v="1"/>
    <n v="0"/>
    <m/>
    <n v="-3.9194099378881999"/>
    <n v="-1.125"/>
    <n v="-5.1086956521739104"/>
    <n v="-0.4"/>
    <n v="0"/>
    <n v="2"/>
    <n v="0.71428571428571397"/>
  </r>
  <r>
    <x v="3"/>
    <s v="Hand Tossed Slices Supreme Small"/>
    <n v="150"/>
    <n v="0"/>
    <n v="6"/>
    <n v="2.5"/>
    <n v="0"/>
    <n v="15"/>
    <n v="280"/>
    <n v="17"/>
    <n v="1"/>
    <n v="1"/>
    <n v="6"/>
    <m/>
    <n v="4"/>
    <n v="0"/>
    <n v="0"/>
    <m/>
    <n v="-2.5113354037267102"/>
    <n v="-0.625"/>
    <n v="-3.0434782608695699"/>
    <n v="-0.4"/>
    <n v="0"/>
    <n v="1.2"/>
    <n v="0.35714285714285698"/>
  </r>
  <r>
    <x v="3"/>
    <s v="Hand Tossed Slices Ultimate Cheese Lover‚Äôs¬Æ Small"/>
    <n v="150"/>
    <n v="0"/>
    <n v="6"/>
    <n v="2.5"/>
    <n v="0"/>
    <n v="15"/>
    <n v="250"/>
    <n v="16"/>
    <n v="1"/>
    <n v="0"/>
    <n v="6"/>
    <m/>
    <n v="4"/>
    <n v="0"/>
    <n v="0"/>
    <m/>
    <n v="-1.7852484472049699"/>
    <n v="-0.625"/>
    <n v="-2.7173913043478302"/>
    <n v="0"/>
    <n v="0"/>
    <n v="1.2"/>
    <n v="0.35714285714285698"/>
  </r>
  <r>
    <x v="3"/>
    <s v="Hand Tossed Slices Veggie Lover‚Äôs¬Æ Medium"/>
    <n v="200"/>
    <n v="0"/>
    <n v="6"/>
    <n v="2.5"/>
    <n v="0"/>
    <n v="15"/>
    <n v="370"/>
    <n v="27"/>
    <n v="2"/>
    <n v="2"/>
    <n v="8"/>
    <m/>
    <n v="4"/>
    <n v="0"/>
    <n v="0"/>
    <m/>
    <n v="-3.1324534161490698"/>
    <n v="-0.625"/>
    <n v="-4.0217391304347796"/>
    <n v="-0.8"/>
    <n v="0"/>
    <n v="1.6"/>
    <n v="0.71428571428571397"/>
  </r>
  <r>
    <x v="3"/>
    <s v="Pan Pizza Slices Veggie Lover‚Äôs¬Æ Medium"/>
    <n v="230"/>
    <n v="0"/>
    <n v="9"/>
    <n v="3.5"/>
    <n v="0"/>
    <n v="15"/>
    <n v="420"/>
    <n v="29"/>
    <n v="2"/>
    <n v="2"/>
    <n v="9"/>
    <m/>
    <n v="3.9130434782608701"/>
    <n v="0"/>
    <n v="0"/>
    <m/>
    <n v="-3.7259316770186302"/>
    <n v="-0.875"/>
    <n v="-4.5652173913043503"/>
    <n v="-0.8"/>
    <n v="0"/>
    <n v="1.8"/>
    <n v="0.71428571428571397"/>
  </r>
  <r>
    <x v="3"/>
    <s v="Hand Tossed Slices Meat Lover‚Äôs¬Æ Small"/>
    <n v="180"/>
    <n v="0"/>
    <n v="9"/>
    <n v="3.5"/>
    <n v="0"/>
    <n v="20"/>
    <n v="370"/>
    <n v="17"/>
    <n v="1"/>
    <n v="0"/>
    <n v="7"/>
    <m/>
    <n v="3.8888888888888902"/>
    <n v="0"/>
    <n v="0"/>
    <m/>
    <n v="-3.1395962732919198"/>
    <n v="-0.875"/>
    <n v="-4.0217391304347796"/>
    <n v="0"/>
    <n v="0"/>
    <n v="1.4"/>
    <n v="0.35714285714285698"/>
  </r>
  <r>
    <x v="4"/>
    <s v="Premium Hot Coffee"/>
    <n v="10"/>
    <n v="0"/>
    <n v="0"/>
    <n v="0"/>
    <n v="0"/>
    <n v="0"/>
    <n v="0"/>
    <n v="0"/>
    <n v="0"/>
    <n v="0"/>
    <n v="2"/>
    <m/>
    <n v="20"/>
    <n v="0"/>
    <n v="0"/>
    <m/>
    <n v="0.4"/>
    <n v="0"/>
    <n v="0"/>
    <n v="0"/>
    <n v="0"/>
    <n v="0.4"/>
    <n v="0"/>
  </r>
  <r>
    <x v="4"/>
    <s v="Regular Iced Coffee"/>
    <n v="10"/>
    <n v="0"/>
    <n v="0"/>
    <n v="0"/>
    <n v="0"/>
    <n v="0"/>
    <n v="0"/>
    <n v="0"/>
    <n v="0"/>
    <n v="0"/>
    <n v="2"/>
    <m/>
    <n v="20"/>
    <n v="0"/>
    <n v="0"/>
    <m/>
    <n v="0.4"/>
    <n v="0"/>
    <n v="0"/>
    <n v="0"/>
    <n v="0"/>
    <n v="0.4"/>
    <n v="0"/>
  </r>
  <r>
    <x v="4"/>
    <s v="Lowfat Milk ‚Äì CA (Regional)"/>
    <n v="100"/>
    <n v="20"/>
    <n v="2"/>
    <n v="1.5"/>
    <n v="0"/>
    <n v="10"/>
    <n v="130"/>
    <n v="13"/>
    <n v="0"/>
    <n v="12"/>
    <n v="9"/>
    <m/>
    <n v="9"/>
    <n v="0"/>
    <n v="0"/>
    <m/>
    <n v="-4.7880434782608701"/>
    <n v="-0.375"/>
    <n v="-1.4130434782608701"/>
    <n v="-4.8"/>
    <n v="0"/>
    <n v="1.8"/>
    <n v="0"/>
  </r>
  <r>
    <x v="4"/>
    <s v="Lowfat Milk ‚Äì Federal (Regional)"/>
    <n v="80"/>
    <n v="20"/>
    <n v="2"/>
    <n v="1.5"/>
    <n v="0"/>
    <n v="10"/>
    <n v="100"/>
    <n v="10"/>
    <n v="0"/>
    <n v="9"/>
    <n v="7"/>
    <m/>
    <n v="8.75"/>
    <n v="0"/>
    <n v="0"/>
    <m/>
    <n v="-3.6619565217391301"/>
    <n v="-0.375"/>
    <n v="-1.0869565217391299"/>
    <n v="-3.6"/>
    <n v="0"/>
    <n v="1.4"/>
    <n v="0"/>
  </r>
  <r>
    <x v="4"/>
    <s v="Soft Taco ‚Äì Chicken"/>
    <n v="160"/>
    <n v="50"/>
    <n v="5"/>
    <n v="2.5"/>
    <n v="0"/>
    <n v="30"/>
    <n v="500"/>
    <n v="16"/>
    <n v="1"/>
    <n v="1"/>
    <n v="12"/>
    <m/>
    <n v="7.5"/>
    <n v="1"/>
    <n v="0"/>
    <m/>
    <n v="-3.7026397515528"/>
    <n v="-0.625"/>
    <n v="-5.4347826086956497"/>
    <n v="-0.4"/>
    <n v="0"/>
    <n v="2.4"/>
    <n v="0.35714285714285698"/>
  </r>
  <r>
    <x v="4"/>
    <s v="Soft Taco ‚Äì Chicken"/>
    <n v="180"/>
    <n v="60"/>
    <n v="7"/>
    <n v="3.5"/>
    <n v="0"/>
    <n v="35"/>
    <n v="520"/>
    <n v="18"/>
    <n v="2"/>
    <n v="2"/>
    <n v="13"/>
    <m/>
    <n v="7.2222222222222197"/>
    <n v="1"/>
    <n v="0"/>
    <m/>
    <n v="-4.0128881987577598"/>
    <n v="-0.875"/>
    <n v="-5.6521739130434803"/>
    <n v="-0.8"/>
    <n v="0"/>
    <n v="2.6"/>
    <n v="0.71428571428571397"/>
  </r>
  <r>
    <x v="4"/>
    <s v="Chicken Chipotle Melt ‚Äì Value Menu"/>
    <n v="190"/>
    <n v="80"/>
    <n v="9"/>
    <n v="3"/>
    <n v="0"/>
    <n v="35"/>
    <n v="530"/>
    <n v="15"/>
    <n v="1"/>
    <n v="0"/>
    <n v="12"/>
    <m/>
    <n v="6.3157894736842097"/>
    <n v="1"/>
    <n v="0"/>
    <m/>
    <n v="-3.75372670807453"/>
    <n v="-0.75"/>
    <n v="-5.7608695652173898"/>
    <n v="0"/>
    <n v="0"/>
    <n v="2.4"/>
    <n v="0.35714285714285698"/>
  </r>
  <r>
    <x v="4"/>
    <s v="Power Menu Bowl ‚Äì Specialties"/>
    <n v="470"/>
    <n v="170"/>
    <n v="19"/>
    <n v="6"/>
    <n v="0"/>
    <n v="70"/>
    <n v="1200"/>
    <n v="50"/>
    <n v="7"/>
    <n v="2"/>
    <n v="26"/>
    <m/>
    <n v="5.5319148936170199"/>
    <n v="1"/>
    <n v="0"/>
    <m/>
    <n v="-7.6434782608695597"/>
    <n v="-1.5"/>
    <n v="-13.0434782608696"/>
    <n v="-0.8"/>
    <n v="0"/>
    <n v="5.2"/>
    <n v="2.5"/>
  </r>
  <r>
    <x v="4"/>
    <s v="Power Menu Bowl ‚Äì Chicken"/>
    <n v="470"/>
    <n v="170"/>
    <n v="19"/>
    <n v="6"/>
    <n v="0"/>
    <n v="70"/>
    <n v="1200"/>
    <n v="50"/>
    <n v="7"/>
    <n v="2"/>
    <n v="26"/>
    <m/>
    <n v="5.5319148936170199"/>
    <n v="1"/>
    <n v="0"/>
    <m/>
    <n v="-7.6434782608695597"/>
    <n v="-1.5"/>
    <n v="-13.0434782608696"/>
    <n v="-0.8"/>
    <n v="0"/>
    <n v="5.2"/>
    <n v="2.5"/>
  </r>
  <r>
    <x v="4"/>
    <s v="Quesadilla ‚Äì Chicken"/>
    <n v="510"/>
    <n v="240"/>
    <n v="26"/>
    <n v="12"/>
    <n v="0.5"/>
    <n v="75"/>
    <n v="1250"/>
    <n v="38"/>
    <n v="4"/>
    <n v="2"/>
    <n v="27"/>
    <m/>
    <n v="5.2941176470588198"/>
    <n v="1"/>
    <n v="0"/>
    <m/>
    <n v="-10.558885093167699"/>
    <n v="-3"/>
    <n v="-13.586956521739101"/>
    <n v="-0.8"/>
    <n v="-5.0000000000000001E-4"/>
    <n v="5.4"/>
    <n v="1.4285714285714299"/>
  </r>
  <r>
    <x v="4"/>
    <s v="Power Menu Bowl ‚Äì Steak"/>
    <n v="480"/>
    <n v="180"/>
    <n v="20"/>
    <n v="7"/>
    <n v="0"/>
    <n v="60"/>
    <n v="1150"/>
    <n v="51"/>
    <n v="7"/>
    <n v="2"/>
    <n v="25"/>
    <m/>
    <n v="5.2083333333333304"/>
    <n v="1"/>
    <n v="0"/>
    <m/>
    <n v="-7.55"/>
    <n v="-1.75"/>
    <n v="-12.5"/>
    <n v="-0.8"/>
    <n v="0"/>
    <n v="5"/>
    <n v="2.5"/>
  </r>
  <r>
    <x v="4"/>
    <s v="Quesadilla ‚Äì Steak"/>
    <n v="520"/>
    <n v="240"/>
    <n v="27"/>
    <n v="12"/>
    <n v="0.5"/>
    <n v="70"/>
    <n v="1230"/>
    <n v="38"/>
    <n v="4"/>
    <n v="2"/>
    <n v="27"/>
    <m/>
    <n v="5.1923076923076898"/>
    <n v="1"/>
    <n v="0"/>
    <m/>
    <n v="-10.3414937888199"/>
    <n v="-3"/>
    <n v="-13.369565217391299"/>
    <n v="-0.8"/>
    <n v="-5.0000000000000001E-4"/>
    <n v="5.4"/>
    <n v="1.4285714285714299"/>
  </r>
  <r>
    <x v="4"/>
    <s v="Burrito Supreme¬Æ ‚Äì Chicken"/>
    <n v="370"/>
    <n v="100"/>
    <n v="11"/>
    <n v="4.5"/>
    <n v="0"/>
    <n v="35"/>
    <n v="1110"/>
    <n v="49"/>
    <n v="8"/>
    <n v="4"/>
    <n v="19"/>
    <m/>
    <n v="5.1351351351351404"/>
    <n v="1"/>
    <n v="0"/>
    <m/>
    <n v="-8.1330745341614907"/>
    <n v="-1.125"/>
    <n v="-12.0652173913043"/>
    <n v="-1.6"/>
    <n v="0"/>
    <n v="3.8"/>
    <n v="2.8571428571428599"/>
  </r>
  <r>
    <x v="4"/>
    <s v="Soft Taco ‚Äì Beef"/>
    <n v="180"/>
    <n v="80"/>
    <n v="9"/>
    <n v="4"/>
    <n v="0"/>
    <n v="25"/>
    <n v="500"/>
    <n v="17"/>
    <n v="3"/>
    <n v="1"/>
    <n v="9"/>
    <m/>
    <n v="5"/>
    <n v="1"/>
    <n v="0"/>
    <m/>
    <n v="-3.9633540372670799"/>
    <n v="-1"/>
    <n v="-5.4347826086956497"/>
    <n v="-0.4"/>
    <n v="0"/>
    <n v="1.8"/>
    <n v="1.0714285714285701"/>
  </r>
  <r>
    <x v="4"/>
    <s v="Cheesy Roll Up"/>
    <n v="180"/>
    <n v="80"/>
    <n v="9"/>
    <n v="5"/>
    <n v="0"/>
    <n v="20"/>
    <n v="430"/>
    <n v="15"/>
    <n v="2"/>
    <n v="0"/>
    <n v="9"/>
    <m/>
    <n v="5"/>
    <n v="0"/>
    <n v="0"/>
    <m/>
    <n v="-3.4096273291925501"/>
    <n v="-1.25"/>
    <n v="-4.6739130434782599"/>
    <n v="0"/>
    <n v="0"/>
    <n v="1.8"/>
    <n v="0.71428571428571397"/>
  </r>
  <r>
    <x v="4"/>
    <s v="Burrito Supreme¬Æ ‚Äì Steak"/>
    <n v="370"/>
    <n v="110"/>
    <n v="12"/>
    <n v="5"/>
    <n v="0"/>
    <n v="30"/>
    <n v="1090"/>
    <n v="49"/>
    <n v="7"/>
    <n v="4"/>
    <n v="18"/>
    <m/>
    <n v="4.8648648648648596"/>
    <n v="1"/>
    <n v="0"/>
    <m/>
    <n v="-8.5978260869565197"/>
    <n v="-1.25"/>
    <n v="-11.8478260869565"/>
    <n v="-1.6"/>
    <n v="0"/>
    <n v="3.6"/>
    <n v="2.5"/>
  </r>
  <r>
    <x v="4"/>
    <s v="Chalupa Supreme¬Æ ‚Äì Chicken"/>
    <n v="330"/>
    <n v="140"/>
    <n v="15"/>
    <n v="3.5"/>
    <n v="0"/>
    <n v="35"/>
    <n v="560"/>
    <n v="31"/>
    <n v="2"/>
    <n v="3"/>
    <n v="16"/>
    <m/>
    <n v="4.8484848484848504"/>
    <n v="1"/>
    <n v="0"/>
    <m/>
    <n v="-4.24767080745342"/>
    <n v="-0.875"/>
    <n v="-6.0869565217391299"/>
    <n v="-1.2"/>
    <n v="0"/>
    <n v="3.2"/>
    <n v="0.71428571428571397"/>
  </r>
  <r>
    <x v="4"/>
    <s v="Grande Toasted Breakfast Burrito ‚Äì Steak"/>
    <n v="560"/>
    <n v="250"/>
    <n v="28"/>
    <n v="9"/>
    <n v="0"/>
    <n v="240"/>
    <n v="1310"/>
    <n v="50"/>
    <n v="4"/>
    <n v="3"/>
    <n v="27"/>
    <m/>
    <n v="4.8214285714285703"/>
    <n v="1"/>
    <n v="0"/>
    <m/>
    <n v="-10.860559006211201"/>
    <n v="-2.25"/>
    <n v="-14.2391304347826"/>
    <n v="-1.2"/>
    <n v="0"/>
    <n v="5.4"/>
    <n v="1.4285714285714299"/>
  </r>
  <r>
    <x v="4"/>
    <s v="Soft Taco ‚Äì Beef"/>
    <n v="210"/>
    <n v="90"/>
    <n v="10"/>
    <n v="5"/>
    <n v="0"/>
    <n v="25"/>
    <n v="520"/>
    <n v="20"/>
    <n v="3"/>
    <n v="2"/>
    <n v="10"/>
    <m/>
    <n v="4.7619047619047601"/>
    <n v="1"/>
    <n v="0"/>
    <m/>
    <n v="-4.6307453416149098"/>
    <n v="-1.25"/>
    <n v="-5.6521739130434803"/>
    <n v="-0.8"/>
    <n v="0"/>
    <n v="2"/>
    <n v="1.0714285714285701"/>
  </r>
  <r>
    <x v="4"/>
    <s v="Soft Taco Supreme ‚Äì Specialties"/>
    <n v="210"/>
    <n v="90"/>
    <n v="10"/>
    <n v="5"/>
    <n v="0"/>
    <n v="25"/>
    <n v="520"/>
    <n v="20"/>
    <n v="3"/>
    <n v="2"/>
    <n v="10"/>
    <m/>
    <n v="4.7619047619047601"/>
    <n v="1"/>
    <n v="0"/>
    <m/>
    <n v="-4.6307453416149098"/>
    <n v="-1.25"/>
    <n v="-5.6521739130434803"/>
    <n v="-0.8"/>
    <n v="0"/>
    <n v="2"/>
    <n v="1.0714285714285701"/>
  </r>
  <r>
    <x v="4"/>
    <s v="Crunchy Taco"/>
    <n v="170"/>
    <n v="80"/>
    <n v="9"/>
    <n v="3.5"/>
    <n v="0"/>
    <n v="25"/>
    <n v="310"/>
    <n v="13"/>
    <n v="3"/>
    <n v="0"/>
    <n v="8"/>
    <m/>
    <n v="4.7058823529411802"/>
    <n v="0"/>
    <n v="0"/>
    <m/>
    <n v="-1.5731366459627301"/>
    <n v="-0.875"/>
    <n v="-3.3695652173913002"/>
    <n v="0"/>
    <n v="0"/>
    <n v="1.6"/>
    <n v="1.0714285714285701"/>
  </r>
  <r>
    <x v="4"/>
    <s v="Nacho Cheese Doritos¬Æ Locos Taco"/>
    <n v="170"/>
    <n v="80"/>
    <n v="9"/>
    <n v="3.5"/>
    <n v="0"/>
    <n v="25"/>
    <n v="360"/>
    <n v="13"/>
    <n v="3"/>
    <n v="0"/>
    <n v="8"/>
    <m/>
    <n v="4.7058823529411802"/>
    <n v="0"/>
    <n v="0"/>
    <m/>
    <n v="-2.1166149068323001"/>
    <n v="-0.875"/>
    <n v="-3.9130434782608701"/>
    <n v="0"/>
    <n v="0"/>
    <n v="1.6"/>
    <n v="1.0714285714285701"/>
  </r>
  <r>
    <x v="4"/>
    <s v="Bacon Club Chalupa"/>
    <n v="440"/>
    <n v="240"/>
    <n v="27"/>
    <n v="5"/>
    <n v="0"/>
    <n v="50"/>
    <n v="840"/>
    <n v="31"/>
    <n v="2"/>
    <n v="3"/>
    <n v="20"/>
    <m/>
    <n v="4.5454545454545503"/>
    <n v="1"/>
    <n v="0"/>
    <m/>
    <n v="-6.8661490683229802"/>
    <n v="-1.25"/>
    <n v="-9.1304347826087007"/>
    <n v="-1.2"/>
    <n v="0"/>
    <n v="4"/>
    <n v="0.71428571428571397"/>
  </r>
  <r>
    <x v="4"/>
    <s v="Chalupa Supreme¬Æ ‚Äì Steak"/>
    <n v="330"/>
    <n v="140"/>
    <n v="16"/>
    <n v="4"/>
    <n v="0"/>
    <n v="30"/>
    <n v="530"/>
    <n v="32"/>
    <n v="2"/>
    <n v="3"/>
    <n v="15"/>
    <m/>
    <n v="4.5454545454545503"/>
    <n v="1"/>
    <n v="0"/>
    <m/>
    <n v="-4.24658385093168"/>
    <n v="-1"/>
    <n v="-5.7608695652173898"/>
    <n v="-1.2"/>
    <n v="0"/>
    <n v="3"/>
    <n v="0.71428571428571397"/>
  </r>
  <r>
    <x v="4"/>
    <s v="Bacon Club Chalupa ‚Äì Specialties"/>
    <n v="440"/>
    <n v="240"/>
    <n v="27"/>
    <n v="5"/>
    <n v="0"/>
    <n v="50"/>
    <n v="840"/>
    <n v="31"/>
    <n v="2"/>
    <n v="3"/>
    <n v="20"/>
    <m/>
    <n v="4.5454545454545503"/>
    <n v="1"/>
    <n v="0"/>
    <m/>
    <n v="-6.8661490683229802"/>
    <n v="-1.25"/>
    <n v="-9.1304347826087007"/>
    <n v="-1.2"/>
    <n v="0"/>
    <n v="4"/>
    <n v="0.71428571428571397"/>
  </r>
  <r>
    <x v="4"/>
    <s v="Chili Cheese Burrito (regional)"/>
    <n v="370"/>
    <n v="150"/>
    <n v="17"/>
    <n v="8"/>
    <n v="0"/>
    <n v="35"/>
    <n v="970"/>
    <n v="40"/>
    <n v="4"/>
    <n v="2"/>
    <n v="16"/>
    <m/>
    <n v="4.3243243243243201"/>
    <n v="1"/>
    <n v="0"/>
    <m/>
    <n v="-8.7149068322981407"/>
    <n v="-2"/>
    <n v="-10.5434782608696"/>
    <n v="-0.8"/>
    <n v="0"/>
    <n v="3.2"/>
    <n v="1.4285714285714299"/>
  </r>
  <r>
    <x v="4"/>
    <s v="Grande Toasted Breakfast Burrito ‚Äì Bacon"/>
    <n v="560"/>
    <n v="270"/>
    <n v="30"/>
    <n v="10"/>
    <n v="0"/>
    <n v="230"/>
    <n v="1290"/>
    <n v="49"/>
    <n v="4"/>
    <n v="3"/>
    <n v="24"/>
    <m/>
    <n v="4.28571428571429"/>
    <n v="1"/>
    <n v="0"/>
    <m/>
    <n v="-11.493167701863401"/>
    <n v="-2.5"/>
    <n v="-14.021739130434799"/>
    <n v="-1.2"/>
    <n v="0"/>
    <n v="4.8"/>
    <n v="1.4285714285714299"/>
  </r>
  <r>
    <x v="4"/>
    <s v="Crunchy Taco Supreme¬Æ"/>
    <n v="190"/>
    <n v="100"/>
    <n v="11"/>
    <n v="4.5"/>
    <n v="0"/>
    <n v="25"/>
    <n v="340"/>
    <n v="15"/>
    <n v="3"/>
    <n v="2"/>
    <n v="8"/>
    <m/>
    <n v="4.2105263157894699"/>
    <n v="0"/>
    <n v="0"/>
    <m/>
    <n v="-2.9492236024844698"/>
    <n v="-1.125"/>
    <n v="-3.6956521739130399"/>
    <n v="-0.8"/>
    <n v="0"/>
    <n v="1.6"/>
    <n v="1.0714285714285701"/>
  </r>
  <r>
    <x v="4"/>
    <s v="Nacho Cheese Doritos¬Æ Locos Taco Supreme¬Æ"/>
    <n v="190"/>
    <n v="100"/>
    <n v="11"/>
    <n v="4.5"/>
    <n v="0"/>
    <n v="30"/>
    <n v="380"/>
    <n v="15"/>
    <n v="3"/>
    <n v="2"/>
    <n v="8"/>
    <m/>
    <n v="4.2105263157894699"/>
    <n v="0"/>
    <n v="0"/>
    <m/>
    <n v="-3.3840062111801199"/>
    <n v="-1.125"/>
    <n v="-4.1304347826086998"/>
    <n v="-0.8"/>
    <n v="0"/>
    <n v="1.6"/>
    <n v="1.0714285714285701"/>
  </r>
  <r>
    <x v="4"/>
    <s v="Hash Brown Toasted Breakfast Burrito ‚Äì Steak"/>
    <n v="570"/>
    <n v="270"/>
    <n v="30"/>
    <n v="9"/>
    <n v="0"/>
    <n v="140"/>
    <n v="1290"/>
    <n v="50"/>
    <n v="4"/>
    <n v="2"/>
    <n v="24"/>
    <m/>
    <n v="4.2105263157894699"/>
    <n v="1"/>
    <n v="0"/>
    <m/>
    <n v="-10.843167701863401"/>
    <n v="-2.25"/>
    <n v="-14.021739130434799"/>
    <n v="-0.8"/>
    <n v="0"/>
    <n v="4.8"/>
    <n v="1.4285714285714299"/>
  </r>
  <r>
    <x v="4"/>
    <s v="Burrito Supreme¬Æ ‚Äì Beef"/>
    <n v="390"/>
    <n v="130"/>
    <n v="14"/>
    <n v="6"/>
    <n v="0"/>
    <n v="25"/>
    <n v="1110"/>
    <n v="51"/>
    <n v="9"/>
    <n v="4"/>
    <n v="16"/>
    <m/>
    <n v="4.1025641025641004"/>
    <n v="1"/>
    <n v="0"/>
    <m/>
    <n v="-8.7509316770186292"/>
    <n v="-1.5"/>
    <n v="-12.0652173913043"/>
    <n v="-1.6"/>
    <n v="0"/>
    <n v="3.2"/>
    <n v="3.21428571428571"/>
  </r>
  <r>
    <x v="4"/>
    <s v="Cheese Quesadilla"/>
    <n v="470"/>
    <n v="230"/>
    <n v="25"/>
    <n v="12"/>
    <n v="0.5"/>
    <n v="50"/>
    <n v="990"/>
    <n v="37"/>
    <n v="4"/>
    <n v="2"/>
    <n v="19"/>
    <m/>
    <n v="4.0425531914893602"/>
    <n v="1"/>
    <n v="0"/>
    <m/>
    <n v="-9.3327981366459607"/>
    <n v="-3"/>
    <n v="-10.7608695652174"/>
    <n v="-0.8"/>
    <n v="-5.0000000000000001E-4"/>
    <n v="3.8"/>
    <n v="1.4285714285714299"/>
  </r>
  <r>
    <x v="4"/>
    <s v="Quesarito ‚Äì Chicken"/>
    <n v="620"/>
    <n v="270"/>
    <n v="29"/>
    <n v="11"/>
    <n v="0"/>
    <n v="65"/>
    <n v="1390"/>
    <n v="66"/>
    <n v="4"/>
    <n v="4"/>
    <n v="25"/>
    <m/>
    <n v="4.0322580645161299"/>
    <n v="1"/>
    <n v="0"/>
    <m/>
    <n v="-13.030124223602501"/>
    <n v="-2.75"/>
    <n v="-15.1086956521739"/>
    <n v="-1.6"/>
    <n v="0"/>
    <n v="5"/>
    <n v="1.4285714285714299"/>
  </r>
  <r>
    <x v="4"/>
    <s v="Loaded Nacho Taco"/>
    <n v="250"/>
    <n v="110"/>
    <n v="12"/>
    <n v="4.5"/>
    <n v="0"/>
    <n v="25"/>
    <n v="610"/>
    <n v="24"/>
    <n v="3"/>
    <n v="2"/>
    <n v="10"/>
    <m/>
    <n v="4"/>
    <n v="1"/>
    <n v="0"/>
    <m/>
    <n v="-5.4840062111801204"/>
    <n v="-1.125"/>
    <n v="-6.6304347826086998"/>
    <n v="-0.8"/>
    <n v="0"/>
    <n v="2"/>
    <n v="1.0714285714285701"/>
  </r>
  <r>
    <x v="4"/>
    <s v="Cheesy Gordita Crunch"/>
    <n v="500"/>
    <n v="250"/>
    <n v="28"/>
    <n v="10"/>
    <n v="0.5"/>
    <n v="55"/>
    <n v="850"/>
    <n v="41"/>
    <n v="5"/>
    <n v="4"/>
    <n v="20"/>
    <m/>
    <n v="4"/>
    <n v="1"/>
    <n v="0"/>
    <m/>
    <n v="-7.5539161490683204"/>
    <n v="-2.5"/>
    <n v="-9.2391304347826093"/>
    <n v="-1.6"/>
    <n v="-5.0000000000000001E-4"/>
    <n v="4"/>
    <n v="1.78571428571429"/>
  </r>
  <r>
    <x v="4"/>
    <s v="Loaded Nacho Taco (New)"/>
    <n v="250"/>
    <n v="110"/>
    <n v="12"/>
    <n v="4.5"/>
    <n v="0"/>
    <n v="25"/>
    <n v="610"/>
    <n v="24"/>
    <n v="3"/>
    <n v="2"/>
    <n v="10"/>
    <m/>
    <n v="4"/>
    <n v="1"/>
    <n v="0"/>
    <m/>
    <n v="-5.4840062111801204"/>
    <n v="-1.125"/>
    <n v="-6.6304347826086998"/>
    <n v="-0.8"/>
    <n v="0"/>
    <n v="2"/>
    <n v="1.0714285714285701"/>
  </r>
  <r>
    <x v="4"/>
    <s v="Black Beans (V)"/>
    <n v="50"/>
    <n v="10"/>
    <n v="1"/>
    <n v="0"/>
    <n v="0"/>
    <n v="0"/>
    <n v="135"/>
    <n v="8"/>
    <n v="3"/>
    <n v="0"/>
    <n v="2"/>
    <m/>
    <n v="4"/>
    <n v="0"/>
    <n v="0"/>
    <m/>
    <n v="4.0372670807451404E-3"/>
    <n v="0"/>
    <n v="-1.4673913043478299"/>
    <n v="0"/>
    <n v="0"/>
    <n v="0.4"/>
    <n v="1.0714285714285701"/>
  </r>
  <r>
    <x v="4"/>
    <s v="Loaded Nacho Taco ‚Äì Value Menu"/>
    <n v="250"/>
    <n v="110"/>
    <n v="12"/>
    <n v="4.5"/>
    <n v="0"/>
    <n v="25"/>
    <n v="610"/>
    <n v="24"/>
    <n v="3"/>
    <n v="2"/>
    <n v="10"/>
    <m/>
    <n v="4"/>
    <n v="1"/>
    <n v="0"/>
    <m/>
    <n v="-5.4840062111801204"/>
    <n v="-1.125"/>
    <n v="-6.6304347826086998"/>
    <n v="-0.8"/>
    <n v="0"/>
    <n v="2"/>
    <n v="1.0714285714285701"/>
  </r>
  <r>
    <x v="4"/>
    <s v="Grande Toasted Breakfast Burrito ‚Äì Sausage"/>
    <n v="560"/>
    <n v="280"/>
    <n v="31"/>
    <n v="10"/>
    <n v="0"/>
    <n v="230"/>
    <n v="1150"/>
    <n v="49"/>
    <n v="4"/>
    <n v="3"/>
    <n v="22"/>
    <m/>
    <n v="3.9285714285714302"/>
    <n v="1"/>
    <n v="0"/>
    <m/>
    <n v="-10.3714285714286"/>
    <n v="-2.5"/>
    <n v="-12.5"/>
    <n v="-1.2"/>
    <n v="0"/>
    <n v="4.4000000000000004"/>
    <n v="1.4285714285714299"/>
  </r>
  <r>
    <x v="4"/>
    <s v="Quesarito ‚Äì Steak"/>
    <n v="630"/>
    <n v="270"/>
    <n v="30"/>
    <n v="11"/>
    <n v="0"/>
    <n v="60"/>
    <n v="1370"/>
    <n v="66"/>
    <n v="4"/>
    <n v="4"/>
    <n v="24"/>
    <m/>
    <n v="3.8095238095238102"/>
    <n v="1"/>
    <n v="0"/>
    <m/>
    <n v="-13.012732919254701"/>
    <n v="-2.75"/>
    <n v="-14.8913043478261"/>
    <n v="-1.6"/>
    <n v="0"/>
    <n v="4.8"/>
    <n v="1.4285714285714299"/>
  </r>
  <r>
    <x v="4"/>
    <s v="Chalupa Supreme¬Æ ‚Äì Beef"/>
    <n v="350"/>
    <n v="170"/>
    <n v="18"/>
    <n v="5"/>
    <n v="0"/>
    <n v="25"/>
    <n v="560"/>
    <n v="33"/>
    <n v="4"/>
    <n v="3"/>
    <n v="13"/>
    <m/>
    <n v="3.71428571428571"/>
    <n v="1"/>
    <n v="0"/>
    <m/>
    <n v="-4.5083850931676999"/>
    <n v="-1.25"/>
    <n v="-6.0869565217391299"/>
    <n v="-1.2"/>
    <n v="0"/>
    <n v="2.6"/>
    <n v="1.4285714285714299"/>
  </r>
  <r>
    <x v="4"/>
    <s v="Bean Burrito"/>
    <n v="350"/>
    <n v="80"/>
    <n v="9"/>
    <n v="3.5"/>
    <n v="0"/>
    <n v="5"/>
    <n v="1000"/>
    <n v="54"/>
    <n v="11"/>
    <n v="3"/>
    <n v="13"/>
    <m/>
    <n v="3.71428571428571"/>
    <n v="1"/>
    <n v="0"/>
    <m/>
    <n v="-6.4159937888198799"/>
    <n v="-0.875"/>
    <n v="-10.869565217391299"/>
    <n v="-1.2"/>
    <n v="0"/>
    <n v="2.6"/>
    <n v="3.9285714285714302"/>
  </r>
  <r>
    <x v="4"/>
    <s v="Cheesy Toasted Breakfast Burrito ‚Äì Bacon"/>
    <n v="350"/>
    <n v="150"/>
    <n v="16"/>
    <n v="4.5"/>
    <n v="0"/>
    <n v="115"/>
    <n v="870"/>
    <n v="36"/>
    <n v="2"/>
    <n v="3"/>
    <n v="13"/>
    <m/>
    <n v="3.71428571428571"/>
    <n v="1"/>
    <n v="0"/>
    <m/>
    <n v="-8.4672360248447198"/>
    <n v="-1.125"/>
    <n v="-9.4565217391304301"/>
    <n v="-1.2"/>
    <n v="0"/>
    <n v="2.6"/>
    <n v="0.71428571428571397"/>
  </r>
  <r>
    <x v="4"/>
    <s v="Hash Brown Toasted Breakfast Burrito ‚Äì Bacon"/>
    <n v="570"/>
    <n v="300"/>
    <n v="33"/>
    <n v="10"/>
    <n v="0"/>
    <n v="135"/>
    <n v="1270"/>
    <n v="49"/>
    <n v="4"/>
    <n v="2"/>
    <n v="21"/>
    <m/>
    <n v="3.6842105263157898"/>
    <n v="1"/>
    <n v="0"/>
    <m/>
    <n v="-11.475776397515499"/>
    <n v="-2.5"/>
    <n v="-13.804347826087"/>
    <n v="-0.8"/>
    <n v="0"/>
    <n v="4.2"/>
    <n v="1.4285714285714299"/>
  </r>
  <r>
    <x v="4"/>
    <s v="Beefy 5-Layer Burrito"/>
    <n v="490"/>
    <n v="160"/>
    <n v="18"/>
    <n v="7"/>
    <n v="0"/>
    <n v="30"/>
    <n v="1250"/>
    <n v="63"/>
    <n v="9"/>
    <n v="5"/>
    <n v="18"/>
    <m/>
    <n v="3.6734693877550999"/>
    <n v="1"/>
    <n v="0"/>
    <m/>
    <n v="-10.5226708074534"/>
    <n v="-1.75"/>
    <n v="-13.586956521739101"/>
    <n v="-2"/>
    <n v="0"/>
    <n v="3.6"/>
    <n v="3.21428571428571"/>
  </r>
  <r>
    <x v="4"/>
    <s v="Breakfast Crunchwrap ‚Äì Steak"/>
    <n v="660"/>
    <n v="350"/>
    <n v="38"/>
    <n v="12"/>
    <n v="0"/>
    <n v="145"/>
    <n v="1300"/>
    <n v="51"/>
    <n v="4"/>
    <n v="3"/>
    <n v="24"/>
    <m/>
    <n v="3.6363636363636398"/>
    <n v="1"/>
    <n v="0"/>
    <m/>
    <n v="-12.101863354037301"/>
    <n v="-3"/>
    <n v="-14.130434782608701"/>
    <n v="-1.2"/>
    <n v="0"/>
    <n v="4.8"/>
    <n v="1.4285714285714299"/>
  </r>
  <r>
    <x v="4"/>
    <s v="Beef Quesarito"/>
    <n v="650"/>
    <n v="300"/>
    <n v="33"/>
    <n v="12"/>
    <n v="0.5"/>
    <n v="55"/>
    <n v="1390"/>
    <n v="67"/>
    <n v="6"/>
    <n v="5"/>
    <n v="22"/>
    <m/>
    <n v="3.3846153846153801"/>
    <n v="1"/>
    <n v="0"/>
    <m/>
    <n v="-13.5663385093168"/>
    <n v="-3"/>
    <n v="-15.1086956521739"/>
    <n v="-2"/>
    <n v="-5.0000000000000001E-4"/>
    <n v="4.4000000000000004"/>
    <n v="2.1428571428571401"/>
  </r>
  <r>
    <x v="4"/>
    <s v="Cheesy Toasted Breakfast Burrito ‚Äì Sausage"/>
    <n v="340"/>
    <n v="160"/>
    <n v="17"/>
    <n v="5"/>
    <n v="0"/>
    <n v="110"/>
    <n v="730"/>
    <n v="36"/>
    <n v="2"/>
    <n v="3"/>
    <n v="11"/>
    <m/>
    <n v="3.2352941176470602"/>
    <n v="1"/>
    <n v="0"/>
    <m/>
    <n v="-7.4704968944099397"/>
    <n v="-1.25"/>
    <n v="-7.9347826086956497"/>
    <n v="-1.2"/>
    <n v="0"/>
    <n v="2.2000000000000002"/>
    <n v="0.71428571428571397"/>
  </r>
  <r>
    <x v="4"/>
    <s v="Hash Brown Toasted Breakfast Burrito ‚Äì Sausage"/>
    <n v="570"/>
    <n v="300"/>
    <n v="34"/>
    <n v="10"/>
    <n v="0"/>
    <n v="130"/>
    <n v="1130"/>
    <n v="49"/>
    <n v="4"/>
    <n v="2"/>
    <n v="18"/>
    <m/>
    <n v="3.1578947368421102"/>
    <n v="1"/>
    <n v="0"/>
    <m/>
    <n v="-10.5540372670807"/>
    <n v="-2.5"/>
    <n v="-12.2826086956522"/>
    <n v="-0.8"/>
    <n v="0"/>
    <n v="3.6"/>
    <n v="1.4285714285714299"/>
  </r>
  <r>
    <x v="4"/>
    <s v="Breakfast Crunchwrap ‚Äì Bacon"/>
    <n v="670"/>
    <n v="370"/>
    <n v="41"/>
    <n v="12"/>
    <n v="0"/>
    <n v="140"/>
    <n v="1270"/>
    <n v="50"/>
    <n v="4"/>
    <n v="3"/>
    <n v="21"/>
    <m/>
    <n v="3.1343283582089501"/>
    <n v="1"/>
    <n v="0"/>
    <m/>
    <n v="-12.3757763975155"/>
    <n v="-3"/>
    <n v="-13.804347826087"/>
    <n v="-1.2"/>
    <n v="0"/>
    <n v="4.2"/>
    <n v="1.4285714285714299"/>
  </r>
  <r>
    <x v="4"/>
    <s v="Black Bean Chalupa"/>
    <n v="330"/>
    <n v="140"/>
    <n v="15"/>
    <n v="3"/>
    <n v="0"/>
    <n v="10"/>
    <n v="430"/>
    <n v="39"/>
    <n v="5"/>
    <n v="3"/>
    <n v="10"/>
    <m/>
    <n v="3.0303030303030298"/>
    <n v="0"/>
    <n v="0"/>
    <m/>
    <n v="-2.83819875776397"/>
    <n v="-0.75"/>
    <n v="-4.6739130434782599"/>
    <n v="-1.2"/>
    <n v="0"/>
    <n v="2"/>
    <n v="1.78571428571429"/>
  </r>
  <r>
    <x v="4"/>
    <s v="Crunchwrap Supreme¬Æ ‚Äì Specialties"/>
    <n v="530"/>
    <n v="190"/>
    <n v="21"/>
    <n v="6"/>
    <n v="0"/>
    <n v="25"/>
    <n v="1200"/>
    <n v="71"/>
    <n v="6"/>
    <n v="6"/>
    <n v="16"/>
    <m/>
    <n v="3.0188679245282999"/>
    <n v="1"/>
    <n v="0"/>
    <m/>
    <n v="-11.6006211180124"/>
    <n v="-1.5"/>
    <n v="-13.0434782608696"/>
    <n v="-2.4"/>
    <n v="0"/>
    <n v="3.2"/>
    <n v="2.1428571428571401"/>
  </r>
  <r>
    <x v="4"/>
    <s v="Black Bean Quesarito"/>
    <n v="630"/>
    <n v="270"/>
    <n v="29"/>
    <n v="10"/>
    <n v="0"/>
    <n v="35"/>
    <n v="1260"/>
    <n v="73"/>
    <n v="7"/>
    <n v="5"/>
    <n v="19"/>
    <m/>
    <n v="3.0158730158730198"/>
    <n v="1"/>
    <n v="0"/>
    <m/>
    <n v="-11.895652173913"/>
    <n v="-2.5"/>
    <n v="-13.695652173913"/>
    <n v="-2"/>
    <n v="0"/>
    <n v="3.8"/>
    <n v="2.5"/>
  </r>
  <r>
    <x v="4"/>
    <s v="Cheesy Toasted Breakfast Burrito ‚Äì Fiesta Potato (V)"/>
    <n v="340"/>
    <n v="130"/>
    <n v="14"/>
    <n v="3.5"/>
    <n v="0"/>
    <n v="100"/>
    <n v="750"/>
    <n v="43"/>
    <n v="3"/>
    <n v="3"/>
    <n v="10"/>
    <m/>
    <n v="2.9411764705882399"/>
    <n v="1"/>
    <n v="0"/>
    <m/>
    <n v="-7.1557453416149102"/>
    <n v="-0.875"/>
    <n v="-8.1521739130434803"/>
    <n v="-1.2"/>
    <n v="0"/>
    <n v="2"/>
    <n v="1.0714285714285701"/>
  </r>
  <r>
    <x v="4"/>
    <s v="Breakfast Crunchwrap ‚Äì Sausage"/>
    <n v="720"/>
    <n v="430"/>
    <n v="47"/>
    <n v="15"/>
    <n v="0"/>
    <n v="145"/>
    <n v="1210"/>
    <n v="51"/>
    <n v="4"/>
    <n v="3"/>
    <n v="21"/>
    <m/>
    <n v="2.9166666666666701"/>
    <n v="1"/>
    <n v="0"/>
    <m/>
    <n v="-12.473602484472"/>
    <n v="-3.75"/>
    <n v="-13.1521739130435"/>
    <n v="-1.2"/>
    <n v="0"/>
    <n v="4.2"/>
    <n v="1.4285714285714299"/>
  </r>
  <r>
    <x v="4"/>
    <s v="Veggie Power Menu Bowl ‚Äì Specialties"/>
    <n v="430"/>
    <n v="160"/>
    <n v="17"/>
    <n v="5"/>
    <n v="0"/>
    <n v="20"/>
    <n v="810"/>
    <n v="57"/>
    <n v="10"/>
    <n v="2"/>
    <n v="12"/>
    <m/>
    <n v="2.7906976744185998"/>
    <n v="1"/>
    <n v="0"/>
    <m/>
    <n v="-4.8829192546583897"/>
    <n v="-1.25"/>
    <n v="-8.8043478260869605"/>
    <n v="-0.8"/>
    <n v="0"/>
    <n v="2.4"/>
    <n v="3.5714285714285698"/>
  </r>
  <r>
    <x v="4"/>
    <s v="Beef Burrito ‚Äì Value Menu"/>
    <n v="430"/>
    <n v="170"/>
    <n v="19"/>
    <n v="5"/>
    <n v="0"/>
    <n v="20"/>
    <n v="970"/>
    <n v="51"/>
    <n v="4"/>
    <n v="3"/>
    <n v="12"/>
    <m/>
    <n v="2.7906976744185998"/>
    <n v="1"/>
    <n v="0"/>
    <m/>
    <n v="-9.16490683229814"/>
    <n v="-1.25"/>
    <n v="-10.5434782608696"/>
    <n v="-1.2"/>
    <n v="0"/>
    <n v="2.4"/>
    <n v="1.4285714285714299"/>
  </r>
  <r>
    <x v="4"/>
    <s v="Power Menu Bowl ‚Äì Veggie (V)"/>
    <n v="430"/>
    <n v="160"/>
    <n v="17"/>
    <n v="5"/>
    <n v="0"/>
    <n v="20"/>
    <n v="810"/>
    <n v="57"/>
    <n v="10"/>
    <n v="2"/>
    <n v="12"/>
    <m/>
    <n v="2.7906976744185998"/>
    <n v="1"/>
    <n v="0"/>
    <m/>
    <n v="-4.8829192546583897"/>
    <n v="-1.25"/>
    <n v="-8.8043478260869605"/>
    <n v="-0.8"/>
    <n v="0"/>
    <n v="2.4"/>
    <n v="3.5714285714285698"/>
  </r>
  <r>
    <x v="4"/>
    <s v="Nachos BellGrande¬Æ ‚Äì Steak"/>
    <n v="720"/>
    <n v="320"/>
    <n v="36"/>
    <n v="6"/>
    <n v="0"/>
    <n v="30"/>
    <n v="1030"/>
    <n v="81"/>
    <n v="14"/>
    <n v="5"/>
    <n v="19"/>
    <m/>
    <n v="2.6388888888888902"/>
    <n v="1"/>
    <n v="0"/>
    <m/>
    <n v="-5.8956521739130396"/>
    <n v="-1.5"/>
    <n v="-11.195652173913"/>
    <n v="-2"/>
    <n v="0"/>
    <n v="3.8"/>
    <n v="5"/>
  </r>
  <r>
    <x v="4"/>
    <s v="Black Bean Crunchwrap Supreme"/>
    <n v="510"/>
    <n v="160"/>
    <n v="17"/>
    <n v="4.5"/>
    <n v="0"/>
    <n v="5"/>
    <n v="1080"/>
    <n v="77"/>
    <n v="8"/>
    <n v="6"/>
    <n v="13"/>
    <m/>
    <n v="2.5490196078431402"/>
    <n v="1"/>
    <n v="0"/>
    <m/>
    <n v="-9.8069875776397506"/>
    <n v="-1.125"/>
    <n v="-11.7391304347826"/>
    <n v="-2.4"/>
    <n v="0"/>
    <n v="2.6"/>
    <n v="2.8571428571428599"/>
  </r>
  <r>
    <x v="4"/>
    <s v="Cheesy Bean &amp; Rice Burrito"/>
    <n v="420"/>
    <n v="140"/>
    <n v="16"/>
    <n v="4"/>
    <n v="0"/>
    <n v="0"/>
    <n v="880"/>
    <n v="56"/>
    <n v="7"/>
    <n v="3"/>
    <n v="10"/>
    <m/>
    <n v="2.38095238095238"/>
    <n v="1"/>
    <n v="0"/>
    <m/>
    <n v="-7.2652173913043496"/>
    <n v="-1"/>
    <n v="-9.5652173913043494"/>
    <n v="-1.2"/>
    <n v="0"/>
    <n v="2"/>
    <n v="2.5"/>
  </r>
  <r>
    <x v="4"/>
    <s v="Black Beans &amp; Rice"/>
    <n v="170"/>
    <n v="30"/>
    <n v="3.5"/>
    <n v="0"/>
    <n v="0"/>
    <n v="0"/>
    <n v="320"/>
    <n v="31"/>
    <n v="4"/>
    <n v="0"/>
    <n v="4"/>
    <m/>
    <n v="2.3529411764705901"/>
    <n v="0"/>
    <n v="0"/>
    <m/>
    <n v="-1.24968944099379"/>
    <n v="0"/>
    <n v="-3.47826086956522"/>
    <n v="0"/>
    <n v="0"/>
    <n v="0.8"/>
    <n v="1.4285714285714299"/>
  </r>
  <r>
    <x v="4"/>
    <s v="Nachos BellGrande¬Æ ‚Äì Beef"/>
    <n v="740"/>
    <n v="340"/>
    <n v="38"/>
    <n v="7"/>
    <n v="0"/>
    <n v="25"/>
    <n v="1050"/>
    <n v="82"/>
    <n v="15"/>
    <n v="5"/>
    <n v="16"/>
    <m/>
    <n v="2.1621621621621601"/>
    <n v="1"/>
    <n v="0"/>
    <m/>
    <n v="-6.6059006211180096"/>
    <n v="-1.75"/>
    <n v="-11.413043478260899"/>
    <n v="-2"/>
    <n v="0"/>
    <n v="3.2"/>
    <n v="5.3571428571428603"/>
  </r>
  <r>
    <x v="4"/>
    <s v="Nacho Fries BellGrande¬Æ (New)"/>
    <n v="710"/>
    <n v="360"/>
    <n v="40"/>
    <n v="6"/>
    <n v="0"/>
    <n v="30"/>
    <n v="1440"/>
    <n v="73"/>
    <n v="10"/>
    <n v="4"/>
    <n v="13"/>
    <m/>
    <n v="1.83098591549296"/>
    <n v="1"/>
    <n v="0"/>
    <m/>
    <n v="-12.5807453416149"/>
    <n v="-1.5"/>
    <n v="-15.6521739130435"/>
    <n v="-1.6"/>
    <n v="0"/>
    <n v="2.6"/>
    <n v="3.5714285714285698"/>
  </r>
  <r>
    <x v="4"/>
    <s v="Orange Juice"/>
    <n v="140"/>
    <n v="0"/>
    <n v="0"/>
    <n v="0"/>
    <n v="0"/>
    <n v="0"/>
    <n v="20"/>
    <n v="33"/>
    <n v="0"/>
    <n v="28"/>
    <n v="2"/>
    <m/>
    <n v="1.4285714285714299"/>
    <n v="0"/>
    <n v="0"/>
    <m/>
    <n v="-11.0173913043478"/>
    <n v="0"/>
    <n v="-0.217391304347826"/>
    <n v="-11.2"/>
    <n v="0"/>
    <n v="0.4"/>
    <n v="0"/>
  </r>
  <r>
    <x v="4"/>
    <s v="Nacho Fries"/>
    <n v="320"/>
    <n v="160"/>
    <n v="18"/>
    <n v="1.5"/>
    <n v="0"/>
    <n v="0"/>
    <n v="630"/>
    <n v="35"/>
    <n v="4"/>
    <n v="2"/>
    <n v="4"/>
    <m/>
    <n v="1.25"/>
    <n v="1"/>
    <n v="0"/>
    <m/>
    <n v="-5.79425465838509"/>
    <n v="-0.375"/>
    <n v="-6.8478260869565197"/>
    <n v="-0.8"/>
    <n v="0"/>
    <n v="0.8"/>
    <n v="1.4285714285714299"/>
  </r>
  <r>
    <x v="4"/>
    <s v="Cinnabon¬Æ Delights‚Ñ¢ (2 Pk) (V)"/>
    <n v="160"/>
    <n v="80"/>
    <n v="9"/>
    <n v="2"/>
    <n v="0"/>
    <n v="5"/>
    <n v="80"/>
    <n v="17"/>
    <n v="0"/>
    <n v="10"/>
    <n v="2"/>
    <m/>
    <n v="1.25"/>
    <n v="0"/>
    <n v="0"/>
    <m/>
    <n v="-4.9695652173912999"/>
    <n v="-0.5"/>
    <n v="-0.86956521739130399"/>
    <n v="-4"/>
    <n v="0"/>
    <n v="0.4"/>
    <n v="0"/>
  </r>
  <r>
    <x v="4"/>
    <s v="Cinnabon¬Æ Delights‚Ñ¢ (12 Pk ‚Äì Serves 4) (V)"/>
    <n v="930"/>
    <n v="480"/>
    <n v="53"/>
    <n v="13"/>
    <n v="2"/>
    <n v="40"/>
    <n v="480"/>
    <n v="104"/>
    <n v="3"/>
    <n v="59"/>
    <n v="9"/>
    <m/>
    <n v="0.967741935483871"/>
    <n v="1"/>
    <n v="0"/>
    <m/>
    <n v="-29.197962732919301"/>
    <n v="-3.25"/>
    <n v="-5.2173913043478297"/>
    <n v="-23.6"/>
    <n v="-2E-3"/>
    <n v="1.8"/>
    <n v="1.0714285714285701"/>
  </r>
  <r>
    <x v="4"/>
    <s v="Chips and Nacho Cheese Sauce"/>
    <n v="220"/>
    <n v="120"/>
    <n v="13"/>
    <n v="1.5"/>
    <n v="0"/>
    <n v="0"/>
    <n v="250"/>
    <n v="24"/>
    <n v="2"/>
    <n v="2"/>
    <n v="2"/>
    <m/>
    <n v="0.90909090909090895"/>
    <n v="0"/>
    <n v="0"/>
    <m/>
    <n v="-2.7781055900621099"/>
    <n v="-0.375"/>
    <n v="-2.7173913043478302"/>
    <n v="-0.8"/>
    <n v="0"/>
    <n v="0.4"/>
    <n v="0.71428571428571397"/>
  </r>
  <r>
    <x v="4"/>
    <s v="Hash Brown"/>
    <n v="160"/>
    <n v="100"/>
    <n v="12"/>
    <n v="1"/>
    <n v="0"/>
    <n v="0"/>
    <n v="270"/>
    <n v="13"/>
    <n v="2"/>
    <n v="0"/>
    <n v="1"/>
    <m/>
    <n v="0.625"/>
    <n v="0"/>
    <n v="0"/>
    <m/>
    <n v="-2.27049689440994"/>
    <n v="-0.25"/>
    <n v="-2.9347826086956501"/>
    <n v="0"/>
    <n v="0"/>
    <n v="0.2"/>
    <n v="0.71428571428571397"/>
  </r>
  <r>
    <x v="4"/>
    <s v="Hash Brown (V)"/>
    <n v="160"/>
    <n v="100"/>
    <n v="12"/>
    <n v="1"/>
    <n v="0"/>
    <n v="0"/>
    <n v="270"/>
    <n v="13"/>
    <n v="2"/>
    <n v="0"/>
    <n v="1"/>
    <m/>
    <n v="0.625"/>
    <n v="0"/>
    <n v="0"/>
    <m/>
    <n v="-2.27049689440994"/>
    <n v="-0.25"/>
    <n v="-2.9347826086956501"/>
    <n v="0"/>
    <n v="0"/>
    <n v="0.2"/>
    <n v="0.71428571428571397"/>
  </r>
  <r>
    <x v="4"/>
    <s v="Cinnamon Twists"/>
    <n v="170"/>
    <n v="50"/>
    <n v="6"/>
    <n v="0"/>
    <n v="0"/>
    <n v="0"/>
    <n v="210"/>
    <n v="27"/>
    <n v="0"/>
    <n v="13"/>
    <n v="1"/>
    <m/>
    <n v="0.58823529411764697"/>
    <n v="0"/>
    <n v="0"/>
    <m/>
    <n v="-7.2826086956521703"/>
    <n v="0"/>
    <n v="-2.2826086956521698"/>
    <n v="-5.2"/>
    <n v="0"/>
    <n v="0.2"/>
    <n v="0"/>
  </r>
  <r>
    <x v="4"/>
    <s v="Blue Raspberry Freeze‚Ñ¢ (16 oz)"/>
    <n v="120"/>
    <n v="0"/>
    <n v="0"/>
    <n v="0"/>
    <n v="0"/>
    <n v="0"/>
    <n v="35"/>
    <n v="30"/>
    <n v="0"/>
    <n v="30"/>
    <n v="0"/>
    <m/>
    <n v="0"/>
    <n v="0"/>
    <n v="0"/>
    <m/>
    <n v="-12.380434782608701"/>
    <n v="0"/>
    <n v="-0.38043478260869601"/>
    <n v="-12"/>
    <n v="0"/>
    <n v="0"/>
    <n v="0"/>
  </r>
  <r>
    <x v="4"/>
    <s v="Blue Raspberry Freeze‚Ñ¢ (20 oz)"/>
    <n v="150"/>
    <n v="0"/>
    <n v="0"/>
    <n v="0"/>
    <n v="0"/>
    <n v="0"/>
    <n v="40"/>
    <n v="38"/>
    <n v="0"/>
    <n v="38"/>
    <n v="0"/>
    <m/>
    <n v="0"/>
    <n v="0"/>
    <n v="0"/>
    <m/>
    <n v="-15.6347826086957"/>
    <n v="0"/>
    <n v="-0.434782608695652"/>
    <n v="-15.2"/>
    <n v="0"/>
    <n v="0"/>
    <n v="0"/>
  </r>
  <r>
    <x v="4"/>
    <s v="Midnight Berry Freeze‚Ñ¢ (16 oz)"/>
    <n v="140"/>
    <n v="0"/>
    <n v="0"/>
    <n v="0"/>
    <n v="0"/>
    <n v="0"/>
    <n v="35"/>
    <n v="35"/>
    <n v="0"/>
    <n v="34"/>
    <n v="0"/>
    <m/>
    <n v="0"/>
    <n v="0"/>
    <n v="0"/>
    <m/>
    <n v="-13.9804347826087"/>
    <n v="0"/>
    <n v="-0.38043478260869601"/>
    <n v="-13.6"/>
    <n v="0"/>
    <n v="0"/>
    <n v="0"/>
  </r>
  <r>
    <x v="4"/>
    <s v="Midnight Berry Freeze‚Ñ¢ (20 oz)"/>
    <n v="170"/>
    <n v="0"/>
    <n v="0"/>
    <n v="0"/>
    <n v="0"/>
    <n v="0"/>
    <n v="40"/>
    <n v="43"/>
    <n v="0"/>
    <n v="42"/>
    <n v="0"/>
    <m/>
    <n v="0"/>
    <n v="0"/>
    <n v="0"/>
    <m/>
    <n v="-17.234782608695699"/>
    <n v="0"/>
    <n v="-0.434782608695652"/>
    <n v="-16.8"/>
    <n v="0"/>
    <n v="0"/>
    <n v="0"/>
  </r>
  <r>
    <x v="4"/>
    <s v="Blue Raspberry Freeze‚Ñ¢ (16 oz) (New)"/>
    <n v="120"/>
    <n v="0"/>
    <n v="0"/>
    <n v="0"/>
    <n v="0"/>
    <n v="0"/>
    <n v="35"/>
    <n v="30"/>
    <n v="0"/>
    <n v="30"/>
    <n v="0"/>
    <m/>
    <n v="0"/>
    <n v="0"/>
    <n v="0"/>
    <m/>
    <n v="-12.380434782608701"/>
    <n v="0"/>
    <n v="-0.38043478260869601"/>
    <n v="-12"/>
    <n v="0"/>
    <n v="0"/>
    <n v="0"/>
  </r>
  <r>
    <x v="4"/>
    <s v="Blue Raspberry Freeze‚Ñ¢ (20 oz) (New)"/>
    <n v="150"/>
    <n v="0"/>
    <n v="0"/>
    <n v="0"/>
    <n v="0"/>
    <n v="0"/>
    <n v="40"/>
    <n v="38"/>
    <n v="0"/>
    <n v="38"/>
    <n v="0"/>
    <m/>
    <n v="0"/>
    <n v="0"/>
    <n v="0"/>
    <m/>
    <n v="-15.6347826086957"/>
    <n v="0"/>
    <n v="-0.434782608695652"/>
    <n v="-15.2"/>
    <n v="0"/>
    <n v="0"/>
    <n v="0"/>
  </r>
  <r>
    <x v="4"/>
    <s v="Dragon Fruit Freeze (16 oz)"/>
    <n v="190"/>
    <n v="0"/>
    <n v="0"/>
    <n v="0"/>
    <n v="0"/>
    <n v="0"/>
    <n v="50"/>
    <n v="49"/>
    <n v="0"/>
    <n v="47"/>
    <n v="0"/>
    <m/>
    <n v="0"/>
    <n v="0"/>
    <n v="0"/>
    <m/>
    <n v="-19.343478260869599"/>
    <n v="0"/>
    <n v="-0.54347826086956497"/>
    <n v="-18.8"/>
    <n v="0"/>
    <n v="0"/>
    <n v="0"/>
  </r>
  <r>
    <x v="4"/>
    <s v="Dragon Fruit Freeze (20 oz)"/>
    <n v="230"/>
    <n v="0"/>
    <n v="0"/>
    <n v="0"/>
    <n v="0"/>
    <n v="0"/>
    <n v="60"/>
    <n v="59"/>
    <n v="0"/>
    <n v="57"/>
    <n v="0"/>
    <m/>
    <n v="0"/>
    <n v="0"/>
    <n v="0"/>
    <m/>
    <n v="-23.452173913043499"/>
    <n v="0"/>
    <n v="-0.65217391304347805"/>
    <n v="-22.8"/>
    <n v="0"/>
    <n v="0"/>
    <n v="0"/>
  </r>
  <r>
    <x v="4"/>
    <s v="Midnight Berry Freeze‚Ñ¢ (16 oz) (New)"/>
    <n v="140"/>
    <n v="0"/>
    <n v="0"/>
    <n v="0"/>
    <n v="0"/>
    <n v="0"/>
    <n v="35"/>
    <n v="35"/>
    <n v="0"/>
    <n v="34"/>
    <n v="0"/>
    <m/>
    <n v="0"/>
    <n v="0"/>
    <n v="0"/>
    <m/>
    <n v="-13.9804347826087"/>
    <n v="0"/>
    <n v="-0.38043478260869601"/>
    <n v="-13.6"/>
    <n v="0"/>
    <n v="0"/>
    <n v="0"/>
  </r>
  <r>
    <x v="4"/>
    <s v="Midnight Berry Freeze‚Ñ¢ (20 oz) (New)"/>
    <n v="170"/>
    <n v="0"/>
    <n v="0"/>
    <n v="0"/>
    <n v="0"/>
    <n v="0"/>
    <n v="40"/>
    <n v="43"/>
    <n v="0"/>
    <n v="42"/>
    <n v="0"/>
    <m/>
    <n v="0"/>
    <n v="0"/>
    <n v="0"/>
    <m/>
    <n v="-17.234782608695699"/>
    <n v="0"/>
    <n v="-0.434782608695652"/>
    <n v="-16.8"/>
    <n v="0"/>
    <n v="0"/>
    <n v="0"/>
  </r>
  <r>
    <x v="4"/>
    <s v="Mtn Dew¬Æ Baja Blast Freeze‚Ñ¢ (16 oz)"/>
    <n v="150"/>
    <n v="0"/>
    <n v="0"/>
    <n v="0"/>
    <n v="0"/>
    <n v="0"/>
    <n v="45"/>
    <n v="41"/>
    <n v="0"/>
    <n v="41"/>
    <n v="0"/>
    <m/>
    <n v="0"/>
    <n v="0"/>
    <n v="0"/>
    <m/>
    <n v="-16.889130434782601"/>
    <n v="0"/>
    <n v="-0.48913043478260898"/>
    <n v="-16.399999999999999"/>
    <n v="0"/>
    <n v="0"/>
    <n v="0"/>
  </r>
  <r>
    <x v="4"/>
    <s v="Mtn Dew¬Æ Baja Blast Freeze‚Ñ¢ (20 oz)"/>
    <n v="190"/>
    <n v="0"/>
    <n v="0"/>
    <n v="0"/>
    <n v="0"/>
    <n v="0"/>
    <n v="55"/>
    <n v="51"/>
    <n v="0"/>
    <n v="51"/>
    <n v="0"/>
    <m/>
    <n v="0"/>
    <n v="0"/>
    <n v="0"/>
    <m/>
    <n v="-20.997826086956501"/>
    <n v="0"/>
    <n v="-0.59782608695652195"/>
    <n v="-20.399999999999999"/>
    <n v="0"/>
    <n v="0"/>
    <n v="0"/>
  </r>
  <r>
    <x v="4"/>
    <s v="Wild Strawberry Freeze‚Ñ¢ (16 oz)"/>
    <n v="150"/>
    <n v="0"/>
    <n v="0"/>
    <n v="0"/>
    <n v="0"/>
    <n v="0"/>
    <n v="40"/>
    <n v="41"/>
    <n v="0"/>
    <n v="41"/>
    <n v="0"/>
    <m/>
    <n v="0"/>
    <n v="0"/>
    <n v="0"/>
    <m/>
    <n v="-16.834782608695701"/>
    <n v="0"/>
    <n v="-0.434782608695652"/>
    <n v="-16.399999999999999"/>
    <n v="0"/>
    <n v="0"/>
    <n v="0"/>
  </r>
  <r>
    <x v="4"/>
    <s v="Wild Strawberry Freeze‚Ñ¢ (20 oz)"/>
    <n v="190"/>
    <n v="0"/>
    <n v="0"/>
    <n v="0"/>
    <n v="0"/>
    <n v="0"/>
    <n v="55"/>
    <n v="51"/>
    <n v="0"/>
    <n v="51"/>
    <n v="0"/>
    <m/>
    <n v="0"/>
    <n v="0"/>
    <n v="0"/>
    <m/>
    <n v="-20.997826086956501"/>
    <n v="0"/>
    <n v="-0.59782608695652195"/>
    <n v="-20.399999999999999"/>
    <n v="0"/>
    <n v="0"/>
    <n v="0"/>
  </r>
  <r>
    <x v="5"/>
    <s v="Chili, Large"/>
    <n v="250"/>
    <n v="0"/>
    <n v="7"/>
    <n v="3"/>
    <n v="0.5"/>
    <n v="50"/>
    <n v="1170"/>
    <n v="23"/>
    <n v="5"/>
    <n v="9"/>
    <n v="23"/>
    <n v="239"/>
    <n v="9.1999999999999993"/>
    <n v="1"/>
    <n v="0"/>
    <m/>
    <n v="-10.682177018633499"/>
    <n v="-0.75"/>
    <n v="-12.7173913043478"/>
    <n v="-3.6"/>
    <n v="-5.0000000000000001E-4"/>
    <n v="4.5999999999999996"/>
    <n v="1.78571428571429"/>
  </r>
  <r>
    <x v="5"/>
    <s v="Grilled Chicken Sandwich"/>
    <n v="370"/>
    <n v="0"/>
    <n v="10"/>
    <n v="2"/>
    <n v="0"/>
    <n v="90"/>
    <n v="830"/>
    <n v="38"/>
    <n v="3"/>
    <n v="8"/>
    <n v="34"/>
    <n v="346"/>
    <n v="9.1891891891891895"/>
    <n v="1"/>
    <n v="0"/>
    <m/>
    <n v="-4.8503105590062097"/>
    <n v="-0.5"/>
    <n v="-9.0217391304347796"/>
    <n v="-3.2"/>
    <n v="0"/>
    <n v="6.8"/>
    <n v="1.0714285714285701"/>
  </r>
  <r>
    <x v="5"/>
    <s v="Berry Burst Chicken Salad, Full Size"/>
    <n v="460"/>
    <n v="0"/>
    <n v="17"/>
    <n v="4.5"/>
    <n v="0"/>
    <n v="105"/>
    <n v="1090"/>
    <n v="41"/>
    <n v="7"/>
    <n v="29"/>
    <n v="41"/>
    <n v="453"/>
    <n v="8.9130434782608692"/>
    <n v="1"/>
    <n v="0"/>
    <m/>
    <n v="-13.872826086956501"/>
    <n v="-1.125"/>
    <n v="-11.8478260869565"/>
    <n v="-11.6"/>
    <n v="0"/>
    <n v="8.1999999999999993"/>
    <n v="2.5"/>
  </r>
  <r>
    <x v="5"/>
    <s v="Chili, Small"/>
    <n v="170"/>
    <n v="0"/>
    <n v="5"/>
    <n v="2"/>
    <n v="0"/>
    <n v="35"/>
    <n v="780"/>
    <n v="16"/>
    <n v="4"/>
    <n v="6"/>
    <n v="15"/>
    <n v="163"/>
    <n v="8.8235294117647101"/>
    <n v="1"/>
    <n v="0"/>
    <m/>
    <n v="-6.9496894409937902"/>
    <n v="-0.5"/>
    <n v="-8.4782608695652204"/>
    <n v="-2.4"/>
    <n v="0"/>
    <n v="3"/>
    <n v="1.4285714285714299"/>
  </r>
  <r>
    <x v="5"/>
    <s v="Grilled Asiago Ranch Club"/>
    <n v="530"/>
    <n v="0"/>
    <n v="23"/>
    <n v="7"/>
    <n v="0"/>
    <n v="120"/>
    <n v="1220"/>
    <n v="36"/>
    <n v="3"/>
    <n v="6"/>
    <n v="43"/>
    <n v="500"/>
    <n v="8.1132075471698109"/>
    <n v="1"/>
    <n v="0"/>
    <m/>
    <n v="-7.7394409937888202"/>
    <n v="-1.75"/>
    <n v="-13.2608695652174"/>
    <n v="-2.4"/>
    <n v="0"/>
    <n v="8.6"/>
    <n v="1.0714285714285701"/>
  </r>
  <r>
    <x v="5"/>
    <s v="Berry Burst Chicken Salad, Half Size"/>
    <n v="290"/>
    <n v="0"/>
    <n v="13"/>
    <n v="2.5"/>
    <n v="0"/>
    <n v="50"/>
    <n v="570"/>
    <n v="23"/>
    <n v="5"/>
    <n v="15"/>
    <n v="23"/>
    <n v="285"/>
    <n v="7.9310344827586201"/>
    <n v="1"/>
    <n v="0"/>
    <m/>
    <n v="-6.4349378881987596"/>
    <n v="-0.625"/>
    <n v="-6.1956521739130404"/>
    <n v="-6"/>
    <n v="0"/>
    <n v="4.5999999999999996"/>
    <n v="1.78571428571429"/>
  </r>
  <r>
    <x v="5"/>
    <s v="1% White Milk"/>
    <n v="90"/>
    <n v="0"/>
    <n v="2"/>
    <n v="1.5"/>
    <n v="0"/>
    <n v="10"/>
    <n v="105"/>
    <n v="10"/>
    <n v="0"/>
    <n v="10"/>
    <n v="7"/>
    <n v="95"/>
    <n v="7.7777777777777803"/>
    <n v="0"/>
    <n v="0"/>
    <m/>
    <n v="-4.1163043478260901"/>
    <n v="-0.375"/>
    <n v="-1.14130434782609"/>
    <n v="-4"/>
    <n v="0"/>
    <n v="1.4"/>
    <n v="0"/>
  </r>
  <r>
    <x v="5"/>
    <s v="Kids 2 Piece Chicken Tenders"/>
    <n v="200"/>
    <n v="0"/>
    <n v="10"/>
    <n v="1.5"/>
    <n v="0"/>
    <n v="45"/>
    <n v="620"/>
    <n v="13"/>
    <n v="0"/>
    <n v="0"/>
    <n v="15"/>
    <n v="187"/>
    <n v="7.5"/>
    <n v="1"/>
    <n v="0"/>
    <m/>
    <n v="-4.1141304347826102"/>
    <n v="-0.375"/>
    <n v="-6.7391304347826102"/>
    <n v="0"/>
    <n v="0"/>
    <n v="3"/>
    <n v="0"/>
  </r>
  <r>
    <x v="5"/>
    <s v="4 Piece Chicken Tenders"/>
    <n v="430"/>
    <n v="0"/>
    <n v="21"/>
    <n v="3.5"/>
    <n v="0"/>
    <n v="100"/>
    <n v="1350"/>
    <n v="29"/>
    <n v="0"/>
    <n v="1"/>
    <n v="32"/>
    <n v="403"/>
    <n v="7.4418604651162799"/>
    <n v="1"/>
    <n v="0"/>
    <m/>
    <n v="-9.5489130434782599"/>
    <n v="-0.875"/>
    <n v="-14.673913043478301"/>
    <n v="-0.4"/>
    <n v="0"/>
    <n v="6.4"/>
    <n v="0"/>
  </r>
  <r>
    <x v="5"/>
    <s v="Grilled Chicken Wrap"/>
    <n v="270"/>
    <n v="0"/>
    <n v="10"/>
    <n v="3.5"/>
    <n v="0"/>
    <n v="55"/>
    <n v="640"/>
    <n v="24"/>
    <n v="2"/>
    <n v="3"/>
    <n v="20"/>
    <n v="257"/>
    <n v="7.4074074074074101"/>
    <n v="1"/>
    <n v="0"/>
    <m/>
    <n v="-4.3172360248447204"/>
    <n v="-0.875"/>
    <n v="-6.9565217391304301"/>
    <n v="-1.2"/>
    <n v="0"/>
    <n v="4"/>
    <n v="0.71428571428571397"/>
  </r>
  <r>
    <x v="5"/>
    <s v="Kids Grilled Chicken Wrap"/>
    <n v="270"/>
    <n v="0"/>
    <n v="10"/>
    <n v="3.5"/>
    <n v="0"/>
    <n v="55"/>
    <n v="640"/>
    <n v="24"/>
    <n v="2"/>
    <n v="3"/>
    <n v="20"/>
    <n v="257"/>
    <n v="7.4074074074074101"/>
    <n v="1"/>
    <n v="0"/>
    <m/>
    <n v="-4.3172360248447204"/>
    <n v="-0.875"/>
    <n v="-6.9565217391304301"/>
    <n v="-1.2"/>
    <n v="0"/>
    <n v="4"/>
    <n v="0.71428571428571397"/>
  </r>
  <r>
    <x v="5"/>
    <s v="6 Piece Chicken Tenders"/>
    <n v="650"/>
    <n v="0"/>
    <n v="32"/>
    <n v="5"/>
    <n v="0"/>
    <n v="150"/>
    <n v="2020"/>
    <n v="43"/>
    <n v="0"/>
    <n v="1"/>
    <n v="48"/>
    <n v="608"/>
    <n v="7.3846153846153904"/>
    <n v="1"/>
    <n v="0"/>
    <m/>
    <n v="-14.006521739130401"/>
    <n v="-1.25"/>
    <n v="-21.956521739130402"/>
    <n v="-0.4"/>
    <n v="0"/>
    <n v="9.6"/>
    <n v="0"/>
  </r>
  <r>
    <x v="5"/>
    <s v="3 Piece Chicken Tenders"/>
    <n v="330"/>
    <n v="0"/>
    <n v="16"/>
    <n v="2.5"/>
    <n v="0"/>
    <n v="75"/>
    <n v="1010"/>
    <n v="22"/>
    <n v="0"/>
    <n v="0"/>
    <n v="24"/>
    <n v="309"/>
    <n v="7.2727272727272698"/>
    <n v="1"/>
    <n v="0"/>
    <m/>
    <n v="-6.8032608695652197"/>
    <n v="-0.625"/>
    <n v="-10.978260869565201"/>
    <n v="0"/>
    <n v="0"/>
    <n v="4.8"/>
    <n v="0"/>
  </r>
  <r>
    <x v="5"/>
    <s v="Southwest Avocado Chicken Salad, Full Size"/>
    <n v="600"/>
    <n v="0"/>
    <n v="41"/>
    <n v="11"/>
    <n v="0"/>
    <n v="135"/>
    <n v="1220"/>
    <n v="18"/>
    <n v="7"/>
    <n v="7"/>
    <n v="42"/>
    <n v="576"/>
    <n v="7"/>
    <n v="1"/>
    <n v="0"/>
    <m/>
    <n v="-7.9108695652173902"/>
    <n v="-2.75"/>
    <n v="-13.2608695652174"/>
    <n v="-2.8"/>
    <n v="0"/>
    <n v="8.4"/>
    <n v="2.5"/>
  </r>
  <r>
    <x v="5"/>
    <s v="Southwest Avocado Chicken Salad, Half Size"/>
    <n v="300"/>
    <n v="0"/>
    <n v="20"/>
    <n v="6"/>
    <n v="0"/>
    <n v="70"/>
    <n v="620"/>
    <n v="10"/>
    <n v="4"/>
    <n v="4"/>
    <n v="21"/>
    <n v="289"/>
    <n v="7"/>
    <n v="1"/>
    <n v="0"/>
    <m/>
    <n v="-4.21055900621118"/>
    <n v="-1.5"/>
    <n v="-6.7391304347826102"/>
    <n v="-1.6"/>
    <n v="0"/>
    <n v="4.2"/>
    <n v="1.4285714285714299"/>
  </r>
  <r>
    <x v="5"/>
    <s v="Apple Pecan Chicken Salad, Full Size"/>
    <n v="560"/>
    <n v="0"/>
    <n v="24"/>
    <n v="7"/>
    <n v="0"/>
    <n v="115"/>
    <n v="1020"/>
    <n v="52"/>
    <n v="7"/>
    <n v="40"/>
    <n v="38"/>
    <n v="569"/>
    <n v="6.78571428571429"/>
    <n v="1"/>
    <n v="0"/>
    <m/>
    <n v="-18.736956521739099"/>
    <n v="-1.75"/>
    <n v="-11.086956521739101"/>
    <n v="-16"/>
    <n v="0"/>
    <n v="7.6"/>
    <n v="2.5"/>
  </r>
  <r>
    <x v="5"/>
    <s v="Dave‚Äôs Triple"/>
    <n v="1090"/>
    <n v="0"/>
    <n v="72"/>
    <n v="30"/>
    <n v="4"/>
    <n v="260"/>
    <n v="1650"/>
    <n v="43"/>
    <n v="3"/>
    <n v="9"/>
    <n v="71"/>
    <n v="1058"/>
    <n v="6.5137614678899096"/>
    <n v="1"/>
    <n v="0"/>
    <m/>
    <n v="-13.767354037267101"/>
    <n v="-7.5"/>
    <n v="-17.934782608695699"/>
    <n v="-3.6"/>
    <n v="-4.0000000000000001E-3"/>
    <n v="14.2"/>
    <n v="1.0714285714285701"/>
  </r>
  <r>
    <x v="5"/>
    <s v="Double Stack"/>
    <n v="390"/>
    <n v="0"/>
    <n v="21"/>
    <n v="9"/>
    <n v="1.5"/>
    <n v="90"/>
    <n v="740"/>
    <n v="26"/>
    <n v="1"/>
    <n v="6"/>
    <n v="25"/>
    <n v="380"/>
    <n v="6.4102564102564097"/>
    <n v="1"/>
    <n v="0"/>
    <m/>
    <n v="-7.3378354037267099"/>
    <n v="-2.25"/>
    <n v="-8.0434782608695592"/>
    <n v="-2.4"/>
    <n v="-1.5E-3"/>
    <n v="5"/>
    <n v="0.35714285714285698"/>
  </r>
  <r>
    <x v="5"/>
    <s v="Baconator"/>
    <n v="950"/>
    <n v="0"/>
    <n v="62"/>
    <n v="24"/>
    <n v="3"/>
    <n v="205"/>
    <n v="1630"/>
    <n v="40"/>
    <n v="2"/>
    <n v="8"/>
    <n v="59"/>
    <n v="923"/>
    <n v="6.2105263157894699"/>
    <n v="1"/>
    <n v="0"/>
    <m/>
    <n v="-14.406105590062101"/>
    <n v="-6"/>
    <n v="-17.7173913043478"/>
    <n v="-3.2"/>
    <n v="-3.0000000000000001E-3"/>
    <n v="11.8"/>
    <n v="0.71428571428571397"/>
  </r>
  <r>
    <x v="5"/>
    <s v="Dave‚Äôs Double"/>
    <n v="810"/>
    <n v="0"/>
    <n v="51"/>
    <n v="20"/>
    <n v="3"/>
    <n v="175"/>
    <n v="1280"/>
    <n v="41"/>
    <n v="3"/>
    <n v="8"/>
    <n v="49"/>
    <n v="789"/>
    <n v="6.0493827160493803"/>
    <n v="1"/>
    <n v="0"/>
    <m/>
    <n v="-11.2446149068323"/>
    <n v="-5"/>
    <n v="-13.913043478260899"/>
    <n v="-3.2"/>
    <n v="-3.0000000000000001E-3"/>
    <n v="9.8000000000000007"/>
    <n v="1.0714285714285701"/>
  </r>
  <r>
    <x v="5"/>
    <s v="Apple Pecan Chicken Salad, Half Size"/>
    <n v="340"/>
    <n v="0"/>
    <n v="17"/>
    <n v="4"/>
    <n v="0"/>
    <n v="55"/>
    <n v="550"/>
    <n v="29"/>
    <n v="4"/>
    <n v="22"/>
    <n v="20"/>
    <n v="346"/>
    <n v="5.8823529411764701"/>
    <n v="1"/>
    <n v="0"/>
    <m/>
    <n v="-10.349689440993799"/>
    <n v="-1"/>
    <n v="-5.9782608695652204"/>
    <n v="-8.8000000000000007"/>
    <n v="0"/>
    <n v="4"/>
    <n v="1.4285714285714299"/>
  </r>
  <r>
    <x v="5"/>
    <s v="Spicy Caesar Chicken Salad, Full Size"/>
    <n v="720"/>
    <n v="0"/>
    <n v="42"/>
    <n v="12"/>
    <n v="1"/>
    <n v="150"/>
    <n v="1680"/>
    <n v="44"/>
    <n v="8"/>
    <n v="6"/>
    <n v="42"/>
    <n v="696"/>
    <n v="5.8333333333333304"/>
    <n v="1"/>
    <n v="0"/>
    <m/>
    <n v="-12.404726708074501"/>
    <n v="-3"/>
    <n v="-18.260869565217401"/>
    <n v="-2.4"/>
    <n v="-1E-3"/>
    <n v="8.4"/>
    <n v="2.8571428571428599"/>
  </r>
  <r>
    <x v="5"/>
    <s v="Homestyle Asiago Ranch Chicken Club"/>
    <n v="660"/>
    <n v="0"/>
    <n v="34"/>
    <n v="9"/>
    <n v="0"/>
    <n v="100"/>
    <n v="1650"/>
    <n v="52"/>
    <n v="3"/>
    <n v="7"/>
    <n v="38"/>
    <n v="638"/>
    <n v="5.7575757575757596"/>
    <n v="1"/>
    <n v="0"/>
    <m/>
    <n v="-14.3133540372671"/>
    <n v="-2.25"/>
    <n v="-17.934782608695699"/>
    <n v="-2.8"/>
    <n v="0"/>
    <n v="7.6"/>
    <n v="1.0714285714285701"/>
  </r>
  <r>
    <x v="5"/>
    <s v="Jr. Cheeseburger"/>
    <n v="280"/>
    <n v="0"/>
    <n v="13"/>
    <n v="6"/>
    <n v="1"/>
    <n v="50"/>
    <n v="660"/>
    <n v="26"/>
    <n v="1"/>
    <n v="6"/>
    <n v="16"/>
    <n v="276"/>
    <n v="5.71428571428571"/>
    <n v="1"/>
    <n v="0"/>
    <m/>
    <n v="-7.5177701863354001"/>
    <n v="-1.5"/>
    <n v="-7.1739130434782599"/>
    <n v="-2.4"/>
    <n v="-1E-3"/>
    <n v="3.2"/>
    <n v="0.35714285714285698"/>
  </r>
  <r>
    <x v="5"/>
    <s v="Spicy Chicken Sandwich"/>
    <n v="510"/>
    <n v="0"/>
    <n v="20"/>
    <n v="3.5"/>
    <n v="0"/>
    <n v="65"/>
    <n v="1030"/>
    <n v="54"/>
    <n v="4"/>
    <n v="6"/>
    <n v="29"/>
    <n v="491"/>
    <n v="5.68627450980392"/>
    <n v="1"/>
    <n v="0"/>
    <m/>
    <n v="-7.2420807453416201"/>
    <n v="-0.875"/>
    <n v="-11.195652173913"/>
    <n v="-2.4"/>
    <n v="0"/>
    <n v="5.8"/>
    <n v="1.4285714285714299"/>
  </r>
  <r>
    <x v="5"/>
    <s v="Spicy Asiago Ranch Club"/>
    <n v="670"/>
    <n v="0"/>
    <n v="32"/>
    <n v="9"/>
    <n v="0"/>
    <n v="100"/>
    <n v="1530"/>
    <n v="55"/>
    <n v="4"/>
    <n v="6"/>
    <n v="38"/>
    <n v="647"/>
    <n v="5.6716417910447801"/>
    <n v="1"/>
    <n v="0"/>
    <m/>
    <n v="-12.251863354037299"/>
    <n v="-2.25"/>
    <n v="-16.630434782608699"/>
    <n v="-2.4"/>
    <n v="0"/>
    <n v="7.6"/>
    <n v="1.4285714285714299"/>
  </r>
  <r>
    <x v="5"/>
    <s v="Artisan Egg Sandwich with Bacon"/>
    <n v="320"/>
    <n v="0"/>
    <n v="17"/>
    <n v="8"/>
    <n v="0"/>
    <n v="245"/>
    <n v="750"/>
    <n v="25"/>
    <n v="1"/>
    <n v="4"/>
    <n v="18"/>
    <n v="314"/>
    <n v="5.625"/>
    <n v="1"/>
    <n v="0"/>
    <m/>
    <n v="-7.79503105590062"/>
    <n v="-2"/>
    <n v="-8.1521739130434803"/>
    <n v="-1.6"/>
    <n v="0"/>
    <n v="3.6"/>
    <n v="0.35714285714285698"/>
  </r>
  <r>
    <x v="5"/>
    <s v="Spicy Caesar Chicken Salad, Half Size"/>
    <n v="410"/>
    <n v="0"/>
    <n v="23"/>
    <n v="6"/>
    <n v="0.5"/>
    <n v="75"/>
    <n v="930"/>
    <n v="30"/>
    <n v="5"/>
    <n v="4"/>
    <n v="23"/>
    <n v="397"/>
    <n v="5.6097560975609797"/>
    <n v="1"/>
    <n v="0"/>
    <m/>
    <n v="-6.8234813664596299"/>
    <n v="-1.5"/>
    <n v="-10.1086956521739"/>
    <n v="-1.6"/>
    <n v="-5.0000000000000001E-4"/>
    <n v="4.5999999999999996"/>
    <n v="1.78571428571429"/>
  </r>
  <r>
    <x v="5"/>
    <s v="Homestyle Chicken Sandwich"/>
    <n v="510"/>
    <n v="0"/>
    <n v="22"/>
    <n v="4"/>
    <n v="0"/>
    <n v="70"/>
    <n v="1150"/>
    <n v="51"/>
    <n v="3"/>
    <n v="6"/>
    <n v="28"/>
    <n v="492"/>
    <n v="5.4901960784313699"/>
    <n v="1"/>
    <n v="0"/>
    <m/>
    <n v="-9.2285714285714295"/>
    <n v="-1"/>
    <n v="-12.5"/>
    <n v="-2.4"/>
    <n v="0"/>
    <n v="5.6"/>
    <n v="1.0714285714285701"/>
  </r>
  <r>
    <x v="5"/>
    <s v="Kids Hamburger"/>
    <n v="240"/>
    <n v="0"/>
    <n v="9"/>
    <n v="3.5"/>
    <n v="0.5"/>
    <n v="40"/>
    <n v="350"/>
    <n v="24"/>
    <n v="1"/>
    <n v="5"/>
    <n v="13"/>
    <n v="236"/>
    <n v="5.4166666666666696"/>
    <n v="0"/>
    <n v="0"/>
    <m/>
    <n v="-3.7227049689440999"/>
    <n v="-0.875"/>
    <n v="-3.8043478260869601"/>
    <n v="-2"/>
    <n v="-5.0000000000000001E-4"/>
    <n v="2.6"/>
    <n v="0.35714285714285698"/>
  </r>
  <r>
    <x v="5"/>
    <s v="Son of Baconator"/>
    <n v="630"/>
    <n v="0"/>
    <n v="39"/>
    <n v="15"/>
    <n v="1.5"/>
    <n v="125"/>
    <n v="1280"/>
    <n v="37"/>
    <n v="2"/>
    <n v="7"/>
    <n v="34"/>
    <n v="618"/>
    <n v="5.3968253968253999"/>
    <n v="1"/>
    <n v="0"/>
    <m/>
    <n v="-12.9502577639752"/>
    <n v="-3.75"/>
    <n v="-13.913043478260899"/>
    <n v="-2.8"/>
    <n v="-1.5E-3"/>
    <n v="6.8"/>
    <n v="0.71428571428571397"/>
  </r>
  <r>
    <x v="5"/>
    <s v="Kids Cheeseburger"/>
    <n v="280"/>
    <n v="0"/>
    <n v="13"/>
    <n v="6"/>
    <n v="0.5"/>
    <n v="50"/>
    <n v="540"/>
    <n v="25"/>
    <n v="1"/>
    <n v="5"/>
    <n v="15"/>
    <n v="276"/>
    <n v="5.3571428571428603"/>
    <n v="1"/>
    <n v="0"/>
    <m/>
    <n v="-6.0129223602484503"/>
    <n v="-1.5"/>
    <n v="-5.8695652173913002"/>
    <n v="-2"/>
    <n v="-5.0000000000000001E-4"/>
    <n v="3"/>
    <n v="0.35714285714285698"/>
  </r>
  <r>
    <x v="5"/>
    <s v="4 Piece Chicken Nuggets"/>
    <n v="170"/>
    <n v="0"/>
    <n v="11"/>
    <n v="2"/>
    <n v="0"/>
    <n v="35"/>
    <n v="340"/>
    <n v="10"/>
    <n v="0"/>
    <n v="0"/>
    <n v="9"/>
    <n v="163"/>
    <n v="5.2941176470588198"/>
    <n v="0"/>
    <n v="0"/>
    <m/>
    <n v="-2.3956521739130401"/>
    <n v="-0.5"/>
    <n v="-3.6956521739130399"/>
    <n v="0"/>
    <n v="0"/>
    <n v="1.8"/>
    <n v="0"/>
  </r>
  <r>
    <x v="5"/>
    <s v="Kids 4 Piece Chicken Nuggets"/>
    <n v="170"/>
    <n v="0"/>
    <n v="11"/>
    <n v="2"/>
    <n v="0"/>
    <n v="35"/>
    <n v="340"/>
    <n v="10"/>
    <n v="0"/>
    <n v="0"/>
    <n v="9"/>
    <n v="163"/>
    <n v="5.2941176470588198"/>
    <n v="0"/>
    <n v="0"/>
    <m/>
    <n v="-2.3956521739130401"/>
    <n v="-0.5"/>
    <n v="-3.6956521739130399"/>
    <n v="0"/>
    <n v="0"/>
    <n v="1.8"/>
    <n v="0"/>
  </r>
  <r>
    <x v="5"/>
    <s v="Dave‚Äôs Single"/>
    <n v="570"/>
    <n v="0"/>
    <n v="34"/>
    <n v="13"/>
    <n v="1.5"/>
    <n v="100"/>
    <n v="1110"/>
    <n v="40"/>
    <n v="3"/>
    <n v="9"/>
    <n v="30"/>
    <n v="562"/>
    <n v="5.2631578947368398"/>
    <n v="1"/>
    <n v="0"/>
    <m/>
    <n v="-11.845288819875799"/>
    <n v="-3.25"/>
    <n v="-12.0652173913043"/>
    <n v="-3.6"/>
    <n v="-1.5E-3"/>
    <n v="6"/>
    <n v="1.0714285714285701"/>
  </r>
  <r>
    <x v="5"/>
    <s v="10 Piece Chicken Nuggets"/>
    <n v="420"/>
    <n v="0"/>
    <n v="27"/>
    <n v="5"/>
    <n v="0"/>
    <n v="80"/>
    <n v="850"/>
    <n v="24"/>
    <n v="1"/>
    <n v="0"/>
    <n v="22"/>
    <n v="403"/>
    <n v="5.2380952380952399"/>
    <n v="1"/>
    <n v="0"/>
    <m/>
    <n v="-5.7319875776397504"/>
    <n v="-1.25"/>
    <n v="-9.2391304347826093"/>
    <n v="0"/>
    <n v="0"/>
    <n v="4.4000000000000004"/>
    <n v="0.35714285714285698"/>
  </r>
  <r>
    <x v="5"/>
    <s v="6 Picece Chicken Nuggets"/>
    <n v="250"/>
    <n v="0"/>
    <n v="16"/>
    <n v="3.5"/>
    <n v="0"/>
    <n v="50"/>
    <n v="510"/>
    <n v="14"/>
    <n v="1"/>
    <n v="0"/>
    <n v="13"/>
    <n v="241"/>
    <n v="5.2"/>
    <n v="1"/>
    <n v="0"/>
    <m/>
    <n v="-3.4613354037267099"/>
    <n v="-0.875"/>
    <n v="-5.5434782608695699"/>
    <n v="0"/>
    <n v="0"/>
    <n v="2.6"/>
    <n v="0.35714285714285698"/>
  </r>
  <r>
    <x v="5"/>
    <s v="Jr. Bacon Cheeseburger"/>
    <n v="380"/>
    <n v="0"/>
    <n v="22"/>
    <n v="8"/>
    <n v="1"/>
    <n v="65"/>
    <n v="680"/>
    <n v="25"/>
    <n v="1"/>
    <n v="5"/>
    <n v="19"/>
    <n v="374"/>
    <n v="5"/>
    <n v="1"/>
    <n v="0"/>
    <m/>
    <n v="-7.2351614906832298"/>
    <n v="-2"/>
    <n v="-7.3913043478260896"/>
    <n v="-2"/>
    <n v="-1E-3"/>
    <n v="3.8"/>
    <n v="0.35714285714285698"/>
  </r>
  <r>
    <x v="5"/>
    <s v="Spicy Chicken Wrap"/>
    <n v="370"/>
    <n v="0"/>
    <n v="20"/>
    <n v="5"/>
    <n v="0"/>
    <n v="50"/>
    <n v="850"/>
    <n v="30"/>
    <n v="2"/>
    <n v="2"/>
    <n v="18"/>
    <n v="359"/>
    <n v="4.8648648648648596"/>
    <n v="1"/>
    <n v="0"/>
    <m/>
    <n v="-6.9748447204968897"/>
    <n v="-1.25"/>
    <n v="-9.2391304347826093"/>
    <n v="-0.8"/>
    <n v="0"/>
    <n v="3.6"/>
    <n v="0.71428571428571397"/>
  </r>
  <r>
    <x v="5"/>
    <s v="Taco Salad, Full Size"/>
    <n v="660"/>
    <n v="0"/>
    <n v="32"/>
    <n v="13"/>
    <n v="1"/>
    <n v="85"/>
    <n v="1820"/>
    <n v="63"/>
    <n v="10"/>
    <n v="18"/>
    <n v="32"/>
    <n v="659"/>
    <n v="4.8484848484848504"/>
    <n v="1"/>
    <n v="0"/>
    <m/>
    <n v="-20.262180124223601"/>
    <n v="-3.25"/>
    <n v="-19.7826086956522"/>
    <n v="-7.2"/>
    <n v="-1E-3"/>
    <n v="6.4"/>
    <n v="3.5714285714285698"/>
  </r>
  <r>
    <x v="5"/>
    <s v="Crispy Chicken BLT"/>
    <n v="420"/>
    <n v="0"/>
    <n v="23"/>
    <n v="6"/>
    <n v="0"/>
    <n v="50"/>
    <n v="950"/>
    <n v="35"/>
    <n v="2"/>
    <n v="5"/>
    <n v="20"/>
    <n v="411"/>
    <n v="4.7619047619047601"/>
    <n v="1"/>
    <n v="0"/>
    <m/>
    <n v="-9.1118012422360195"/>
    <n v="-1.5"/>
    <n v="-10.326086956521699"/>
    <n v="-2"/>
    <n v="0"/>
    <n v="4"/>
    <n v="0.71428571428571397"/>
  </r>
  <r>
    <x v="5"/>
    <s v="Sausage and Egg Burrito"/>
    <n v="360"/>
    <n v="0"/>
    <n v="20"/>
    <n v="8"/>
    <n v="0"/>
    <n v="210"/>
    <n v="920"/>
    <n v="29"/>
    <n v="1"/>
    <n v="2"/>
    <n v="17"/>
    <n v="353"/>
    <n v="4.7222222222222197"/>
    <n v="1"/>
    <n v="0"/>
    <m/>
    <n v="-9.0428571428571392"/>
    <n v="-2"/>
    <n v="-10"/>
    <n v="-0.8"/>
    <n v="0"/>
    <n v="3.4"/>
    <n v="0.35714285714285698"/>
  </r>
  <r>
    <x v="5"/>
    <s v="Two Sausage and Egg Burritos"/>
    <n v="720"/>
    <n v="0"/>
    <n v="41"/>
    <n v="16"/>
    <n v="0"/>
    <n v="420"/>
    <n v="1830"/>
    <n v="59"/>
    <n v="2"/>
    <n v="5"/>
    <n v="34"/>
    <n v="707"/>
    <n v="4.7222222222222197"/>
    <n v="1"/>
    <n v="1"/>
    <m/>
    <n v="-18.377018633540398"/>
    <n v="-4"/>
    <n v="-19.8913043478261"/>
    <n v="-2"/>
    <n v="0"/>
    <n v="6.8"/>
    <n v="0.71428571428571397"/>
  </r>
  <r>
    <x v="5"/>
    <s v="Jr. Cheeseburger Deluxe"/>
    <n v="340"/>
    <n v="0"/>
    <n v="19"/>
    <n v="7"/>
    <n v="1"/>
    <n v="55"/>
    <n v="660"/>
    <n v="27"/>
    <n v="2"/>
    <n v="7"/>
    <n v="16"/>
    <n v="338"/>
    <n v="4.7058823529411802"/>
    <n v="1"/>
    <n v="0"/>
    <m/>
    <n v="-7.8106273291925499"/>
    <n v="-1.75"/>
    <n v="-7.1739130434782599"/>
    <n v="-2.8"/>
    <n v="-1E-3"/>
    <n v="3.2"/>
    <n v="0.71428571428571397"/>
  </r>
  <r>
    <x v="5"/>
    <s v="1% Chocolate Milk"/>
    <n v="150"/>
    <n v="0"/>
    <n v="2.5"/>
    <n v="1.5"/>
    <n v="0"/>
    <n v="10"/>
    <n v="170"/>
    <n v="26"/>
    <n v="0"/>
    <n v="23"/>
    <n v="7"/>
    <n v="168"/>
    <n v="4.6666666666666696"/>
    <n v="0"/>
    <n v="0"/>
    <m/>
    <n v="-10.022826086956499"/>
    <n v="-0.375"/>
    <n v="-1.84782608695652"/>
    <n v="-9.1999999999999993"/>
    <n v="0"/>
    <n v="1.4"/>
    <n v="0"/>
  </r>
  <r>
    <x v="5"/>
    <s v="Biggie Breakfast Sandwich"/>
    <n v="610"/>
    <n v="0"/>
    <n v="40"/>
    <n v="15"/>
    <n v="0"/>
    <n v="290"/>
    <n v="1400"/>
    <n v="37"/>
    <n v="2"/>
    <n v="7"/>
    <n v="27"/>
    <n v="605"/>
    <n v="4.4262295081967196"/>
    <n v="1"/>
    <n v="0"/>
    <m/>
    <n v="-15.653105590062101"/>
    <n v="-3.75"/>
    <n v="-15.2173913043478"/>
    <n v="-2.8"/>
    <n v="0"/>
    <n v="5.4"/>
    <n v="0.71428571428571397"/>
  </r>
  <r>
    <x v="5"/>
    <s v="Artisan Egg Sandwich with Sausage"/>
    <n v="480"/>
    <n v="0"/>
    <n v="33"/>
    <n v="13"/>
    <n v="0"/>
    <n v="275"/>
    <n v="980"/>
    <n v="27"/>
    <n v="1"/>
    <n v="4"/>
    <n v="21"/>
    <n v="476"/>
    <n v="4.375"/>
    <n v="1"/>
    <n v="0"/>
    <m/>
    <n v="-10.9450310559006"/>
    <n v="-3.25"/>
    <n v="-10.6521739130435"/>
    <n v="-1.6"/>
    <n v="0"/>
    <n v="4.2"/>
    <n v="0.35714285714285698"/>
  </r>
  <r>
    <x v="5"/>
    <s v="Crispy Chicken Sandwich"/>
    <n v="330"/>
    <n v="0"/>
    <n v="16"/>
    <n v="3"/>
    <n v="0"/>
    <n v="30"/>
    <n v="600"/>
    <n v="33"/>
    <n v="2"/>
    <n v="4"/>
    <n v="14"/>
    <n v="323"/>
    <n v="4.2424242424242404"/>
    <n v="1"/>
    <n v="0"/>
    <m/>
    <n v="-5.3574534161490703"/>
    <n v="-0.75"/>
    <n v="-6.5217391304347796"/>
    <n v="-1.6"/>
    <n v="0"/>
    <n v="2.8"/>
    <n v="0.71428571428571397"/>
  </r>
  <r>
    <x v="5"/>
    <s v="Chili &amp; Cheese Baked Potato"/>
    <n v="460"/>
    <n v="0"/>
    <n v="11"/>
    <n v="5"/>
    <n v="0"/>
    <n v="35"/>
    <n v="710"/>
    <n v="71"/>
    <n v="8"/>
    <n v="7"/>
    <n v="19"/>
    <n v="453"/>
    <n v="4.1304347826086998"/>
    <n v="1"/>
    <n v="0"/>
    <m/>
    <n v="-5.1102484472049703"/>
    <n v="-1.25"/>
    <n v="-7.7173913043478297"/>
    <n v="-2.8"/>
    <n v="0"/>
    <n v="3.8"/>
    <n v="2.8571428571428599"/>
  </r>
  <r>
    <x v="5"/>
    <s v="Taco Salad, Half Size"/>
    <n v="470"/>
    <n v="0"/>
    <n v="23"/>
    <n v="8"/>
    <n v="0.5"/>
    <n v="45"/>
    <n v="1320"/>
    <n v="49"/>
    <n v="7"/>
    <n v="12"/>
    <n v="19"/>
    <n v="471"/>
    <n v="4.0425531914893602"/>
    <n v="1"/>
    <n v="0"/>
    <m/>
    <n v="-14.848326086956501"/>
    <n v="-2"/>
    <n v="-14.3478260869565"/>
    <n v="-4.8"/>
    <n v="-5.0000000000000001E-4"/>
    <n v="3.8"/>
    <n v="2.5"/>
  </r>
  <r>
    <x v="5"/>
    <s v="Bacon Cheese Baked Potato"/>
    <n v="440"/>
    <n v="0"/>
    <n v="14"/>
    <n v="6"/>
    <n v="0"/>
    <n v="35"/>
    <n v="550"/>
    <n v="64"/>
    <n v="7"/>
    <n v="4"/>
    <n v="17"/>
    <n v="433"/>
    <n v="3.8636363636363602"/>
    <n v="1"/>
    <n v="0"/>
    <m/>
    <n v="-3.1782608695652201"/>
    <n v="-1.5"/>
    <n v="-5.9782608695652204"/>
    <n v="-1.6"/>
    <n v="0"/>
    <n v="3.4"/>
    <n v="2.5"/>
  </r>
  <r>
    <x v="5"/>
    <s v="Honey Butter Chicken Biscuit"/>
    <n v="500"/>
    <n v="0"/>
    <n v="26"/>
    <n v="12"/>
    <n v="0"/>
    <n v="50"/>
    <n v="1120"/>
    <n v="48"/>
    <n v="1"/>
    <n v="9"/>
    <n v="19"/>
    <n v="502"/>
    <n v="3.8"/>
    <n v="1"/>
    <n v="0"/>
    <m/>
    <n v="-14.616770186335399"/>
    <n v="-3"/>
    <n v="-12.173913043478301"/>
    <n v="-3.6"/>
    <n v="0"/>
    <n v="3.8"/>
    <n v="0.35714285714285698"/>
  </r>
  <r>
    <x v="5"/>
    <s v="Bacon Breakfast Bowl"/>
    <n v="510"/>
    <n v="0"/>
    <n v="28"/>
    <n v="9"/>
    <n v="0"/>
    <n v="245"/>
    <n v="1390"/>
    <n v="44"/>
    <n v="4"/>
    <n v="2"/>
    <n v="19"/>
    <n v="502"/>
    <n v="3.7254901960784301"/>
    <n v="1"/>
    <n v="0"/>
    <m/>
    <n v="-12.930124223602499"/>
    <n v="-2.25"/>
    <n v="-15.1086956521739"/>
    <n v="-0.8"/>
    <n v="0"/>
    <n v="3.8"/>
    <n v="1.4285714285714299"/>
  </r>
  <r>
    <x v="5"/>
    <s v="Fresh-Baked Biscuit with Applewood Smoked Bacon"/>
    <n v="410"/>
    <n v="0"/>
    <n v="24"/>
    <n v="13"/>
    <n v="0"/>
    <n v="235"/>
    <n v="970"/>
    <n v="34"/>
    <n v="1"/>
    <n v="5"/>
    <n v="15"/>
    <n v="413"/>
    <n v="3.6585365853658498"/>
    <n v="1"/>
    <n v="0"/>
    <m/>
    <n v="-12.4363354037267"/>
    <n v="-3.25"/>
    <n v="-10.5434782608696"/>
    <n v="-2"/>
    <n v="0"/>
    <n v="3"/>
    <n v="0.35714285714285698"/>
  </r>
  <r>
    <x v="5"/>
    <s v="Fresh Baked Biscuit with Natural Sausage"/>
    <n v="590"/>
    <n v="0"/>
    <n v="41"/>
    <n v="19"/>
    <n v="0"/>
    <n v="270"/>
    <n v="1270"/>
    <n v="36"/>
    <n v="1"/>
    <n v="6"/>
    <n v="20"/>
    <n v="595"/>
    <n v="3.3898305084745801"/>
    <n v="1"/>
    <n v="0"/>
    <m/>
    <n v="-16.597204968944101"/>
    <n v="-4.75"/>
    <n v="-13.804347826087"/>
    <n v="-2.4"/>
    <n v="0"/>
    <n v="4"/>
    <n v="0.35714285714285698"/>
  </r>
  <r>
    <x v="5"/>
    <s v="Caesar Side Salad"/>
    <n v="240"/>
    <n v="0"/>
    <n v="15"/>
    <n v="4"/>
    <n v="0"/>
    <n v="30"/>
    <n v="500"/>
    <n v="19"/>
    <n v="3"/>
    <n v="4"/>
    <n v="8"/>
    <n v="240"/>
    <n v="3.3333333333333299"/>
    <n v="1"/>
    <n v="0"/>
    <m/>
    <n v="-5.3633540372670803"/>
    <n v="-1"/>
    <n v="-5.4347826086956497"/>
    <n v="-1.6"/>
    <n v="0"/>
    <n v="1.6"/>
    <n v="1.0714285714285701"/>
  </r>
  <r>
    <x v="5"/>
    <s v="Sausage Breakfast Bowl"/>
    <n v="640"/>
    <n v="0"/>
    <n v="42"/>
    <n v="14"/>
    <n v="0"/>
    <n v="270"/>
    <n v="1540"/>
    <n v="46"/>
    <n v="4"/>
    <n v="3"/>
    <n v="21"/>
    <n v="636"/>
    <n v="3.28125"/>
    <n v="1"/>
    <n v="0"/>
    <m/>
    <n v="-15.8105590062112"/>
    <n v="-3.5"/>
    <n v="-16.739130434782599"/>
    <n v="-1.2"/>
    <n v="0"/>
    <n v="4.2"/>
    <n v="1.4285714285714299"/>
  </r>
  <r>
    <x v="5"/>
    <s v="Cheese Baked Potato"/>
    <n v="430"/>
    <n v="0"/>
    <n v="13"/>
    <n v="7"/>
    <n v="0"/>
    <n v="30"/>
    <n v="560"/>
    <n v="65"/>
    <n v="7"/>
    <n v="5"/>
    <n v="14"/>
    <n v="428"/>
    <n v="3.2558139534883699"/>
    <n v="1"/>
    <n v="0"/>
    <m/>
    <n v="-4.5369565217391301"/>
    <n v="-1.75"/>
    <n v="-6.0869565217391299"/>
    <n v="-2"/>
    <n v="0"/>
    <n v="2.8"/>
    <n v="2.5"/>
  </r>
  <r>
    <x v="5"/>
    <s v="Chili Cheese Fries"/>
    <n v="500"/>
    <n v="0"/>
    <n v="25"/>
    <n v="8"/>
    <n v="0.5"/>
    <n v="35"/>
    <n v="710"/>
    <n v="53"/>
    <n v="6"/>
    <n v="4"/>
    <n v="16"/>
    <n v="496"/>
    <n v="3.2"/>
    <n v="1"/>
    <n v="0"/>
    <m/>
    <n v="-5.9750341614906803"/>
    <n v="-2"/>
    <n v="-7.7173913043478297"/>
    <n v="-1.6"/>
    <n v="-5.0000000000000001E-4"/>
    <n v="3.2"/>
    <n v="2.1428571428571401"/>
  </r>
  <r>
    <x v="5"/>
    <s v="Skinny Vanilla Iced Coffee, Medium"/>
    <n v="100"/>
    <n v="0"/>
    <n v="8"/>
    <n v="5"/>
    <n v="0"/>
    <n v="25"/>
    <n v="45"/>
    <n v="14"/>
    <n v="0"/>
    <n v="0"/>
    <n v="3"/>
    <n v="102"/>
    <n v="3"/>
    <n v="0"/>
    <n v="0"/>
    <m/>
    <n v="-1.1391304347826099"/>
    <n v="-1.25"/>
    <n v="-0.48913043478260898"/>
    <n v="0"/>
    <n v="0"/>
    <n v="0.6"/>
    <n v="0"/>
  </r>
  <r>
    <x v="5"/>
    <s v="Classic Chocolate Frosty, Junior"/>
    <n v="200"/>
    <n v="0"/>
    <n v="5"/>
    <n v="3"/>
    <n v="0"/>
    <n v="20"/>
    <n v="90"/>
    <n v="33"/>
    <n v="0"/>
    <n v="27"/>
    <n v="6"/>
    <n v="224"/>
    <n v="3"/>
    <n v="0"/>
    <n v="0"/>
    <m/>
    <n v="-11.328260869565201"/>
    <n v="-0.75"/>
    <n v="-0.97826086956521796"/>
    <n v="-10.8"/>
    <n v="0"/>
    <n v="1.2"/>
    <n v="0"/>
  </r>
  <r>
    <x v="5"/>
    <s v="Classic Chocolate Frosty, Large"/>
    <n v="590"/>
    <n v="0"/>
    <n v="15"/>
    <n v="10"/>
    <n v="0.5"/>
    <n v="60"/>
    <n v="260"/>
    <n v="99"/>
    <n v="0"/>
    <n v="81"/>
    <n v="17"/>
    <n v="664"/>
    <n v="2.8813559322033901"/>
    <n v="0"/>
    <n v="0"/>
    <m/>
    <n v="-34.326586956521801"/>
    <n v="-2.5"/>
    <n v="-2.8260869565217401"/>
    <n v="-32.4"/>
    <n v="-5.0000000000000001E-4"/>
    <n v="3.4"/>
    <n v="0"/>
  </r>
  <r>
    <x v="5"/>
    <s v="Baconator Fries"/>
    <n v="490"/>
    <n v="0"/>
    <n v="28"/>
    <n v="9"/>
    <n v="0"/>
    <n v="35"/>
    <n v="550"/>
    <n v="45"/>
    <n v="4"/>
    <n v="2"/>
    <n v="14"/>
    <n v="487"/>
    <n v="2.8571428571428599"/>
    <n v="1"/>
    <n v="0"/>
    <m/>
    <n v="-4.7996894409937898"/>
    <n v="-2.25"/>
    <n v="-5.9782608695652204"/>
    <n v="-0.8"/>
    <n v="0"/>
    <n v="2.8"/>
    <n v="1.4285714285714299"/>
  </r>
  <r>
    <x v="5"/>
    <s v="Skinny Vanilla Iced Coffee, Small"/>
    <n v="70"/>
    <n v="0"/>
    <n v="5"/>
    <n v="3.5"/>
    <n v="0"/>
    <n v="15"/>
    <n v="30"/>
    <n v="6"/>
    <n v="0"/>
    <n v="0"/>
    <n v="2"/>
    <n v="72"/>
    <n v="2.8571428571428599"/>
    <n v="0"/>
    <n v="0"/>
    <m/>
    <n v="-0.801086956521739"/>
    <n v="-0.875"/>
    <n v="-0.32608695652173902"/>
    <n v="0"/>
    <n v="0"/>
    <n v="0.4"/>
    <n v="0"/>
  </r>
  <r>
    <x v="5"/>
    <s v="Classic Chocolate Frosty, Small"/>
    <n v="350"/>
    <n v="0"/>
    <n v="9"/>
    <n v="6"/>
    <n v="0"/>
    <n v="35"/>
    <n v="150"/>
    <n v="58"/>
    <n v="0"/>
    <n v="47"/>
    <n v="10"/>
    <n v="393"/>
    <n v="2.8571428571428599"/>
    <n v="0"/>
    <n v="0"/>
    <m/>
    <n v="-19.9304347826087"/>
    <n v="-1.5"/>
    <n v="-1.6304347826087"/>
    <n v="-18.8"/>
    <n v="0"/>
    <n v="2"/>
    <n v="0"/>
  </r>
  <r>
    <x v="5"/>
    <s v="Garden Side Salad"/>
    <n v="250"/>
    <n v="0"/>
    <n v="18"/>
    <n v="4"/>
    <n v="0"/>
    <n v="20"/>
    <n v="460"/>
    <n v="18"/>
    <n v="2"/>
    <n v="4"/>
    <n v="7"/>
    <n v="251"/>
    <n v="2.8"/>
    <n v="0"/>
    <n v="0"/>
    <m/>
    <n v="-5.4857142857142804"/>
    <n v="-1"/>
    <n v="-5"/>
    <n v="-1.6"/>
    <n v="0"/>
    <n v="1.4"/>
    <n v="0.71428571428571397"/>
  </r>
  <r>
    <x v="5"/>
    <s v="Classic Chocolate Frosty, Medium"/>
    <n v="470"/>
    <n v="0"/>
    <n v="12"/>
    <n v="8"/>
    <n v="0.5"/>
    <n v="50"/>
    <n v="210"/>
    <n v="79"/>
    <n v="0"/>
    <n v="65"/>
    <n v="13"/>
    <n v="530"/>
    <n v="2.76595744680851"/>
    <n v="0"/>
    <n v="0"/>
    <m/>
    <n v="-27.683108695652201"/>
    <n v="-2"/>
    <n v="-2.2826086956521698"/>
    <n v="-26"/>
    <n v="-5.0000000000000001E-4"/>
    <n v="2.6"/>
    <n v="0"/>
  </r>
  <r>
    <x v="5"/>
    <s v="Vanilla Frosty, Medium"/>
    <n v="450"/>
    <n v="0"/>
    <n v="12"/>
    <n v="8"/>
    <n v="0.5"/>
    <n v="55"/>
    <n v="210"/>
    <n v="75"/>
    <n v="0"/>
    <n v="63"/>
    <n v="12"/>
    <n v="509"/>
    <n v="2.6666666666666701"/>
    <n v="0"/>
    <n v="0"/>
    <m/>
    <n v="-27.0831086956522"/>
    <n v="-2"/>
    <n v="-2.2826086956521698"/>
    <n v="-25.2"/>
    <n v="-5.0000000000000001E-4"/>
    <n v="2.4"/>
    <n v="0"/>
  </r>
  <r>
    <x v="5"/>
    <s v="Gravy and Sausage Bowl"/>
    <n v="450"/>
    <n v="0"/>
    <n v="22"/>
    <n v="6"/>
    <n v="0"/>
    <n v="220"/>
    <n v="1260"/>
    <n v="50"/>
    <n v="4"/>
    <n v="2"/>
    <n v="12"/>
    <n v="446"/>
    <n v="2.6666666666666701"/>
    <n v="1"/>
    <n v="0"/>
    <m/>
    <n v="-12.1670807453416"/>
    <n v="-1.5"/>
    <n v="-13.695652173913"/>
    <n v="-0.8"/>
    <n v="0"/>
    <n v="2.4"/>
    <n v="1.4285714285714299"/>
  </r>
  <r>
    <x v="5"/>
    <s v="Vanilla Frosty, Small"/>
    <n v="340"/>
    <n v="0"/>
    <n v="9"/>
    <n v="6"/>
    <n v="0"/>
    <n v="45"/>
    <n v="160"/>
    <n v="56"/>
    <n v="0"/>
    <n v="47"/>
    <n v="9"/>
    <n v="384"/>
    <n v="2.6470588235294099"/>
    <n v="0"/>
    <n v="0"/>
    <m/>
    <n v="-20.239130434782599"/>
    <n v="-1.5"/>
    <n v="-1.73913043478261"/>
    <n v="-18.8"/>
    <n v="0"/>
    <n v="1.8"/>
    <n v="0"/>
  </r>
  <r>
    <x v="5"/>
    <s v="Vanilla Frosty, Junior"/>
    <n v="190"/>
    <n v="0"/>
    <n v="5"/>
    <n v="3.5"/>
    <n v="0"/>
    <n v="25"/>
    <n v="90"/>
    <n v="32"/>
    <n v="0"/>
    <n v="27"/>
    <n v="5"/>
    <n v="216"/>
    <n v="2.6315789473684199"/>
    <n v="0"/>
    <n v="0"/>
    <m/>
    <n v="-11.6532608695652"/>
    <n v="-0.875"/>
    <n v="-0.97826086956521796"/>
    <n v="-10.8"/>
    <n v="0"/>
    <n v="1"/>
    <n v="0"/>
  </r>
  <r>
    <x v="5"/>
    <s v="Vanilla Frosty, Large"/>
    <n v="570"/>
    <n v="0"/>
    <n v="15"/>
    <n v="10"/>
    <n v="0.5"/>
    <n v="70"/>
    <n v="260"/>
    <n v="94"/>
    <n v="0"/>
    <n v="78"/>
    <n v="15"/>
    <n v="643"/>
    <n v="2.6315789473684199"/>
    <n v="0"/>
    <n v="0"/>
    <m/>
    <n v="-33.526586956521697"/>
    <n v="-2.5"/>
    <n v="-2.8260869565217401"/>
    <n v="-31.2"/>
    <n v="-5.0000000000000001E-4"/>
    <n v="3"/>
    <n v="0"/>
  </r>
  <r>
    <x v="5"/>
    <s v="Plain Baked Potato"/>
    <n v="270"/>
    <n v="0"/>
    <n v="0"/>
    <n v="0"/>
    <n v="0"/>
    <n v="0"/>
    <n v="25"/>
    <n v="61"/>
    <n v="7"/>
    <n v="3"/>
    <n v="7"/>
    <n v="266"/>
    <n v="2.5925925925925899"/>
    <n v="0"/>
    <n v="0"/>
    <m/>
    <n v="2.4282608695652201"/>
    <n v="0"/>
    <n v="-0.27173913043478298"/>
    <n v="-1.2"/>
    <n v="0"/>
    <n v="1.4"/>
    <n v="2.5"/>
  </r>
  <r>
    <x v="5"/>
    <s v="Sour Cream and Chive Baked Potato"/>
    <n v="310"/>
    <n v="0"/>
    <n v="2.5"/>
    <n v="2.5"/>
    <n v="0"/>
    <n v="10"/>
    <n v="35"/>
    <n v="63"/>
    <n v="7"/>
    <n v="4"/>
    <n v="8"/>
    <n v="309"/>
    <n v="2.5806451612903198"/>
    <n v="0"/>
    <n v="0"/>
    <m/>
    <n v="1.4945652173913"/>
    <n v="-0.625"/>
    <n v="-0.38043478260869601"/>
    <n v="-1.6"/>
    <n v="0"/>
    <n v="1.6"/>
    <n v="2.5"/>
  </r>
  <r>
    <x v="5"/>
    <s v="Sausage Biscuit"/>
    <n v="480"/>
    <n v="0"/>
    <n v="33"/>
    <n v="15"/>
    <n v="0"/>
    <n v="50"/>
    <n v="1010"/>
    <n v="35"/>
    <n v="1"/>
    <n v="5"/>
    <n v="12"/>
    <n v="488"/>
    <n v="2.5"/>
    <n v="1"/>
    <n v="0"/>
    <m/>
    <n v="-13.9711180124224"/>
    <n v="-3.75"/>
    <n v="-10.978260869565201"/>
    <n v="-2"/>
    <n v="0"/>
    <n v="2.4"/>
    <n v="0.35714285714285698"/>
  </r>
  <r>
    <x v="5"/>
    <s v="Two Sausage Biscuits"/>
    <n v="960"/>
    <n v="0"/>
    <n v="65"/>
    <n v="31"/>
    <n v="0"/>
    <n v="95"/>
    <n v="2020"/>
    <n v="70"/>
    <n v="3"/>
    <n v="10"/>
    <n v="23"/>
    <n v="978"/>
    <n v="2.3958333333333299"/>
    <n v="1"/>
    <n v="0"/>
    <m/>
    <n v="-28.035093167701898"/>
    <n v="-7.75"/>
    <n v="-21.956521739130402"/>
    <n v="-4"/>
    <n v="0"/>
    <n v="4.5999999999999996"/>
    <n v="1.0714285714285701"/>
  </r>
  <r>
    <x v="5"/>
    <s v="Sausage and Gravy Biscuit"/>
    <n v="490"/>
    <n v="0"/>
    <n v="29"/>
    <n v="14"/>
    <n v="0"/>
    <n v="20"/>
    <n v="1400"/>
    <n v="49"/>
    <n v="2"/>
    <n v="6"/>
    <n v="8"/>
    <n v="502"/>
    <n v="1.6326530612244901"/>
    <n v="1"/>
    <n v="0"/>
    <m/>
    <n v="-18.803105590062099"/>
    <n v="-3.5"/>
    <n v="-15.2173913043478"/>
    <n v="-2.4"/>
    <n v="0"/>
    <n v="1.6"/>
    <n v="0.71428571428571397"/>
  </r>
  <r>
    <x v="5"/>
    <s v="Seasoned Home-Style Potatoes, Medium"/>
    <n v="250"/>
    <n v="0"/>
    <n v="9"/>
    <n v="1.5"/>
    <n v="0"/>
    <n v="0"/>
    <n v="750"/>
    <n v="39"/>
    <n v="4"/>
    <n v="1"/>
    <n v="4"/>
    <n v="249"/>
    <n v="1.6"/>
    <n v="1"/>
    <n v="0"/>
    <m/>
    <n v="-6.6986024844720502"/>
    <n v="-0.375"/>
    <n v="-8.1521739130434803"/>
    <n v="-0.4"/>
    <n v="0"/>
    <n v="0.8"/>
    <n v="1.4285714285714299"/>
  </r>
  <r>
    <x v="5"/>
    <s v="Natural-Cut Fries, Small"/>
    <n v="320"/>
    <n v="0"/>
    <n v="15"/>
    <n v="2.5"/>
    <n v="0"/>
    <n v="0"/>
    <n v="320"/>
    <n v="43"/>
    <n v="4"/>
    <n v="0"/>
    <n v="5"/>
    <n v="318"/>
    <n v="1.5625"/>
    <n v="0"/>
    <n v="0"/>
    <m/>
    <n v="-1.67468944099379"/>
    <n v="-0.625"/>
    <n v="-3.47826086956522"/>
    <n v="0"/>
    <n v="0"/>
    <n v="1"/>
    <n v="1.4285714285714299"/>
  </r>
  <r>
    <x v="5"/>
    <s v="Natural-Cut Fries, Medium"/>
    <n v="420"/>
    <n v="0"/>
    <n v="19"/>
    <n v="3.5"/>
    <n v="0"/>
    <n v="0"/>
    <n v="420"/>
    <n v="56"/>
    <n v="5"/>
    <n v="0"/>
    <n v="6"/>
    <n v="418"/>
    <n v="1.4285714285714299"/>
    <n v="0"/>
    <n v="0"/>
    <m/>
    <n v="-2.4545031055900601"/>
    <n v="-0.875"/>
    <n v="-4.5652173913043503"/>
    <n v="0"/>
    <n v="0"/>
    <n v="1.2"/>
    <n v="1.78571428571429"/>
  </r>
  <r>
    <x v="5"/>
    <s v="Mocha Iced Coffee, Medium"/>
    <n v="210"/>
    <n v="0"/>
    <n v="8"/>
    <n v="5"/>
    <n v="0"/>
    <n v="25"/>
    <n v="40"/>
    <n v="32"/>
    <n v="0"/>
    <n v="28"/>
    <n v="3"/>
    <n v="240"/>
    <n v="1.4285714285714299"/>
    <n v="0"/>
    <n v="0"/>
    <m/>
    <n v="-12.2847826086957"/>
    <n v="-1.25"/>
    <n v="-0.434782608695652"/>
    <n v="-11.2"/>
    <n v="0"/>
    <n v="0.6"/>
    <n v="0"/>
  </r>
  <r>
    <x v="5"/>
    <s v="Seasoned Home-Style Potatoes, Large"/>
    <n v="360"/>
    <n v="0"/>
    <n v="13"/>
    <n v="2.5"/>
    <n v="0"/>
    <n v="0"/>
    <n v="1080"/>
    <n v="57"/>
    <n v="6"/>
    <n v="1"/>
    <n v="5"/>
    <n v="359"/>
    <n v="1.3888888888888899"/>
    <n v="1"/>
    <n v="0"/>
    <m/>
    <n v="-9.6212732919254709"/>
    <n v="-0.625"/>
    <n v="-11.7391304347826"/>
    <n v="-0.4"/>
    <n v="0"/>
    <n v="1"/>
    <n v="2.1428571428571401"/>
  </r>
  <r>
    <x v="5"/>
    <s v="Double Chocolate Chunk Cookie"/>
    <n v="290"/>
    <n v="0"/>
    <n v="14"/>
    <n v="7"/>
    <n v="0"/>
    <n v="20"/>
    <n v="230"/>
    <n v="39"/>
    <n v="4"/>
    <n v="21"/>
    <n v="4"/>
    <n v="314"/>
    <n v="1.3793103448275901"/>
    <n v="0"/>
    <n v="0"/>
    <m/>
    <n v="-10.421428571428599"/>
    <n v="-1.75"/>
    <n v="-2.5"/>
    <n v="-8.4"/>
    <n v="0"/>
    <n v="0.8"/>
    <n v="1.4285714285714299"/>
  </r>
  <r>
    <x v="5"/>
    <s v="Natural-Cut Fries, Large"/>
    <n v="530"/>
    <n v="0"/>
    <n v="24"/>
    <n v="4.5"/>
    <n v="0"/>
    <n v="0"/>
    <n v="520"/>
    <n v="70"/>
    <n v="6"/>
    <n v="0"/>
    <n v="7"/>
    <n v="528"/>
    <n v="1.32075471698113"/>
    <n v="1"/>
    <n v="0"/>
    <m/>
    <n v="-3.2343167701863398"/>
    <n v="-1.125"/>
    <n v="-5.6521739130434803"/>
    <n v="0"/>
    <n v="0"/>
    <n v="1.4"/>
    <n v="2.1428571428571401"/>
  </r>
  <r>
    <x v="5"/>
    <s v="Natural-Cut Fries, Junior"/>
    <n v="230"/>
    <n v="0"/>
    <n v="10"/>
    <n v="2"/>
    <n v="0"/>
    <n v="0"/>
    <n v="15"/>
    <n v="30"/>
    <n v="3"/>
    <n v="0"/>
    <n v="3"/>
    <n v="229"/>
    <n v="1.3043478260869601"/>
    <n v="0"/>
    <n v="0"/>
    <m/>
    <n v="1.0083850931677001"/>
    <n v="-0.5"/>
    <n v="-0.16304347826087001"/>
    <n v="0"/>
    <n v="0"/>
    <n v="0.6"/>
    <n v="1.0714285714285701"/>
  </r>
  <r>
    <x v="5"/>
    <s v="Seasoned Home-Style Potatoes, Small"/>
    <n v="230"/>
    <n v="0"/>
    <n v="8"/>
    <n v="1.5"/>
    <n v="0"/>
    <n v="0"/>
    <n v="680"/>
    <n v="35"/>
    <n v="4"/>
    <n v="0"/>
    <n v="3"/>
    <n v="229"/>
    <n v="1.3043478260869601"/>
    <n v="1"/>
    <n v="0"/>
    <m/>
    <n v="-5.7377329192546602"/>
    <n v="-0.375"/>
    <n v="-7.3913043478260896"/>
    <n v="0"/>
    <n v="0"/>
    <n v="0.6"/>
    <n v="1.4285714285714299"/>
  </r>
  <r>
    <x v="5"/>
    <s v="Caramel Iced Coffee, Medium"/>
    <n v="240"/>
    <n v="0"/>
    <n v="8"/>
    <n v="5"/>
    <n v="0"/>
    <n v="25"/>
    <n v="45"/>
    <n v="40"/>
    <n v="0"/>
    <n v="36"/>
    <n v="3"/>
    <n v="278"/>
    <n v="1.25"/>
    <n v="0"/>
    <n v="0"/>
    <m/>
    <n v="-15.539130434782599"/>
    <n v="-1.25"/>
    <n v="-0.48913043478260898"/>
    <n v="-14.4"/>
    <n v="0"/>
    <n v="0.6"/>
    <n v="0"/>
  </r>
  <r>
    <x v="5"/>
    <s v="Caramel Iced Coffee, Small"/>
    <n v="160"/>
    <n v="0"/>
    <n v="6"/>
    <n v="3.5"/>
    <n v="0"/>
    <n v="20"/>
    <n v="30"/>
    <n v="26"/>
    <n v="0"/>
    <n v="24"/>
    <n v="2"/>
    <n v="186"/>
    <n v="1.25"/>
    <n v="0"/>
    <n v="0"/>
    <m/>
    <n v="-10.4010869565217"/>
    <n v="-0.875"/>
    <n v="-0.32608695652173902"/>
    <n v="-9.6"/>
    <n v="0"/>
    <n v="0.4"/>
    <n v="0"/>
  </r>
  <r>
    <x v="5"/>
    <s v="Vanilla Iced Coffee, Medium"/>
    <n v="250"/>
    <n v="0"/>
    <n v="8"/>
    <n v="5"/>
    <n v="0"/>
    <n v="25"/>
    <n v="40"/>
    <n v="42"/>
    <n v="0"/>
    <n v="39"/>
    <n v="3"/>
    <n v="291"/>
    <n v="1.2"/>
    <n v="0"/>
    <n v="0"/>
    <m/>
    <n v="-16.684782608695699"/>
    <n v="-1.25"/>
    <n v="-0.434782608695652"/>
    <n v="-15.6"/>
    <n v="0"/>
    <n v="0.6"/>
    <n v="0"/>
  </r>
  <r>
    <x v="5"/>
    <s v="Mocha Iced Coffee, Small"/>
    <n v="170"/>
    <n v="0"/>
    <n v="6"/>
    <n v="3.5"/>
    <n v="0"/>
    <n v="20"/>
    <n v="30"/>
    <n v="28"/>
    <n v="0"/>
    <n v="25"/>
    <n v="2"/>
    <n v="197"/>
    <n v="1.1764705882352899"/>
    <n v="0"/>
    <n v="0"/>
    <m/>
    <n v="-10.801086956521701"/>
    <n v="-0.875"/>
    <n v="-0.32608695652173902"/>
    <n v="-10"/>
    <n v="0"/>
    <n v="0.4"/>
    <n v="0"/>
  </r>
  <r>
    <x v="5"/>
    <s v="Vanilla Iced Coffee, Small"/>
    <n v="170"/>
    <n v="0"/>
    <n v="6"/>
    <n v="3.5"/>
    <n v="0"/>
    <n v="20"/>
    <n v="30"/>
    <n v="28"/>
    <n v="0"/>
    <n v="26"/>
    <n v="2"/>
    <n v="198"/>
    <n v="1.1764705882352899"/>
    <n v="0"/>
    <n v="0"/>
    <m/>
    <n v="-11.201086956521699"/>
    <n v="-0.875"/>
    <n v="-0.32608695652173902"/>
    <n v="-10.4"/>
    <n v="0"/>
    <n v="0.4"/>
    <n v="0"/>
  </r>
  <r>
    <x v="5"/>
    <s v="Chocolate Chunk Cookie"/>
    <n v="310"/>
    <n v="0"/>
    <n v="16"/>
    <n v="8"/>
    <n v="0"/>
    <n v="20"/>
    <n v="210"/>
    <n v="40"/>
    <n v="2"/>
    <n v="24"/>
    <n v="3"/>
    <n v="339"/>
    <n v="0.967741935483871"/>
    <n v="0"/>
    <n v="0"/>
    <m/>
    <n v="-12.568322981366499"/>
    <n v="-2"/>
    <n v="-2.2826086956521698"/>
    <n v="-9.6"/>
    <n v="0"/>
    <n v="0.6"/>
    <n v="0.71428571428571397"/>
  </r>
  <r>
    <x v="5"/>
    <s v="Sugar Cookie"/>
    <n v="330"/>
    <n v="0"/>
    <n v="16"/>
    <n v="8"/>
    <n v="0"/>
    <n v="25"/>
    <n v="300"/>
    <n v="43"/>
    <n v="1"/>
    <n v="24"/>
    <n v="3"/>
    <n v="359"/>
    <n v="0.90909090909090895"/>
    <n v="0"/>
    <n v="0"/>
    <m/>
    <n v="-13.903726708074499"/>
    <n v="-2"/>
    <n v="-3.2608695652173898"/>
    <n v="-9.6"/>
    <n v="0"/>
    <n v="0.6"/>
    <n v="0.35714285714285698"/>
  </r>
  <r>
    <x v="5"/>
    <s v="S‚ÄôAwesome Sauce"/>
    <n v="120"/>
    <n v="0"/>
    <n v="12"/>
    <n v="2"/>
    <n v="0"/>
    <n v="0"/>
    <n v="170"/>
    <n v="4"/>
    <n v="1"/>
    <n v="3"/>
    <n v="1"/>
    <n v="124"/>
    <n v="0.83333333333333304"/>
    <n v="0"/>
    <n v="0"/>
    <m/>
    <n v="-2.9906832298136599"/>
    <n v="-0.5"/>
    <n v="-1.84782608695652"/>
    <n v="-1.2"/>
    <n v="0"/>
    <n v="0.2"/>
    <n v="0.35714285714285698"/>
  </r>
  <r>
    <x v="5"/>
    <s v="Apple Bites"/>
    <n v="35"/>
    <n v="0"/>
    <n v="0"/>
    <n v="0"/>
    <n v="0"/>
    <n v="0"/>
    <n v="0"/>
    <n v="9"/>
    <n v="2"/>
    <n v="7"/>
    <n v="0"/>
    <n v="42"/>
    <n v="0"/>
    <n v="0"/>
    <n v="0"/>
    <m/>
    <n v="-2.0857142857142899"/>
    <n v="0"/>
    <n v="0"/>
    <n v="-2.8"/>
    <n v="0"/>
    <n v="0"/>
    <n v="0.71428571428571397"/>
  </r>
  <r>
    <x v="5"/>
    <s v="Summer Berry Burst Fruit Cup"/>
    <n v="20"/>
    <n v="0"/>
    <n v="0"/>
    <n v="0"/>
    <n v="0"/>
    <n v="0"/>
    <n v="0"/>
    <n v="5"/>
    <n v="1"/>
    <n v="3"/>
    <n v="0"/>
    <n v="23"/>
    <n v="0"/>
    <n v="0"/>
    <n v="0"/>
    <m/>
    <n v="-0.84285714285714297"/>
    <n v="0"/>
    <n v="0"/>
    <n v="-1.2"/>
    <n v="0"/>
    <n v="0"/>
    <n v="0.35714285714285698"/>
  </r>
  <r>
    <x v="5"/>
    <s v="All-Natural Lemonade, Large"/>
    <n v="380"/>
    <n v="0"/>
    <n v="0"/>
    <n v="0"/>
    <n v="0"/>
    <n v="0"/>
    <n v="0"/>
    <n v="100"/>
    <n v="0"/>
    <n v="93"/>
    <n v="0"/>
    <n v="473"/>
    <n v="0"/>
    <n v="0"/>
    <n v="0"/>
    <m/>
    <n v="-37.200000000000003"/>
    <n v="0"/>
    <n v="0"/>
    <n v="-37.200000000000003"/>
    <n v="0"/>
    <n v="0"/>
    <n v="0"/>
  </r>
  <r>
    <x v="5"/>
    <s v="All-Natural Lemonade, Medium"/>
    <n v="330"/>
    <n v="0"/>
    <n v="0"/>
    <n v="0"/>
    <n v="0"/>
    <n v="0"/>
    <n v="0"/>
    <n v="86"/>
    <n v="0"/>
    <n v="81"/>
    <n v="0"/>
    <n v="411"/>
    <n v="0"/>
    <n v="0"/>
    <n v="0"/>
    <m/>
    <n v="-32.4"/>
    <n v="0"/>
    <n v="0"/>
    <n v="-32.4"/>
    <n v="0"/>
    <n v="0"/>
    <n v="0"/>
  </r>
  <r>
    <x v="5"/>
    <s v="All-Natural Lemonade, Small"/>
    <n v="190"/>
    <n v="0"/>
    <n v="0"/>
    <n v="0"/>
    <n v="0"/>
    <n v="0"/>
    <n v="0"/>
    <n v="50"/>
    <n v="0"/>
    <n v="47"/>
    <n v="0"/>
    <n v="237"/>
    <n v="0"/>
    <n v="0"/>
    <n v="0"/>
    <m/>
    <n v="-18.8"/>
    <n v="0"/>
    <n v="0"/>
    <n v="-18.8"/>
    <n v="0"/>
    <n v="0"/>
    <n v="0"/>
  </r>
  <r>
    <x v="5"/>
    <s v="Apple Kiwi Fruit Tea, Large"/>
    <n v="330"/>
    <n v="0"/>
    <n v="0"/>
    <n v="0"/>
    <n v="0"/>
    <n v="0"/>
    <n v="60"/>
    <n v="83"/>
    <n v="0"/>
    <n v="80"/>
    <n v="0"/>
    <n v="410"/>
    <n v="0"/>
    <n v="0"/>
    <n v="0"/>
    <m/>
    <n v="-32.652173913043498"/>
    <n v="0"/>
    <n v="-0.65217391304347805"/>
    <n v="-32"/>
    <n v="0"/>
    <n v="0"/>
    <n v="0"/>
  </r>
  <r>
    <x v="5"/>
    <s v="Apple Kiwi Fruit Tea, Medium"/>
    <n v="300"/>
    <n v="0"/>
    <n v="0"/>
    <n v="0"/>
    <n v="0"/>
    <n v="0"/>
    <n v="50"/>
    <n v="76"/>
    <n v="0"/>
    <n v="73"/>
    <n v="0"/>
    <n v="373"/>
    <n v="0"/>
    <n v="0"/>
    <n v="0"/>
    <m/>
    <n v="-29.743478260869601"/>
    <n v="0"/>
    <n v="-0.54347826086956497"/>
    <n v="-29.2"/>
    <n v="0"/>
    <n v="0"/>
    <n v="0"/>
  </r>
  <r>
    <x v="5"/>
    <s v="Apple Kiwi Fruit Tea, Small"/>
    <n v="170"/>
    <n v="0"/>
    <n v="0"/>
    <n v="0"/>
    <n v="0"/>
    <n v="0"/>
    <n v="30"/>
    <n v="44"/>
    <n v="0"/>
    <n v="42"/>
    <n v="0"/>
    <n v="212"/>
    <n v="0"/>
    <n v="0"/>
    <n v="0"/>
    <m/>
    <n v="-17.1260869565217"/>
    <n v="0"/>
    <n v="-0.32608695652173902"/>
    <n v="-16.8"/>
    <n v="0"/>
    <n v="0"/>
    <n v="0"/>
  </r>
  <r>
    <x v="5"/>
    <s v="Barq‚Äôs Root Beer, Large"/>
    <n v="450"/>
    <n v="0"/>
    <n v="0"/>
    <n v="0"/>
    <n v="0"/>
    <n v="0"/>
    <n v="180"/>
    <n v="122"/>
    <n v="0"/>
    <n v="122"/>
    <n v="0"/>
    <n v="572"/>
    <n v="0"/>
    <n v="0"/>
    <n v="0"/>
    <m/>
    <n v="-50.756521739130399"/>
    <n v="0"/>
    <n v="-1.9565217391304399"/>
    <n v="-48.8"/>
    <n v="0"/>
    <n v="0"/>
    <n v="0"/>
  </r>
  <r>
    <x v="5"/>
    <s v="Barq‚Äôs Root Beer, Medium"/>
    <n v="360"/>
    <n v="0"/>
    <n v="0"/>
    <n v="0"/>
    <n v="0"/>
    <n v="0"/>
    <n v="150"/>
    <n v="98"/>
    <n v="0"/>
    <n v="98"/>
    <n v="0"/>
    <n v="458"/>
    <n v="0"/>
    <n v="0"/>
    <n v="0"/>
    <m/>
    <n v="-40.830434782608698"/>
    <n v="0"/>
    <n v="-1.6304347826087"/>
    <n v="-39.200000000000003"/>
    <n v="0"/>
    <n v="0"/>
    <n v="0"/>
  </r>
  <r>
    <x v="5"/>
    <s v="Barq‚Äôs Root Beer, Small"/>
    <n v="220"/>
    <n v="0"/>
    <n v="0"/>
    <n v="0"/>
    <n v="0"/>
    <n v="0"/>
    <n v="90"/>
    <n v="61"/>
    <n v="0"/>
    <n v="61"/>
    <n v="0"/>
    <n v="281"/>
    <n v="0"/>
    <n v="0"/>
    <n v="0"/>
    <m/>
    <n v="-25.378260869565199"/>
    <n v="0"/>
    <n v="-0.97826086956521796"/>
    <n v="-24.4"/>
    <n v="0"/>
    <n v="0"/>
    <n v="0"/>
  </r>
  <r>
    <x v="5"/>
    <s v="Brewed Unsweetened Iced Tea, Large"/>
    <n v="5"/>
    <n v="0"/>
    <n v="0"/>
    <n v="0"/>
    <n v="0"/>
    <n v="0"/>
    <n v="25"/>
    <n v="2"/>
    <n v="0"/>
    <n v="0"/>
    <n v="0"/>
    <n v="5"/>
    <n v="0"/>
    <n v="0"/>
    <n v="0"/>
    <m/>
    <n v="-0.27173913043478298"/>
    <n v="0"/>
    <n v="-0.27173913043478298"/>
    <n v="0"/>
    <n v="0"/>
    <n v="0"/>
    <n v="0"/>
  </r>
  <r>
    <x v="5"/>
    <s v="Brewed Unsweetened Iced Tea, Medium"/>
    <n v="0"/>
    <n v="0"/>
    <n v="0"/>
    <n v="0"/>
    <n v="0"/>
    <n v="0"/>
    <n v="15"/>
    <n v="1"/>
    <n v="0"/>
    <n v="0"/>
    <n v="0"/>
    <n v="0"/>
    <n v="0"/>
    <n v="0"/>
    <n v="0"/>
    <m/>
    <n v="-0.16304347826087001"/>
    <n v="0"/>
    <n v="-0.16304347826087001"/>
    <n v="0"/>
    <n v="0"/>
    <n v="0"/>
    <n v="0"/>
  </r>
  <r>
    <x v="5"/>
    <s v="Brewed Unsweetened Iced Tea, Small"/>
    <n v="0"/>
    <n v="0"/>
    <n v="0"/>
    <n v="0"/>
    <n v="0"/>
    <n v="0"/>
    <n v="10"/>
    <n v="1"/>
    <n v="0"/>
    <n v="0"/>
    <n v="0"/>
    <n v="0"/>
    <n v="0"/>
    <n v="0"/>
    <n v="0"/>
    <m/>
    <n v="-0.108695652173913"/>
    <n v="0"/>
    <n v="-0.108695652173913"/>
    <n v="0"/>
    <n v="0"/>
    <n v="0"/>
    <n v="0"/>
  </r>
  <r>
    <x v="5"/>
    <s v="Coca-Cola, Large"/>
    <n v="400"/>
    <n v="0"/>
    <n v="0"/>
    <n v="0"/>
    <n v="0"/>
    <n v="0"/>
    <n v="90"/>
    <n v="109"/>
    <n v="0"/>
    <n v="109"/>
    <n v="0"/>
    <n v="509"/>
    <n v="0"/>
    <n v="0"/>
    <n v="0"/>
    <m/>
    <n v="-44.578260869565199"/>
    <n v="0"/>
    <n v="-0.97826086956521796"/>
    <n v="-43.6"/>
    <n v="0"/>
    <n v="0"/>
    <n v="0"/>
  </r>
  <r>
    <x v="5"/>
    <s v="Coca-Cola, Medium"/>
    <n v="320"/>
    <n v="0"/>
    <n v="0"/>
    <n v="0"/>
    <n v="0"/>
    <n v="0"/>
    <n v="70"/>
    <n v="87"/>
    <n v="0"/>
    <n v="87"/>
    <n v="0"/>
    <n v="407"/>
    <n v="0"/>
    <n v="0"/>
    <n v="0"/>
    <m/>
    <n v="-35.560869565217402"/>
    <n v="0"/>
    <n v="-0.76086956521739102"/>
    <n v="-34.799999999999997"/>
    <n v="0"/>
    <n v="0"/>
    <n v="0"/>
  </r>
  <r>
    <x v="5"/>
    <s v="Coca-Cola, Small"/>
    <n v="200"/>
    <n v="0"/>
    <n v="0"/>
    <n v="0"/>
    <n v="0"/>
    <n v="0"/>
    <n v="45"/>
    <n v="54"/>
    <n v="0"/>
    <n v="54"/>
    <n v="0"/>
    <n v="254"/>
    <n v="0"/>
    <n v="0"/>
    <n v="0"/>
    <m/>
    <n v="-22.0891304347826"/>
    <n v="0"/>
    <n v="-0.48913043478260898"/>
    <n v="-21.6"/>
    <n v="0"/>
    <n v="0"/>
    <n v="0"/>
  </r>
  <r>
    <x v="5"/>
    <s v="Coca-Cola Zero Sugar, Large"/>
    <n v="0"/>
    <n v="0"/>
    <n v="0"/>
    <n v="0"/>
    <n v="0"/>
    <n v="0"/>
    <n v="100"/>
    <n v="1"/>
    <n v="0"/>
    <n v="0"/>
    <n v="0"/>
    <n v="0"/>
    <n v="0"/>
    <n v="0"/>
    <n v="0"/>
    <m/>
    <n v="-1.0869565217391299"/>
    <n v="0"/>
    <n v="-1.0869565217391299"/>
    <n v="0"/>
    <n v="0"/>
    <n v="0"/>
    <n v="0"/>
  </r>
  <r>
    <x v="5"/>
    <s v="Coca-Cola Zero Sugar, Medium"/>
    <n v="0"/>
    <n v="0"/>
    <n v="0"/>
    <n v="0"/>
    <n v="0"/>
    <n v="0"/>
    <n v="80"/>
    <n v="1"/>
    <n v="0"/>
    <n v="0"/>
    <n v="0"/>
    <n v="0"/>
    <n v="0"/>
    <n v="0"/>
    <n v="0"/>
    <m/>
    <n v="-0.86956521739130399"/>
    <n v="0"/>
    <n v="-0.86956521739130399"/>
    <n v="0"/>
    <n v="0"/>
    <n v="0"/>
    <n v="0"/>
  </r>
  <r>
    <x v="5"/>
    <s v="Coca-Cola Zero Sugar, Small"/>
    <n v="0"/>
    <n v="0"/>
    <n v="0"/>
    <n v="0"/>
    <n v="0"/>
    <n v="0"/>
    <n v="50"/>
    <n v="0"/>
    <n v="0"/>
    <n v="0"/>
    <n v="0"/>
    <n v="0"/>
    <n v="0"/>
    <n v="0"/>
    <n v="0"/>
    <m/>
    <n v="-0.54347826086956497"/>
    <n v="0"/>
    <n v="-0.54347826086956497"/>
    <n v="0"/>
    <n v="0"/>
    <n v="0"/>
    <n v="0"/>
  </r>
  <r>
    <x v="5"/>
    <s v="Diet Coke, Large"/>
    <n v="0"/>
    <n v="0"/>
    <n v="0"/>
    <n v="0"/>
    <n v="0"/>
    <n v="0"/>
    <n v="125"/>
    <n v="1"/>
    <n v="0"/>
    <n v="0"/>
    <n v="0"/>
    <n v="0"/>
    <n v="0"/>
    <n v="0"/>
    <n v="0"/>
    <m/>
    <n v="-1.35869565217391"/>
    <n v="0"/>
    <n v="-1.35869565217391"/>
    <n v="0"/>
    <n v="0"/>
    <n v="0"/>
    <n v="0"/>
  </r>
  <r>
    <x v="5"/>
    <s v="Diet Coke, Medium"/>
    <n v="0"/>
    <n v="0"/>
    <n v="0"/>
    <n v="0"/>
    <n v="0"/>
    <n v="0"/>
    <n v="100"/>
    <n v="1"/>
    <n v="0"/>
    <n v="0"/>
    <n v="0"/>
    <n v="0"/>
    <n v="0"/>
    <n v="0"/>
    <n v="0"/>
    <m/>
    <n v="-1.0869565217391299"/>
    <n v="0"/>
    <n v="-1.0869565217391299"/>
    <n v="0"/>
    <n v="0"/>
    <n v="0"/>
    <n v="0"/>
  </r>
  <r>
    <x v="5"/>
    <s v="Diet Coke, Small"/>
    <n v="0"/>
    <n v="0"/>
    <n v="0"/>
    <n v="0"/>
    <n v="0"/>
    <n v="0"/>
    <n v="45"/>
    <n v="0"/>
    <n v="0"/>
    <n v="0"/>
    <n v="0"/>
    <n v="0"/>
    <n v="0"/>
    <n v="0"/>
    <n v="0"/>
    <m/>
    <n v="-0.48913043478260898"/>
    <n v="0"/>
    <n v="-0.48913043478260898"/>
    <n v="0"/>
    <n v="0"/>
    <n v="0"/>
    <n v="0"/>
  </r>
  <r>
    <x v="5"/>
    <s v="Dr Pepper, Large"/>
    <n v="240"/>
    <n v="0"/>
    <n v="0"/>
    <n v="0"/>
    <n v="0"/>
    <n v="0"/>
    <n v="70"/>
    <n v="66"/>
    <n v="0"/>
    <n v="64"/>
    <n v="0"/>
    <n v="304"/>
    <n v="0"/>
    <n v="0"/>
    <n v="0"/>
    <m/>
    <n v="-26.360869565217399"/>
    <n v="0"/>
    <n v="-0.76086956521739102"/>
    <n v="-25.6"/>
    <n v="0"/>
    <n v="0"/>
    <n v="0"/>
  </r>
  <r>
    <x v="5"/>
    <s v="Dr Pepper, Medium"/>
    <n v="190"/>
    <n v="0"/>
    <n v="0"/>
    <n v="0"/>
    <n v="0"/>
    <n v="0"/>
    <n v="55"/>
    <n v="53"/>
    <n v="0"/>
    <n v="51"/>
    <n v="0"/>
    <n v="241"/>
    <n v="0"/>
    <n v="0"/>
    <n v="0"/>
    <m/>
    <n v="-20.997826086956501"/>
    <n v="0"/>
    <n v="-0.59782608695652195"/>
    <n v="-20.399999999999999"/>
    <n v="0"/>
    <n v="0"/>
    <n v="0"/>
  </r>
  <r>
    <x v="5"/>
    <s v="Dr Pepper, Small"/>
    <n v="120"/>
    <n v="0"/>
    <n v="0"/>
    <n v="0"/>
    <n v="0"/>
    <n v="0"/>
    <n v="35"/>
    <n v="33"/>
    <n v="0"/>
    <n v="32"/>
    <n v="0"/>
    <n v="152"/>
    <n v="0"/>
    <n v="0"/>
    <n v="0"/>
    <m/>
    <n v="-13.1804347826087"/>
    <n v="0"/>
    <n v="-0.38043478260869601"/>
    <n v="-12.8"/>
    <n v="0"/>
    <n v="0"/>
    <n v="0"/>
  </r>
  <r>
    <x v="5"/>
    <s v="Fanta Orange, Large"/>
    <n v="430"/>
    <n v="0"/>
    <n v="0"/>
    <n v="0"/>
    <n v="0"/>
    <n v="0"/>
    <n v="110"/>
    <n v="117"/>
    <n v="0"/>
    <n v="115"/>
    <n v="0"/>
    <n v="545"/>
    <n v="0"/>
    <n v="0"/>
    <n v="0"/>
    <m/>
    <n v="-47.195652173912997"/>
    <n v="0"/>
    <n v="-1.1956521739130399"/>
    <n v="-46"/>
    <n v="0"/>
    <n v="0"/>
    <n v="0"/>
  </r>
  <r>
    <x v="5"/>
    <s v="Fanta Orange, Medium"/>
    <n v="340"/>
    <n v="0"/>
    <n v="0"/>
    <n v="0"/>
    <n v="0"/>
    <n v="0"/>
    <n v="85"/>
    <n v="94"/>
    <n v="0"/>
    <n v="92"/>
    <n v="0"/>
    <n v="432"/>
    <n v="0"/>
    <n v="0"/>
    <n v="0"/>
    <m/>
    <n v="-37.723913043478298"/>
    <n v="0"/>
    <n v="-0.92391304347826098"/>
    <n v="-36.799999999999997"/>
    <n v="0"/>
    <n v="0"/>
    <n v="0"/>
  </r>
  <r>
    <x v="5"/>
    <s v="Fanta Orange, Small"/>
    <n v="210"/>
    <n v="0"/>
    <n v="0"/>
    <n v="0"/>
    <n v="0"/>
    <n v="0"/>
    <n v="55"/>
    <n v="59"/>
    <n v="0"/>
    <n v="58"/>
    <n v="0"/>
    <n v="268"/>
    <n v="0"/>
    <n v="0"/>
    <n v="0"/>
    <m/>
    <n v="-23.797826086956501"/>
    <n v="0"/>
    <n v="-0.59782608695652195"/>
    <n v="-23.2"/>
    <n v="0"/>
    <n v="0"/>
    <n v="0"/>
  </r>
  <r>
    <x v="5"/>
    <s v="Hi-C Flashin‚Äô Fruit Punch, Large"/>
    <n v="420"/>
    <n v="0"/>
    <n v="0"/>
    <n v="0"/>
    <n v="0"/>
    <n v="0"/>
    <n v="140"/>
    <n v="115"/>
    <n v="0"/>
    <n v="113"/>
    <n v="0"/>
    <n v="533"/>
    <n v="0"/>
    <n v="0"/>
    <n v="0"/>
    <m/>
    <n v="-46.721739130434798"/>
    <n v="0"/>
    <n v="-1.52173913043478"/>
    <n v="-45.2"/>
    <n v="0"/>
    <n v="0"/>
    <n v="0"/>
  </r>
  <r>
    <x v="5"/>
    <s v="Hi-C Flashin‚Äô Fruit Punch, Medium"/>
    <n v="340"/>
    <n v="0"/>
    <n v="0"/>
    <n v="0"/>
    <n v="0"/>
    <n v="0"/>
    <n v="115"/>
    <n v="92"/>
    <n v="0"/>
    <n v="90"/>
    <n v="0"/>
    <n v="430"/>
    <n v="0"/>
    <n v="0"/>
    <n v="0"/>
    <m/>
    <n v="-37.25"/>
    <n v="0"/>
    <n v="-1.25"/>
    <n v="-36"/>
    <n v="0"/>
    <n v="0"/>
    <n v="0"/>
  </r>
  <r>
    <x v="5"/>
    <s v="Hi-C Flashin‚Äô Fruit Punch, Small"/>
    <n v="210"/>
    <n v="0"/>
    <n v="0"/>
    <n v="0"/>
    <n v="0"/>
    <n v="0"/>
    <n v="70"/>
    <n v="58"/>
    <n v="0"/>
    <n v="56"/>
    <n v="0"/>
    <n v="266"/>
    <n v="0"/>
    <n v="0"/>
    <n v="0"/>
    <m/>
    <n v="-23.1608695652174"/>
    <n v="0"/>
    <n v="-0.76086956521739102"/>
    <n v="-22.4"/>
    <n v="0"/>
    <n v="0"/>
    <n v="0"/>
  </r>
  <r>
    <x v="5"/>
    <s v="Honest Tropical Green Tea, Large"/>
    <n v="110"/>
    <n v="0"/>
    <n v="0"/>
    <n v="0"/>
    <n v="0"/>
    <n v="0"/>
    <n v="55"/>
    <n v="29"/>
    <n v="0"/>
    <n v="29"/>
    <n v="0"/>
    <n v="139"/>
    <n v="0"/>
    <n v="0"/>
    <n v="0"/>
    <m/>
    <n v="-12.1978260869565"/>
    <n v="0"/>
    <n v="-0.59782608695652195"/>
    <n v="-11.6"/>
    <n v="0"/>
    <n v="0"/>
    <n v="0"/>
  </r>
  <r>
    <x v="5"/>
    <s v="Honest Tropical Green Tea, Medium"/>
    <n v="90"/>
    <n v="0"/>
    <n v="0"/>
    <n v="0"/>
    <n v="0"/>
    <n v="0"/>
    <n v="40"/>
    <n v="22"/>
    <n v="0"/>
    <n v="22"/>
    <n v="0"/>
    <n v="112"/>
    <n v="0"/>
    <n v="0"/>
    <n v="0"/>
    <m/>
    <n v="-9.2347826086956495"/>
    <n v="0"/>
    <n v="-0.434782608695652"/>
    <n v="-8.8000000000000007"/>
    <n v="0"/>
    <n v="0"/>
    <n v="0"/>
  </r>
  <r>
    <x v="5"/>
    <s v="Honest Tropical Green Tea, Small"/>
    <n v="60"/>
    <n v="0"/>
    <n v="0"/>
    <n v="0"/>
    <n v="0"/>
    <n v="0"/>
    <n v="25"/>
    <n v="14"/>
    <n v="0"/>
    <n v="14"/>
    <n v="0"/>
    <n v="74"/>
    <n v="0"/>
    <n v="0"/>
    <n v="0"/>
    <m/>
    <n v="-5.8717391304347801"/>
    <n v="0"/>
    <n v="-0.27173913043478298"/>
    <n v="-5.6"/>
    <n v="0"/>
    <n v="0"/>
    <n v="0"/>
  </r>
  <r>
    <x v="5"/>
    <s v="Hot Tea"/>
    <n v="0"/>
    <n v="0"/>
    <n v="0"/>
    <n v="0"/>
    <n v="0"/>
    <n v="0"/>
    <n v="0"/>
    <n v="1"/>
    <n v="0"/>
    <n v="0"/>
    <n v="0"/>
    <n v="0"/>
    <n v="0"/>
    <n v="0"/>
    <n v="0"/>
    <m/>
    <n v="0"/>
    <n v="0"/>
    <n v="0"/>
    <n v="0"/>
    <n v="0"/>
    <n v="0"/>
    <n v="0"/>
  </r>
  <r>
    <x v="5"/>
    <s v="Limeade, Large"/>
    <n v="460"/>
    <n v="0"/>
    <n v="0"/>
    <n v="0"/>
    <n v="0"/>
    <n v="0"/>
    <n v="55"/>
    <n v="117"/>
    <n v="0"/>
    <n v="111"/>
    <n v="0"/>
    <n v="571"/>
    <n v="0"/>
    <n v="0"/>
    <n v="0"/>
    <m/>
    <n v="-44.997826086956501"/>
    <n v="0"/>
    <n v="-0.59782608695652195"/>
    <n v="-44.4"/>
    <n v="0"/>
    <n v="0"/>
    <n v="0"/>
  </r>
  <r>
    <x v="5"/>
    <s v="Limeade, Medium"/>
    <n v="380"/>
    <n v="0"/>
    <n v="0"/>
    <n v="0"/>
    <n v="0"/>
    <n v="0"/>
    <n v="45"/>
    <n v="98"/>
    <n v="0"/>
    <n v="93"/>
    <n v="0"/>
    <n v="473"/>
    <n v="0"/>
    <n v="0"/>
    <n v="0"/>
    <m/>
    <n v="-37.689130434782598"/>
    <n v="0"/>
    <n v="-0.48913043478260898"/>
    <n v="-37.200000000000003"/>
    <n v="0"/>
    <n v="0"/>
    <n v="0"/>
  </r>
  <r>
    <x v="5"/>
    <s v="Limeade, Small"/>
    <n v="230"/>
    <n v="0"/>
    <n v="0"/>
    <n v="0"/>
    <n v="0"/>
    <n v="0"/>
    <n v="30"/>
    <n v="59"/>
    <n v="0"/>
    <n v="56"/>
    <n v="0"/>
    <n v="286"/>
    <n v="0"/>
    <n v="0"/>
    <n v="0"/>
    <m/>
    <n v="-22.726086956521701"/>
    <n v="0"/>
    <n v="-0.32608695652173902"/>
    <n v="-22.4"/>
    <n v="0"/>
    <n v="0"/>
    <n v="0"/>
  </r>
  <r>
    <x v="5"/>
    <s v="Minute Maid Light Lemonade, Large"/>
    <n v="15"/>
    <n v="0"/>
    <n v="0"/>
    <n v="0"/>
    <n v="0"/>
    <n v="0"/>
    <n v="10"/>
    <n v="2"/>
    <n v="0"/>
    <n v="0"/>
    <n v="0"/>
    <n v="15"/>
    <n v="0"/>
    <n v="0"/>
    <n v="0"/>
    <m/>
    <n v="-0.108695652173913"/>
    <n v="0"/>
    <n v="-0.108695652173913"/>
    <n v="0"/>
    <n v="0"/>
    <n v="0"/>
    <n v="0"/>
  </r>
  <r>
    <x v="5"/>
    <s v="Minute Maid Light Lemonade, Medium"/>
    <n v="10"/>
    <n v="0"/>
    <n v="0"/>
    <n v="0"/>
    <n v="0"/>
    <n v="0"/>
    <n v="10"/>
    <n v="1"/>
    <n v="0"/>
    <n v="0"/>
    <n v="0"/>
    <n v="10"/>
    <n v="0"/>
    <n v="0"/>
    <n v="0"/>
    <m/>
    <n v="-0.108695652173913"/>
    <n v="0"/>
    <n v="-0.108695652173913"/>
    <n v="0"/>
    <n v="0"/>
    <n v="0"/>
    <n v="0"/>
  </r>
  <r>
    <x v="5"/>
    <s v="Minute Maid Light Lemonade, Small"/>
    <n v="5"/>
    <n v="0"/>
    <n v="0"/>
    <n v="0"/>
    <n v="0"/>
    <n v="0"/>
    <n v="5"/>
    <n v="1"/>
    <n v="0"/>
    <n v="0"/>
    <n v="0"/>
    <n v="5"/>
    <n v="0"/>
    <n v="0"/>
    <n v="0"/>
    <m/>
    <n v="-5.4347826086956499E-2"/>
    <n v="0"/>
    <n v="-5.4347826086956499E-2"/>
    <n v="0"/>
    <n v="0"/>
    <n v="0"/>
    <n v="0"/>
  </r>
  <r>
    <x v="5"/>
    <s v="Pear Berry Fruit Tea, Large"/>
    <n v="320"/>
    <n v="0"/>
    <n v="0"/>
    <n v="0"/>
    <n v="0"/>
    <n v="0"/>
    <n v="60"/>
    <n v="82"/>
    <n v="0"/>
    <n v="76"/>
    <n v="0"/>
    <n v="396"/>
    <n v="0"/>
    <n v="0"/>
    <n v="0"/>
    <m/>
    <n v="-31.0521739130435"/>
    <n v="0"/>
    <n v="-0.65217391304347805"/>
    <n v="-30.4"/>
    <n v="0"/>
    <n v="0"/>
    <n v="0"/>
  </r>
  <r>
    <x v="5"/>
    <s v="Pear Berry Fruit Tea, Medium"/>
    <n v="300"/>
    <n v="0"/>
    <n v="0"/>
    <n v="0"/>
    <n v="0"/>
    <n v="0"/>
    <n v="50"/>
    <n v="76"/>
    <n v="0"/>
    <n v="70"/>
    <n v="0"/>
    <n v="370"/>
    <n v="0"/>
    <n v="0"/>
    <n v="0"/>
    <m/>
    <n v="-28.543478260869598"/>
    <n v="0"/>
    <n v="-0.54347826086956497"/>
    <n v="-28"/>
    <n v="0"/>
    <n v="0"/>
    <n v="0"/>
  </r>
  <r>
    <x v="5"/>
    <s v="Pear Berry Fruit Tea, Small"/>
    <n v="170"/>
    <n v="0"/>
    <n v="0"/>
    <n v="0"/>
    <n v="0"/>
    <n v="0"/>
    <n v="30"/>
    <n v="44"/>
    <n v="0"/>
    <n v="40"/>
    <n v="0"/>
    <n v="210"/>
    <n v="0"/>
    <n v="0"/>
    <n v="0"/>
    <m/>
    <n v="-16.326086956521699"/>
    <n v="0"/>
    <n v="-0.32608695652173902"/>
    <n v="-16"/>
    <n v="0"/>
    <n v="0"/>
    <n v="0"/>
  </r>
  <r>
    <x v="5"/>
    <s v="Small Sprite, Small"/>
    <n v="200"/>
    <n v="0"/>
    <n v="0"/>
    <n v="0"/>
    <n v="0"/>
    <n v="0"/>
    <n v="90"/>
    <n v="53"/>
    <n v="0"/>
    <n v="53"/>
    <n v="0"/>
    <n v="253"/>
    <n v="0"/>
    <n v="0"/>
    <n v="0"/>
    <m/>
    <n v="-22.1782608695652"/>
    <n v="0"/>
    <n v="-0.97826086956521796"/>
    <n v="-21.2"/>
    <n v="0"/>
    <n v="0"/>
    <n v="0"/>
  </r>
  <r>
    <x v="5"/>
    <s v="Sprite, Large"/>
    <n v="390"/>
    <n v="0"/>
    <n v="0"/>
    <n v="0"/>
    <n v="0"/>
    <n v="0"/>
    <n v="180"/>
    <n v="105"/>
    <n v="0"/>
    <n v="105"/>
    <n v="0"/>
    <n v="495"/>
    <n v="0"/>
    <n v="0"/>
    <n v="0"/>
    <m/>
    <n v="-43.956521739130402"/>
    <n v="0"/>
    <n v="-1.9565217391304399"/>
    <n v="-42"/>
    <n v="0"/>
    <n v="0"/>
    <n v="0"/>
  </r>
  <r>
    <x v="5"/>
    <s v="Sprite, Medium"/>
    <n v="310"/>
    <n v="0"/>
    <n v="0"/>
    <n v="0"/>
    <n v="0"/>
    <n v="0"/>
    <n v="140"/>
    <n v="84"/>
    <n v="0"/>
    <n v="84"/>
    <n v="0"/>
    <n v="394"/>
    <n v="0"/>
    <n v="0"/>
    <n v="0"/>
    <m/>
    <n v="-35.121739130434797"/>
    <n v="0"/>
    <n v="-1.52173913043478"/>
    <n v="-33.6"/>
    <n v="0"/>
    <n v="0"/>
    <n v="0"/>
  </r>
  <r>
    <x v="5"/>
    <s v="Strawberry Lemonade, Large"/>
    <n v="480"/>
    <n v="0"/>
    <n v="0"/>
    <n v="0"/>
    <n v="0"/>
    <n v="0"/>
    <n v="55"/>
    <n v="121"/>
    <n v="0"/>
    <n v="114"/>
    <n v="0"/>
    <n v="594"/>
    <n v="0"/>
    <n v="0"/>
    <n v="0"/>
    <m/>
    <n v="-46.197826086956503"/>
    <n v="0"/>
    <n v="-0.59782608695652195"/>
    <n v="-45.6"/>
    <n v="0"/>
    <n v="0"/>
    <n v="0"/>
  </r>
  <r>
    <x v="5"/>
    <s v="Strawberry Lemonade, Medium"/>
    <n v="380"/>
    <n v="0"/>
    <n v="0"/>
    <n v="0"/>
    <n v="0"/>
    <n v="0"/>
    <n v="45"/>
    <n v="98"/>
    <n v="0"/>
    <n v="92"/>
    <n v="0"/>
    <n v="472"/>
    <n v="0"/>
    <n v="0"/>
    <n v="0"/>
    <m/>
    <n v="-37.289130434782599"/>
    <n v="0"/>
    <n v="-0.48913043478260898"/>
    <n v="-36.799999999999997"/>
    <n v="0"/>
    <n v="0"/>
    <n v="0"/>
  </r>
  <r>
    <x v="5"/>
    <s v="Strawberry Lemonade, Small"/>
    <n v="230"/>
    <n v="0"/>
    <n v="0"/>
    <n v="0"/>
    <n v="0"/>
    <n v="0"/>
    <n v="30"/>
    <n v="58"/>
    <n v="0"/>
    <n v="54"/>
    <n v="0"/>
    <n v="284"/>
    <n v="0"/>
    <n v="0"/>
    <n v="0"/>
    <m/>
    <n v="-21.926086956521701"/>
    <n v="0"/>
    <n v="-0.32608695652173902"/>
    <n v="-21.6"/>
    <n v="0"/>
    <n v="0"/>
    <n v="0"/>
  </r>
  <r>
    <x v="5"/>
    <s v="Strawberry Sweet Tea, Large"/>
    <n v="270"/>
    <n v="0"/>
    <n v="0"/>
    <n v="0"/>
    <n v="0"/>
    <n v="0"/>
    <n v="15"/>
    <n v="69"/>
    <n v="0"/>
    <n v="67"/>
    <n v="0"/>
    <n v="337"/>
    <n v="0"/>
    <n v="0"/>
    <n v="0"/>
    <m/>
    <n v="-26.9630434782609"/>
    <n v="0"/>
    <n v="-0.16304347826087001"/>
    <n v="-26.8"/>
    <n v="0"/>
    <n v="0"/>
    <n v="0"/>
  </r>
  <r>
    <x v="5"/>
    <s v="Strawberry Sweet Tea, Medium"/>
    <n v="240"/>
    <n v="0"/>
    <n v="0"/>
    <n v="0"/>
    <n v="0"/>
    <n v="0"/>
    <n v="15"/>
    <n v="60"/>
    <n v="0"/>
    <n v="59"/>
    <n v="0"/>
    <n v="299"/>
    <n v="0"/>
    <n v="0"/>
    <n v="0"/>
    <m/>
    <n v="-23.763043478260901"/>
    <n v="0"/>
    <n v="-0.16304347826087001"/>
    <n v="-23.6"/>
    <n v="0"/>
    <n v="0"/>
    <n v="0"/>
  </r>
  <r>
    <x v="5"/>
    <s v="Strawberry Sweet Tea, Small"/>
    <n v="140"/>
    <n v="0"/>
    <n v="0"/>
    <n v="0"/>
    <n v="0"/>
    <n v="0"/>
    <n v="10"/>
    <n v="36"/>
    <n v="0"/>
    <n v="35"/>
    <n v="0"/>
    <n v="175"/>
    <n v="0"/>
    <n v="0"/>
    <n v="0"/>
    <m/>
    <n v="-14.1086956521739"/>
    <n v="0"/>
    <n v="-0.108695652173913"/>
    <n v="-14"/>
    <n v="0"/>
    <n v="0"/>
    <n v="0"/>
  </r>
  <r>
    <x v="5"/>
    <s v="Strawberry Tea, Large"/>
    <n v="90"/>
    <n v="0"/>
    <n v="0"/>
    <n v="0"/>
    <n v="0"/>
    <n v="0"/>
    <n v="20"/>
    <n v="22"/>
    <n v="0"/>
    <n v="20"/>
    <n v="0"/>
    <n v="110"/>
    <n v="0"/>
    <n v="0"/>
    <n v="0"/>
    <m/>
    <n v="-8.2173913043478297"/>
    <n v="0"/>
    <n v="-0.217391304347826"/>
    <n v="-8"/>
    <n v="0"/>
    <n v="0"/>
    <n v="0"/>
  </r>
  <r>
    <x v="5"/>
    <s v="Strawberry Tea, Medium"/>
    <n v="60"/>
    <n v="0"/>
    <n v="0"/>
    <n v="0"/>
    <n v="0"/>
    <n v="0"/>
    <n v="15"/>
    <n v="16"/>
    <n v="0"/>
    <n v="14"/>
    <n v="0"/>
    <n v="74"/>
    <n v="0"/>
    <n v="0"/>
    <n v="0"/>
    <m/>
    <n v="-5.7630434782608697"/>
    <n v="0"/>
    <n v="-0.16304347826087001"/>
    <n v="-5.6"/>
    <n v="0"/>
    <n v="0"/>
    <n v="0"/>
  </r>
  <r>
    <x v="5"/>
    <s v="Strawberry Tea, Small"/>
    <n v="45"/>
    <n v="0"/>
    <n v="0"/>
    <n v="0"/>
    <n v="0"/>
    <n v="0"/>
    <n v="10"/>
    <n v="11"/>
    <n v="0"/>
    <n v="10"/>
    <n v="0"/>
    <n v="55"/>
    <n v="0"/>
    <n v="0"/>
    <n v="0"/>
    <m/>
    <n v="-4.1086956521739104"/>
    <n v="0"/>
    <n v="-0.108695652173913"/>
    <n v="-4"/>
    <n v="0"/>
    <n v="0"/>
    <n v="0"/>
  </r>
  <r>
    <x v="5"/>
    <s v="Sweetened Iced Tea, Large"/>
    <n v="300"/>
    <n v="0"/>
    <n v="0"/>
    <n v="0"/>
    <n v="0"/>
    <n v="0"/>
    <n v="25"/>
    <n v="77"/>
    <n v="0"/>
    <n v="75"/>
    <n v="0"/>
    <n v="375"/>
    <n v="0"/>
    <n v="0"/>
    <n v="0"/>
    <m/>
    <n v="-30.271739130434799"/>
    <n v="0"/>
    <n v="-0.27173913043478298"/>
    <n v="-30"/>
    <n v="0"/>
    <n v="0"/>
    <n v="0"/>
  </r>
  <r>
    <x v="5"/>
    <s v="Sweetened Iced Tea, Medium"/>
    <n v="220"/>
    <n v="0"/>
    <n v="0"/>
    <n v="0"/>
    <n v="0"/>
    <n v="0"/>
    <n v="20"/>
    <n v="58"/>
    <n v="0"/>
    <n v="56"/>
    <n v="0"/>
    <n v="276"/>
    <n v="0"/>
    <n v="0"/>
    <n v="0"/>
    <m/>
    <n v="-22.617391304347802"/>
    <n v="0"/>
    <n v="-0.217391304347826"/>
    <n v="-22.4"/>
    <n v="0"/>
    <n v="0"/>
    <n v="0"/>
  </r>
  <r>
    <x v="5"/>
    <s v="Sweetened Iced Tea, Small"/>
    <n v="160"/>
    <n v="0"/>
    <n v="0"/>
    <n v="0"/>
    <n v="0"/>
    <n v="0"/>
    <n v="10"/>
    <n v="41"/>
    <n v="0"/>
    <n v="40"/>
    <n v="0"/>
    <n v="200"/>
    <n v="0"/>
    <n v="0"/>
    <n v="0"/>
    <m/>
    <n v="-16.1086956521739"/>
    <n v="0"/>
    <n v="-0.108695652173913"/>
    <n v="-16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CC1DC-8D97-453C-AD68-70A0F204AF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1" firstHeaderRow="1" firstDataRow="1" firstDataCol="1"/>
  <pivotFields count="25">
    <pivotField axis="axisRow" compact="0" outline="0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7">
    <i>
      <x v="3"/>
    </i>
    <i>
      <x v="4"/>
    </i>
    <i>
      <x v="2"/>
    </i>
    <i>
      <x v="5"/>
    </i>
    <i>
      <x v="1"/>
    </i>
    <i>
      <x/>
    </i>
    <i t="grand">
      <x/>
    </i>
  </rowItems>
  <colItems count="1">
    <i/>
  </colItems>
  <dataFields count="1">
    <dataField name="Average of HealthScore weight" fld="1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66E2-9023-BD42-8BDE-92E18FD94308}">
  <dimension ref="A1:AH1134"/>
  <sheetViews>
    <sheetView topLeftCell="B1" zoomScale="90" workbookViewId="0"/>
  </sheetViews>
  <sheetFormatPr baseColWidth="10" defaultColWidth="11" defaultRowHeight="16" x14ac:dyDescent="0.2"/>
  <cols>
    <col min="1" max="1" width="12.83203125" bestFit="1" customWidth="1"/>
    <col min="2" max="2" width="61.83203125" bestFit="1" customWidth="1"/>
    <col min="16" max="16" width="12.6640625" customWidth="1"/>
  </cols>
  <sheetData>
    <row r="1" spans="1:34" ht="68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</row>
    <row r="2" spans="1:34" x14ac:dyDescent="0.2">
      <c r="A2" t="s">
        <v>17</v>
      </c>
      <c r="B2" t="s">
        <v>18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O2" s="3">
        <f>M2/C2*100</f>
        <v>20</v>
      </c>
      <c r="P2">
        <f t="shared" ref="P2:P65" si="0">IF(I2&gt;2300*0.2,1,0)</f>
        <v>0</v>
      </c>
      <c r="Q2">
        <f t="shared" ref="Q2:Q65" si="1">IF(H2&gt;300,1,0)</f>
        <v>0</v>
      </c>
    </row>
    <row r="3" spans="1:34" x14ac:dyDescent="0.2">
      <c r="A3" t="s">
        <v>17</v>
      </c>
      <c r="B3" t="s">
        <v>19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O3" s="3">
        <f>M3/C3*100</f>
        <v>20</v>
      </c>
      <c r="P3">
        <f t="shared" si="0"/>
        <v>0</v>
      </c>
      <c r="Q3">
        <f t="shared" si="1"/>
        <v>0</v>
      </c>
      <c r="AB3" s="12" t="s">
        <v>20</v>
      </c>
      <c r="AC3" s="12"/>
      <c r="AD3" s="12"/>
      <c r="AE3" s="12"/>
      <c r="AF3" s="12"/>
      <c r="AG3" s="12"/>
      <c r="AH3" s="12"/>
    </row>
    <row r="4" spans="1:34" x14ac:dyDescent="0.2">
      <c r="A4" t="s">
        <v>21</v>
      </c>
      <c r="B4" t="s">
        <v>22</v>
      </c>
      <c r="C4">
        <v>210</v>
      </c>
      <c r="D4" s="2">
        <v>0</v>
      </c>
      <c r="E4">
        <v>7</v>
      </c>
      <c r="F4">
        <v>2</v>
      </c>
      <c r="G4">
        <v>0</v>
      </c>
      <c r="H4">
        <v>130</v>
      </c>
      <c r="I4">
        <v>710</v>
      </c>
      <c r="J4">
        <v>0</v>
      </c>
      <c r="K4">
        <v>0</v>
      </c>
      <c r="L4">
        <v>0</v>
      </c>
      <c r="M4">
        <v>38</v>
      </c>
      <c r="N4">
        <v>174</v>
      </c>
      <c r="O4" s="3">
        <f>(M4/C4)*100</f>
        <v>18.095238095238095</v>
      </c>
      <c r="P4">
        <f t="shared" si="0"/>
        <v>1</v>
      </c>
      <c r="Q4">
        <f t="shared" si="1"/>
        <v>0</v>
      </c>
      <c r="AB4" s="12"/>
      <c r="AC4" s="12"/>
      <c r="AD4" s="12"/>
      <c r="AE4" s="12"/>
      <c r="AF4" s="12"/>
      <c r="AG4" s="12"/>
      <c r="AH4" s="12"/>
    </row>
    <row r="5" spans="1:34" x14ac:dyDescent="0.2">
      <c r="A5" t="s">
        <v>21</v>
      </c>
      <c r="B5" t="s">
        <v>23</v>
      </c>
      <c r="C5">
        <v>260</v>
      </c>
      <c r="D5" s="2">
        <v>0</v>
      </c>
      <c r="E5">
        <v>12</v>
      </c>
      <c r="F5">
        <v>3</v>
      </c>
      <c r="G5">
        <v>0</v>
      </c>
      <c r="H5">
        <v>130</v>
      </c>
      <c r="I5">
        <v>790</v>
      </c>
      <c r="J5">
        <v>1</v>
      </c>
      <c r="K5">
        <v>0</v>
      </c>
      <c r="L5">
        <v>0</v>
      </c>
      <c r="M5">
        <v>38</v>
      </c>
      <c r="N5">
        <v>225</v>
      </c>
      <c r="O5" s="3">
        <f>(M5/C5)*100</f>
        <v>14.615384615384617</v>
      </c>
      <c r="P5">
        <f t="shared" si="0"/>
        <v>1</v>
      </c>
      <c r="Q5">
        <f t="shared" si="1"/>
        <v>0</v>
      </c>
      <c r="AB5" s="12"/>
      <c r="AC5" s="12"/>
      <c r="AD5" s="12"/>
      <c r="AE5" s="12"/>
      <c r="AF5" s="12"/>
      <c r="AG5" s="12"/>
      <c r="AH5" s="12"/>
    </row>
    <row r="6" spans="1:34" x14ac:dyDescent="0.2">
      <c r="A6" t="s">
        <v>21</v>
      </c>
      <c r="B6" t="s">
        <v>24</v>
      </c>
      <c r="C6">
        <v>80</v>
      </c>
      <c r="D6" s="2">
        <v>0</v>
      </c>
      <c r="E6">
        <v>4</v>
      </c>
      <c r="F6">
        <v>1</v>
      </c>
      <c r="G6">
        <v>0</v>
      </c>
      <c r="H6">
        <v>55</v>
      </c>
      <c r="I6">
        <v>220</v>
      </c>
      <c r="J6">
        <v>0</v>
      </c>
      <c r="K6">
        <v>0</v>
      </c>
      <c r="L6">
        <v>0</v>
      </c>
      <c r="M6">
        <v>11</v>
      </c>
      <c r="N6">
        <v>70</v>
      </c>
      <c r="O6" s="3">
        <f t="shared" ref="O6:O69" si="2">M6/C6*100</f>
        <v>13.750000000000002</v>
      </c>
      <c r="P6">
        <f t="shared" si="0"/>
        <v>0</v>
      </c>
      <c r="Q6">
        <f t="shared" si="1"/>
        <v>0</v>
      </c>
      <c r="AB6" s="12"/>
      <c r="AC6" s="12"/>
      <c r="AD6" s="12"/>
      <c r="AE6" s="12"/>
      <c r="AF6" s="12"/>
      <c r="AG6" s="12"/>
      <c r="AH6" s="12"/>
    </row>
    <row r="7" spans="1:34" x14ac:dyDescent="0.2">
      <c r="A7" t="s">
        <v>25</v>
      </c>
      <c r="B7" t="s">
        <v>26</v>
      </c>
      <c r="C7">
        <v>220</v>
      </c>
      <c r="D7">
        <v>60</v>
      </c>
      <c r="E7">
        <v>6</v>
      </c>
      <c r="F7">
        <v>3</v>
      </c>
      <c r="G7">
        <v>0</v>
      </c>
      <c r="H7">
        <v>75</v>
      </c>
      <c r="I7">
        <v>890</v>
      </c>
      <c r="J7">
        <v>12</v>
      </c>
      <c r="K7">
        <v>3</v>
      </c>
      <c r="L7">
        <v>5</v>
      </c>
      <c r="M7">
        <v>30</v>
      </c>
      <c r="N7">
        <v>198</v>
      </c>
      <c r="O7" s="3">
        <f t="shared" si="2"/>
        <v>13.636363636363635</v>
      </c>
      <c r="P7">
        <f t="shared" si="0"/>
        <v>1</v>
      </c>
      <c r="Q7">
        <f t="shared" si="1"/>
        <v>0</v>
      </c>
      <c r="AB7" s="12"/>
      <c r="AC7" s="12"/>
      <c r="AD7" s="12"/>
      <c r="AE7" s="12"/>
      <c r="AF7" s="12"/>
      <c r="AG7" s="12"/>
      <c r="AH7" s="12"/>
    </row>
    <row r="8" spans="1:34" x14ac:dyDescent="0.2">
      <c r="A8" t="s">
        <v>21</v>
      </c>
      <c r="B8" t="s">
        <v>27</v>
      </c>
      <c r="C8">
        <v>70</v>
      </c>
      <c r="D8" s="2">
        <v>0</v>
      </c>
      <c r="E8">
        <v>3</v>
      </c>
      <c r="F8">
        <v>1</v>
      </c>
      <c r="G8">
        <v>0</v>
      </c>
      <c r="H8">
        <v>45</v>
      </c>
      <c r="I8">
        <v>180</v>
      </c>
      <c r="J8">
        <v>0</v>
      </c>
      <c r="K8">
        <v>0</v>
      </c>
      <c r="L8">
        <v>0</v>
      </c>
      <c r="M8">
        <v>9</v>
      </c>
      <c r="N8">
        <v>62</v>
      </c>
      <c r="O8" s="3">
        <f t="shared" si="2"/>
        <v>12.857142857142856</v>
      </c>
      <c r="P8">
        <f t="shared" si="0"/>
        <v>0</v>
      </c>
      <c r="Q8">
        <f t="shared" si="1"/>
        <v>0</v>
      </c>
      <c r="AB8" s="12"/>
      <c r="AC8" s="12"/>
      <c r="AD8" s="12"/>
      <c r="AE8" s="12"/>
      <c r="AF8" s="12"/>
      <c r="AG8" s="12"/>
      <c r="AH8" s="12"/>
    </row>
    <row r="9" spans="1:34" x14ac:dyDescent="0.2">
      <c r="A9" t="s">
        <v>25</v>
      </c>
      <c r="B9" t="s">
        <v>28</v>
      </c>
      <c r="C9">
        <v>260</v>
      </c>
      <c r="D9">
        <v>90</v>
      </c>
      <c r="E9">
        <v>9</v>
      </c>
      <c r="F9">
        <v>4</v>
      </c>
      <c r="G9">
        <v>0</v>
      </c>
      <c r="H9">
        <v>90</v>
      </c>
      <c r="I9">
        <v>1010</v>
      </c>
      <c r="J9">
        <v>12</v>
      </c>
      <c r="K9">
        <v>3</v>
      </c>
      <c r="L9">
        <v>5</v>
      </c>
      <c r="M9">
        <v>33</v>
      </c>
      <c r="N9">
        <v>236</v>
      </c>
      <c r="O9" s="3">
        <f t="shared" si="2"/>
        <v>12.692307692307692</v>
      </c>
      <c r="P9">
        <f t="shared" si="0"/>
        <v>1</v>
      </c>
      <c r="Q9">
        <f t="shared" si="1"/>
        <v>0</v>
      </c>
      <c r="AB9" s="12"/>
      <c r="AC9" s="12"/>
      <c r="AD9" s="12"/>
      <c r="AE9" s="12"/>
      <c r="AF9" s="12"/>
      <c r="AG9" s="12"/>
      <c r="AH9" s="12"/>
    </row>
    <row r="10" spans="1:34" x14ac:dyDescent="0.2">
      <c r="A10" t="s">
        <v>21</v>
      </c>
      <c r="B10" t="s">
        <v>29</v>
      </c>
      <c r="C10">
        <v>150</v>
      </c>
      <c r="D10" s="2">
        <v>0</v>
      </c>
      <c r="E10">
        <v>9</v>
      </c>
      <c r="F10">
        <v>3</v>
      </c>
      <c r="G10">
        <v>0</v>
      </c>
      <c r="H10">
        <v>90</v>
      </c>
      <c r="I10">
        <v>420</v>
      </c>
      <c r="J10">
        <v>0</v>
      </c>
      <c r="K10">
        <v>0</v>
      </c>
      <c r="L10">
        <v>0</v>
      </c>
      <c r="M10">
        <v>17</v>
      </c>
      <c r="N10">
        <v>136</v>
      </c>
      <c r="O10" s="3">
        <f t="shared" si="2"/>
        <v>11.333333333333332</v>
      </c>
      <c r="P10">
        <f t="shared" si="0"/>
        <v>0</v>
      </c>
      <c r="Q10">
        <f t="shared" si="1"/>
        <v>0</v>
      </c>
      <c r="AB10" s="12"/>
      <c r="AC10" s="12"/>
      <c r="AD10" s="12"/>
      <c r="AE10" s="12"/>
      <c r="AF10" s="12"/>
      <c r="AG10" s="12"/>
      <c r="AH10" s="12"/>
    </row>
    <row r="11" spans="1:34" x14ac:dyDescent="0.2">
      <c r="A11" t="s">
        <v>21</v>
      </c>
      <c r="B11" t="s">
        <v>30</v>
      </c>
      <c r="C11">
        <v>100</v>
      </c>
      <c r="D11" s="2">
        <v>0</v>
      </c>
      <c r="E11">
        <v>6</v>
      </c>
      <c r="F11">
        <v>1.5</v>
      </c>
      <c r="G11">
        <v>0</v>
      </c>
      <c r="H11">
        <v>55</v>
      </c>
      <c r="I11">
        <v>260</v>
      </c>
      <c r="J11">
        <v>0</v>
      </c>
      <c r="K11">
        <v>0</v>
      </c>
      <c r="L11">
        <v>0</v>
      </c>
      <c r="M11">
        <v>11</v>
      </c>
      <c r="N11">
        <v>90.5</v>
      </c>
      <c r="O11" s="3">
        <f t="shared" si="2"/>
        <v>11</v>
      </c>
      <c r="P11">
        <f t="shared" si="0"/>
        <v>0</v>
      </c>
      <c r="Q11">
        <f t="shared" si="1"/>
        <v>0</v>
      </c>
      <c r="AB11" s="12"/>
      <c r="AC11" s="12"/>
      <c r="AD11" s="12"/>
      <c r="AE11" s="12"/>
      <c r="AF11" s="12"/>
      <c r="AG11" s="12"/>
      <c r="AH11" s="12"/>
    </row>
    <row r="12" spans="1:34" x14ac:dyDescent="0.2">
      <c r="A12" t="s">
        <v>25</v>
      </c>
      <c r="B12" t="s">
        <v>31</v>
      </c>
      <c r="C12">
        <v>60</v>
      </c>
      <c r="D12">
        <v>0</v>
      </c>
      <c r="E12">
        <v>0</v>
      </c>
      <c r="F12">
        <v>0</v>
      </c>
      <c r="G12">
        <v>0</v>
      </c>
      <c r="H12">
        <v>5</v>
      </c>
      <c r="I12">
        <v>85</v>
      </c>
      <c r="J12">
        <v>9</v>
      </c>
      <c r="K12">
        <v>0</v>
      </c>
      <c r="L12">
        <v>9</v>
      </c>
      <c r="M12">
        <v>6</v>
      </c>
      <c r="N12">
        <v>63</v>
      </c>
      <c r="O12" s="3">
        <f t="shared" si="2"/>
        <v>10</v>
      </c>
      <c r="P12">
        <f t="shared" si="0"/>
        <v>0</v>
      </c>
      <c r="Q12">
        <f t="shared" si="1"/>
        <v>0</v>
      </c>
      <c r="AB12" s="12"/>
      <c r="AC12" s="12"/>
      <c r="AD12" s="12"/>
      <c r="AE12" s="12"/>
      <c r="AF12" s="12"/>
      <c r="AG12" s="12"/>
      <c r="AH12" s="12"/>
    </row>
    <row r="13" spans="1:34" x14ac:dyDescent="0.2">
      <c r="A13" t="s">
        <v>25</v>
      </c>
      <c r="B13" t="s">
        <v>32</v>
      </c>
      <c r="C13">
        <v>80</v>
      </c>
      <c r="D13">
        <v>0</v>
      </c>
      <c r="E13">
        <v>0</v>
      </c>
      <c r="F13">
        <v>0</v>
      </c>
      <c r="G13">
        <v>0</v>
      </c>
      <c r="H13">
        <v>5</v>
      </c>
      <c r="I13">
        <v>110</v>
      </c>
      <c r="J13">
        <v>12</v>
      </c>
      <c r="K13">
        <v>0</v>
      </c>
      <c r="L13">
        <v>12</v>
      </c>
      <c r="M13">
        <v>8</v>
      </c>
      <c r="N13">
        <v>84</v>
      </c>
      <c r="O13" s="3">
        <f t="shared" si="2"/>
        <v>10</v>
      </c>
      <c r="P13">
        <f t="shared" si="0"/>
        <v>0</v>
      </c>
      <c r="Q13">
        <f t="shared" si="1"/>
        <v>0</v>
      </c>
      <c r="AB13" s="12"/>
      <c r="AC13" s="12"/>
      <c r="AD13" s="12"/>
      <c r="AE13" s="12"/>
      <c r="AF13" s="12"/>
      <c r="AG13" s="12"/>
      <c r="AH13" s="12"/>
    </row>
    <row r="14" spans="1:34" x14ac:dyDescent="0.2">
      <c r="A14" t="s">
        <v>25</v>
      </c>
      <c r="B14" t="s">
        <v>33</v>
      </c>
      <c r="C14">
        <v>90</v>
      </c>
      <c r="D14">
        <v>0</v>
      </c>
      <c r="E14">
        <v>0</v>
      </c>
      <c r="F14">
        <v>0</v>
      </c>
      <c r="G14">
        <v>0</v>
      </c>
      <c r="H14">
        <v>5</v>
      </c>
      <c r="I14">
        <v>130</v>
      </c>
      <c r="J14">
        <v>13</v>
      </c>
      <c r="K14">
        <v>0</v>
      </c>
      <c r="L14">
        <v>13</v>
      </c>
      <c r="M14">
        <v>9</v>
      </c>
      <c r="N14">
        <v>94</v>
      </c>
      <c r="O14" s="3">
        <f t="shared" si="2"/>
        <v>10</v>
      </c>
      <c r="P14">
        <f t="shared" si="0"/>
        <v>0</v>
      </c>
      <c r="Q14">
        <f t="shared" si="1"/>
        <v>0</v>
      </c>
      <c r="AB14" s="12"/>
      <c r="AC14" s="12"/>
      <c r="AD14" s="12"/>
      <c r="AE14" s="12"/>
      <c r="AF14" s="12"/>
      <c r="AG14" s="12"/>
      <c r="AH14" s="12"/>
    </row>
    <row r="15" spans="1:34" x14ac:dyDescent="0.2">
      <c r="A15" t="s">
        <v>25</v>
      </c>
      <c r="B15" t="s">
        <v>34</v>
      </c>
      <c r="C15">
        <v>90</v>
      </c>
      <c r="D15">
        <v>0</v>
      </c>
      <c r="E15">
        <v>0</v>
      </c>
      <c r="F15">
        <v>0</v>
      </c>
      <c r="G15">
        <v>0</v>
      </c>
      <c r="H15">
        <v>5</v>
      </c>
      <c r="I15">
        <v>115</v>
      </c>
      <c r="J15">
        <v>13</v>
      </c>
      <c r="K15">
        <v>0</v>
      </c>
      <c r="L15">
        <v>13</v>
      </c>
      <c r="M15">
        <v>9</v>
      </c>
      <c r="N15">
        <v>94</v>
      </c>
      <c r="O15" s="3">
        <f t="shared" si="2"/>
        <v>10</v>
      </c>
      <c r="P15">
        <f t="shared" si="0"/>
        <v>0</v>
      </c>
      <c r="Q15">
        <f t="shared" si="1"/>
        <v>0</v>
      </c>
      <c r="AB15" s="12"/>
      <c r="AC15" s="12"/>
      <c r="AD15" s="12"/>
      <c r="AE15" s="12"/>
      <c r="AF15" s="12"/>
      <c r="AG15" s="12"/>
      <c r="AH15" s="12"/>
    </row>
    <row r="16" spans="1:34" x14ac:dyDescent="0.2">
      <c r="A16" t="s">
        <v>25</v>
      </c>
      <c r="B16" t="s">
        <v>35</v>
      </c>
      <c r="C16">
        <v>120</v>
      </c>
      <c r="D16">
        <v>0</v>
      </c>
      <c r="E16">
        <v>0</v>
      </c>
      <c r="F16">
        <v>0</v>
      </c>
      <c r="G16">
        <v>0</v>
      </c>
      <c r="H16">
        <v>5</v>
      </c>
      <c r="I16">
        <v>160</v>
      </c>
      <c r="J16">
        <v>18</v>
      </c>
      <c r="K16">
        <v>0</v>
      </c>
      <c r="L16">
        <v>18</v>
      </c>
      <c r="M16">
        <v>12</v>
      </c>
      <c r="N16">
        <v>126</v>
      </c>
      <c r="O16" s="3">
        <f t="shared" si="2"/>
        <v>10</v>
      </c>
      <c r="P16">
        <f t="shared" si="0"/>
        <v>0</v>
      </c>
      <c r="Q16">
        <f t="shared" si="1"/>
        <v>0</v>
      </c>
      <c r="AB16" s="12"/>
      <c r="AC16" s="12"/>
      <c r="AD16" s="12"/>
      <c r="AE16" s="12"/>
      <c r="AF16" s="12"/>
      <c r="AG16" s="12"/>
      <c r="AH16" s="12"/>
    </row>
    <row r="17" spans="1:34" x14ac:dyDescent="0.2">
      <c r="A17" t="s">
        <v>25</v>
      </c>
      <c r="B17" t="s">
        <v>36</v>
      </c>
      <c r="C17">
        <v>50</v>
      </c>
      <c r="D17">
        <v>0</v>
      </c>
      <c r="E17">
        <v>0</v>
      </c>
      <c r="F17">
        <v>0</v>
      </c>
      <c r="G17">
        <v>0</v>
      </c>
      <c r="H17">
        <v>5</v>
      </c>
      <c r="I17">
        <v>100</v>
      </c>
      <c r="J17">
        <v>15</v>
      </c>
      <c r="K17">
        <v>0</v>
      </c>
      <c r="L17">
        <v>8</v>
      </c>
      <c r="M17">
        <v>5</v>
      </c>
      <c r="N17">
        <v>53</v>
      </c>
      <c r="O17" s="3">
        <f t="shared" si="2"/>
        <v>10</v>
      </c>
      <c r="P17">
        <f t="shared" si="0"/>
        <v>0</v>
      </c>
      <c r="Q17">
        <f t="shared" si="1"/>
        <v>0</v>
      </c>
      <c r="AB17" s="12"/>
      <c r="AC17" s="12"/>
      <c r="AD17" s="12"/>
      <c r="AE17" s="12"/>
      <c r="AF17" s="12"/>
      <c r="AG17" s="12"/>
      <c r="AH17" s="12"/>
    </row>
    <row r="18" spans="1:34" x14ac:dyDescent="0.2">
      <c r="A18" t="s">
        <v>25</v>
      </c>
      <c r="B18" t="s">
        <v>37</v>
      </c>
      <c r="C18">
        <v>70</v>
      </c>
      <c r="D18">
        <v>0</v>
      </c>
      <c r="E18">
        <v>0</v>
      </c>
      <c r="F18">
        <v>0</v>
      </c>
      <c r="G18">
        <v>0</v>
      </c>
      <c r="H18">
        <v>5</v>
      </c>
      <c r="I18">
        <v>130</v>
      </c>
      <c r="J18">
        <v>19</v>
      </c>
      <c r="K18">
        <v>0</v>
      </c>
      <c r="L18">
        <v>10</v>
      </c>
      <c r="M18">
        <v>7</v>
      </c>
      <c r="N18">
        <v>73</v>
      </c>
      <c r="O18" s="3">
        <f t="shared" si="2"/>
        <v>10</v>
      </c>
      <c r="P18">
        <f t="shared" si="0"/>
        <v>0</v>
      </c>
      <c r="Q18">
        <f t="shared" si="1"/>
        <v>0</v>
      </c>
      <c r="AB18" s="12"/>
      <c r="AC18" s="12"/>
      <c r="AD18" s="12"/>
      <c r="AE18" s="12"/>
      <c r="AF18" s="12"/>
      <c r="AG18" s="12"/>
      <c r="AH18" s="12"/>
    </row>
    <row r="19" spans="1:34" x14ac:dyDescent="0.2">
      <c r="A19" t="s">
        <v>25</v>
      </c>
      <c r="B19" t="s">
        <v>38</v>
      </c>
      <c r="C19">
        <v>80</v>
      </c>
      <c r="D19">
        <v>0</v>
      </c>
      <c r="E19">
        <v>0</v>
      </c>
      <c r="F19">
        <v>0</v>
      </c>
      <c r="G19">
        <v>0</v>
      </c>
      <c r="H19">
        <v>5</v>
      </c>
      <c r="I19">
        <v>150</v>
      </c>
      <c r="J19">
        <v>22</v>
      </c>
      <c r="K19">
        <v>0</v>
      </c>
      <c r="L19">
        <v>11</v>
      </c>
      <c r="M19">
        <v>8</v>
      </c>
      <c r="N19">
        <v>83</v>
      </c>
      <c r="O19" s="3">
        <f t="shared" si="2"/>
        <v>10</v>
      </c>
      <c r="P19">
        <f t="shared" si="0"/>
        <v>0</v>
      </c>
      <c r="Q19">
        <f t="shared" si="1"/>
        <v>0</v>
      </c>
      <c r="AB19" s="12"/>
      <c r="AC19" s="12"/>
      <c r="AD19" s="12"/>
      <c r="AE19" s="12"/>
      <c r="AF19" s="12"/>
      <c r="AG19" s="12"/>
      <c r="AH19" s="12"/>
    </row>
    <row r="20" spans="1:34" x14ac:dyDescent="0.2">
      <c r="A20" t="s">
        <v>25</v>
      </c>
      <c r="B20" t="s">
        <v>39</v>
      </c>
      <c r="C20">
        <v>90</v>
      </c>
      <c r="D20">
        <v>0</v>
      </c>
      <c r="E20">
        <v>0</v>
      </c>
      <c r="F20">
        <v>0</v>
      </c>
      <c r="G20">
        <v>0</v>
      </c>
      <c r="H20">
        <v>5</v>
      </c>
      <c r="I20">
        <v>160</v>
      </c>
      <c r="J20">
        <v>22</v>
      </c>
      <c r="K20">
        <v>0</v>
      </c>
      <c r="L20">
        <v>13</v>
      </c>
      <c r="M20">
        <v>9</v>
      </c>
      <c r="N20">
        <v>94</v>
      </c>
      <c r="O20" s="3">
        <f t="shared" si="2"/>
        <v>10</v>
      </c>
      <c r="P20">
        <f t="shared" si="0"/>
        <v>0</v>
      </c>
      <c r="Q20">
        <f t="shared" si="1"/>
        <v>0</v>
      </c>
    </row>
    <row r="21" spans="1:34" x14ac:dyDescent="0.2">
      <c r="A21" t="s">
        <v>25</v>
      </c>
      <c r="B21" t="s">
        <v>40</v>
      </c>
      <c r="C21">
        <v>110</v>
      </c>
      <c r="D21">
        <v>0</v>
      </c>
      <c r="E21">
        <v>0</v>
      </c>
      <c r="F21">
        <v>0</v>
      </c>
      <c r="G21">
        <v>0</v>
      </c>
      <c r="H21">
        <v>5</v>
      </c>
      <c r="I21">
        <v>190</v>
      </c>
      <c r="J21">
        <v>27</v>
      </c>
      <c r="K21">
        <v>0</v>
      </c>
      <c r="L21">
        <v>15</v>
      </c>
      <c r="M21">
        <v>11</v>
      </c>
      <c r="N21">
        <v>114</v>
      </c>
      <c r="O21" s="3">
        <f t="shared" si="2"/>
        <v>10</v>
      </c>
      <c r="P21">
        <f t="shared" si="0"/>
        <v>0</v>
      </c>
      <c r="Q21">
        <f t="shared" si="1"/>
        <v>0</v>
      </c>
      <c r="AB21" t="s">
        <v>41</v>
      </c>
      <c r="AE21" t="s">
        <v>42</v>
      </c>
    </row>
    <row r="22" spans="1:34" x14ac:dyDescent="0.2">
      <c r="A22" t="s">
        <v>25</v>
      </c>
      <c r="B22" t="s">
        <v>43</v>
      </c>
      <c r="C22">
        <v>50</v>
      </c>
      <c r="D22">
        <v>0</v>
      </c>
      <c r="E22">
        <v>0</v>
      </c>
      <c r="F22">
        <v>0</v>
      </c>
      <c r="G22">
        <v>0</v>
      </c>
      <c r="H22">
        <v>5</v>
      </c>
      <c r="I22">
        <v>70</v>
      </c>
      <c r="J22">
        <v>7</v>
      </c>
      <c r="K22">
        <v>0</v>
      </c>
      <c r="L22">
        <v>7</v>
      </c>
      <c r="M22">
        <v>5</v>
      </c>
      <c r="N22">
        <v>52</v>
      </c>
      <c r="O22" s="3">
        <f t="shared" si="2"/>
        <v>10</v>
      </c>
      <c r="P22">
        <f t="shared" si="0"/>
        <v>0</v>
      </c>
      <c r="Q22">
        <f t="shared" si="1"/>
        <v>0</v>
      </c>
      <c r="AB22" t="s">
        <v>44</v>
      </c>
      <c r="AE22" t="s">
        <v>45</v>
      </c>
    </row>
    <row r="23" spans="1:34" x14ac:dyDescent="0.2">
      <c r="A23" t="s">
        <v>25</v>
      </c>
      <c r="B23" t="s">
        <v>46</v>
      </c>
      <c r="C23">
        <v>60</v>
      </c>
      <c r="D23">
        <v>0</v>
      </c>
      <c r="E23">
        <v>0</v>
      </c>
      <c r="F23">
        <v>0</v>
      </c>
      <c r="G23">
        <v>0</v>
      </c>
      <c r="H23">
        <v>5</v>
      </c>
      <c r="I23">
        <v>90</v>
      </c>
      <c r="J23">
        <v>9</v>
      </c>
      <c r="K23">
        <v>0</v>
      </c>
      <c r="L23">
        <v>9</v>
      </c>
      <c r="M23">
        <v>6</v>
      </c>
      <c r="N23">
        <v>63</v>
      </c>
      <c r="O23" s="3">
        <f t="shared" si="2"/>
        <v>10</v>
      </c>
      <c r="P23">
        <f t="shared" si="0"/>
        <v>0</v>
      </c>
      <c r="Q23">
        <f t="shared" si="1"/>
        <v>0</v>
      </c>
    </row>
    <row r="24" spans="1:34" x14ac:dyDescent="0.2">
      <c r="A24" t="s">
        <v>25</v>
      </c>
      <c r="B24" t="s">
        <v>47</v>
      </c>
      <c r="C24">
        <v>70</v>
      </c>
      <c r="D24">
        <v>0</v>
      </c>
      <c r="E24">
        <v>0</v>
      </c>
      <c r="F24">
        <v>0</v>
      </c>
      <c r="G24">
        <v>0</v>
      </c>
      <c r="H24">
        <v>5</v>
      </c>
      <c r="I24">
        <v>105</v>
      </c>
      <c r="J24">
        <v>11</v>
      </c>
      <c r="K24">
        <v>0</v>
      </c>
      <c r="L24">
        <v>11</v>
      </c>
      <c r="M24">
        <v>7</v>
      </c>
      <c r="N24">
        <v>74</v>
      </c>
      <c r="O24" s="3">
        <f t="shared" si="2"/>
        <v>10</v>
      </c>
      <c r="P24">
        <f t="shared" si="0"/>
        <v>0</v>
      </c>
      <c r="Q24">
        <f t="shared" si="1"/>
        <v>0</v>
      </c>
    </row>
    <row r="25" spans="1:34" x14ac:dyDescent="0.2">
      <c r="A25" t="s">
        <v>25</v>
      </c>
      <c r="B25" t="s">
        <v>48</v>
      </c>
      <c r="C25">
        <v>40</v>
      </c>
      <c r="D25">
        <v>0</v>
      </c>
      <c r="E25">
        <v>0</v>
      </c>
      <c r="F25">
        <v>0</v>
      </c>
      <c r="G25">
        <v>0</v>
      </c>
      <c r="H25">
        <v>0</v>
      </c>
      <c r="I25">
        <v>85</v>
      </c>
      <c r="J25">
        <v>13</v>
      </c>
      <c r="K25">
        <v>0</v>
      </c>
      <c r="L25">
        <v>5</v>
      </c>
      <c r="M25">
        <v>4</v>
      </c>
      <c r="N25">
        <v>41</v>
      </c>
      <c r="O25" s="3">
        <f t="shared" si="2"/>
        <v>10</v>
      </c>
      <c r="P25">
        <f t="shared" si="0"/>
        <v>0</v>
      </c>
      <c r="Q25">
        <f t="shared" si="1"/>
        <v>0</v>
      </c>
    </row>
    <row r="26" spans="1:34" x14ac:dyDescent="0.2">
      <c r="A26" t="s">
        <v>25</v>
      </c>
      <c r="B26" t="s">
        <v>49</v>
      </c>
      <c r="C26">
        <v>50</v>
      </c>
      <c r="D26">
        <v>0</v>
      </c>
      <c r="E26">
        <v>0</v>
      </c>
      <c r="F26">
        <v>0</v>
      </c>
      <c r="G26">
        <v>0</v>
      </c>
      <c r="H26">
        <v>5</v>
      </c>
      <c r="I26">
        <v>100</v>
      </c>
      <c r="J26">
        <v>14</v>
      </c>
      <c r="K26">
        <v>0</v>
      </c>
      <c r="L26">
        <v>6</v>
      </c>
      <c r="M26">
        <v>5</v>
      </c>
      <c r="N26">
        <v>51</v>
      </c>
      <c r="O26" s="3">
        <f t="shared" si="2"/>
        <v>10</v>
      </c>
      <c r="P26">
        <f t="shared" si="0"/>
        <v>0</v>
      </c>
      <c r="Q26">
        <f t="shared" si="1"/>
        <v>0</v>
      </c>
    </row>
    <row r="27" spans="1:34" x14ac:dyDescent="0.2">
      <c r="A27" t="s">
        <v>25</v>
      </c>
      <c r="B27" t="s">
        <v>50</v>
      </c>
      <c r="C27">
        <v>60</v>
      </c>
      <c r="D27">
        <v>0</v>
      </c>
      <c r="E27">
        <v>0</v>
      </c>
      <c r="F27">
        <v>0</v>
      </c>
      <c r="G27">
        <v>0</v>
      </c>
      <c r="H27">
        <v>5</v>
      </c>
      <c r="I27">
        <v>130</v>
      </c>
      <c r="J27">
        <v>19</v>
      </c>
      <c r="K27">
        <v>0</v>
      </c>
      <c r="L27">
        <v>8</v>
      </c>
      <c r="M27">
        <v>6</v>
      </c>
      <c r="N27">
        <v>62</v>
      </c>
      <c r="O27" s="3">
        <f t="shared" si="2"/>
        <v>10</v>
      </c>
      <c r="P27">
        <f t="shared" si="0"/>
        <v>0</v>
      </c>
      <c r="Q27">
        <f t="shared" si="1"/>
        <v>0</v>
      </c>
    </row>
    <row r="28" spans="1:34" x14ac:dyDescent="0.2">
      <c r="A28" t="s">
        <v>51</v>
      </c>
      <c r="B28" t="s">
        <v>52</v>
      </c>
      <c r="C28">
        <v>90</v>
      </c>
      <c r="D28">
        <v>0</v>
      </c>
      <c r="E28">
        <v>0</v>
      </c>
      <c r="F28">
        <v>0</v>
      </c>
      <c r="G28">
        <v>0</v>
      </c>
      <c r="H28">
        <v>5</v>
      </c>
      <c r="I28">
        <v>125</v>
      </c>
      <c r="J28">
        <v>13</v>
      </c>
      <c r="K28">
        <v>0</v>
      </c>
      <c r="L28">
        <v>12</v>
      </c>
      <c r="M28">
        <v>9</v>
      </c>
      <c r="N28">
        <v>93</v>
      </c>
      <c r="O28" s="3">
        <f t="shared" si="2"/>
        <v>10</v>
      </c>
      <c r="P28">
        <f t="shared" si="0"/>
        <v>0</v>
      </c>
      <c r="Q28">
        <f t="shared" si="1"/>
        <v>0</v>
      </c>
    </row>
    <row r="29" spans="1:34" x14ac:dyDescent="0.2">
      <c r="A29" t="s">
        <v>51</v>
      </c>
      <c r="B29" t="s">
        <v>52</v>
      </c>
      <c r="C29">
        <v>90</v>
      </c>
      <c r="D29">
        <v>0</v>
      </c>
      <c r="E29">
        <v>0</v>
      </c>
      <c r="F29">
        <v>0</v>
      </c>
      <c r="G29">
        <v>0</v>
      </c>
      <c r="H29">
        <v>5</v>
      </c>
      <c r="I29">
        <v>125</v>
      </c>
      <c r="J29">
        <v>13</v>
      </c>
      <c r="K29">
        <v>0</v>
      </c>
      <c r="L29">
        <v>12</v>
      </c>
      <c r="M29">
        <v>9</v>
      </c>
      <c r="N29">
        <v>93</v>
      </c>
      <c r="O29" s="3">
        <f t="shared" si="2"/>
        <v>10</v>
      </c>
      <c r="P29">
        <f t="shared" si="0"/>
        <v>0</v>
      </c>
      <c r="Q29">
        <f t="shared" si="1"/>
        <v>0</v>
      </c>
    </row>
    <row r="30" spans="1:34" x14ac:dyDescent="0.2">
      <c r="A30" t="s">
        <v>21</v>
      </c>
      <c r="B30" t="s">
        <v>53</v>
      </c>
      <c r="C30">
        <v>390</v>
      </c>
      <c r="D30" s="2">
        <v>0</v>
      </c>
      <c r="E30">
        <v>21</v>
      </c>
      <c r="F30">
        <v>4</v>
      </c>
      <c r="G30">
        <v>0</v>
      </c>
      <c r="H30">
        <v>120</v>
      </c>
      <c r="I30">
        <v>1190</v>
      </c>
      <c r="J30">
        <v>11</v>
      </c>
      <c r="K30">
        <v>2</v>
      </c>
      <c r="L30">
        <v>0</v>
      </c>
      <c r="M30">
        <v>39</v>
      </c>
      <c r="N30">
        <v>355</v>
      </c>
      <c r="O30" s="3">
        <f t="shared" si="2"/>
        <v>10</v>
      </c>
      <c r="P30">
        <f t="shared" si="0"/>
        <v>1</v>
      </c>
      <c r="Q30">
        <f t="shared" si="1"/>
        <v>0</v>
      </c>
    </row>
    <row r="31" spans="1:34" x14ac:dyDescent="0.2">
      <c r="A31" t="s">
        <v>21</v>
      </c>
      <c r="B31" t="s">
        <v>54</v>
      </c>
      <c r="C31">
        <v>90</v>
      </c>
      <c r="D31" s="2">
        <v>0</v>
      </c>
      <c r="E31">
        <v>6</v>
      </c>
      <c r="F31">
        <v>1.5</v>
      </c>
      <c r="G31">
        <v>0</v>
      </c>
      <c r="H31">
        <v>45</v>
      </c>
      <c r="I31">
        <v>210</v>
      </c>
      <c r="J31">
        <v>1</v>
      </c>
      <c r="K31">
        <v>0</v>
      </c>
      <c r="L31">
        <v>0</v>
      </c>
      <c r="M31">
        <v>9</v>
      </c>
      <c r="N31">
        <v>82.5</v>
      </c>
      <c r="O31" s="3">
        <f t="shared" si="2"/>
        <v>10</v>
      </c>
      <c r="P31">
        <f t="shared" si="0"/>
        <v>0</v>
      </c>
      <c r="Q31">
        <f t="shared" si="1"/>
        <v>0</v>
      </c>
    </row>
    <row r="32" spans="1:34" x14ac:dyDescent="0.2">
      <c r="A32" t="s">
        <v>21</v>
      </c>
      <c r="B32" t="s">
        <v>55</v>
      </c>
      <c r="C32">
        <v>180</v>
      </c>
      <c r="D32" s="2">
        <v>0</v>
      </c>
      <c r="E32">
        <v>12</v>
      </c>
      <c r="F32">
        <v>3.5</v>
      </c>
      <c r="G32">
        <v>0</v>
      </c>
      <c r="H32">
        <v>90</v>
      </c>
      <c r="I32">
        <v>470</v>
      </c>
      <c r="J32">
        <v>0</v>
      </c>
      <c r="K32">
        <v>0</v>
      </c>
      <c r="L32">
        <v>0</v>
      </c>
      <c r="M32">
        <v>17</v>
      </c>
      <c r="N32">
        <v>166.5</v>
      </c>
      <c r="O32" s="3">
        <f t="shared" si="2"/>
        <v>9.4444444444444446</v>
      </c>
      <c r="P32">
        <f t="shared" si="0"/>
        <v>1</v>
      </c>
      <c r="Q32">
        <f t="shared" si="1"/>
        <v>0</v>
      </c>
    </row>
    <row r="33" spans="1:17" x14ac:dyDescent="0.2">
      <c r="A33" t="s">
        <v>25</v>
      </c>
      <c r="B33" t="s">
        <v>56</v>
      </c>
      <c r="C33">
        <v>320</v>
      </c>
      <c r="D33">
        <v>80</v>
      </c>
      <c r="E33">
        <v>9</v>
      </c>
      <c r="F33">
        <v>3</v>
      </c>
      <c r="G33">
        <v>0</v>
      </c>
      <c r="H33">
        <v>70</v>
      </c>
      <c r="I33">
        <v>960</v>
      </c>
      <c r="J33">
        <v>30</v>
      </c>
      <c r="K33">
        <v>6</v>
      </c>
      <c r="L33">
        <v>11</v>
      </c>
      <c r="M33">
        <v>30</v>
      </c>
      <c r="N33">
        <v>304</v>
      </c>
      <c r="O33" s="3">
        <f t="shared" si="2"/>
        <v>9.375</v>
      </c>
      <c r="P33">
        <f t="shared" si="0"/>
        <v>1</v>
      </c>
      <c r="Q33">
        <f t="shared" si="1"/>
        <v>0</v>
      </c>
    </row>
    <row r="34" spans="1:17" x14ac:dyDescent="0.2">
      <c r="A34" t="s">
        <v>21</v>
      </c>
      <c r="B34" t="s">
        <v>57</v>
      </c>
      <c r="C34">
        <v>130</v>
      </c>
      <c r="D34" s="2">
        <v>0</v>
      </c>
      <c r="E34">
        <v>8</v>
      </c>
      <c r="F34">
        <v>1.5</v>
      </c>
      <c r="G34">
        <v>0</v>
      </c>
      <c r="H34">
        <v>55</v>
      </c>
      <c r="I34">
        <v>430</v>
      </c>
      <c r="J34">
        <v>4</v>
      </c>
      <c r="K34">
        <v>1</v>
      </c>
      <c r="L34">
        <v>0</v>
      </c>
      <c r="M34">
        <v>12</v>
      </c>
      <c r="N34">
        <v>119.5</v>
      </c>
      <c r="O34" s="3">
        <f t="shared" si="2"/>
        <v>9.2307692307692317</v>
      </c>
      <c r="P34">
        <f t="shared" si="0"/>
        <v>0</v>
      </c>
      <c r="Q34">
        <f t="shared" si="1"/>
        <v>0</v>
      </c>
    </row>
    <row r="35" spans="1:17" x14ac:dyDescent="0.2">
      <c r="A35" t="s">
        <v>58</v>
      </c>
      <c r="B35" t="s">
        <v>59</v>
      </c>
      <c r="C35">
        <v>250</v>
      </c>
      <c r="D35" s="2">
        <v>0</v>
      </c>
      <c r="E35">
        <v>7</v>
      </c>
      <c r="F35">
        <v>3</v>
      </c>
      <c r="G35">
        <v>0.5</v>
      </c>
      <c r="H35">
        <v>50</v>
      </c>
      <c r="I35">
        <v>1170</v>
      </c>
      <c r="J35">
        <v>23</v>
      </c>
      <c r="K35">
        <v>5</v>
      </c>
      <c r="L35">
        <v>9</v>
      </c>
      <c r="M35">
        <v>23</v>
      </c>
      <c r="N35">
        <v>239</v>
      </c>
      <c r="O35" s="3">
        <f t="shared" si="2"/>
        <v>9.1999999999999993</v>
      </c>
      <c r="P35">
        <f t="shared" si="0"/>
        <v>1</v>
      </c>
      <c r="Q35">
        <f t="shared" si="1"/>
        <v>0</v>
      </c>
    </row>
    <row r="36" spans="1:17" x14ac:dyDescent="0.2">
      <c r="A36" t="s">
        <v>58</v>
      </c>
      <c r="B36" t="s">
        <v>60</v>
      </c>
      <c r="C36">
        <v>370</v>
      </c>
      <c r="D36" s="2">
        <v>0</v>
      </c>
      <c r="E36">
        <v>10</v>
      </c>
      <c r="F36">
        <v>2</v>
      </c>
      <c r="G36">
        <v>0</v>
      </c>
      <c r="H36">
        <v>90</v>
      </c>
      <c r="I36">
        <v>830</v>
      </c>
      <c r="J36">
        <v>38</v>
      </c>
      <c r="K36">
        <v>3</v>
      </c>
      <c r="L36">
        <v>8</v>
      </c>
      <c r="M36">
        <v>34</v>
      </c>
      <c r="N36">
        <v>346</v>
      </c>
      <c r="O36" s="3">
        <f t="shared" si="2"/>
        <v>9.1891891891891895</v>
      </c>
      <c r="P36">
        <f t="shared" si="0"/>
        <v>1</v>
      </c>
      <c r="Q36">
        <f t="shared" si="1"/>
        <v>0</v>
      </c>
    </row>
    <row r="37" spans="1:17" x14ac:dyDescent="0.2">
      <c r="A37" t="s">
        <v>25</v>
      </c>
      <c r="B37" t="s">
        <v>61</v>
      </c>
      <c r="C37">
        <v>110</v>
      </c>
      <c r="D37">
        <v>0</v>
      </c>
      <c r="E37">
        <v>0</v>
      </c>
      <c r="F37">
        <v>0</v>
      </c>
      <c r="G37">
        <v>0</v>
      </c>
      <c r="H37">
        <v>5</v>
      </c>
      <c r="I37">
        <v>140</v>
      </c>
      <c r="J37">
        <v>15</v>
      </c>
      <c r="K37">
        <v>0</v>
      </c>
      <c r="L37">
        <v>15</v>
      </c>
      <c r="M37">
        <v>10</v>
      </c>
      <c r="N37">
        <v>115</v>
      </c>
      <c r="O37" s="3">
        <f t="shared" si="2"/>
        <v>9.0909090909090917</v>
      </c>
      <c r="P37">
        <f t="shared" si="0"/>
        <v>0</v>
      </c>
      <c r="Q37">
        <f t="shared" si="1"/>
        <v>0</v>
      </c>
    </row>
    <row r="38" spans="1:17" x14ac:dyDescent="0.2">
      <c r="A38" t="s">
        <v>17</v>
      </c>
      <c r="B38" t="s">
        <v>62</v>
      </c>
      <c r="C38">
        <v>100</v>
      </c>
      <c r="D38">
        <v>20</v>
      </c>
      <c r="E38">
        <v>2</v>
      </c>
      <c r="F38">
        <v>1.5</v>
      </c>
      <c r="G38">
        <v>0</v>
      </c>
      <c r="H38">
        <v>10</v>
      </c>
      <c r="I38">
        <v>130</v>
      </c>
      <c r="J38">
        <v>13</v>
      </c>
      <c r="K38">
        <v>0</v>
      </c>
      <c r="L38">
        <v>12</v>
      </c>
      <c r="M38">
        <v>9</v>
      </c>
      <c r="O38" s="3">
        <f t="shared" si="2"/>
        <v>9</v>
      </c>
      <c r="P38">
        <f t="shared" si="0"/>
        <v>0</v>
      </c>
      <c r="Q38">
        <f t="shared" si="1"/>
        <v>0</v>
      </c>
    </row>
    <row r="39" spans="1:17" x14ac:dyDescent="0.2">
      <c r="A39" t="s">
        <v>58</v>
      </c>
      <c r="B39" t="s">
        <v>63</v>
      </c>
      <c r="C39">
        <v>460</v>
      </c>
      <c r="D39" s="2">
        <v>0</v>
      </c>
      <c r="E39">
        <v>17</v>
      </c>
      <c r="F39">
        <v>4.5</v>
      </c>
      <c r="G39">
        <v>0</v>
      </c>
      <c r="H39">
        <v>105</v>
      </c>
      <c r="I39">
        <v>1090</v>
      </c>
      <c r="J39">
        <v>41</v>
      </c>
      <c r="K39">
        <v>7</v>
      </c>
      <c r="L39">
        <v>29</v>
      </c>
      <c r="M39">
        <v>41</v>
      </c>
      <c r="N39">
        <v>453</v>
      </c>
      <c r="O39" s="3">
        <f t="shared" si="2"/>
        <v>8.9130434782608692</v>
      </c>
      <c r="P39">
        <f t="shared" si="0"/>
        <v>1</v>
      </c>
      <c r="Q39">
        <f t="shared" si="1"/>
        <v>0</v>
      </c>
    </row>
    <row r="40" spans="1:17" x14ac:dyDescent="0.2">
      <c r="A40" t="s">
        <v>58</v>
      </c>
      <c r="B40" t="s">
        <v>64</v>
      </c>
      <c r="C40">
        <v>170</v>
      </c>
      <c r="D40" s="2">
        <v>0</v>
      </c>
      <c r="E40">
        <v>5</v>
      </c>
      <c r="F40">
        <v>2</v>
      </c>
      <c r="G40">
        <v>0</v>
      </c>
      <c r="H40">
        <v>35</v>
      </c>
      <c r="I40">
        <v>780</v>
      </c>
      <c r="J40">
        <v>16</v>
      </c>
      <c r="K40">
        <v>4</v>
      </c>
      <c r="L40">
        <v>6</v>
      </c>
      <c r="M40">
        <v>15</v>
      </c>
      <c r="N40">
        <v>163</v>
      </c>
      <c r="O40" s="3">
        <f t="shared" si="2"/>
        <v>8.8235294117647065</v>
      </c>
      <c r="P40">
        <f t="shared" si="0"/>
        <v>1</v>
      </c>
      <c r="Q40">
        <f t="shared" si="1"/>
        <v>0</v>
      </c>
    </row>
    <row r="41" spans="1:17" x14ac:dyDescent="0.2">
      <c r="A41" t="s">
        <v>25</v>
      </c>
      <c r="B41" t="s">
        <v>65</v>
      </c>
      <c r="C41">
        <v>80</v>
      </c>
      <c r="D41">
        <v>0</v>
      </c>
      <c r="E41">
        <v>0</v>
      </c>
      <c r="F41">
        <v>0</v>
      </c>
      <c r="G41">
        <v>0</v>
      </c>
      <c r="H41">
        <v>5</v>
      </c>
      <c r="I41">
        <v>130</v>
      </c>
      <c r="J41">
        <v>18</v>
      </c>
      <c r="K41">
        <v>0</v>
      </c>
      <c r="L41">
        <v>11</v>
      </c>
      <c r="M41">
        <v>7</v>
      </c>
      <c r="N41">
        <v>84</v>
      </c>
      <c r="O41" s="3">
        <f t="shared" si="2"/>
        <v>8.75</v>
      </c>
      <c r="P41">
        <f t="shared" si="0"/>
        <v>0</v>
      </c>
      <c r="Q41">
        <f t="shared" si="1"/>
        <v>0</v>
      </c>
    </row>
    <row r="42" spans="1:17" x14ac:dyDescent="0.2">
      <c r="A42" t="s">
        <v>17</v>
      </c>
      <c r="B42" t="s">
        <v>66</v>
      </c>
      <c r="C42">
        <v>80</v>
      </c>
      <c r="D42">
        <v>20</v>
      </c>
      <c r="E42">
        <v>2</v>
      </c>
      <c r="F42">
        <v>1.5</v>
      </c>
      <c r="G42">
        <v>0</v>
      </c>
      <c r="H42">
        <v>10</v>
      </c>
      <c r="I42">
        <v>100</v>
      </c>
      <c r="J42">
        <v>10</v>
      </c>
      <c r="K42">
        <v>0</v>
      </c>
      <c r="L42">
        <v>9</v>
      </c>
      <c r="M42">
        <v>7</v>
      </c>
      <c r="O42" s="3">
        <f t="shared" si="2"/>
        <v>8.75</v>
      </c>
      <c r="P42">
        <f t="shared" si="0"/>
        <v>0</v>
      </c>
      <c r="Q42">
        <f t="shared" si="1"/>
        <v>0</v>
      </c>
    </row>
    <row r="43" spans="1:17" x14ac:dyDescent="0.2">
      <c r="A43" t="s">
        <v>21</v>
      </c>
      <c r="B43" t="s">
        <v>67</v>
      </c>
      <c r="C43">
        <v>350</v>
      </c>
      <c r="D43" s="2">
        <v>0</v>
      </c>
      <c r="E43">
        <v>20</v>
      </c>
      <c r="F43">
        <v>3.5</v>
      </c>
      <c r="G43">
        <v>0</v>
      </c>
      <c r="H43">
        <v>100</v>
      </c>
      <c r="I43">
        <v>1100</v>
      </c>
      <c r="J43">
        <v>11</v>
      </c>
      <c r="K43">
        <v>1</v>
      </c>
      <c r="L43">
        <v>0</v>
      </c>
      <c r="M43">
        <v>30</v>
      </c>
      <c r="N43">
        <v>323.5</v>
      </c>
      <c r="O43" s="3">
        <f t="shared" si="2"/>
        <v>8.5714285714285712</v>
      </c>
      <c r="P43">
        <f t="shared" si="0"/>
        <v>1</v>
      </c>
      <c r="Q43">
        <f t="shared" si="1"/>
        <v>0</v>
      </c>
    </row>
    <row r="44" spans="1:17" x14ac:dyDescent="0.2">
      <c r="A44" t="s">
        <v>25</v>
      </c>
      <c r="B44" t="s">
        <v>68</v>
      </c>
      <c r="C44">
        <v>380</v>
      </c>
      <c r="D44">
        <v>90</v>
      </c>
      <c r="E44">
        <v>10</v>
      </c>
      <c r="F44">
        <v>3</v>
      </c>
      <c r="G44">
        <v>0</v>
      </c>
      <c r="H44">
        <v>75</v>
      </c>
      <c r="I44">
        <v>1000</v>
      </c>
      <c r="J44">
        <v>41</v>
      </c>
      <c r="K44">
        <v>4</v>
      </c>
      <c r="L44">
        <v>9</v>
      </c>
      <c r="M44">
        <v>31</v>
      </c>
      <c r="N44">
        <v>361</v>
      </c>
      <c r="O44" s="3">
        <f t="shared" si="2"/>
        <v>8.1578947368421062</v>
      </c>
      <c r="P44">
        <f t="shared" si="0"/>
        <v>1</v>
      </c>
      <c r="Q44">
        <f t="shared" si="1"/>
        <v>0</v>
      </c>
    </row>
    <row r="45" spans="1:17" x14ac:dyDescent="0.2">
      <c r="A45" t="s">
        <v>58</v>
      </c>
      <c r="B45" t="s">
        <v>69</v>
      </c>
      <c r="C45">
        <v>530</v>
      </c>
      <c r="D45" s="2">
        <v>0</v>
      </c>
      <c r="E45">
        <v>23</v>
      </c>
      <c r="F45">
        <v>7</v>
      </c>
      <c r="G45">
        <v>0</v>
      </c>
      <c r="H45">
        <v>120</v>
      </c>
      <c r="I45">
        <v>1220</v>
      </c>
      <c r="J45">
        <v>36</v>
      </c>
      <c r="K45">
        <v>3</v>
      </c>
      <c r="L45">
        <v>6</v>
      </c>
      <c r="M45">
        <v>43</v>
      </c>
      <c r="N45">
        <v>500</v>
      </c>
      <c r="O45" s="3">
        <f t="shared" si="2"/>
        <v>8.1132075471698109</v>
      </c>
      <c r="P45">
        <f t="shared" si="0"/>
        <v>1</v>
      </c>
      <c r="Q45">
        <f t="shared" si="1"/>
        <v>0</v>
      </c>
    </row>
    <row r="46" spans="1:17" x14ac:dyDescent="0.2">
      <c r="A46" t="s">
        <v>25</v>
      </c>
      <c r="B46" t="s">
        <v>70</v>
      </c>
      <c r="C46">
        <v>100</v>
      </c>
      <c r="D46">
        <v>20</v>
      </c>
      <c r="E46">
        <v>2.5</v>
      </c>
      <c r="F46">
        <v>1.5</v>
      </c>
      <c r="G46">
        <v>0</v>
      </c>
      <c r="H46">
        <v>10</v>
      </c>
      <c r="I46">
        <v>125</v>
      </c>
      <c r="J46">
        <v>12</v>
      </c>
      <c r="K46">
        <v>0</v>
      </c>
      <c r="L46">
        <v>12</v>
      </c>
      <c r="M46">
        <v>8</v>
      </c>
      <c r="N46">
        <v>105.5</v>
      </c>
      <c r="O46" s="3">
        <f t="shared" si="2"/>
        <v>8</v>
      </c>
      <c r="P46">
        <f t="shared" si="0"/>
        <v>0</v>
      </c>
      <c r="Q46">
        <f t="shared" si="1"/>
        <v>0</v>
      </c>
    </row>
    <row r="47" spans="1:17" x14ac:dyDescent="0.2">
      <c r="A47" t="s">
        <v>58</v>
      </c>
      <c r="B47" t="s">
        <v>71</v>
      </c>
      <c r="C47">
        <v>290</v>
      </c>
      <c r="D47" s="2">
        <v>0</v>
      </c>
      <c r="E47">
        <v>13</v>
      </c>
      <c r="F47">
        <v>2.5</v>
      </c>
      <c r="G47">
        <v>0</v>
      </c>
      <c r="H47">
        <v>50</v>
      </c>
      <c r="I47">
        <v>570</v>
      </c>
      <c r="J47">
        <v>23</v>
      </c>
      <c r="K47">
        <v>5</v>
      </c>
      <c r="L47">
        <v>15</v>
      </c>
      <c r="M47">
        <v>23</v>
      </c>
      <c r="N47">
        <v>285</v>
      </c>
      <c r="O47" s="3">
        <f t="shared" si="2"/>
        <v>7.931034482758621</v>
      </c>
      <c r="P47">
        <f t="shared" si="0"/>
        <v>1</v>
      </c>
      <c r="Q47">
        <f t="shared" si="1"/>
        <v>0</v>
      </c>
    </row>
    <row r="48" spans="1:17" x14ac:dyDescent="0.2">
      <c r="A48" t="s">
        <v>25</v>
      </c>
      <c r="B48" t="s">
        <v>72</v>
      </c>
      <c r="C48">
        <v>330</v>
      </c>
      <c r="D48">
        <v>150</v>
      </c>
      <c r="E48">
        <v>17</v>
      </c>
      <c r="F48">
        <v>4.5</v>
      </c>
      <c r="G48">
        <v>0</v>
      </c>
      <c r="H48">
        <v>60</v>
      </c>
      <c r="I48">
        <v>840</v>
      </c>
      <c r="J48">
        <v>20</v>
      </c>
      <c r="K48">
        <v>3</v>
      </c>
      <c r="L48">
        <v>6</v>
      </c>
      <c r="M48">
        <v>26</v>
      </c>
      <c r="N48">
        <v>314.5</v>
      </c>
      <c r="O48" s="3">
        <f t="shared" si="2"/>
        <v>7.878787878787878</v>
      </c>
      <c r="P48">
        <f t="shared" si="0"/>
        <v>1</v>
      </c>
      <c r="Q48">
        <f t="shared" si="1"/>
        <v>0</v>
      </c>
    </row>
    <row r="49" spans="1:17" x14ac:dyDescent="0.2">
      <c r="A49" t="s">
        <v>25</v>
      </c>
      <c r="B49" t="s">
        <v>73</v>
      </c>
      <c r="C49">
        <v>370</v>
      </c>
      <c r="D49">
        <v>180</v>
      </c>
      <c r="E49">
        <v>20</v>
      </c>
      <c r="F49">
        <v>6</v>
      </c>
      <c r="G49">
        <v>0</v>
      </c>
      <c r="H49">
        <v>75</v>
      </c>
      <c r="I49">
        <v>970</v>
      </c>
      <c r="J49">
        <v>20</v>
      </c>
      <c r="K49">
        <v>3</v>
      </c>
      <c r="L49">
        <v>6</v>
      </c>
      <c r="M49">
        <v>29</v>
      </c>
      <c r="N49">
        <v>353</v>
      </c>
      <c r="O49" s="3">
        <f t="shared" si="2"/>
        <v>7.8378378378378386</v>
      </c>
      <c r="P49">
        <f t="shared" si="0"/>
        <v>1</v>
      </c>
      <c r="Q49">
        <f t="shared" si="1"/>
        <v>0</v>
      </c>
    </row>
    <row r="50" spans="1:17" x14ac:dyDescent="0.2">
      <c r="A50" t="s">
        <v>25</v>
      </c>
      <c r="B50" t="s">
        <v>74</v>
      </c>
      <c r="C50">
        <v>90</v>
      </c>
      <c r="D50">
        <v>35</v>
      </c>
      <c r="E50">
        <v>4</v>
      </c>
      <c r="F50">
        <v>2.5</v>
      </c>
      <c r="G50">
        <v>0</v>
      </c>
      <c r="H50">
        <v>10</v>
      </c>
      <c r="I50">
        <v>180</v>
      </c>
      <c r="J50">
        <v>9</v>
      </c>
      <c r="K50">
        <v>3</v>
      </c>
      <c r="L50">
        <v>4</v>
      </c>
      <c r="M50">
        <v>7</v>
      </c>
      <c r="N50">
        <v>89.5</v>
      </c>
      <c r="O50" s="3">
        <f t="shared" si="2"/>
        <v>7.7777777777777777</v>
      </c>
      <c r="P50">
        <f t="shared" si="0"/>
        <v>0</v>
      </c>
      <c r="Q50">
        <f t="shared" si="1"/>
        <v>0</v>
      </c>
    </row>
    <row r="51" spans="1:17" x14ac:dyDescent="0.2">
      <c r="A51" t="s">
        <v>58</v>
      </c>
      <c r="B51" t="s">
        <v>75</v>
      </c>
      <c r="C51">
        <v>90</v>
      </c>
      <c r="D51" s="2">
        <v>0</v>
      </c>
      <c r="E51">
        <v>2</v>
      </c>
      <c r="F51">
        <v>1.5</v>
      </c>
      <c r="G51">
        <v>0</v>
      </c>
      <c r="H51">
        <v>10</v>
      </c>
      <c r="I51">
        <v>105</v>
      </c>
      <c r="J51">
        <v>10</v>
      </c>
      <c r="K51">
        <v>0</v>
      </c>
      <c r="L51">
        <v>10</v>
      </c>
      <c r="M51">
        <v>7</v>
      </c>
      <c r="N51">
        <v>95</v>
      </c>
      <c r="O51" s="3">
        <f t="shared" si="2"/>
        <v>7.7777777777777777</v>
      </c>
      <c r="P51">
        <f t="shared" si="0"/>
        <v>0</v>
      </c>
      <c r="Q51">
        <f t="shared" si="1"/>
        <v>0</v>
      </c>
    </row>
    <row r="52" spans="1:17" x14ac:dyDescent="0.2">
      <c r="A52" t="s">
        <v>21</v>
      </c>
      <c r="B52" t="s">
        <v>76</v>
      </c>
      <c r="C52">
        <v>90</v>
      </c>
      <c r="D52" s="2">
        <v>0</v>
      </c>
      <c r="E52">
        <v>2</v>
      </c>
      <c r="F52">
        <v>1.5</v>
      </c>
      <c r="G52">
        <v>0</v>
      </c>
      <c r="H52">
        <v>10</v>
      </c>
      <c r="I52">
        <v>105</v>
      </c>
      <c r="J52">
        <v>10</v>
      </c>
      <c r="K52">
        <v>0</v>
      </c>
      <c r="L52">
        <v>10</v>
      </c>
      <c r="M52">
        <v>7</v>
      </c>
      <c r="N52">
        <v>94.5</v>
      </c>
      <c r="O52" s="3">
        <f t="shared" si="2"/>
        <v>7.7777777777777777</v>
      </c>
      <c r="P52">
        <f t="shared" si="0"/>
        <v>0</v>
      </c>
      <c r="Q52">
        <f t="shared" si="1"/>
        <v>0</v>
      </c>
    </row>
    <row r="53" spans="1:17" x14ac:dyDescent="0.2">
      <c r="A53" t="s">
        <v>21</v>
      </c>
      <c r="B53" t="s">
        <v>77</v>
      </c>
      <c r="C53">
        <v>130</v>
      </c>
      <c r="D53" s="2">
        <v>0</v>
      </c>
      <c r="E53">
        <v>8</v>
      </c>
      <c r="F53">
        <v>2</v>
      </c>
      <c r="G53">
        <v>0</v>
      </c>
      <c r="H53">
        <v>55</v>
      </c>
      <c r="I53">
        <v>380</v>
      </c>
      <c r="J53">
        <v>3</v>
      </c>
      <c r="K53">
        <v>0</v>
      </c>
      <c r="L53">
        <v>0</v>
      </c>
      <c r="M53">
        <v>10</v>
      </c>
      <c r="N53">
        <v>122</v>
      </c>
      <c r="O53" s="3">
        <f t="shared" si="2"/>
        <v>7.6923076923076925</v>
      </c>
      <c r="P53">
        <f t="shared" si="0"/>
        <v>0</v>
      </c>
      <c r="Q53">
        <f t="shared" si="1"/>
        <v>0</v>
      </c>
    </row>
    <row r="54" spans="1:17" x14ac:dyDescent="0.2">
      <c r="A54" t="s">
        <v>25</v>
      </c>
      <c r="B54" t="s">
        <v>78</v>
      </c>
      <c r="C54">
        <v>460</v>
      </c>
      <c r="D54">
        <v>150</v>
      </c>
      <c r="E54">
        <v>17</v>
      </c>
      <c r="F54">
        <v>6</v>
      </c>
      <c r="G54">
        <v>0</v>
      </c>
      <c r="H54">
        <v>90</v>
      </c>
      <c r="I54">
        <v>1040</v>
      </c>
      <c r="J54">
        <v>43</v>
      </c>
      <c r="K54">
        <v>4</v>
      </c>
      <c r="L54">
        <v>9</v>
      </c>
      <c r="M54">
        <v>35</v>
      </c>
      <c r="N54">
        <v>440</v>
      </c>
      <c r="O54" s="3">
        <f t="shared" si="2"/>
        <v>7.608695652173914</v>
      </c>
      <c r="P54">
        <f t="shared" si="0"/>
        <v>1</v>
      </c>
      <c r="Q54">
        <f t="shared" si="1"/>
        <v>0</v>
      </c>
    </row>
    <row r="55" spans="1:17" x14ac:dyDescent="0.2">
      <c r="A55" t="s">
        <v>25</v>
      </c>
      <c r="B55" t="s">
        <v>79</v>
      </c>
      <c r="C55">
        <v>360</v>
      </c>
      <c r="D55">
        <v>80</v>
      </c>
      <c r="E55">
        <v>9</v>
      </c>
      <c r="F55">
        <v>2</v>
      </c>
      <c r="G55">
        <v>0</v>
      </c>
      <c r="H55">
        <v>65</v>
      </c>
      <c r="I55">
        <v>820</v>
      </c>
      <c r="J55">
        <v>41</v>
      </c>
      <c r="K55">
        <v>4</v>
      </c>
      <c r="L55">
        <v>8</v>
      </c>
      <c r="M55">
        <v>27</v>
      </c>
      <c r="N55">
        <v>343</v>
      </c>
      <c r="O55" s="3">
        <f t="shared" si="2"/>
        <v>7.5</v>
      </c>
      <c r="P55">
        <f t="shared" si="0"/>
        <v>1</v>
      </c>
      <c r="Q55">
        <f t="shared" si="1"/>
        <v>0</v>
      </c>
    </row>
    <row r="56" spans="1:17" x14ac:dyDescent="0.2">
      <c r="A56" t="s">
        <v>58</v>
      </c>
      <c r="B56" t="s">
        <v>80</v>
      </c>
      <c r="C56">
        <v>200</v>
      </c>
      <c r="D56" s="2">
        <v>0</v>
      </c>
      <c r="E56">
        <v>10</v>
      </c>
      <c r="F56">
        <v>1.5</v>
      </c>
      <c r="G56">
        <v>0</v>
      </c>
      <c r="H56">
        <v>45</v>
      </c>
      <c r="I56">
        <v>620</v>
      </c>
      <c r="J56">
        <v>13</v>
      </c>
      <c r="K56">
        <v>0</v>
      </c>
      <c r="L56">
        <v>0</v>
      </c>
      <c r="M56">
        <v>15</v>
      </c>
      <c r="N56">
        <v>187</v>
      </c>
      <c r="O56" s="3">
        <f t="shared" si="2"/>
        <v>7.5</v>
      </c>
      <c r="P56">
        <f t="shared" si="0"/>
        <v>1</v>
      </c>
      <c r="Q56">
        <f t="shared" si="1"/>
        <v>0</v>
      </c>
    </row>
    <row r="57" spans="1:17" x14ac:dyDescent="0.2">
      <c r="A57" t="s">
        <v>21</v>
      </c>
      <c r="B57" t="s">
        <v>81</v>
      </c>
      <c r="C57">
        <v>40</v>
      </c>
      <c r="D57" s="2">
        <v>0</v>
      </c>
      <c r="E57">
        <v>2</v>
      </c>
      <c r="F57">
        <v>1</v>
      </c>
      <c r="G57">
        <v>0</v>
      </c>
      <c r="H57">
        <v>5</v>
      </c>
      <c r="I57">
        <v>90</v>
      </c>
      <c r="J57">
        <v>2</v>
      </c>
      <c r="K57">
        <v>1</v>
      </c>
      <c r="L57">
        <v>1</v>
      </c>
      <c r="M57">
        <v>3</v>
      </c>
      <c r="N57">
        <v>39</v>
      </c>
      <c r="O57" s="3">
        <f t="shared" si="2"/>
        <v>7.5</v>
      </c>
      <c r="P57">
        <f t="shared" si="0"/>
        <v>0</v>
      </c>
      <c r="Q57">
        <f t="shared" si="1"/>
        <v>0</v>
      </c>
    </row>
    <row r="58" spans="1:17" x14ac:dyDescent="0.2">
      <c r="A58" t="s">
        <v>17</v>
      </c>
      <c r="B58" t="s">
        <v>82</v>
      </c>
      <c r="C58">
        <v>160</v>
      </c>
      <c r="D58">
        <v>50</v>
      </c>
      <c r="E58">
        <v>5</v>
      </c>
      <c r="F58">
        <v>2.5</v>
      </c>
      <c r="G58">
        <v>0</v>
      </c>
      <c r="H58">
        <v>30</v>
      </c>
      <c r="I58">
        <v>500</v>
      </c>
      <c r="J58">
        <v>16</v>
      </c>
      <c r="K58">
        <v>1</v>
      </c>
      <c r="L58">
        <v>1</v>
      </c>
      <c r="M58">
        <v>12</v>
      </c>
      <c r="O58" s="3">
        <f t="shared" si="2"/>
        <v>7.5</v>
      </c>
      <c r="P58">
        <f t="shared" si="0"/>
        <v>1</v>
      </c>
      <c r="Q58">
        <f t="shared" si="1"/>
        <v>0</v>
      </c>
    </row>
    <row r="59" spans="1:17" x14ac:dyDescent="0.2">
      <c r="A59" t="s">
        <v>58</v>
      </c>
      <c r="B59" t="s">
        <v>83</v>
      </c>
      <c r="C59">
        <v>430</v>
      </c>
      <c r="D59" s="2">
        <v>0</v>
      </c>
      <c r="E59">
        <v>21</v>
      </c>
      <c r="F59">
        <v>3.5</v>
      </c>
      <c r="G59">
        <v>0</v>
      </c>
      <c r="H59">
        <v>100</v>
      </c>
      <c r="I59">
        <v>1350</v>
      </c>
      <c r="J59">
        <v>29</v>
      </c>
      <c r="K59">
        <v>0</v>
      </c>
      <c r="L59">
        <v>1</v>
      </c>
      <c r="M59">
        <v>32</v>
      </c>
      <c r="N59">
        <v>403</v>
      </c>
      <c r="O59" s="3">
        <f t="shared" si="2"/>
        <v>7.441860465116279</v>
      </c>
      <c r="P59">
        <f t="shared" si="0"/>
        <v>1</v>
      </c>
      <c r="Q59">
        <f t="shared" si="1"/>
        <v>0</v>
      </c>
    </row>
    <row r="60" spans="1:17" x14ac:dyDescent="0.2">
      <c r="A60" t="s">
        <v>58</v>
      </c>
      <c r="B60" t="s">
        <v>84</v>
      </c>
      <c r="C60">
        <v>270</v>
      </c>
      <c r="D60" s="2">
        <v>0</v>
      </c>
      <c r="E60">
        <v>10</v>
      </c>
      <c r="F60">
        <v>3.5</v>
      </c>
      <c r="G60">
        <v>0</v>
      </c>
      <c r="H60">
        <v>55</v>
      </c>
      <c r="I60">
        <v>640</v>
      </c>
      <c r="J60">
        <v>24</v>
      </c>
      <c r="K60">
        <v>2</v>
      </c>
      <c r="L60">
        <v>3</v>
      </c>
      <c r="M60">
        <v>20</v>
      </c>
      <c r="N60">
        <v>257</v>
      </c>
      <c r="O60" s="3">
        <f t="shared" si="2"/>
        <v>7.4074074074074066</v>
      </c>
      <c r="P60">
        <f t="shared" si="0"/>
        <v>1</v>
      </c>
      <c r="Q60">
        <f t="shared" si="1"/>
        <v>0</v>
      </c>
    </row>
    <row r="61" spans="1:17" x14ac:dyDescent="0.2">
      <c r="A61" t="s">
        <v>58</v>
      </c>
      <c r="B61" t="s">
        <v>85</v>
      </c>
      <c r="C61">
        <v>270</v>
      </c>
      <c r="D61" s="2">
        <v>0</v>
      </c>
      <c r="E61">
        <v>10</v>
      </c>
      <c r="F61">
        <v>3.5</v>
      </c>
      <c r="G61">
        <v>0</v>
      </c>
      <c r="H61">
        <v>55</v>
      </c>
      <c r="I61">
        <v>640</v>
      </c>
      <c r="J61">
        <v>24</v>
      </c>
      <c r="K61">
        <v>2</v>
      </c>
      <c r="L61">
        <v>3</v>
      </c>
      <c r="M61">
        <v>20</v>
      </c>
      <c r="N61">
        <v>257</v>
      </c>
      <c r="O61" s="3">
        <f t="shared" si="2"/>
        <v>7.4074074074074066</v>
      </c>
      <c r="P61">
        <f t="shared" si="0"/>
        <v>1</v>
      </c>
      <c r="Q61">
        <f t="shared" si="1"/>
        <v>0</v>
      </c>
    </row>
    <row r="62" spans="1:17" x14ac:dyDescent="0.2">
      <c r="A62" t="s">
        <v>21</v>
      </c>
      <c r="B62" t="s">
        <v>86</v>
      </c>
      <c r="C62">
        <v>230</v>
      </c>
      <c r="D62" s="2">
        <v>0</v>
      </c>
      <c r="E62">
        <v>13</v>
      </c>
      <c r="F62">
        <v>2.5</v>
      </c>
      <c r="G62">
        <v>0</v>
      </c>
      <c r="H62">
        <v>285</v>
      </c>
      <c r="I62">
        <v>750</v>
      </c>
      <c r="J62">
        <v>12</v>
      </c>
      <c r="K62">
        <v>0</v>
      </c>
      <c r="L62">
        <v>0</v>
      </c>
      <c r="M62">
        <v>17</v>
      </c>
      <c r="N62">
        <v>215.5</v>
      </c>
      <c r="O62" s="3">
        <f t="shared" si="2"/>
        <v>7.3913043478260869</v>
      </c>
      <c r="P62">
        <f t="shared" si="0"/>
        <v>1</v>
      </c>
      <c r="Q62">
        <f t="shared" si="1"/>
        <v>0</v>
      </c>
    </row>
    <row r="63" spans="1:17" x14ac:dyDescent="0.2">
      <c r="A63" t="s">
        <v>58</v>
      </c>
      <c r="B63" t="s">
        <v>87</v>
      </c>
      <c r="C63">
        <v>650</v>
      </c>
      <c r="D63" s="2">
        <v>0</v>
      </c>
      <c r="E63">
        <v>32</v>
      </c>
      <c r="F63">
        <v>5</v>
      </c>
      <c r="G63">
        <v>0</v>
      </c>
      <c r="H63">
        <v>150</v>
      </c>
      <c r="I63">
        <v>2020</v>
      </c>
      <c r="J63">
        <v>43</v>
      </c>
      <c r="K63">
        <v>0</v>
      </c>
      <c r="L63">
        <v>1</v>
      </c>
      <c r="M63">
        <v>48</v>
      </c>
      <c r="N63">
        <v>608</v>
      </c>
      <c r="O63" s="3">
        <f t="shared" si="2"/>
        <v>7.384615384615385</v>
      </c>
      <c r="P63">
        <f t="shared" si="0"/>
        <v>1</v>
      </c>
      <c r="Q63">
        <f t="shared" si="1"/>
        <v>0</v>
      </c>
    </row>
    <row r="64" spans="1:17" x14ac:dyDescent="0.2">
      <c r="A64" t="s">
        <v>21</v>
      </c>
      <c r="B64" t="s">
        <v>88</v>
      </c>
      <c r="C64">
        <v>260</v>
      </c>
      <c r="D64" s="2">
        <v>0</v>
      </c>
      <c r="E64">
        <v>14</v>
      </c>
      <c r="F64">
        <v>2</v>
      </c>
      <c r="G64">
        <v>0</v>
      </c>
      <c r="H64">
        <v>50</v>
      </c>
      <c r="I64">
        <v>610</v>
      </c>
      <c r="J64">
        <v>15</v>
      </c>
      <c r="K64" s="2">
        <v>0</v>
      </c>
      <c r="L64">
        <v>0</v>
      </c>
      <c r="M64">
        <v>19</v>
      </c>
      <c r="N64">
        <v>243</v>
      </c>
      <c r="O64" s="3">
        <f t="shared" si="2"/>
        <v>7.3076923076923084</v>
      </c>
      <c r="P64">
        <f t="shared" si="0"/>
        <v>1</v>
      </c>
      <c r="Q64">
        <f t="shared" si="1"/>
        <v>0</v>
      </c>
    </row>
    <row r="65" spans="1:17" x14ac:dyDescent="0.2">
      <c r="A65" t="s">
        <v>58</v>
      </c>
      <c r="B65" t="s">
        <v>89</v>
      </c>
      <c r="C65">
        <v>330</v>
      </c>
      <c r="D65" s="2">
        <v>0</v>
      </c>
      <c r="E65">
        <v>16</v>
      </c>
      <c r="F65">
        <v>2.5</v>
      </c>
      <c r="G65">
        <v>0</v>
      </c>
      <c r="H65">
        <v>75</v>
      </c>
      <c r="I65">
        <v>1010</v>
      </c>
      <c r="J65">
        <v>22</v>
      </c>
      <c r="K65">
        <v>0</v>
      </c>
      <c r="L65">
        <v>0</v>
      </c>
      <c r="M65">
        <v>24</v>
      </c>
      <c r="N65">
        <v>309</v>
      </c>
      <c r="O65" s="3">
        <f t="shared" si="2"/>
        <v>7.2727272727272725</v>
      </c>
      <c r="P65">
        <f t="shared" si="0"/>
        <v>1</v>
      </c>
      <c r="Q65">
        <f t="shared" si="1"/>
        <v>0</v>
      </c>
    </row>
    <row r="66" spans="1:17" x14ac:dyDescent="0.2">
      <c r="A66" t="s">
        <v>17</v>
      </c>
      <c r="B66" t="s">
        <v>82</v>
      </c>
      <c r="C66">
        <v>180</v>
      </c>
      <c r="D66">
        <v>60</v>
      </c>
      <c r="E66">
        <v>7</v>
      </c>
      <c r="F66">
        <v>3.5</v>
      </c>
      <c r="G66">
        <v>0</v>
      </c>
      <c r="H66">
        <v>35</v>
      </c>
      <c r="I66">
        <v>520</v>
      </c>
      <c r="J66">
        <v>18</v>
      </c>
      <c r="K66">
        <v>2</v>
      </c>
      <c r="L66">
        <v>2</v>
      </c>
      <c r="M66">
        <v>13</v>
      </c>
      <c r="O66" s="3">
        <f t="shared" si="2"/>
        <v>7.2222222222222214</v>
      </c>
      <c r="P66">
        <f t="shared" ref="P66:P129" si="3">IF(I66&gt;2300*0.2,1,0)</f>
        <v>1</v>
      </c>
      <c r="Q66">
        <f t="shared" ref="Q66:Q129" si="4">IF(H66&gt;300,1,0)</f>
        <v>0</v>
      </c>
    </row>
    <row r="67" spans="1:17" x14ac:dyDescent="0.2">
      <c r="A67" t="s">
        <v>58</v>
      </c>
      <c r="B67" t="s">
        <v>90</v>
      </c>
      <c r="C67">
        <v>600</v>
      </c>
      <c r="D67" s="2">
        <v>0</v>
      </c>
      <c r="E67">
        <v>41</v>
      </c>
      <c r="F67">
        <v>11</v>
      </c>
      <c r="G67">
        <v>0</v>
      </c>
      <c r="H67">
        <v>135</v>
      </c>
      <c r="I67">
        <v>1220</v>
      </c>
      <c r="J67">
        <v>18</v>
      </c>
      <c r="K67">
        <v>7</v>
      </c>
      <c r="L67">
        <v>7</v>
      </c>
      <c r="M67">
        <v>42</v>
      </c>
      <c r="N67">
        <v>576</v>
      </c>
      <c r="O67" s="3">
        <f t="shared" si="2"/>
        <v>7.0000000000000009</v>
      </c>
      <c r="P67">
        <f t="shared" si="3"/>
        <v>1</v>
      </c>
      <c r="Q67">
        <f t="shared" si="4"/>
        <v>0</v>
      </c>
    </row>
    <row r="68" spans="1:17" x14ac:dyDescent="0.2">
      <c r="A68" t="s">
        <v>58</v>
      </c>
      <c r="B68" t="s">
        <v>91</v>
      </c>
      <c r="C68">
        <v>300</v>
      </c>
      <c r="D68" s="2">
        <v>0</v>
      </c>
      <c r="E68">
        <v>20</v>
      </c>
      <c r="F68">
        <v>6</v>
      </c>
      <c r="G68">
        <v>0</v>
      </c>
      <c r="H68">
        <v>70</v>
      </c>
      <c r="I68">
        <v>620</v>
      </c>
      <c r="J68">
        <v>10</v>
      </c>
      <c r="K68">
        <v>4</v>
      </c>
      <c r="L68">
        <v>4</v>
      </c>
      <c r="M68">
        <v>21</v>
      </c>
      <c r="N68">
        <v>289</v>
      </c>
      <c r="O68" s="3">
        <f t="shared" si="2"/>
        <v>7.0000000000000009</v>
      </c>
      <c r="P68">
        <f t="shared" si="3"/>
        <v>1</v>
      </c>
      <c r="Q68">
        <f t="shared" si="4"/>
        <v>0</v>
      </c>
    </row>
    <row r="69" spans="1:17" x14ac:dyDescent="0.2">
      <c r="A69" t="s">
        <v>25</v>
      </c>
      <c r="B69" t="s">
        <v>92</v>
      </c>
      <c r="C69">
        <v>260</v>
      </c>
      <c r="D69">
        <v>80</v>
      </c>
      <c r="E69">
        <v>9</v>
      </c>
      <c r="F69">
        <v>3.5</v>
      </c>
      <c r="G69">
        <v>0</v>
      </c>
      <c r="H69">
        <v>45</v>
      </c>
      <c r="I69">
        <v>800</v>
      </c>
      <c r="J69">
        <v>27</v>
      </c>
      <c r="K69">
        <v>1</v>
      </c>
      <c r="L69">
        <v>4</v>
      </c>
      <c r="M69">
        <v>18</v>
      </c>
      <c r="N69">
        <v>249.5</v>
      </c>
      <c r="O69" s="3">
        <f t="shared" si="2"/>
        <v>6.9230769230769234</v>
      </c>
      <c r="P69">
        <f t="shared" si="3"/>
        <v>1</v>
      </c>
      <c r="Q69">
        <f t="shared" si="4"/>
        <v>0</v>
      </c>
    </row>
    <row r="70" spans="1:17" x14ac:dyDescent="0.2">
      <c r="A70" t="s">
        <v>25</v>
      </c>
      <c r="B70" t="s">
        <v>93</v>
      </c>
      <c r="C70">
        <v>260</v>
      </c>
      <c r="D70">
        <v>80</v>
      </c>
      <c r="E70">
        <v>9</v>
      </c>
      <c r="F70">
        <v>3.5</v>
      </c>
      <c r="G70">
        <v>0</v>
      </c>
      <c r="H70">
        <v>45</v>
      </c>
      <c r="I70">
        <v>830</v>
      </c>
      <c r="J70">
        <v>28</v>
      </c>
      <c r="K70">
        <v>1</v>
      </c>
      <c r="L70">
        <v>5</v>
      </c>
      <c r="M70">
        <v>18</v>
      </c>
      <c r="N70">
        <v>250.5</v>
      </c>
      <c r="O70" s="3">
        <f t="shared" ref="O70:O133" si="5">M70/C70*100</f>
        <v>6.9230769230769234</v>
      </c>
      <c r="P70">
        <f t="shared" si="3"/>
        <v>1</v>
      </c>
      <c r="Q70">
        <f t="shared" si="4"/>
        <v>0</v>
      </c>
    </row>
    <row r="71" spans="1:17" x14ac:dyDescent="0.2">
      <c r="A71" t="s">
        <v>21</v>
      </c>
      <c r="B71" t="s">
        <v>94</v>
      </c>
      <c r="C71">
        <v>130</v>
      </c>
      <c r="D71" s="2">
        <v>0</v>
      </c>
      <c r="E71">
        <v>8</v>
      </c>
      <c r="F71">
        <v>1.5</v>
      </c>
      <c r="G71">
        <v>0</v>
      </c>
      <c r="H71">
        <v>40</v>
      </c>
      <c r="I71">
        <v>420</v>
      </c>
      <c r="J71">
        <v>5</v>
      </c>
      <c r="K71">
        <v>1</v>
      </c>
      <c r="L71">
        <v>0</v>
      </c>
      <c r="M71">
        <v>9</v>
      </c>
      <c r="N71">
        <v>122.5</v>
      </c>
      <c r="O71" s="3">
        <f t="shared" si="5"/>
        <v>6.9230769230769234</v>
      </c>
      <c r="P71">
        <f t="shared" si="3"/>
        <v>0</v>
      </c>
      <c r="Q71">
        <f t="shared" si="4"/>
        <v>0</v>
      </c>
    </row>
    <row r="72" spans="1:17" x14ac:dyDescent="0.2">
      <c r="A72" t="s">
        <v>21</v>
      </c>
      <c r="B72" t="s">
        <v>95</v>
      </c>
      <c r="C72">
        <v>350</v>
      </c>
      <c r="D72" s="2">
        <v>0</v>
      </c>
      <c r="E72">
        <v>3.5</v>
      </c>
      <c r="F72">
        <v>0.5</v>
      </c>
      <c r="G72">
        <v>0</v>
      </c>
      <c r="H72">
        <v>55</v>
      </c>
      <c r="I72">
        <v>1350</v>
      </c>
      <c r="J72">
        <v>55</v>
      </c>
      <c r="K72">
        <v>2</v>
      </c>
      <c r="L72">
        <v>22</v>
      </c>
      <c r="M72">
        <v>24</v>
      </c>
      <c r="N72">
        <v>348.5</v>
      </c>
      <c r="O72" s="3">
        <f t="shared" si="5"/>
        <v>6.8571428571428577</v>
      </c>
      <c r="P72">
        <f t="shared" si="3"/>
        <v>1</v>
      </c>
      <c r="Q72">
        <f t="shared" si="4"/>
        <v>0</v>
      </c>
    </row>
    <row r="73" spans="1:17" x14ac:dyDescent="0.2">
      <c r="A73" t="s">
        <v>58</v>
      </c>
      <c r="B73" t="s">
        <v>96</v>
      </c>
      <c r="C73">
        <v>560</v>
      </c>
      <c r="D73" s="2">
        <v>0</v>
      </c>
      <c r="E73">
        <v>24</v>
      </c>
      <c r="F73">
        <v>7</v>
      </c>
      <c r="G73">
        <v>0</v>
      </c>
      <c r="H73">
        <v>115</v>
      </c>
      <c r="I73">
        <v>1020</v>
      </c>
      <c r="J73">
        <v>52</v>
      </c>
      <c r="K73">
        <v>7</v>
      </c>
      <c r="L73">
        <v>40</v>
      </c>
      <c r="M73">
        <v>38</v>
      </c>
      <c r="N73">
        <v>569</v>
      </c>
      <c r="O73" s="3">
        <f t="shared" si="5"/>
        <v>6.7857142857142856</v>
      </c>
      <c r="P73">
        <f t="shared" si="3"/>
        <v>1</v>
      </c>
      <c r="Q73">
        <f t="shared" si="4"/>
        <v>0</v>
      </c>
    </row>
    <row r="74" spans="1:17" x14ac:dyDescent="0.2">
      <c r="A74" t="s">
        <v>21</v>
      </c>
      <c r="B74" t="s">
        <v>97</v>
      </c>
      <c r="C74">
        <v>280</v>
      </c>
      <c r="D74" s="2">
        <v>0</v>
      </c>
      <c r="E74">
        <v>19</v>
      </c>
      <c r="F74">
        <v>4.5</v>
      </c>
      <c r="G74">
        <v>0</v>
      </c>
      <c r="H74">
        <v>100</v>
      </c>
      <c r="I74">
        <v>910</v>
      </c>
      <c r="J74">
        <v>8</v>
      </c>
      <c r="K74">
        <v>1</v>
      </c>
      <c r="L74">
        <v>0</v>
      </c>
      <c r="M74">
        <v>19</v>
      </c>
      <c r="N74">
        <v>265.5</v>
      </c>
      <c r="O74" s="3">
        <f t="shared" si="5"/>
        <v>6.7857142857142856</v>
      </c>
      <c r="P74">
        <f t="shared" si="3"/>
        <v>1</v>
      </c>
      <c r="Q74">
        <f t="shared" si="4"/>
        <v>0</v>
      </c>
    </row>
    <row r="75" spans="1:17" x14ac:dyDescent="0.2">
      <c r="A75" t="s">
        <v>25</v>
      </c>
      <c r="B75" t="s">
        <v>98</v>
      </c>
      <c r="C75">
        <v>270</v>
      </c>
      <c r="D75">
        <v>90</v>
      </c>
      <c r="E75">
        <v>10</v>
      </c>
      <c r="F75">
        <v>4</v>
      </c>
      <c r="G75">
        <v>0</v>
      </c>
      <c r="H75">
        <v>45</v>
      </c>
      <c r="I75">
        <v>830</v>
      </c>
      <c r="J75">
        <v>26</v>
      </c>
      <c r="K75">
        <v>1</v>
      </c>
      <c r="L75">
        <v>2</v>
      </c>
      <c r="M75">
        <v>18</v>
      </c>
      <c r="N75">
        <v>258</v>
      </c>
      <c r="O75" s="3">
        <f t="shared" si="5"/>
        <v>6.666666666666667</v>
      </c>
      <c r="P75">
        <f t="shared" si="3"/>
        <v>1</v>
      </c>
      <c r="Q75">
        <f t="shared" si="4"/>
        <v>0</v>
      </c>
    </row>
    <row r="76" spans="1:17" x14ac:dyDescent="0.2">
      <c r="A76" t="s">
        <v>51</v>
      </c>
      <c r="B76" t="s">
        <v>99</v>
      </c>
      <c r="C76">
        <v>60</v>
      </c>
      <c r="D76">
        <v>35</v>
      </c>
      <c r="E76">
        <v>4</v>
      </c>
      <c r="F76">
        <v>2.5</v>
      </c>
      <c r="G76">
        <v>0</v>
      </c>
      <c r="H76">
        <v>10</v>
      </c>
      <c r="I76">
        <v>95</v>
      </c>
      <c r="J76">
        <v>3</v>
      </c>
      <c r="K76">
        <v>1</v>
      </c>
      <c r="L76">
        <v>2</v>
      </c>
      <c r="M76">
        <v>4</v>
      </c>
      <c r="N76">
        <v>61</v>
      </c>
      <c r="O76" s="3">
        <f t="shared" si="5"/>
        <v>6.666666666666667</v>
      </c>
      <c r="P76">
        <f t="shared" si="3"/>
        <v>0</v>
      </c>
      <c r="Q76">
        <f t="shared" si="4"/>
        <v>0</v>
      </c>
    </row>
    <row r="77" spans="1:17" x14ac:dyDescent="0.2">
      <c r="A77" t="s">
        <v>21</v>
      </c>
      <c r="B77" t="s">
        <v>100</v>
      </c>
      <c r="C77">
        <v>330</v>
      </c>
      <c r="D77" s="2">
        <v>0</v>
      </c>
      <c r="E77">
        <v>23</v>
      </c>
      <c r="F77">
        <v>4.5</v>
      </c>
      <c r="G77">
        <v>0</v>
      </c>
      <c r="H77">
        <v>100</v>
      </c>
      <c r="I77">
        <v>700</v>
      </c>
      <c r="J77">
        <v>9</v>
      </c>
      <c r="K77">
        <v>0</v>
      </c>
      <c r="L77">
        <v>0</v>
      </c>
      <c r="M77">
        <v>22</v>
      </c>
      <c r="N77">
        <v>312.5</v>
      </c>
      <c r="O77" s="3">
        <f t="shared" si="5"/>
        <v>6.666666666666667</v>
      </c>
      <c r="P77">
        <f t="shared" si="3"/>
        <v>1</v>
      </c>
      <c r="Q77">
        <f t="shared" si="4"/>
        <v>0</v>
      </c>
    </row>
    <row r="78" spans="1:17" x14ac:dyDescent="0.2">
      <c r="A78" t="s">
        <v>21</v>
      </c>
      <c r="B78" t="s">
        <v>101</v>
      </c>
      <c r="C78">
        <v>15</v>
      </c>
      <c r="D78" s="2">
        <v>0</v>
      </c>
      <c r="E78">
        <v>0</v>
      </c>
      <c r="F78">
        <v>0</v>
      </c>
      <c r="G78">
        <v>0</v>
      </c>
      <c r="H78">
        <v>0</v>
      </c>
      <c r="I78">
        <v>10</v>
      </c>
      <c r="J78">
        <v>3</v>
      </c>
      <c r="K78">
        <v>2</v>
      </c>
      <c r="L78">
        <v>2</v>
      </c>
      <c r="M78">
        <v>1</v>
      </c>
      <c r="N78">
        <v>16</v>
      </c>
      <c r="O78" s="3">
        <f t="shared" si="5"/>
        <v>6.666666666666667</v>
      </c>
      <c r="P78">
        <f t="shared" si="3"/>
        <v>0</v>
      </c>
      <c r="Q78">
        <f t="shared" si="4"/>
        <v>0</v>
      </c>
    </row>
    <row r="79" spans="1:17" x14ac:dyDescent="0.2">
      <c r="A79" t="s">
        <v>21</v>
      </c>
      <c r="B79" t="s">
        <v>102</v>
      </c>
      <c r="C79">
        <v>300</v>
      </c>
      <c r="D79" s="2">
        <v>0</v>
      </c>
      <c r="E79">
        <v>16</v>
      </c>
      <c r="F79">
        <v>2</v>
      </c>
      <c r="G79">
        <v>0</v>
      </c>
      <c r="H79">
        <v>210</v>
      </c>
      <c r="I79">
        <v>770</v>
      </c>
      <c r="J79">
        <v>18</v>
      </c>
      <c r="K79" s="2">
        <v>0</v>
      </c>
      <c r="L79">
        <v>0</v>
      </c>
      <c r="M79">
        <v>20</v>
      </c>
      <c r="N79">
        <v>282</v>
      </c>
      <c r="O79" s="3">
        <f t="shared" si="5"/>
        <v>6.666666666666667</v>
      </c>
      <c r="P79">
        <f t="shared" si="3"/>
        <v>1</v>
      </c>
      <c r="Q79">
        <f t="shared" si="4"/>
        <v>0</v>
      </c>
    </row>
    <row r="80" spans="1:17" x14ac:dyDescent="0.2">
      <c r="A80" t="s">
        <v>21</v>
      </c>
      <c r="B80" t="s">
        <v>103</v>
      </c>
      <c r="C80">
        <v>530</v>
      </c>
      <c r="D80" s="2">
        <v>0</v>
      </c>
      <c r="E80">
        <v>35</v>
      </c>
      <c r="F80">
        <v>6</v>
      </c>
      <c r="G80">
        <v>0</v>
      </c>
      <c r="H80">
        <v>105</v>
      </c>
      <c r="I80">
        <v>1150</v>
      </c>
      <c r="J80">
        <v>18</v>
      </c>
      <c r="K80">
        <v>0</v>
      </c>
      <c r="L80">
        <v>0</v>
      </c>
      <c r="M80">
        <v>35</v>
      </c>
      <c r="N80">
        <v>501</v>
      </c>
      <c r="O80" s="3">
        <f t="shared" si="5"/>
        <v>6.6037735849056602</v>
      </c>
      <c r="P80">
        <f t="shared" si="3"/>
        <v>1</v>
      </c>
      <c r="Q80">
        <f t="shared" si="4"/>
        <v>0</v>
      </c>
    </row>
    <row r="81" spans="1:17" x14ac:dyDescent="0.2">
      <c r="A81" t="s">
        <v>58</v>
      </c>
      <c r="B81" t="s">
        <v>104</v>
      </c>
      <c r="C81">
        <v>1090</v>
      </c>
      <c r="D81" s="2">
        <v>0</v>
      </c>
      <c r="E81">
        <v>72</v>
      </c>
      <c r="F81">
        <v>30</v>
      </c>
      <c r="G81">
        <v>4</v>
      </c>
      <c r="H81">
        <v>260</v>
      </c>
      <c r="I81">
        <v>1650</v>
      </c>
      <c r="J81">
        <v>43</v>
      </c>
      <c r="K81">
        <v>3</v>
      </c>
      <c r="L81">
        <v>9</v>
      </c>
      <c r="M81">
        <v>71</v>
      </c>
      <c r="N81">
        <v>1058</v>
      </c>
      <c r="O81" s="3">
        <f t="shared" si="5"/>
        <v>6.5137614678899087</v>
      </c>
      <c r="P81">
        <f t="shared" si="3"/>
        <v>1</v>
      </c>
      <c r="Q81">
        <f t="shared" si="4"/>
        <v>0</v>
      </c>
    </row>
    <row r="82" spans="1:17" x14ac:dyDescent="0.2">
      <c r="A82" t="s">
        <v>25</v>
      </c>
      <c r="B82" t="s">
        <v>105</v>
      </c>
      <c r="C82">
        <v>740</v>
      </c>
      <c r="D82">
        <v>380</v>
      </c>
      <c r="E82">
        <v>42</v>
      </c>
      <c r="F82">
        <v>19</v>
      </c>
      <c r="G82">
        <v>2.5</v>
      </c>
      <c r="H82">
        <v>155</v>
      </c>
      <c r="I82">
        <v>1380</v>
      </c>
      <c r="J82">
        <v>40</v>
      </c>
      <c r="K82">
        <v>3</v>
      </c>
      <c r="L82">
        <v>9</v>
      </c>
      <c r="M82">
        <v>48</v>
      </c>
      <c r="N82">
        <v>720</v>
      </c>
      <c r="O82" s="3">
        <f t="shared" si="5"/>
        <v>6.4864864864864868</v>
      </c>
      <c r="P82">
        <f t="shared" si="3"/>
        <v>1</v>
      </c>
      <c r="Q82">
        <f t="shared" si="4"/>
        <v>0</v>
      </c>
    </row>
    <row r="83" spans="1:17" x14ac:dyDescent="0.2">
      <c r="A83" t="s">
        <v>25</v>
      </c>
      <c r="B83" t="s">
        <v>106</v>
      </c>
      <c r="C83">
        <v>140</v>
      </c>
      <c r="D83">
        <v>70</v>
      </c>
      <c r="E83">
        <v>7</v>
      </c>
      <c r="F83">
        <v>3.5</v>
      </c>
      <c r="G83">
        <v>0</v>
      </c>
      <c r="H83">
        <v>25</v>
      </c>
      <c r="I83">
        <v>300</v>
      </c>
      <c r="J83">
        <v>10</v>
      </c>
      <c r="K83">
        <v>3</v>
      </c>
      <c r="L83">
        <v>4</v>
      </c>
      <c r="M83">
        <v>9</v>
      </c>
      <c r="N83">
        <v>138.5</v>
      </c>
      <c r="O83" s="3">
        <f t="shared" si="5"/>
        <v>6.4285714285714279</v>
      </c>
      <c r="P83">
        <f t="shared" si="3"/>
        <v>0</v>
      </c>
      <c r="Q83">
        <f t="shared" si="4"/>
        <v>0</v>
      </c>
    </row>
    <row r="84" spans="1:17" x14ac:dyDescent="0.2">
      <c r="A84" t="s">
        <v>58</v>
      </c>
      <c r="B84" t="s">
        <v>107</v>
      </c>
      <c r="C84">
        <v>390</v>
      </c>
      <c r="D84" s="2">
        <v>0</v>
      </c>
      <c r="E84">
        <v>21</v>
      </c>
      <c r="F84">
        <v>9</v>
      </c>
      <c r="G84">
        <v>1.5</v>
      </c>
      <c r="H84">
        <v>90</v>
      </c>
      <c r="I84">
        <v>740</v>
      </c>
      <c r="J84">
        <v>26</v>
      </c>
      <c r="K84">
        <v>1</v>
      </c>
      <c r="L84">
        <v>6</v>
      </c>
      <c r="M84">
        <v>25</v>
      </c>
      <c r="N84">
        <v>380</v>
      </c>
      <c r="O84" s="3">
        <f t="shared" si="5"/>
        <v>6.4102564102564097</v>
      </c>
      <c r="P84">
        <f t="shared" si="3"/>
        <v>1</v>
      </c>
      <c r="Q84">
        <f t="shared" si="4"/>
        <v>0</v>
      </c>
    </row>
    <row r="85" spans="1:17" x14ac:dyDescent="0.2">
      <c r="A85" t="s">
        <v>17</v>
      </c>
      <c r="B85" t="s">
        <v>108</v>
      </c>
      <c r="C85">
        <v>190</v>
      </c>
      <c r="D85">
        <v>80</v>
      </c>
      <c r="E85">
        <v>9</v>
      </c>
      <c r="F85">
        <v>3</v>
      </c>
      <c r="G85">
        <v>0</v>
      </c>
      <c r="H85">
        <v>35</v>
      </c>
      <c r="I85">
        <v>530</v>
      </c>
      <c r="J85">
        <v>15</v>
      </c>
      <c r="K85">
        <v>1</v>
      </c>
      <c r="L85" s="2">
        <v>0</v>
      </c>
      <c r="M85">
        <v>12</v>
      </c>
      <c r="O85" s="3">
        <f t="shared" si="5"/>
        <v>6.3157894736842106</v>
      </c>
      <c r="P85">
        <f t="shared" si="3"/>
        <v>1</v>
      </c>
      <c r="Q85">
        <f t="shared" si="4"/>
        <v>0</v>
      </c>
    </row>
    <row r="86" spans="1:17" x14ac:dyDescent="0.2">
      <c r="A86" t="s">
        <v>21</v>
      </c>
      <c r="B86" t="s">
        <v>109</v>
      </c>
      <c r="C86">
        <v>80</v>
      </c>
      <c r="D86" s="2">
        <v>0</v>
      </c>
      <c r="E86">
        <v>6</v>
      </c>
      <c r="F86">
        <v>1</v>
      </c>
      <c r="G86">
        <v>0</v>
      </c>
      <c r="H86">
        <v>20</v>
      </c>
      <c r="I86">
        <v>150</v>
      </c>
      <c r="J86">
        <v>3</v>
      </c>
      <c r="K86">
        <v>0</v>
      </c>
      <c r="L86">
        <v>0</v>
      </c>
      <c r="M86">
        <v>5</v>
      </c>
      <c r="N86">
        <v>76</v>
      </c>
      <c r="O86" s="3">
        <f t="shared" si="5"/>
        <v>6.25</v>
      </c>
      <c r="P86">
        <f t="shared" si="3"/>
        <v>0</v>
      </c>
      <c r="Q86">
        <f t="shared" si="4"/>
        <v>0</v>
      </c>
    </row>
    <row r="87" spans="1:17" x14ac:dyDescent="0.2">
      <c r="A87" t="s">
        <v>51</v>
      </c>
      <c r="B87" t="s">
        <v>110</v>
      </c>
      <c r="C87">
        <v>900</v>
      </c>
      <c r="D87">
        <v>480</v>
      </c>
      <c r="E87">
        <v>54</v>
      </c>
      <c r="F87">
        <v>25</v>
      </c>
      <c r="G87">
        <v>3</v>
      </c>
      <c r="H87">
        <v>210</v>
      </c>
      <c r="I87">
        <v>1740</v>
      </c>
      <c r="J87">
        <v>50</v>
      </c>
      <c r="K87">
        <v>2</v>
      </c>
      <c r="L87">
        <v>11</v>
      </c>
      <c r="M87">
        <v>56</v>
      </c>
      <c r="N87">
        <v>880</v>
      </c>
      <c r="O87" s="3">
        <f t="shared" si="5"/>
        <v>6.2222222222222223</v>
      </c>
      <c r="P87">
        <f t="shared" si="3"/>
        <v>1</v>
      </c>
      <c r="Q87">
        <f t="shared" si="4"/>
        <v>0</v>
      </c>
    </row>
    <row r="88" spans="1:17" x14ac:dyDescent="0.2">
      <c r="A88" t="s">
        <v>58</v>
      </c>
      <c r="B88" t="s">
        <v>111</v>
      </c>
      <c r="C88">
        <v>950</v>
      </c>
      <c r="D88" s="2">
        <v>0</v>
      </c>
      <c r="E88">
        <v>62</v>
      </c>
      <c r="F88">
        <v>24</v>
      </c>
      <c r="G88">
        <v>3</v>
      </c>
      <c r="H88">
        <v>205</v>
      </c>
      <c r="I88">
        <v>1630</v>
      </c>
      <c r="J88">
        <v>40</v>
      </c>
      <c r="K88">
        <v>2</v>
      </c>
      <c r="L88">
        <v>8</v>
      </c>
      <c r="M88">
        <v>59</v>
      </c>
      <c r="N88">
        <v>923</v>
      </c>
      <c r="O88" s="3">
        <f t="shared" si="5"/>
        <v>6.2105263157894743</v>
      </c>
      <c r="P88">
        <f t="shared" si="3"/>
        <v>1</v>
      </c>
      <c r="Q88">
        <f t="shared" si="4"/>
        <v>0</v>
      </c>
    </row>
    <row r="89" spans="1:17" x14ac:dyDescent="0.2">
      <c r="A89" t="s">
        <v>58</v>
      </c>
      <c r="B89" t="s">
        <v>112</v>
      </c>
      <c r="C89">
        <v>810</v>
      </c>
      <c r="D89" s="2">
        <v>0</v>
      </c>
      <c r="E89">
        <v>51</v>
      </c>
      <c r="F89">
        <v>20</v>
      </c>
      <c r="G89">
        <v>3</v>
      </c>
      <c r="H89">
        <v>175</v>
      </c>
      <c r="I89">
        <v>1280</v>
      </c>
      <c r="J89">
        <v>41</v>
      </c>
      <c r="K89">
        <v>3</v>
      </c>
      <c r="L89">
        <v>8</v>
      </c>
      <c r="M89">
        <v>49</v>
      </c>
      <c r="N89">
        <v>789</v>
      </c>
      <c r="O89" s="3">
        <f t="shared" si="5"/>
        <v>6.0493827160493829</v>
      </c>
      <c r="P89">
        <f t="shared" si="3"/>
        <v>1</v>
      </c>
      <c r="Q89">
        <f t="shared" si="4"/>
        <v>0</v>
      </c>
    </row>
    <row r="90" spans="1:17" x14ac:dyDescent="0.2">
      <c r="A90" t="s">
        <v>25</v>
      </c>
      <c r="B90" t="s">
        <v>113</v>
      </c>
      <c r="C90">
        <v>430</v>
      </c>
      <c r="D90">
        <v>180</v>
      </c>
      <c r="E90">
        <v>20</v>
      </c>
      <c r="F90">
        <v>4</v>
      </c>
      <c r="G90">
        <v>0</v>
      </c>
      <c r="H90">
        <v>55</v>
      </c>
      <c r="I90">
        <v>920</v>
      </c>
      <c r="J90">
        <v>38</v>
      </c>
      <c r="K90">
        <v>6</v>
      </c>
      <c r="L90">
        <v>12</v>
      </c>
      <c r="M90">
        <v>26</v>
      </c>
      <c r="N90">
        <v>420</v>
      </c>
      <c r="O90" s="3">
        <f t="shared" si="5"/>
        <v>6.0465116279069768</v>
      </c>
      <c r="P90">
        <f t="shared" si="3"/>
        <v>1</v>
      </c>
      <c r="Q90">
        <f t="shared" si="4"/>
        <v>0</v>
      </c>
    </row>
    <row r="91" spans="1:17" x14ac:dyDescent="0.2">
      <c r="A91" t="s">
        <v>25</v>
      </c>
      <c r="B91" t="s">
        <v>114</v>
      </c>
      <c r="C91">
        <v>400</v>
      </c>
      <c r="D91">
        <v>150</v>
      </c>
      <c r="E91">
        <v>17</v>
      </c>
      <c r="F91">
        <v>3</v>
      </c>
      <c r="G91">
        <v>0</v>
      </c>
      <c r="H91">
        <v>45</v>
      </c>
      <c r="I91">
        <v>1030</v>
      </c>
      <c r="J91">
        <v>39</v>
      </c>
      <c r="K91">
        <v>1</v>
      </c>
      <c r="L91">
        <v>6</v>
      </c>
      <c r="M91">
        <v>24</v>
      </c>
      <c r="N91">
        <v>385</v>
      </c>
      <c r="O91" s="3">
        <f t="shared" si="5"/>
        <v>6</v>
      </c>
      <c r="P91">
        <f t="shared" si="3"/>
        <v>1</v>
      </c>
      <c r="Q91">
        <f t="shared" si="4"/>
        <v>0</v>
      </c>
    </row>
    <row r="92" spans="1:17" x14ac:dyDescent="0.2">
      <c r="A92" t="s">
        <v>25</v>
      </c>
      <c r="B92" t="s">
        <v>115</v>
      </c>
      <c r="C92">
        <v>300</v>
      </c>
      <c r="D92">
        <v>110</v>
      </c>
      <c r="E92">
        <v>12</v>
      </c>
      <c r="F92">
        <v>5</v>
      </c>
      <c r="G92">
        <v>0</v>
      </c>
      <c r="H92">
        <v>260</v>
      </c>
      <c r="I92">
        <v>820</v>
      </c>
      <c r="J92">
        <v>30</v>
      </c>
      <c r="K92">
        <v>2</v>
      </c>
      <c r="L92">
        <v>3</v>
      </c>
      <c r="M92">
        <v>18</v>
      </c>
      <c r="N92">
        <v>290</v>
      </c>
      <c r="O92" s="3">
        <f t="shared" si="5"/>
        <v>6</v>
      </c>
      <c r="P92">
        <f t="shared" si="3"/>
        <v>1</v>
      </c>
      <c r="Q92">
        <f t="shared" si="4"/>
        <v>0</v>
      </c>
    </row>
    <row r="93" spans="1:17" x14ac:dyDescent="0.2">
      <c r="A93" t="s">
        <v>25</v>
      </c>
      <c r="B93" t="s">
        <v>116</v>
      </c>
      <c r="C93">
        <v>100</v>
      </c>
      <c r="D93">
        <v>50</v>
      </c>
      <c r="E93">
        <v>6</v>
      </c>
      <c r="F93">
        <v>3.5</v>
      </c>
      <c r="G93">
        <v>0</v>
      </c>
      <c r="H93">
        <v>15</v>
      </c>
      <c r="I93">
        <v>80</v>
      </c>
      <c r="J93">
        <v>8</v>
      </c>
      <c r="K93">
        <v>0</v>
      </c>
      <c r="L93">
        <v>8</v>
      </c>
      <c r="M93">
        <v>6</v>
      </c>
      <c r="N93">
        <v>105.5</v>
      </c>
      <c r="O93" s="3">
        <f t="shared" si="5"/>
        <v>6</v>
      </c>
      <c r="P93">
        <f t="shared" si="3"/>
        <v>0</v>
      </c>
      <c r="Q93">
        <f t="shared" si="4"/>
        <v>0</v>
      </c>
    </row>
    <row r="94" spans="1:17" x14ac:dyDescent="0.2">
      <c r="A94" t="s">
        <v>51</v>
      </c>
      <c r="B94" t="s">
        <v>117</v>
      </c>
      <c r="C94">
        <v>350</v>
      </c>
      <c r="D94">
        <v>160</v>
      </c>
      <c r="E94">
        <v>18</v>
      </c>
      <c r="F94">
        <v>7</v>
      </c>
      <c r="G94">
        <v>1</v>
      </c>
      <c r="H94">
        <v>70</v>
      </c>
      <c r="I94">
        <v>410</v>
      </c>
      <c r="J94">
        <v>26</v>
      </c>
      <c r="K94">
        <v>1</v>
      </c>
      <c r="L94">
        <v>6</v>
      </c>
      <c r="M94">
        <v>21</v>
      </c>
      <c r="N94">
        <v>342</v>
      </c>
      <c r="O94" s="3">
        <f t="shared" si="5"/>
        <v>6</v>
      </c>
      <c r="P94">
        <f t="shared" si="3"/>
        <v>0</v>
      </c>
      <c r="Q94">
        <f t="shared" si="4"/>
        <v>0</v>
      </c>
    </row>
    <row r="95" spans="1:17" x14ac:dyDescent="0.2">
      <c r="A95" t="s">
        <v>51</v>
      </c>
      <c r="B95" t="s">
        <v>118</v>
      </c>
      <c r="C95">
        <v>420</v>
      </c>
      <c r="D95">
        <v>210</v>
      </c>
      <c r="E95">
        <v>24</v>
      </c>
      <c r="F95">
        <v>10</v>
      </c>
      <c r="G95">
        <v>1.5</v>
      </c>
      <c r="H95">
        <v>90</v>
      </c>
      <c r="I95">
        <v>740</v>
      </c>
      <c r="J95">
        <v>27</v>
      </c>
      <c r="K95">
        <v>1</v>
      </c>
      <c r="L95">
        <v>7</v>
      </c>
      <c r="M95">
        <v>25</v>
      </c>
      <c r="N95">
        <v>412</v>
      </c>
      <c r="O95" s="3">
        <f t="shared" si="5"/>
        <v>5.9523809523809517</v>
      </c>
      <c r="P95">
        <f t="shared" si="3"/>
        <v>1</v>
      </c>
      <c r="Q95">
        <f t="shared" si="4"/>
        <v>0</v>
      </c>
    </row>
    <row r="96" spans="1:17" x14ac:dyDescent="0.2">
      <c r="A96" t="s">
        <v>51</v>
      </c>
      <c r="B96" t="s">
        <v>119</v>
      </c>
      <c r="C96">
        <v>1130</v>
      </c>
      <c r="D96">
        <v>680</v>
      </c>
      <c r="E96">
        <v>75</v>
      </c>
      <c r="F96">
        <v>28</v>
      </c>
      <c r="G96">
        <v>4</v>
      </c>
      <c r="H96">
        <v>255</v>
      </c>
      <c r="I96">
        <v>1120</v>
      </c>
      <c r="J96">
        <v>49</v>
      </c>
      <c r="K96">
        <v>2</v>
      </c>
      <c r="L96">
        <v>11</v>
      </c>
      <c r="M96">
        <v>67</v>
      </c>
      <c r="N96">
        <v>1102</v>
      </c>
      <c r="O96" s="3">
        <f t="shared" si="5"/>
        <v>5.9292035398230087</v>
      </c>
      <c r="P96">
        <f t="shared" si="3"/>
        <v>1</v>
      </c>
      <c r="Q96">
        <f t="shared" si="4"/>
        <v>0</v>
      </c>
    </row>
    <row r="97" spans="1:17" x14ac:dyDescent="0.2">
      <c r="A97" t="s">
        <v>51</v>
      </c>
      <c r="B97" t="s">
        <v>120</v>
      </c>
      <c r="C97">
        <v>390</v>
      </c>
      <c r="D97">
        <v>190</v>
      </c>
      <c r="E97">
        <v>21</v>
      </c>
      <c r="F97">
        <v>9</v>
      </c>
      <c r="G97">
        <v>1.5</v>
      </c>
      <c r="H97">
        <v>85</v>
      </c>
      <c r="I97">
        <v>590</v>
      </c>
      <c r="J97">
        <v>27</v>
      </c>
      <c r="K97">
        <v>1</v>
      </c>
      <c r="L97">
        <v>7</v>
      </c>
      <c r="M97">
        <v>23</v>
      </c>
      <c r="N97">
        <v>383</v>
      </c>
      <c r="O97" s="3">
        <f t="shared" si="5"/>
        <v>5.8974358974358969</v>
      </c>
      <c r="P97">
        <f t="shared" si="3"/>
        <v>1</v>
      </c>
      <c r="Q97">
        <f t="shared" si="4"/>
        <v>0</v>
      </c>
    </row>
    <row r="98" spans="1:17" x14ac:dyDescent="0.2">
      <c r="A98" t="s">
        <v>58</v>
      </c>
      <c r="B98" t="s">
        <v>121</v>
      </c>
      <c r="C98">
        <v>340</v>
      </c>
      <c r="D98" s="2">
        <v>0</v>
      </c>
      <c r="E98">
        <v>17</v>
      </c>
      <c r="F98">
        <v>4</v>
      </c>
      <c r="G98">
        <v>0</v>
      </c>
      <c r="H98">
        <v>55</v>
      </c>
      <c r="I98">
        <v>550</v>
      </c>
      <c r="J98">
        <v>29</v>
      </c>
      <c r="K98">
        <v>4</v>
      </c>
      <c r="L98">
        <v>22</v>
      </c>
      <c r="M98">
        <v>20</v>
      </c>
      <c r="N98">
        <v>346</v>
      </c>
      <c r="O98" s="3">
        <f t="shared" si="5"/>
        <v>5.8823529411764701</v>
      </c>
      <c r="P98">
        <f t="shared" si="3"/>
        <v>1</v>
      </c>
      <c r="Q98">
        <f t="shared" si="4"/>
        <v>0</v>
      </c>
    </row>
    <row r="99" spans="1:17" x14ac:dyDescent="0.2">
      <c r="A99" t="s">
        <v>21</v>
      </c>
      <c r="B99" t="s">
        <v>122</v>
      </c>
      <c r="C99">
        <v>170</v>
      </c>
      <c r="D99" s="2">
        <v>0</v>
      </c>
      <c r="E99">
        <v>12</v>
      </c>
      <c r="F99">
        <v>2</v>
      </c>
      <c r="G99">
        <v>0</v>
      </c>
      <c r="H99">
        <v>50</v>
      </c>
      <c r="I99">
        <v>390</v>
      </c>
      <c r="J99">
        <v>5</v>
      </c>
      <c r="K99">
        <v>0</v>
      </c>
      <c r="L99">
        <v>0</v>
      </c>
      <c r="M99">
        <v>10</v>
      </c>
      <c r="N99">
        <v>162</v>
      </c>
      <c r="O99" s="3">
        <f t="shared" si="5"/>
        <v>5.8823529411764701</v>
      </c>
      <c r="P99">
        <f t="shared" si="3"/>
        <v>0</v>
      </c>
      <c r="Q99">
        <f t="shared" si="4"/>
        <v>0</v>
      </c>
    </row>
    <row r="100" spans="1:17" x14ac:dyDescent="0.2">
      <c r="A100" t="s">
        <v>21</v>
      </c>
      <c r="B100" t="s">
        <v>123</v>
      </c>
      <c r="C100">
        <v>170</v>
      </c>
      <c r="D100" s="2">
        <v>0</v>
      </c>
      <c r="E100">
        <v>13</v>
      </c>
      <c r="F100">
        <v>2</v>
      </c>
      <c r="G100">
        <v>0</v>
      </c>
      <c r="H100">
        <v>45</v>
      </c>
      <c r="I100">
        <v>340</v>
      </c>
      <c r="J100">
        <v>5</v>
      </c>
      <c r="K100">
        <v>0</v>
      </c>
      <c r="L100">
        <v>0</v>
      </c>
      <c r="M100">
        <v>10</v>
      </c>
      <c r="N100">
        <v>162</v>
      </c>
      <c r="O100" s="3">
        <f t="shared" si="5"/>
        <v>5.8823529411764701</v>
      </c>
      <c r="P100">
        <f t="shared" si="3"/>
        <v>0</v>
      </c>
      <c r="Q100">
        <f t="shared" si="4"/>
        <v>0</v>
      </c>
    </row>
    <row r="101" spans="1:17" x14ac:dyDescent="0.2">
      <c r="A101" t="s">
        <v>58</v>
      </c>
      <c r="B101" t="s">
        <v>124</v>
      </c>
      <c r="C101">
        <v>720</v>
      </c>
      <c r="D101" s="2">
        <v>0</v>
      </c>
      <c r="E101">
        <v>42</v>
      </c>
      <c r="F101">
        <v>12</v>
      </c>
      <c r="G101">
        <v>1</v>
      </c>
      <c r="H101">
        <v>150</v>
      </c>
      <c r="I101">
        <v>1680</v>
      </c>
      <c r="J101">
        <v>44</v>
      </c>
      <c r="K101">
        <v>8</v>
      </c>
      <c r="L101">
        <v>6</v>
      </c>
      <c r="M101">
        <v>42</v>
      </c>
      <c r="N101">
        <v>696</v>
      </c>
      <c r="O101" s="3">
        <f t="shared" si="5"/>
        <v>5.833333333333333</v>
      </c>
      <c r="P101">
        <f t="shared" si="3"/>
        <v>1</v>
      </c>
      <c r="Q101">
        <f t="shared" si="4"/>
        <v>0</v>
      </c>
    </row>
    <row r="102" spans="1:17" x14ac:dyDescent="0.2">
      <c r="A102" t="s">
        <v>21</v>
      </c>
      <c r="B102" t="s">
        <v>125</v>
      </c>
      <c r="C102">
        <v>120</v>
      </c>
      <c r="D102" s="2">
        <v>0</v>
      </c>
      <c r="E102">
        <v>8</v>
      </c>
      <c r="F102">
        <v>1.5</v>
      </c>
      <c r="G102">
        <v>0</v>
      </c>
      <c r="H102">
        <v>35</v>
      </c>
      <c r="I102">
        <v>350</v>
      </c>
      <c r="J102">
        <v>5</v>
      </c>
      <c r="K102">
        <v>0</v>
      </c>
      <c r="L102">
        <v>0</v>
      </c>
      <c r="M102">
        <v>7</v>
      </c>
      <c r="N102">
        <v>114.5</v>
      </c>
      <c r="O102" s="3">
        <f t="shared" si="5"/>
        <v>5.833333333333333</v>
      </c>
      <c r="P102">
        <f t="shared" si="3"/>
        <v>0</v>
      </c>
      <c r="Q102">
        <f t="shared" si="4"/>
        <v>0</v>
      </c>
    </row>
    <row r="103" spans="1:17" x14ac:dyDescent="0.2">
      <c r="A103" t="s">
        <v>51</v>
      </c>
      <c r="B103" t="s">
        <v>126</v>
      </c>
      <c r="C103">
        <v>1220</v>
      </c>
      <c r="D103">
        <v>740</v>
      </c>
      <c r="E103">
        <v>82</v>
      </c>
      <c r="F103">
        <v>32</v>
      </c>
      <c r="G103">
        <v>4.5</v>
      </c>
      <c r="H103">
        <v>280</v>
      </c>
      <c r="I103">
        <v>1470</v>
      </c>
      <c r="J103">
        <v>50</v>
      </c>
      <c r="K103">
        <v>2</v>
      </c>
      <c r="L103">
        <v>11</v>
      </c>
      <c r="M103">
        <v>71</v>
      </c>
      <c r="N103">
        <v>1192</v>
      </c>
      <c r="O103" s="3">
        <f t="shared" si="5"/>
        <v>5.8196721311475406</v>
      </c>
      <c r="P103">
        <f t="shared" si="3"/>
        <v>1</v>
      </c>
      <c r="Q103">
        <f t="shared" si="4"/>
        <v>0</v>
      </c>
    </row>
    <row r="104" spans="1:17" x14ac:dyDescent="0.2">
      <c r="A104" t="s">
        <v>51</v>
      </c>
      <c r="B104" t="s">
        <v>127</v>
      </c>
      <c r="C104">
        <v>1050</v>
      </c>
      <c r="D104">
        <v>610</v>
      </c>
      <c r="E104">
        <v>68</v>
      </c>
      <c r="F104">
        <v>28</v>
      </c>
      <c r="G104">
        <v>3.5</v>
      </c>
      <c r="H104">
        <v>235</v>
      </c>
      <c r="I104">
        <v>1870</v>
      </c>
      <c r="J104">
        <v>49</v>
      </c>
      <c r="K104">
        <v>1</v>
      </c>
      <c r="L104">
        <v>11</v>
      </c>
      <c r="M104">
        <v>61</v>
      </c>
      <c r="N104">
        <v>1028</v>
      </c>
      <c r="O104" s="3">
        <f t="shared" si="5"/>
        <v>5.8095238095238093</v>
      </c>
      <c r="P104">
        <f t="shared" si="3"/>
        <v>1</v>
      </c>
      <c r="Q104">
        <f t="shared" si="4"/>
        <v>0</v>
      </c>
    </row>
    <row r="105" spans="1:17" x14ac:dyDescent="0.2">
      <c r="A105" t="s">
        <v>21</v>
      </c>
      <c r="B105" t="s">
        <v>128</v>
      </c>
      <c r="C105">
        <v>190</v>
      </c>
      <c r="D105" s="2">
        <v>0</v>
      </c>
      <c r="E105">
        <v>1</v>
      </c>
      <c r="F105">
        <v>0</v>
      </c>
      <c r="G105">
        <v>0</v>
      </c>
      <c r="H105">
        <v>0</v>
      </c>
      <c r="I105">
        <v>650</v>
      </c>
      <c r="J105">
        <v>34</v>
      </c>
      <c r="K105">
        <v>7</v>
      </c>
      <c r="L105">
        <v>15</v>
      </c>
      <c r="M105">
        <v>11</v>
      </c>
      <c r="N105">
        <v>194</v>
      </c>
      <c r="O105" s="3">
        <f t="shared" si="5"/>
        <v>5.7894736842105265</v>
      </c>
      <c r="P105">
        <f t="shared" si="3"/>
        <v>1</v>
      </c>
      <c r="Q105">
        <f t="shared" si="4"/>
        <v>0</v>
      </c>
    </row>
    <row r="106" spans="1:17" x14ac:dyDescent="0.2">
      <c r="A106" t="s">
        <v>25</v>
      </c>
      <c r="B106" t="s">
        <v>129</v>
      </c>
      <c r="C106">
        <v>660</v>
      </c>
      <c r="D106">
        <v>360</v>
      </c>
      <c r="E106">
        <v>40</v>
      </c>
      <c r="F106">
        <v>6</v>
      </c>
      <c r="G106">
        <v>0</v>
      </c>
      <c r="H106">
        <v>85</v>
      </c>
      <c r="I106">
        <v>1680</v>
      </c>
      <c r="J106">
        <v>39</v>
      </c>
      <c r="K106">
        <v>0</v>
      </c>
      <c r="L106">
        <v>0</v>
      </c>
      <c r="M106">
        <v>38</v>
      </c>
      <c r="N106">
        <v>628</v>
      </c>
      <c r="O106" s="3">
        <f t="shared" si="5"/>
        <v>5.7575757575757578</v>
      </c>
      <c r="P106">
        <f t="shared" si="3"/>
        <v>1</v>
      </c>
      <c r="Q106">
        <f t="shared" si="4"/>
        <v>0</v>
      </c>
    </row>
    <row r="107" spans="1:17" x14ac:dyDescent="0.2">
      <c r="A107" t="s">
        <v>58</v>
      </c>
      <c r="B107" t="s">
        <v>130</v>
      </c>
      <c r="C107">
        <v>660</v>
      </c>
      <c r="D107" s="2">
        <v>0</v>
      </c>
      <c r="E107">
        <v>34</v>
      </c>
      <c r="F107">
        <v>9</v>
      </c>
      <c r="G107">
        <v>0</v>
      </c>
      <c r="H107">
        <v>100</v>
      </c>
      <c r="I107">
        <v>1650</v>
      </c>
      <c r="J107">
        <v>52</v>
      </c>
      <c r="K107">
        <v>3</v>
      </c>
      <c r="L107">
        <v>7</v>
      </c>
      <c r="M107">
        <v>38</v>
      </c>
      <c r="N107">
        <v>638</v>
      </c>
      <c r="O107" s="3">
        <f t="shared" si="5"/>
        <v>5.7575757575757578</v>
      </c>
      <c r="P107">
        <f t="shared" si="3"/>
        <v>1</v>
      </c>
      <c r="Q107">
        <f t="shared" si="4"/>
        <v>0</v>
      </c>
    </row>
    <row r="108" spans="1:17" x14ac:dyDescent="0.2">
      <c r="A108" t="s">
        <v>25</v>
      </c>
      <c r="B108" t="s">
        <v>131</v>
      </c>
      <c r="C108">
        <v>400</v>
      </c>
      <c r="D108">
        <v>210</v>
      </c>
      <c r="E108">
        <v>24</v>
      </c>
      <c r="F108">
        <v>3.5</v>
      </c>
      <c r="G108">
        <v>0</v>
      </c>
      <c r="H108">
        <v>50</v>
      </c>
      <c r="I108">
        <v>1010</v>
      </c>
      <c r="J108">
        <v>23</v>
      </c>
      <c r="K108">
        <v>0</v>
      </c>
      <c r="L108">
        <v>0</v>
      </c>
      <c r="M108">
        <v>23</v>
      </c>
      <c r="N108">
        <v>380.5</v>
      </c>
      <c r="O108" s="3">
        <f t="shared" si="5"/>
        <v>5.75</v>
      </c>
      <c r="P108">
        <f t="shared" si="3"/>
        <v>1</v>
      </c>
      <c r="Q108">
        <f t="shared" si="4"/>
        <v>0</v>
      </c>
    </row>
    <row r="109" spans="1:17" x14ac:dyDescent="0.2">
      <c r="A109" t="s">
        <v>51</v>
      </c>
      <c r="B109" t="s">
        <v>132</v>
      </c>
      <c r="C109">
        <v>540</v>
      </c>
      <c r="D109">
        <v>300</v>
      </c>
      <c r="E109">
        <v>33</v>
      </c>
      <c r="F109">
        <v>10</v>
      </c>
      <c r="G109">
        <v>0</v>
      </c>
      <c r="H109">
        <v>95</v>
      </c>
      <c r="I109">
        <v>1380</v>
      </c>
      <c r="J109">
        <v>31</v>
      </c>
      <c r="K109">
        <v>3</v>
      </c>
      <c r="L109">
        <v>5</v>
      </c>
      <c r="M109">
        <v>31</v>
      </c>
      <c r="N109">
        <v>524</v>
      </c>
      <c r="O109" s="3">
        <f t="shared" si="5"/>
        <v>5.7407407407407405</v>
      </c>
      <c r="P109">
        <f t="shared" si="3"/>
        <v>1</v>
      </c>
      <c r="Q109">
        <f t="shared" si="4"/>
        <v>0</v>
      </c>
    </row>
    <row r="110" spans="1:17" x14ac:dyDescent="0.2">
      <c r="A110" t="s">
        <v>21</v>
      </c>
      <c r="B110" t="s">
        <v>23</v>
      </c>
      <c r="C110">
        <v>540</v>
      </c>
      <c r="D110" s="2">
        <v>0</v>
      </c>
      <c r="E110">
        <v>40</v>
      </c>
      <c r="F110">
        <v>7</v>
      </c>
      <c r="G110">
        <v>0</v>
      </c>
      <c r="H110">
        <v>100</v>
      </c>
      <c r="I110">
        <v>1390</v>
      </c>
      <c r="J110">
        <v>14</v>
      </c>
      <c r="K110">
        <v>2</v>
      </c>
      <c r="L110">
        <v>1</v>
      </c>
      <c r="M110">
        <v>31</v>
      </c>
      <c r="N110">
        <v>517</v>
      </c>
      <c r="O110" s="3">
        <f t="shared" si="5"/>
        <v>5.7407407407407405</v>
      </c>
      <c r="P110">
        <f t="shared" si="3"/>
        <v>1</v>
      </c>
      <c r="Q110">
        <f t="shared" si="4"/>
        <v>0</v>
      </c>
    </row>
    <row r="111" spans="1:17" x14ac:dyDescent="0.2">
      <c r="A111" t="s">
        <v>25</v>
      </c>
      <c r="B111" t="s">
        <v>133</v>
      </c>
      <c r="C111">
        <v>770</v>
      </c>
      <c r="D111">
        <v>360</v>
      </c>
      <c r="E111">
        <v>40</v>
      </c>
      <c r="F111">
        <v>17</v>
      </c>
      <c r="G111">
        <v>2</v>
      </c>
      <c r="H111">
        <v>135</v>
      </c>
      <c r="I111">
        <v>1170</v>
      </c>
      <c r="J111">
        <v>59</v>
      </c>
      <c r="K111">
        <v>4</v>
      </c>
      <c r="L111">
        <v>8</v>
      </c>
      <c r="M111">
        <v>44</v>
      </c>
      <c r="N111">
        <v>751</v>
      </c>
      <c r="O111" s="3">
        <f t="shared" si="5"/>
        <v>5.7142857142857144</v>
      </c>
      <c r="P111">
        <f t="shared" si="3"/>
        <v>1</v>
      </c>
      <c r="Q111">
        <f t="shared" si="4"/>
        <v>0</v>
      </c>
    </row>
    <row r="112" spans="1:17" x14ac:dyDescent="0.2">
      <c r="A112" t="s">
        <v>25</v>
      </c>
      <c r="B112" t="s">
        <v>134</v>
      </c>
      <c r="C112">
        <v>140</v>
      </c>
      <c r="D112">
        <v>70</v>
      </c>
      <c r="E112">
        <v>8</v>
      </c>
      <c r="F112">
        <v>4.5</v>
      </c>
      <c r="G112">
        <v>0</v>
      </c>
      <c r="H112">
        <v>25</v>
      </c>
      <c r="I112">
        <v>105</v>
      </c>
      <c r="J112">
        <v>11</v>
      </c>
      <c r="K112">
        <v>0</v>
      </c>
      <c r="L112">
        <v>11</v>
      </c>
      <c r="M112">
        <v>8</v>
      </c>
      <c r="N112">
        <v>147.5</v>
      </c>
      <c r="O112" s="3">
        <f t="shared" si="5"/>
        <v>5.7142857142857144</v>
      </c>
      <c r="P112">
        <f t="shared" si="3"/>
        <v>0</v>
      </c>
      <c r="Q112">
        <f t="shared" si="4"/>
        <v>0</v>
      </c>
    </row>
    <row r="113" spans="1:17" x14ac:dyDescent="0.2">
      <c r="A113" t="s">
        <v>58</v>
      </c>
      <c r="B113" t="s">
        <v>135</v>
      </c>
      <c r="C113">
        <v>280</v>
      </c>
      <c r="D113" s="2">
        <v>0</v>
      </c>
      <c r="E113">
        <v>13</v>
      </c>
      <c r="F113">
        <v>6</v>
      </c>
      <c r="G113">
        <v>1</v>
      </c>
      <c r="H113">
        <v>50</v>
      </c>
      <c r="I113">
        <v>660</v>
      </c>
      <c r="J113">
        <v>26</v>
      </c>
      <c r="K113">
        <v>1</v>
      </c>
      <c r="L113">
        <v>6</v>
      </c>
      <c r="M113">
        <v>16</v>
      </c>
      <c r="N113">
        <v>276</v>
      </c>
      <c r="O113" s="3">
        <f t="shared" si="5"/>
        <v>5.7142857142857144</v>
      </c>
      <c r="P113">
        <f t="shared" si="3"/>
        <v>1</v>
      </c>
      <c r="Q113">
        <f t="shared" si="4"/>
        <v>0</v>
      </c>
    </row>
    <row r="114" spans="1:17" x14ac:dyDescent="0.2">
      <c r="A114" t="s">
        <v>25</v>
      </c>
      <c r="B114" t="s">
        <v>136</v>
      </c>
      <c r="C114">
        <v>790</v>
      </c>
      <c r="D114">
        <v>350</v>
      </c>
      <c r="E114">
        <v>39</v>
      </c>
      <c r="F114">
        <v>17</v>
      </c>
      <c r="G114">
        <v>2</v>
      </c>
      <c r="H114">
        <v>145</v>
      </c>
      <c r="I114">
        <v>2070</v>
      </c>
      <c r="J114">
        <v>63</v>
      </c>
      <c r="K114">
        <v>4</v>
      </c>
      <c r="L114">
        <v>13</v>
      </c>
      <c r="M114">
        <v>45</v>
      </c>
      <c r="N114">
        <v>775</v>
      </c>
      <c r="O114" s="3">
        <f t="shared" si="5"/>
        <v>5.6962025316455698</v>
      </c>
      <c r="P114">
        <f t="shared" si="3"/>
        <v>1</v>
      </c>
      <c r="Q114">
        <f t="shared" si="4"/>
        <v>0</v>
      </c>
    </row>
    <row r="115" spans="1:17" x14ac:dyDescent="0.2">
      <c r="A115" t="s">
        <v>25</v>
      </c>
      <c r="B115" t="s">
        <v>137</v>
      </c>
      <c r="C115">
        <v>510</v>
      </c>
      <c r="D115">
        <v>230</v>
      </c>
      <c r="E115">
        <v>26</v>
      </c>
      <c r="F115">
        <v>12</v>
      </c>
      <c r="G115">
        <v>1.5</v>
      </c>
      <c r="H115">
        <v>90</v>
      </c>
      <c r="I115">
        <v>1190</v>
      </c>
      <c r="J115">
        <v>40</v>
      </c>
      <c r="K115">
        <v>3</v>
      </c>
      <c r="L115">
        <v>9</v>
      </c>
      <c r="M115">
        <v>29</v>
      </c>
      <c r="N115">
        <v>502</v>
      </c>
      <c r="O115" s="3">
        <f t="shared" si="5"/>
        <v>5.6862745098039218</v>
      </c>
      <c r="P115">
        <f t="shared" si="3"/>
        <v>1</v>
      </c>
      <c r="Q115">
        <f t="shared" si="4"/>
        <v>0</v>
      </c>
    </row>
    <row r="116" spans="1:17" x14ac:dyDescent="0.2">
      <c r="A116" t="s">
        <v>58</v>
      </c>
      <c r="B116" t="s">
        <v>138</v>
      </c>
      <c r="C116">
        <v>510</v>
      </c>
      <c r="D116" s="2">
        <v>0</v>
      </c>
      <c r="E116">
        <v>20</v>
      </c>
      <c r="F116">
        <v>3.5</v>
      </c>
      <c r="G116">
        <v>0</v>
      </c>
      <c r="H116">
        <v>65</v>
      </c>
      <c r="I116">
        <v>1030</v>
      </c>
      <c r="J116">
        <v>54</v>
      </c>
      <c r="K116">
        <v>4</v>
      </c>
      <c r="L116">
        <v>6</v>
      </c>
      <c r="M116">
        <v>29</v>
      </c>
      <c r="N116">
        <v>491</v>
      </c>
      <c r="O116" s="3">
        <f t="shared" si="5"/>
        <v>5.6862745098039218</v>
      </c>
      <c r="P116">
        <f t="shared" si="3"/>
        <v>1</v>
      </c>
      <c r="Q116">
        <f t="shared" si="4"/>
        <v>0</v>
      </c>
    </row>
    <row r="117" spans="1:17" x14ac:dyDescent="0.2">
      <c r="A117" t="s">
        <v>25</v>
      </c>
      <c r="B117" t="s">
        <v>120</v>
      </c>
      <c r="C117">
        <v>440</v>
      </c>
      <c r="D117">
        <v>210</v>
      </c>
      <c r="E117">
        <v>23</v>
      </c>
      <c r="F117">
        <v>11</v>
      </c>
      <c r="G117">
        <v>1.5</v>
      </c>
      <c r="H117">
        <v>80</v>
      </c>
      <c r="I117">
        <v>1150</v>
      </c>
      <c r="J117">
        <v>34</v>
      </c>
      <c r="K117">
        <v>2</v>
      </c>
      <c r="L117">
        <v>7</v>
      </c>
      <c r="M117">
        <v>25</v>
      </c>
      <c r="N117">
        <v>433</v>
      </c>
      <c r="O117" s="3">
        <f t="shared" si="5"/>
        <v>5.6818181818181817</v>
      </c>
      <c r="P117">
        <f t="shared" si="3"/>
        <v>1</v>
      </c>
      <c r="Q117">
        <f t="shared" si="4"/>
        <v>0</v>
      </c>
    </row>
    <row r="118" spans="1:17" x14ac:dyDescent="0.2">
      <c r="A118" t="s">
        <v>51</v>
      </c>
      <c r="B118" t="s">
        <v>139</v>
      </c>
      <c r="C118">
        <v>440</v>
      </c>
      <c r="D118">
        <v>220</v>
      </c>
      <c r="E118">
        <v>25</v>
      </c>
      <c r="F118">
        <v>7</v>
      </c>
      <c r="G118">
        <v>0</v>
      </c>
      <c r="H118">
        <v>75</v>
      </c>
      <c r="I118">
        <v>930</v>
      </c>
      <c r="J118">
        <v>31</v>
      </c>
      <c r="K118">
        <v>3</v>
      </c>
      <c r="L118">
        <v>4</v>
      </c>
      <c r="M118">
        <v>25</v>
      </c>
      <c r="N118">
        <v>426</v>
      </c>
      <c r="O118" s="3">
        <f t="shared" si="5"/>
        <v>5.6818181818181817</v>
      </c>
      <c r="P118">
        <f t="shared" si="3"/>
        <v>1</v>
      </c>
      <c r="Q118">
        <f t="shared" si="4"/>
        <v>0</v>
      </c>
    </row>
    <row r="119" spans="1:17" x14ac:dyDescent="0.2">
      <c r="A119" t="s">
        <v>58</v>
      </c>
      <c r="B119" t="s">
        <v>140</v>
      </c>
      <c r="C119">
        <v>670</v>
      </c>
      <c r="D119" s="2">
        <v>0</v>
      </c>
      <c r="E119">
        <v>32</v>
      </c>
      <c r="F119">
        <v>9</v>
      </c>
      <c r="G119">
        <v>0</v>
      </c>
      <c r="H119">
        <v>100</v>
      </c>
      <c r="I119">
        <v>1530</v>
      </c>
      <c r="J119">
        <v>55</v>
      </c>
      <c r="K119">
        <v>4</v>
      </c>
      <c r="L119">
        <v>6</v>
      </c>
      <c r="M119">
        <v>38</v>
      </c>
      <c r="N119">
        <v>647</v>
      </c>
      <c r="O119" s="3">
        <f t="shared" si="5"/>
        <v>5.6716417910447765</v>
      </c>
      <c r="P119">
        <f t="shared" si="3"/>
        <v>1</v>
      </c>
      <c r="Q119">
        <f t="shared" si="4"/>
        <v>0</v>
      </c>
    </row>
    <row r="120" spans="1:17" x14ac:dyDescent="0.2">
      <c r="A120" t="s">
        <v>21</v>
      </c>
      <c r="B120" t="s">
        <v>141</v>
      </c>
      <c r="C120">
        <v>830</v>
      </c>
      <c r="D120" s="2">
        <v>0</v>
      </c>
      <c r="E120">
        <v>5</v>
      </c>
      <c r="F120">
        <v>1</v>
      </c>
      <c r="G120">
        <v>0</v>
      </c>
      <c r="H120">
        <v>0</v>
      </c>
      <c r="I120">
        <v>2810</v>
      </c>
      <c r="J120">
        <v>148</v>
      </c>
      <c r="K120">
        <v>31</v>
      </c>
      <c r="L120">
        <v>63</v>
      </c>
      <c r="M120">
        <v>47</v>
      </c>
      <c r="N120">
        <v>847</v>
      </c>
      <c r="O120" s="3">
        <f t="shared" si="5"/>
        <v>5.6626506024096388</v>
      </c>
      <c r="P120">
        <f t="shared" si="3"/>
        <v>1</v>
      </c>
      <c r="Q120">
        <f t="shared" si="4"/>
        <v>0</v>
      </c>
    </row>
    <row r="121" spans="1:17" x14ac:dyDescent="0.2">
      <c r="A121" t="s">
        <v>25</v>
      </c>
      <c r="B121" t="s">
        <v>142</v>
      </c>
      <c r="C121">
        <v>390</v>
      </c>
      <c r="D121">
        <v>170</v>
      </c>
      <c r="E121">
        <v>19</v>
      </c>
      <c r="F121">
        <v>8</v>
      </c>
      <c r="G121">
        <v>1</v>
      </c>
      <c r="H121">
        <v>65</v>
      </c>
      <c r="I121">
        <v>920</v>
      </c>
      <c r="J121">
        <v>33</v>
      </c>
      <c r="K121">
        <v>2</v>
      </c>
      <c r="L121">
        <v>7</v>
      </c>
      <c r="M121">
        <v>22</v>
      </c>
      <c r="N121">
        <v>383</v>
      </c>
      <c r="O121" s="3">
        <f t="shared" si="5"/>
        <v>5.6410256410256414</v>
      </c>
      <c r="P121">
        <f t="shared" si="3"/>
        <v>1</v>
      </c>
      <c r="Q121">
        <f t="shared" si="4"/>
        <v>0</v>
      </c>
    </row>
    <row r="122" spans="1:17" x14ac:dyDescent="0.2">
      <c r="A122" t="s">
        <v>25</v>
      </c>
      <c r="B122" t="s">
        <v>143</v>
      </c>
      <c r="C122">
        <v>800</v>
      </c>
      <c r="D122">
        <v>350</v>
      </c>
      <c r="E122">
        <v>39</v>
      </c>
      <c r="F122">
        <v>18</v>
      </c>
      <c r="G122">
        <v>2</v>
      </c>
      <c r="H122">
        <v>145</v>
      </c>
      <c r="I122">
        <v>2020</v>
      </c>
      <c r="J122">
        <v>66</v>
      </c>
      <c r="K122">
        <v>4</v>
      </c>
      <c r="L122">
        <v>16</v>
      </c>
      <c r="M122">
        <v>45</v>
      </c>
      <c r="N122">
        <v>789</v>
      </c>
      <c r="O122" s="3">
        <f t="shared" si="5"/>
        <v>5.625</v>
      </c>
      <c r="P122">
        <f t="shared" si="3"/>
        <v>1</v>
      </c>
      <c r="Q122">
        <f t="shared" si="4"/>
        <v>0</v>
      </c>
    </row>
    <row r="123" spans="1:17" x14ac:dyDescent="0.2">
      <c r="A123" t="s">
        <v>58</v>
      </c>
      <c r="B123" t="s">
        <v>144</v>
      </c>
      <c r="C123">
        <v>320</v>
      </c>
      <c r="D123" s="2">
        <v>0</v>
      </c>
      <c r="E123">
        <v>17</v>
      </c>
      <c r="F123">
        <v>8</v>
      </c>
      <c r="G123">
        <v>0</v>
      </c>
      <c r="H123">
        <v>245</v>
      </c>
      <c r="I123">
        <v>750</v>
      </c>
      <c r="J123">
        <v>25</v>
      </c>
      <c r="K123">
        <v>1</v>
      </c>
      <c r="L123">
        <v>4</v>
      </c>
      <c r="M123">
        <v>18</v>
      </c>
      <c r="N123">
        <v>314</v>
      </c>
      <c r="O123" s="3">
        <f t="shared" si="5"/>
        <v>5.625</v>
      </c>
      <c r="P123">
        <f t="shared" si="3"/>
        <v>1</v>
      </c>
      <c r="Q123">
        <f t="shared" si="4"/>
        <v>0</v>
      </c>
    </row>
    <row r="124" spans="1:17" x14ac:dyDescent="0.2">
      <c r="A124" t="s">
        <v>58</v>
      </c>
      <c r="B124" t="s">
        <v>145</v>
      </c>
      <c r="C124">
        <v>410</v>
      </c>
      <c r="D124" s="2">
        <v>0</v>
      </c>
      <c r="E124">
        <v>23</v>
      </c>
      <c r="F124">
        <v>6</v>
      </c>
      <c r="G124">
        <v>0.5</v>
      </c>
      <c r="H124">
        <v>75</v>
      </c>
      <c r="I124">
        <v>930</v>
      </c>
      <c r="J124">
        <v>30</v>
      </c>
      <c r="K124">
        <v>5</v>
      </c>
      <c r="L124">
        <v>4</v>
      </c>
      <c r="M124">
        <v>23</v>
      </c>
      <c r="N124">
        <v>397</v>
      </c>
      <c r="O124" s="3">
        <f t="shared" si="5"/>
        <v>5.6097560975609762</v>
      </c>
      <c r="P124">
        <f t="shared" si="3"/>
        <v>1</v>
      </c>
      <c r="Q124">
        <f t="shared" si="4"/>
        <v>0</v>
      </c>
    </row>
    <row r="125" spans="1:17" x14ac:dyDescent="0.2">
      <c r="A125" t="s">
        <v>25</v>
      </c>
      <c r="B125" t="s">
        <v>146</v>
      </c>
      <c r="C125">
        <v>180</v>
      </c>
      <c r="D125">
        <v>90</v>
      </c>
      <c r="E125">
        <v>10</v>
      </c>
      <c r="F125">
        <v>6</v>
      </c>
      <c r="G125">
        <v>0</v>
      </c>
      <c r="H125">
        <v>30</v>
      </c>
      <c r="I125">
        <v>130</v>
      </c>
      <c r="J125">
        <v>13</v>
      </c>
      <c r="K125">
        <v>0</v>
      </c>
      <c r="L125">
        <v>13</v>
      </c>
      <c r="M125">
        <v>10</v>
      </c>
      <c r="N125">
        <v>189</v>
      </c>
      <c r="O125" s="3">
        <f t="shared" si="5"/>
        <v>5.5555555555555554</v>
      </c>
      <c r="P125">
        <f t="shared" si="3"/>
        <v>0</v>
      </c>
      <c r="Q125">
        <f t="shared" si="4"/>
        <v>0</v>
      </c>
    </row>
    <row r="126" spans="1:17" x14ac:dyDescent="0.2">
      <c r="A126" t="s">
        <v>25</v>
      </c>
      <c r="B126" t="s">
        <v>147</v>
      </c>
      <c r="C126">
        <v>180</v>
      </c>
      <c r="D126">
        <v>90</v>
      </c>
      <c r="E126">
        <v>10</v>
      </c>
      <c r="F126">
        <v>6</v>
      </c>
      <c r="G126">
        <v>0</v>
      </c>
      <c r="H126">
        <v>30</v>
      </c>
      <c r="I126">
        <v>180</v>
      </c>
      <c r="J126">
        <v>25</v>
      </c>
      <c r="K126">
        <v>0</v>
      </c>
      <c r="L126">
        <v>13</v>
      </c>
      <c r="M126">
        <v>10</v>
      </c>
      <c r="N126">
        <v>189</v>
      </c>
      <c r="O126" s="3">
        <f t="shared" si="5"/>
        <v>5.5555555555555554</v>
      </c>
      <c r="P126">
        <f t="shared" si="3"/>
        <v>0</v>
      </c>
      <c r="Q126">
        <f t="shared" si="4"/>
        <v>0</v>
      </c>
    </row>
    <row r="127" spans="1:17" x14ac:dyDescent="0.2">
      <c r="A127" t="s">
        <v>25</v>
      </c>
      <c r="B127" t="s">
        <v>148</v>
      </c>
      <c r="C127">
        <v>90</v>
      </c>
      <c r="D127">
        <v>40</v>
      </c>
      <c r="E127">
        <v>5</v>
      </c>
      <c r="F127">
        <v>3</v>
      </c>
      <c r="G127">
        <v>0</v>
      </c>
      <c r="H127">
        <v>15</v>
      </c>
      <c r="I127">
        <v>105</v>
      </c>
      <c r="J127">
        <v>14</v>
      </c>
      <c r="K127">
        <v>0</v>
      </c>
      <c r="L127">
        <v>6</v>
      </c>
      <c r="M127">
        <v>5</v>
      </c>
      <c r="N127">
        <v>94</v>
      </c>
      <c r="O127" s="3">
        <f t="shared" si="5"/>
        <v>5.5555555555555554</v>
      </c>
      <c r="P127">
        <f t="shared" si="3"/>
        <v>0</v>
      </c>
      <c r="Q127">
        <f t="shared" si="4"/>
        <v>0</v>
      </c>
    </row>
    <row r="128" spans="1:17" x14ac:dyDescent="0.2">
      <c r="A128" t="s">
        <v>17</v>
      </c>
      <c r="B128" t="s">
        <v>149</v>
      </c>
      <c r="C128">
        <v>470</v>
      </c>
      <c r="D128">
        <v>170</v>
      </c>
      <c r="E128">
        <v>19</v>
      </c>
      <c r="F128">
        <v>6</v>
      </c>
      <c r="G128">
        <v>0</v>
      </c>
      <c r="H128">
        <v>70</v>
      </c>
      <c r="I128">
        <v>1200</v>
      </c>
      <c r="J128">
        <v>50</v>
      </c>
      <c r="K128">
        <v>7</v>
      </c>
      <c r="L128">
        <v>2</v>
      </c>
      <c r="M128">
        <v>26</v>
      </c>
      <c r="O128" s="3">
        <f t="shared" si="5"/>
        <v>5.5319148936170208</v>
      </c>
      <c r="P128">
        <f t="shared" si="3"/>
        <v>1</v>
      </c>
      <c r="Q128">
        <f t="shared" si="4"/>
        <v>0</v>
      </c>
    </row>
    <row r="129" spans="1:17" x14ac:dyDescent="0.2">
      <c r="A129" t="s">
        <v>17</v>
      </c>
      <c r="B129" t="s">
        <v>150</v>
      </c>
      <c r="C129">
        <v>470</v>
      </c>
      <c r="D129">
        <v>170</v>
      </c>
      <c r="E129">
        <v>19</v>
      </c>
      <c r="F129">
        <v>6</v>
      </c>
      <c r="G129">
        <v>0</v>
      </c>
      <c r="H129">
        <v>70</v>
      </c>
      <c r="I129">
        <v>1200</v>
      </c>
      <c r="J129">
        <v>50</v>
      </c>
      <c r="K129">
        <v>7</v>
      </c>
      <c r="L129">
        <v>2</v>
      </c>
      <c r="M129">
        <v>26</v>
      </c>
      <c r="O129" s="3">
        <f t="shared" si="5"/>
        <v>5.5319148936170208</v>
      </c>
      <c r="P129">
        <f t="shared" si="3"/>
        <v>1</v>
      </c>
      <c r="Q129">
        <f t="shared" si="4"/>
        <v>0</v>
      </c>
    </row>
    <row r="130" spans="1:17" x14ac:dyDescent="0.2">
      <c r="A130" t="s">
        <v>51</v>
      </c>
      <c r="B130" t="s">
        <v>151</v>
      </c>
      <c r="C130">
        <v>580</v>
      </c>
      <c r="D130">
        <v>260</v>
      </c>
      <c r="E130">
        <v>29</v>
      </c>
      <c r="F130">
        <v>13</v>
      </c>
      <c r="G130">
        <v>1.5</v>
      </c>
      <c r="H130">
        <v>105</v>
      </c>
      <c r="I130">
        <v>1310</v>
      </c>
      <c r="J130">
        <v>49</v>
      </c>
      <c r="K130">
        <v>2</v>
      </c>
      <c r="L130">
        <v>10</v>
      </c>
      <c r="M130">
        <v>32</v>
      </c>
      <c r="N130">
        <v>571</v>
      </c>
      <c r="O130" s="3">
        <f t="shared" si="5"/>
        <v>5.5172413793103452</v>
      </c>
      <c r="P130">
        <f t="shared" ref="P130:P193" si="6">IF(I130&gt;2300*0.2,1,0)</f>
        <v>1</v>
      </c>
      <c r="Q130">
        <f t="shared" ref="Q130:Q193" si="7">IF(H130&gt;300,1,0)</f>
        <v>0</v>
      </c>
    </row>
    <row r="131" spans="1:17" x14ac:dyDescent="0.2">
      <c r="A131" t="s">
        <v>58</v>
      </c>
      <c r="B131" t="s">
        <v>152</v>
      </c>
      <c r="C131">
        <v>510</v>
      </c>
      <c r="D131" s="2">
        <v>0</v>
      </c>
      <c r="E131">
        <v>22</v>
      </c>
      <c r="F131">
        <v>4</v>
      </c>
      <c r="G131">
        <v>0</v>
      </c>
      <c r="H131">
        <v>70</v>
      </c>
      <c r="I131">
        <v>1150</v>
      </c>
      <c r="J131">
        <v>51</v>
      </c>
      <c r="K131">
        <v>3</v>
      </c>
      <c r="L131">
        <v>6</v>
      </c>
      <c r="M131">
        <v>28</v>
      </c>
      <c r="N131">
        <v>492</v>
      </c>
      <c r="O131" s="3">
        <f t="shared" si="5"/>
        <v>5.4901960784313726</v>
      </c>
      <c r="P131">
        <f t="shared" si="6"/>
        <v>1</v>
      </c>
      <c r="Q131">
        <f t="shared" si="7"/>
        <v>0</v>
      </c>
    </row>
    <row r="132" spans="1:17" x14ac:dyDescent="0.2">
      <c r="A132" t="s">
        <v>21</v>
      </c>
      <c r="B132" t="s">
        <v>138</v>
      </c>
      <c r="C132">
        <v>620</v>
      </c>
      <c r="D132" s="2">
        <v>0</v>
      </c>
      <c r="E132">
        <v>33</v>
      </c>
      <c r="F132">
        <v>4</v>
      </c>
      <c r="G132">
        <v>0</v>
      </c>
      <c r="H132">
        <v>85</v>
      </c>
      <c r="I132">
        <v>2140</v>
      </c>
      <c r="J132">
        <v>49</v>
      </c>
      <c r="K132">
        <v>1</v>
      </c>
      <c r="L132">
        <v>6</v>
      </c>
      <c r="M132">
        <v>34</v>
      </c>
      <c r="N132">
        <v>596</v>
      </c>
      <c r="O132" s="3">
        <f t="shared" si="5"/>
        <v>5.4838709677419359</v>
      </c>
      <c r="P132">
        <f t="shared" si="6"/>
        <v>1</v>
      </c>
      <c r="Q132">
        <f t="shared" si="7"/>
        <v>0</v>
      </c>
    </row>
    <row r="133" spans="1:17" x14ac:dyDescent="0.2">
      <c r="A133" t="s">
        <v>25</v>
      </c>
      <c r="B133" t="s">
        <v>153</v>
      </c>
      <c r="C133">
        <v>110</v>
      </c>
      <c r="D133">
        <v>50</v>
      </c>
      <c r="E133">
        <v>6</v>
      </c>
      <c r="F133">
        <v>3.5</v>
      </c>
      <c r="G133">
        <v>0</v>
      </c>
      <c r="H133">
        <v>15</v>
      </c>
      <c r="I133">
        <v>130</v>
      </c>
      <c r="J133">
        <v>19</v>
      </c>
      <c r="K133">
        <v>0</v>
      </c>
      <c r="L133">
        <v>8</v>
      </c>
      <c r="M133">
        <v>6</v>
      </c>
      <c r="N133">
        <v>115.5</v>
      </c>
      <c r="O133" s="3">
        <f t="shared" si="5"/>
        <v>5.4545454545454541</v>
      </c>
      <c r="P133">
        <f t="shared" si="6"/>
        <v>0</v>
      </c>
      <c r="Q133">
        <f t="shared" si="7"/>
        <v>0</v>
      </c>
    </row>
    <row r="134" spans="1:17" x14ac:dyDescent="0.2">
      <c r="A134" t="s">
        <v>51</v>
      </c>
      <c r="B134" t="s">
        <v>154</v>
      </c>
      <c r="C134">
        <v>240</v>
      </c>
      <c r="D134">
        <v>90</v>
      </c>
      <c r="E134">
        <v>10</v>
      </c>
      <c r="F134">
        <v>3.5</v>
      </c>
      <c r="G134">
        <v>0.5</v>
      </c>
      <c r="H134">
        <v>35</v>
      </c>
      <c r="I134">
        <v>380</v>
      </c>
      <c r="J134">
        <v>26</v>
      </c>
      <c r="K134">
        <v>1</v>
      </c>
      <c r="L134">
        <v>6</v>
      </c>
      <c r="M134">
        <v>13</v>
      </c>
      <c r="N134">
        <v>237</v>
      </c>
      <c r="O134" s="3">
        <f t="shared" ref="O134:O197" si="8">M134/C134*100</f>
        <v>5.416666666666667</v>
      </c>
      <c r="P134">
        <f t="shared" si="6"/>
        <v>0</v>
      </c>
      <c r="Q134">
        <f t="shared" si="7"/>
        <v>0</v>
      </c>
    </row>
    <row r="135" spans="1:17" x14ac:dyDescent="0.2">
      <c r="A135" t="s">
        <v>51</v>
      </c>
      <c r="B135" t="s">
        <v>154</v>
      </c>
      <c r="C135">
        <v>240</v>
      </c>
      <c r="D135">
        <v>90</v>
      </c>
      <c r="E135">
        <v>10</v>
      </c>
      <c r="F135">
        <v>3.5</v>
      </c>
      <c r="G135">
        <v>0.5</v>
      </c>
      <c r="H135">
        <v>35</v>
      </c>
      <c r="I135">
        <v>380</v>
      </c>
      <c r="J135">
        <v>26</v>
      </c>
      <c r="K135">
        <v>1</v>
      </c>
      <c r="L135">
        <v>6</v>
      </c>
      <c r="M135">
        <v>13</v>
      </c>
      <c r="N135">
        <v>237</v>
      </c>
      <c r="O135" s="3">
        <f t="shared" si="8"/>
        <v>5.416666666666667</v>
      </c>
      <c r="P135">
        <f t="shared" si="6"/>
        <v>0</v>
      </c>
      <c r="Q135">
        <f t="shared" si="7"/>
        <v>0</v>
      </c>
    </row>
    <row r="136" spans="1:17" x14ac:dyDescent="0.2">
      <c r="A136" t="s">
        <v>58</v>
      </c>
      <c r="B136" t="s">
        <v>155</v>
      </c>
      <c r="C136">
        <v>240</v>
      </c>
      <c r="D136" s="2">
        <v>0</v>
      </c>
      <c r="E136">
        <v>9</v>
      </c>
      <c r="F136">
        <v>3.5</v>
      </c>
      <c r="G136">
        <v>0.5</v>
      </c>
      <c r="H136">
        <v>40</v>
      </c>
      <c r="I136">
        <v>350</v>
      </c>
      <c r="J136">
        <v>24</v>
      </c>
      <c r="K136">
        <v>1</v>
      </c>
      <c r="L136">
        <v>5</v>
      </c>
      <c r="M136">
        <v>13</v>
      </c>
      <c r="N136">
        <v>236</v>
      </c>
      <c r="O136" s="3">
        <f t="shared" si="8"/>
        <v>5.416666666666667</v>
      </c>
      <c r="P136">
        <f t="shared" si="6"/>
        <v>0</v>
      </c>
      <c r="Q136">
        <f t="shared" si="7"/>
        <v>0</v>
      </c>
    </row>
    <row r="137" spans="1:17" x14ac:dyDescent="0.2">
      <c r="A137" t="s">
        <v>58</v>
      </c>
      <c r="B137" t="s">
        <v>156</v>
      </c>
      <c r="C137">
        <v>630</v>
      </c>
      <c r="D137" s="2">
        <v>0</v>
      </c>
      <c r="E137">
        <v>39</v>
      </c>
      <c r="F137">
        <v>15</v>
      </c>
      <c r="G137">
        <v>1.5</v>
      </c>
      <c r="H137">
        <v>125</v>
      </c>
      <c r="I137">
        <v>1280</v>
      </c>
      <c r="J137">
        <v>37</v>
      </c>
      <c r="K137">
        <v>2</v>
      </c>
      <c r="L137">
        <v>7</v>
      </c>
      <c r="M137">
        <v>34</v>
      </c>
      <c r="N137">
        <v>618</v>
      </c>
      <c r="O137" s="3">
        <f t="shared" si="8"/>
        <v>5.3968253968253972</v>
      </c>
      <c r="P137">
        <f t="shared" si="6"/>
        <v>1</v>
      </c>
      <c r="Q137">
        <f t="shared" si="7"/>
        <v>0</v>
      </c>
    </row>
    <row r="138" spans="1:17" x14ac:dyDescent="0.2">
      <c r="A138" t="s">
        <v>25</v>
      </c>
      <c r="B138" t="s">
        <v>157</v>
      </c>
      <c r="C138">
        <v>390</v>
      </c>
      <c r="D138">
        <v>190</v>
      </c>
      <c r="E138">
        <v>21</v>
      </c>
      <c r="F138">
        <v>9</v>
      </c>
      <c r="G138">
        <v>1</v>
      </c>
      <c r="H138">
        <v>75</v>
      </c>
      <c r="I138">
        <v>1080</v>
      </c>
      <c r="J138">
        <v>28</v>
      </c>
      <c r="K138">
        <v>1</v>
      </c>
      <c r="L138">
        <v>4</v>
      </c>
      <c r="M138">
        <v>21</v>
      </c>
      <c r="N138">
        <v>382</v>
      </c>
      <c r="O138" s="3">
        <f t="shared" si="8"/>
        <v>5.384615384615385</v>
      </c>
      <c r="P138">
        <f t="shared" si="6"/>
        <v>1</v>
      </c>
      <c r="Q138">
        <f t="shared" si="7"/>
        <v>0</v>
      </c>
    </row>
    <row r="139" spans="1:17" x14ac:dyDescent="0.2">
      <c r="A139" t="s">
        <v>25</v>
      </c>
      <c r="B139" t="s">
        <v>158</v>
      </c>
      <c r="C139">
        <v>130</v>
      </c>
      <c r="D139">
        <v>60</v>
      </c>
      <c r="E139">
        <v>7</v>
      </c>
      <c r="F139">
        <v>4</v>
      </c>
      <c r="G139">
        <v>0</v>
      </c>
      <c r="H139">
        <v>20</v>
      </c>
      <c r="I139">
        <v>125</v>
      </c>
      <c r="J139">
        <v>17</v>
      </c>
      <c r="K139">
        <v>0</v>
      </c>
      <c r="L139">
        <v>10</v>
      </c>
      <c r="M139">
        <v>7</v>
      </c>
      <c r="N139">
        <v>137</v>
      </c>
      <c r="O139" s="3">
        <f t="shared" si="8"/>
        <v>5.384615384615385</v>
      </c>
      <c r="P139">
        <f t="shared" si="6"/>
        <v>0</v>
      </c>
      <c r="Q139">
        <f t="shared" si="7"/>
        <v>0</v>
      </c>
    </row>
    <row r="140" spans="1:17" x14ac:dyDescent="0.2">
      <c r="A140" t="s">
        <v>159</v>
      </c>
      <c r="B140" t="s">
        <v>160</v>
      </c>
      <c r="C140">
        <v>130</v>
      </c>
      <c r="D140" s="2">
        <v>0</v>
      </c>
      <c r="E140">
        <v>4</v>
      </c>
      <c r="F140">
        <v>1.5</v>
      </c>
      <c r="G140">
        <v>0</v>
      </c>
      <c r="H140">
        <v>10</v>
      </c>
      <c r="I140">
        <v>270</v>
      </c>
      <c r="J140">
        <v>17</v>
      </c>
      <c r="K140">
        <v>1</v>
      </c>
      <c r="L140">
        <v>1</v>
      </c>
      <c r="M140">
        <v>7</v>
      </c>
      <c r="O140" s="3">
        <f t="shared" si="8"/>
        <v>5.384615384615385</v>
      </c>
      <c r="P140">
        <f t="shared" si="6"/>
        <v>0</v>
      </c>
      <c r="Q140">
        <f t="shared" si="7"/>
        <v>0</v>
      </c>
    </row>
    <row r="141" spans="1:17" x14ac:dyDescent="0.2">
      <c r="A141" t="s">
        <v>51</v>
      </c>
      <c r="B141" t="s">
        <v>161</v>
      </c>
      <c r="C141">
        <v>1190</v>
      </c>
      <c r="D141">
        <v>750</v>
      </c>
      <c r="E141">
        <v>84</v>
      </c>
      <c r="F141">
        <v>33</v>
      </c>
      <c r="G141">
        <v>3.5</v>
      </c>
      <c r="H141">
        <v>235</v>
      </c>
      <c r="I141">
        <v>1930</v>
      </c>
      <c r="J141">
        <v>50</v>
      </c>
      <c r="K141">
        <v>2</v>
      </c>
      <c r="L141">
        <v>11</v>
      </c>
      <c r="M141">
        <v>64</v>
      </c>
      <c r="N141">
        <v>1170</v>
      </c>
      <c r="O141" s="3">
        <f t="shared" si="8"/>
        <v>5.3781512605042021</v>
      </c>
      <c r="P141">
        <f t="shared" si="6"/>
        <v>1</v>
      </c>
      <c r="Q141">
        <f t="shared" si="7"/>
        <v>0</v>
      </c>
    </row>
    <row r="142" spans="1:17" x14ac:dyDescent="0.2">
      <c r="A142" t="s">
        <v>51</v>
      </c>
      <c r="B142" t="s">
        <v>162</v>
      </c>
      <c r="C142">
        <v>280</v>
      </c>
      <c r="D142">
        <v>120</v>
      </c>
      <c r="E142">
        <v>13</v>
      </c>
      <c r="F142">
        <v>6</v>
      </c>
      <c r="G142">
        <v>0.5</v>
      </c>
      <c r="H142">
        <v>45</v>
      </c>
      <c r="I142">
        <v>560</v>
      </c>
      <c r="J142">
        <v>27</v>
      </c>
      <c r="K142">
        <v>1</v>
      </c>
      <c r="L142">
        <v>7</v>
      </c>
      <c r="M142">
        <v>15</v>
      </c>
      <c r="N142">
        <v>278</v>
      </c>
      <c r="O142" s="3">
        <f t="shared" si="8"/>
        <v>5.3571428571428568</v>
      </c>
      <c r="P142">
        <f t="shared" si="6"/>
        <v>1</v>
      </c>
      <c r="Q142">
        <f t="shared" si="7"/>
        <v>0</v>
      </c>
    </row>
    <row r="143" spans="1:17" x14ac:dyDescent="0.2">
      <c r="A143" t="s">
        <v>51</v>
      </c>
      <c r="B143" t="s">
        <v>162</v>
      </c>
      <c r="C143">
        <v>280</v>
      </c>
      <c r="D143">
        <v>120</v>
      </c>
      <c r="E143">
        <v>13</v>
      </c>
      <c r="F143">
        <v>6</v>
      </c>
      <c r="G143">
        <v>0.5</v>
      </c>
      <c r="H143">
        <v>45</v>
      </c>
      <c r="I143">
        <v>560</v>
      </c>
      <c r="J143">
        <v>27</v>
      </c>
      <c r="K143">
        <v>1</v>
      </c>
      <c r="L143">
        <v>7</v>
      </c>
      <c r="M143">
        <v>15</v>
      </c>
      <c r="N143">
        <v>278</v>
      </c>
      <c r="O143" s="3">
        <f t="shared" si="8"/>
        <v>5.3571428571428568</v>
      </c>
      <c r="P143">
        <f t="shared" si="6"/>
        <v>1</v>
      </c>
      <c r="Q143">
        <f t="shared" si="7"/>
        <v>0</v>
      </c>
    </row>
    <row r="144" spans="1:17" x14ac:dyDescent="0.2">
      <c r="A144" t="s">
        <v>58</v>
      </c>
      <c r="B144" t="s">
        <v>163</v>
      </c>
      <c r="C144">
        <v>280</v>
      </c>
      <c r="D144" s="2">
        <v>0</v>
      </c>
      <c r="E144">
        <v>13</v>
      </c>
      <c r="F144">
        <v>6</v>
      </c>
      <c r="G144">
        <v>0.5</v>
      </c>
      <c r="H144">
        <v>50</v>
      </c>
      <c r="I144">
        <v>540</v>
      </c>
      <c r="J144">
        <v>25</v>
      </c>
      <c r="K144">
        <v>1</v>
      </c>
      <c r="L144">
        <v>5</v>
      </c>
      <c r="M144">
        <v>15</v>
      </c>
      <c r="N144">
        <v>276</v>
      </c>
      <c r="O144" s="3">
        <f t="shared" si="8"/>
        <v>5.3571428571428568</v>
      </c>
      <c r="P144">
        <f t="shared" si="6"/>
        <v>1</v>
      </c>
      <c r="Q144">
        <f t="shared" si="7"/>
        <v>0</v>
      </c>
    </row>
    <row r="145" spans="1:17" x14ac:dyDescent="0.2">
      <c r="A145" t="s">
        <v>159</v>
      </c>
      <c r="B145" t="s">
        <v>164</v>
      </c>
      <c r="C145">
        <v>280</v>
      </c>
      <c r="D145" s="2">
        <v>0</v>
      </c>
      <c r="E145">
        <v>9</v>
      </c>
      <c r="F145">
        <v>4</v>
      </c>
      <c r="G145">
        <v>0</v>
      </c>
      <c r="H145">
        <v>30</v>
      </c>
      <c r="I145">
        <v>580</v>
      </c>
      <c r="J145">
        <v>36</v>
      </c>
      <c r="K145">
        <v>3</v>
      </c>
      <c r="L145">
        <v>3</v>
      </c>
      <c r="M145">
        <v>15</v>
      </c>
      <c r="O145" s="3">
        <f t="shared" si="8"/>
        <v>5.3571428571428568</v>
      </c>
      <c r="P145">
        <f t="shared" si="6"/>
        <v>1</v>
      </c>
      <c r="Q145">
        <f t="shared" si="7"/>
        <v>0</v>
      </c>
    </row>
    <row r="146" spans="1:17" x14ac:dyDescent="0.2">
      <c r="A146" t="s">
        <v>25</v>
      </c>
      <c r="B146" t="s">
        <v>165</v>
      </c>
      <c r="C146">
        <v>750</v>
      </c>
      <c r="D146">
        <v>350</v>
      </c>
      <c r="E146">
        <v>39</v>
      </c>
      <c r="F146">
        <v>16</v>
      </c>
      <c r="G146">
        <v>2</v>
      </c>
      <c r="H146">
        <v>135</v>
      </c>
      <c r="I146">
        <v>1700</v>
      </c>
      <c r="J146">
        <v>61</v>
      </c>
      <c r="K146">
        <v>4</v>
      </c>
      <c r="L146">
        <v>10</v>
      </c>
      <c r="M146">
        <v>40</v>
      </c>
      <c r="N146">
        <v>736</v>
      </c>
      <c r="O146" s="3">
        <f t="shared" si="8"/>
        <v>5.3333333333333339</v>
      </c>
      <c r="P146">
        <f t="shared" si="6"/>
        <v>1</v>
      </c>
      <c r="Q146">
        <f t="shared" si="7"/>
        <v>0</v>
      </c>
    </row>
    <row r="147" spans="1:17" x14ac:dyDescent="0.2">
      <c r="A147" t="s">
        <v>25</v>
      </c>
      <c r="B147" t="s">
        <v>166</v>
      </c>
      <c r="C147">
        <v>150</v>
      </c>
      <c r="D147">
        <v>70</v>
      </c>
      <c r="E147">
        <v>8</v>
      </c>
      <c r="F147">
        <v>4.5</v>
      </c>
      <c r="G147">
        <v>0</v>
      </c>
      <c r="H147">
        <v>25</v>
      </c>
      <c r="I147">
        <v>105</v>
      </c>
      <c r="J147">
        <v>11</v>
      </c>
      <c r="K147">
        <v>0</v>
      </c>
      <c r="L147">
        <v>11</v>
      </c>
      <c r="M147">
        <v>8</v>
      </c>
      <c r="N147">
        <v>157.5</v>
      </c>
      <c r="O147" s="3">
        <f t="shared" si="8"/>
        <v>5.3333333333333339</v>
      </c>
      <c r="P147">
        <f t="shared" si="6"/>
        <v>0</v>
      </c>
      <c r="Q147">
        <f t="shared" si="7"/>
        <v>0</v>
      </c>
    </row>
    <row r="148" spans="1:17" x14ac:dyDescent="0.2">
      <c r="A148" t="s">
        <v>25</v>
      </c>
      <c r="B148" t="s">
        <v>167</v>
      </c>
      <c r="C148">
        <v>150</v>
      </c>
      <c r="D148">
        <v>70</v>
      </c>
      <c r="E148">
        <v>8</v>
      </c>
      <c r="F148">
        <v>4.5</v>
      </c>
      <c r="G148">
        <v>0</v>
      </c>
      <c r="H148">
        <v>25</v>
      </c>
      <c r="I148">
        <v>160</v>
      </c>
      <c r="J148">
        <v>22</v>
      </c>
      <c r="K148">
        <v>0</v>
      </c>
      <c r="L148">
        <v>11</v>
      </c>
      <c r="M148">
        <v>8</v>
      </c>
      <c r="N148">
        <v>157.5</v>
      </c>
      <c r="O148" s="3">
        <f t="shared" si="8"/>
        <v>5.3333333333333339</v>
      </c>
      <c r="P148">
        <f t="shared" si="6"/>
        <v>0</v>
      </c>
      <c r="Q148">
        <f t="shared" si="7"/>
        <v>0</v>
      </c>
    </row>
    <row r="149" spans="1:17" x14ac:dyDescent="0.2">
      <c r="A149" t="s">
        <v>51</v>
      </c>
      <c r="B149" t="s">
        <v>168</v>
      </c>
      <c r="C149">
        <v>900</v>
      </c>
      <c r="D149">
        <v>520</v>
      </c>
      <c r="E149">
        <v>58</v>
      </c>
      <c r="F149">
        <v>20</v>
      </c>
      <c r="G149">
        <v>3</v>
      </c>
      <c r="H149">
        <v>175</v>
      </c>
      <c r="I149">
        <v>1050</v>
      </c>
      <c r="J149">
        <v>49</v>
      </c>
      <c r="K149">
        <v>2</v>
      </c>
      <c r="L149">
        <v>11</v>
      </c>
      <c r="M149">
        <v>48</v>
      </c>
      <c r="N149">
        <v>883</v>
      </c>
      <c r="O149" s="3">
        <f t="shared" si="8"/>
        <v>5.3333333333333339</v>
      </c>
      <c r="P149">
        <f t="shared" si="6"/>
        <v>1</v>
      </c>
      <c r="Q149">
        <f t="shared" si="7"/>
        <v>0</v>
      </c>
    </row>
    <row r="150" spans="1:17" x14ac:dyDescent="0.2">
      <c r="A150" t="s">
        <v>159</v>
      </c>
      <c r="B150" t="s">
        <v>169</v>
      </c>
      <c r="C150">
        <v>150</v>
      </c>
      <c r="D150" s="2">
        <v>0</v>
      </c>
      <c r="E150">
        <v>5</v>
      </c>
      <c r="F150">
        <v>2</v>
      </c>
      <c r="G150">
        <v>0</v>
      </c>
      <c r="H150">
        <v>15</v>
      </c>
      <c r="I150">
        <v>330</v>
      </c>
      <c r="J150">
        <v>18</v>
      </c>
      <c r="K150">
        <v>1</v>
      </c>
      <c r="L150">
        <v>3</v>
      </c>
      <c r="M150">
        <v>8</v>
      </c>
      <c r="O150" s="3">
        <f t="shared" si="8"/>
        <v>5.3333333333333339</v>
      </c>
      <c r="P150">
        <f t="shared" si="6"/>
        <v>0</v>
      </c>
      <c r="Q150">
        <f t="shared" si="7"/>
        <v>0</v>
      </c>
    </row>
    <row r="151" spans="1:17" x14ac:dyDescent="0.2">
      <c r="A151" t="s">
        <v>51</v>
      </c>
      <c r="B151" t="s">
        <v>170</v>
      </c>
      <c r="C151">
        <v>320</v>
      </c>
      <c r="D151">
        <v>140</v>
      </c>
      <c r="E151">
        <v>16</v>
      </c>
      <c r="F151">
        <v>7</v>
      </c>
      <c r="G151">
        <v>0.5</v>
      </c>
      <c r="H151">
        <v>55</v>
      </c>
      <c r="I151">
        <v>710</v>
      </c>
      <c r="J151">
        <v>27</v>
      </c>
      <c r="K151">
        <v>1</v>
      </c>
      <c r="L151">
        <v>7</v>
      </c>
      <c r="M151">
        <v>17</v>
      </c>
      <c r="N151">
        <v>317</v>
      </c>
      <c r="O151" s="3">
        <f t="shared" si="8"/>
        <v>5.3125</v>
      </c>
      <c r="P151">
        <f t="shared" si="6"/>
        <v>1</v>
      </c>
      <c r="Q151">
        <f t="shared" si="7"/>
        <v>0</v>
      </c>
    </row>
    <row r="152" spans="1:17" x14ac:dyDescent="0.2">
      <c r="A152" t="s">
        <v>51</v>
      </c>
      <c r="B152" t="s">
        <v>171</v>
      </c>
      <c r="C152">
        <v>980</v>
      </c>
      <c r="D152">
        <v>580</v>
      </c>
      <c r="E152">
        <v>64</v>
      </c>
      <c r="F152">
        <v>24</v>
      </c>
      <c r="G152">
        <v>3</v>
      </c>
      <c r="H152">
        <v>195</v>
      </c>
      <c r="I152">
        <v>1410</v>
      </c>
      <c r="J152">
        <v>50</v>
      </c>
      <c r="K152">
        <v>2</v>
      </c>
      <c r="L152">
        <v>11</v>
      </c>
      <c r="M152">
        <v>52</v>
      </c>
      <c r="N152">
        <v>963</v>
      </c>
      <c r="O152" s="3">
        <f t="shared" si="8"/>
        <v>5.3061224489795915</v>
      </c>
      <c r="P152">
        <f t="shared" si="6"/>
        <v>1</v>
      </c>
      <c r="Q152">
        <f t="shared" si="7"/>
        <v>0</v>
      </c>
    </row>
    <row r="153" spans="1:17" x14ac:dyDescent="0.2">
      <c r="A153" t="s">
        <v>51</v>
      </c>
      <c r="B153" t="s">
        <v>172</v>
      </c>
      <c r="C153">
        <v>1150</v>
      </c>
      <c r="D153">
        <v>710</v>
      </c>
      <c r="E153">
        <v>79</v>
      </c>
      <c r="F153">
        <v>31</v>
      </c>
      <c r="G153">
        <v>3.5</v>
      </c>
      <c r="H153">
        <v>240</v>
      </c>
      <c r="I153">
        <v>2150</v>
      </c>
      <c r="J153">
        <v>49</v>
      </c>
      <c r="K153">
        <v>2</v>
      </c>
      <c r="L153">
        <v>10</v>
      </c>
      <c r="M153">
        <v>61</v>
      </c>
      <c r="N153">
        <v>1130</v>
      </c>
      <c r="O153" s="3">
        <f t="shared" si="8"/>
        <v>5.304347826086957</v>
      </c>
      <c r="P153">
        <f t="shared" si="6"/>
        <v>1</v>
      </c>
      <c r="Q153">
        <f t="shared" si="7"/>
        <v>0</v>
      </c>
    </row>
    <row r="154" spans="1:17" x14ac:dyDescent="0.2">
      <c r="A154" t="s">
        <v>25</v>
      </c>
      <c r="B154" t="s">
        <v>173</v>
      </c>
      <c r="C154">
        <v>510</v>
      </c>
      <c r="D154">
        <v>250</v>
      </c>
      <c r="E154">
        <v>28</v>
      </c>
      <c r="F154">
        <v>11</v>
      </c>
      <c r="G154">
        <v>1.5</v>
      </c>
      <c r="H154">
        <v>85</v>
      </c>
      <c r="I154">
        <v>960</v>
      </c>
      <c r="J154">
        <v>38</v>
      </c>
      <c r="K154">
        <v>3</v>
      </c>
      <c r="L154">
        <v>8</v>
      </c>
      <c r="M154">
        <v>27</v>
      </c>
      <c r="N154">
        <v>502</v>
      </c>
      <c r="O154" s="3">
        <f t="shared" si="8"/>
        <v>5.2941176470588234</v>
      </c>
      <c r="P154">
        <f t="shared" si="6"/>
        <v>1</v>
      </c>
      <c r="Q154">
        <f t="shared" si="7"/>
        <v>0</v>
      </c>
    </row>
    <row r="155" spans="1:17" x14ac:dyDescent="0.2">
      <c r="A155" t="s">
        <v>25</v>
      </c>
      <c r="B155" t="s">
        <v>174</v>
      </c>
      <c r="C155">
        <v>170</v>
      </c>
      <c r="D155">
        <v>25</v>
      </c>
      <c r="E155">
        <v>3</v>
      </c>
      <c r="F155">
        <v>1.5</v>
      </c>
      <c r="G155">
        <v>0</v>
      </c>
      <c r="H155">
        <v>5</v>
      </c>
      <c r="I155">
        <v>150</v>
      </c>
      <c r="J155">
        <v>26</v>
      </c>
      <c r="K155">
        <v>1</v>
      </c>
      <c r="L155">
        <v>25</v>
      </c>
      <c r="M155">
        <v>9</v>
      </c>
      <c r="N155">
        <v>187.5</v>
      </c>
      <c r="O155" s="3">
        <f t="shared" si="8"/>
        <v>5.2941176470588234</v>
      </c>
      <c r="P155">
        <f t="shared" si="6"/>
        <v>0</v>
      </c>
      <c r="Q155">
        <f t="shared" si="7"/>
        <v>0</v>
      </c>
    </row>
    <row r="156" spans="1:17" x14ac:dyDescent="0.2">
      <c r="A156" t="s">
        <v>58</v>
      </c>
      <c r="B156" t="s">
        <v>175</v>
      </c>
      <c r="C156">
        <v>170</v>
      </c>
      <c r="D156" s="2">
        <v>0</v>
      </c>
      <c r="E156">
        <v>11</v>
      </c>
      <c r="F156">
        <v>2</v>
      </c>
      <c r="G156">
        <v>0</v>
      </c>
      <c r="H156">
        <v>35</v>
      </c>
      <c r="I156">
        <v>340</v>
      </c>
      <c r="J156">
        <v>10</v>
      </c>
      <c r="K156">
        <v>0</v>
      </c>
      <c r="L156">
        <v>0</v>
      </c>
      <c r="M156">
        <v>9</v>
      </c>
      <c r="N156">
        <v>163</v>
      </c>
      <c r="O156" s="3">
        <f t="shared" si="8"/>
        <v>5.2941176470588234</v>
      </c>
      <c r="P156">
        <f t="shared" si="6"/>
        <v>0</v>
      </c>
      <c r="Q156">
        <f t="shared" si="7"/>
        <v>0</v>
      </c>
    </row>
    <row r="157" spans="1:17" x14ac:dyDescent="0.2">
      <c r="A157" t="s">
        <v>58</v>
      </c>
      <c r="B157" t="s">
        <v>176</v>
      </c>
      <c r="C157">
        <v>170</v>
      </c>
      <c r="D157" s="2">
        <v>0</v>
      </c>
      <c r="E157">
        <v>11</v>
      </c>
      <c r="F157">
        <v>2</v>
      </c>
      <c r="G157">
        <v>0</v>
      </c>
      <c r="H157">
        <v>35</v>
      </c>
      <c r="I157">
        <v>340</v>
      </c>
      <c r="J157">
        <v>10</v>
      </c>
      <c r="K157">
        <v>0</v>
      </c>
      <c r="L157">
        <v>0</v>
      </c>
      <c r="M157">
        <v>9</v>
      </c>
      <c r="N157">
        <v>163</v>
      </c>
      <c r="O157" s="3">
        <f t="shared" si="8"/>
        <v>5.2941176470588234</v>
      </c>
      <c r="P157">
        <f t="shared" si="6"/>
        <v>0</v>
      </c>
      <c r="Q157">
        <f t="shared" si="7"/>
        <v>0</v>
      </c>
    </row>
    <row r="158" spans="1:17" x14ac:dyDescent="0.2">
      <c r="A158" t="s">
        <v>17</v>
      </c>
      <c r="B158" t="s">
        <v>177</v>
      </c>
      <c r="C158">
        <v>510</v>
      </c>
      <c r="D158">
        <v>240</v>
      </c>
      <c r="E158">
        <v>26</v>
      </c>
      <c r="F158">
        <v>12</v>
      </c>
      <c r="G158">
        <v>0.5</v>
      </c>
      <c r="H158">
        <v>75</v>
      </c>
      <c r="I158">
        <v>1250</v>
      </c>
      <c r="J158">
        <v>38</v>
      </c>
      <c r="K158">
        <v>4</v>
      </c>
      <c r="L158">
        <v>2</v>
      </c>
      <c r="M158">
        <v>27</v>
      </c>
      <c r="O158" s="3">
        <f t="shared" si="8"/>
        <v>5.2941176470588234</v>
      </c>
      <c r="P158">
        <f t="shared" si="6"/>
        <v>1</v>
      </c>
      <c r="Q158">
        <f t="shared" si="7"/>
        <v>0</v>
      </c>
    </row>
    <row r="159" spans="1:17" x14ac:dyDescent="0.2">
      <c r="A159" t="s">
        <v>17</v>
      </c>
      <c r="B159" t="s">
        <v>178</v>
      </c>
      <c r="C159">
        <v>510</v>
      </c>
      <c r="D159">
        <v>240</v>
      </c>
      <c r="E159">
        <v>26</v>
      </c>
      <c r="F159">
        <v>12</v>
      </c>
      <c r="G159">
        <v>0.5</v>
      </c>
      <c r="H159">
        <v>75</v>
      </c>
      <c r="I159">
        <v>1250</v>
      </c>
      <c r="J159">
        <v>38</v>
      </c>
      <c r="K159">
        <v>4</v>
      </c>
      <c r="L159">
        <v>2</v>
      </c>
      <c r="M159">
        <v>27</v>
      </c>
      <c r="O159" s="3">
        <f t="shared" si="8"/>
        <v>5.2941176470588234</v>
      </c>
      <c r="P159">
        <f t="shared" si="6"/>
        <v>1</v>
      </c>
      <c r="Q159">
        <f t="shared" si="7"/>
        <v>0</v>
      </c>
    </row>
    <row r="160" spans="1:17" x14ac:dyDescent="0.2">
      <c r="A160" t="s">
        <v>58</v>
      </c>
      <c r="B160" t="s">
        <v>179</v>
      </c>
      <c r="C160">
        <v>570</v>
      </c>
      <c r="D160" s="2">
        <v>0</v>
      </c>
      <c r="E160">
        <v>34</v>
      </c>
      <c r="F160">
        <v>13</v>
      </c>
      <c r="G160">
        <v>1.5</v>
      </c>
      <c r="H160">
        <v>100</v>
      </c>
      <c r="I160">
        <v>1110</v>
      </c>
      <c r="J160">
        <v>40</v>
      </c>
      <c r="K160">
        <v>3</v>
      </c>
      <c r="L160">
        <v>9</v>
      </c>
      <c r="M160">
        <v>30</v>
      </c>
      <c r="N160">
        <v>562</v>
      </c>
      <c r="O160" s="3">
        <f t="shared" si="8"/>
        <v>5.2631578947368416</v>
      </c>
      <c r="P160">
        <f t="shared" si="6"/>
        <v>1</v>
      </c>
      <c r="Q160">
        <f t="shared" si="7"/>
        <v>0</v>
      </c>
    </row>
    <row r="161" spans="1:17" x14ac:dyDescent="0.2">
      <c r="A161" t="s">
        <v>25</v>
      </c>
      <c r="B161" t="s">
        <v>180</v>
      </c>
      <c r="C161">
        <v>400</v>
      </c>
      <c r="D161">
        <v>190</v>
      </c>
      <c r="E161">
        <v>22</v>
      </c>
      <c r="F161">
        <v>10</v>
      </c>
      <c r="G161">
        <v>1</v>
      </c>
      <c r="H161">
        <v>75</v>
      </c>
      <c r="I161">
        <v>1060</v>
      </c>
      <c r="J161">
        <v>30</v>
      </c>
      <c r="K161">
        <v>1</v>
      </c>
      <c r="L161">
        <v>6</v>
      </c>
      <c r="M161">
        <v>21</v>
      </c>
      <c r="N161">
        <v>395</v>
      </c>
      <c r="O161" s="3">
        <f t="shared" si="8"/>
        <v>5.25</v>
      </c>
      <c r="P161">
        <f t="shared" si="6"/>
        <v>1</v>
      </c>
      <c r="Q161">
        <f t="shared" si="7"/>
        <v>0</v>
      </c>
    </row>
    <row r="162" spans="1:17" x14ac:dyDescent="0.2">
      <c r="A162" t="s">
        <v>25</v>
      </c>
      <c r="B162" t="s">
        <v>181</v>
      </c>
      <c r="C162">
        <v>210</v>
      </c>
      <c r="D162">
        <v>100</v>
      </c>
      <c r="E162">
        <v>11</v>
      </c>
      <c r="F162">
        <v>7</v>
      </c>
      <c r="G162">
        <v>0</v>
      </c>
      <c r="H162">
        <v>35</v>
      </c>
      <c r="I162">
        <v>150</v>
      </c>
      <c r="J162">
        <v>16</v>
      </c>
      <c r="K162">
        <v>0</v>
      </c>
      <c r="L162">
        <v>16</v>
      </c>
      <c r="M162">
        <v>11</v>
      </c>
      <c r="N162">
        <v>222</v>
      </c>
      <c r="O162" s="3">
        <f t="shared" si="8"/>
        <v>5.2380952380952381</v>
      </c>
      <c r="P162">
        <f t="shared" si="6"/>
        <v>0</v>
      </c>
      <c r="Q162">
        <f t="shared" si="7"/>
        <v>0</v>
      </c>
    </row>
    <row r="163" spans="1:17" x14ac:dyDescent="0.2">
      <c r="A163" t="s">
        <v>58</v>
      </c>
      <c r="B163" t="s">
        <v>182</v>
      </c>
      <c r="C163">
        <v>420</v>
      </c>
      <c r="D163" s="2">
        <v>0</v>
      </c>
      <c r="E163">
        <v>27</v>
      </c>
      <c r="F163">
        <v>5</v>
      </c>
      <c r="G163">
        <v>0</v>
      </c>
      <c r="H163">
        <v>80</v>
      </c>
      <c r="I163">
        <v>850</v>
      </c>
      <c r="J163">
        <v>24</v>
      </c>
      <c r="K163">
        <v>1</v>
      </c>
      <c r="L163">
        <v>0</v>
      </c>
      <c r="M163">
        <v>22</v>
      </c>
      <c r="N163">
        <v>403</v>
      </c>
      <c r="O163" s="3">
        <f t="shared" si="8"/>
        <v>5.2380952380952381</v>
      </c>
      <c r="P163">
        <f t="shared" si="6"/>
        <v>1</v>
      </c>
      <c r="Q163">
        <f t="shared" si="7"/>
        <v>0</v>
      </c>
    </row>
    <row r="164" spans="1:17" x14ac:dyDescent="0.2">
      <c r="A164" t="s">
        <v>21</v>
      </c>
      <c r="B164" t="s">
        <v>183</v>
      </c>
      <c r="C164">
        <v>650</v>
      </c>
      <c r="D164" s="2">
        <v>0</v>
      </c>
      <c r="E164">
        <v>35</v>
      </c>
      <c r="F164">
        <v>4.5</v>
      </c>
      <c r="G164">
        <v>0</v>
      </c>
      <c r="H164">
        <v>90</v>
      </c>
      <c r="I164">
        <v>1260</v>
      </c>
      <c r="J164">
        <v>49</v>
      </c>
      <c r="K164">
        <v>1</v>
      </c>
      <c r="L164">
        <v>6</v>
      </c>
      <c r="M164">
        <v>34</v>
      </c>
      <c r="N164">
        <v>626.5</v>
      </c>
      <c r="O164" s="3">
        <f t="shared" si="8"/>
        <v>5.2307692307692308</v>
      </c>
      <c r="P164">
        <f t="shared" si="6"/>
        <v>1</v>
      </c>
      <c r="Q164">
        <f t="shared" si="7"/>
        <v>0</v>
      </c>
    </row>
    <row r="165" spans="1:17" x14ac:dyDescent="0.2">
      <c r="A165" t="s">
        <v>25</v>
      </c>
      <c r="B165" t="s">
        <v>184</v>
      </c>
      <c r="C165">
        <v>460</v>
      </c>
      <c r="D165">
        <v>220</v>
      </c>
      <c r="E165">
        <v>24</v>
      </c>
      <c r="F165">
        <v>8</v>
      </c>
      <c r="G165">
        <v>1.5</v>
      </c>
      <c r="H165">
        <v>70</v>
      </c>
      <c r="I165">
        <v>720</v>
      </c>
      <c r="J165">
        <v>37</v>
      </c>
      <c r="K165">
        <v>3</v>
      </c>
      <c r="L165">
        <v>8</v>
      </c>
      <c r="M165">
        <v>24</v>
      </c>
      <c r="N165">
        <v>452</v>
      </c>
      <c r="O165" s="3">
        <f t="shared" si="8"/>
        <v>5.2173913043478262</v>
      </c>
      <c r="P165">
        <f t="shared" si="6"/>
        <v>1</v>
      </c>
      <c r="Q165">
        <f t="shared" si="7"/>
        <v>0</v>
      </c>
    </row>
    <row r="166" spans="1:17" x14ac:dyDescent="0.2">
      <c r="A166" t="s">
        <v>17</v>
      </c>
      <c r="B166" t="s">
        <v>185</v>
      </c>
      <c r="C166">
        <v>480</v>
      </c>
      <c r="D166">
        <v>180</v>
      </c>
      <c r="E166">
        <v>20</v>
      </c>
      <c r="F166">
        <v>7</v>
      </c>
      <c r="G166">
        <v>0</v>
      </c>
      <c r="H166">
        <v>60</v>
      </c>
      <c r="I166">
        <v>1150</v>
      </c>
      <c r="J166">
        <v>51</v>
      </c>
      <c r="K166">
        <v>7</v>
      </c>
      <c r="L166">
        <v>2</v>
      </c>
      <c r="M166">
        <v>25</v>
      </c>
      <c r="O166" s="3">
        <f t="shared" si="8"/>
        <v>5.2083333333333339</v>
      </c>
      <c r="P166">
        <f t="shared" si="6"/>
        <v>1</v>
      </c>
      <c r="Q166">
        <f t="shared" si="7"/>
        <v>0</v>
      </c>
    </row>
    <row r="167" spans="1:17" x14ac:dyDescent="0.2">
      <c r="A167" t="s">
        <v>58</v>
      </c>
      <c r="B167" t="s">
        <v>186</v>
      </c>
      <c r="C167">
        <v>250</v>
      </c>
      <c r="D167" s="2">
        <v>0</v>
      </c>
      <c r="E167">
        <v>16</v>
      </c>
      <c r="F167">
        <v>3.5</v>
      </c>
      <c r="G167">
        <v>0</v>
      </c>
      <c r="H167">
        <v>50</v>
      </c>
      <c r="I167">
        <v>510</v>
      </c>
      <c r="J167">
        <v>14</v>
      </c>
      <c r="K167">
        <v>1</v>
      </c>
      <c r="L167">
        <v>0</v>
      </c>
      <c r="M167">
        <v>13</v>
      </c>
      <c r="N167">
        <v>241</v>
      </c>
      <c r="O167" s="3">
        <f t="shared" si="8"/>
        <v>5.2</v>
      </c>
      <c r="P167">
        <f t="shared" si="6"/>
        <v>1</v>
      </c>
      <c r="Q167">
        <f t="shared" si="7"/>
        <v>0</v>
      </c>
    </row>
    <row r="168" spans="1:17" x14ac:dyDescent="0.2">
      <c r="A168" t="s">
        <v>17</v>
      </c>
      <c r="B168" t="s">
        <v>187</v>
      </c>
      <c r="C168">
        <v>520</v>
      </c>
      <c r="D168">
        <v>240</v>
      </c>
      <c r="E168">
        <v>27</v>
      </c>
      <c r="F168">
        <v>12</v>
      </c>
      <c r="G168">
        <v>0.5</v>
      </c>
      <c r="H168">
        <v>70</v>
      </c>
      <c r="I168">
        <v>1230</v>
      </c>
      <c r="J168">
        <v>38</v>
      </c>
      <c r="K168">
        <v>4</v>
      </c>
      <c r="L168">
        <v>2</v>
      </c>
      <c r="M168">
        <v>27</v>
      </c>
      <c r="O168" s="3">
        <f t="shared" si="8"/>
        <v>5.1923076923076925</v>
      </c>
      <c r="P168">
        <f t="shared" si="6"/>
        <v>1</v>
      </c>
      <c r="Q168">
        <f t="shared" si="7"/>
        <v>0</v>
      </c>
    </row>
    <row r="169" spans="1:17" x14ac:dyDescent="0.2">
      <c r="A169" t="s">
        <v>159</v>
      </c>
      <c r="B169" t="s">
        <v>188</v>
      </c>
      <c r="C169">
        <v>310</v>
      </c>
      <c r="D169" s="2">
        <v>0</v>
      </c>
      <c r="E169">
        <v>13</v>
      </c>
      <c r="F169">
        <v>5</v>
      </c>
      <c r="G169">
        <v>0</v>
      </c>
      <c r="H169">
        <v>35</v>
      </c>
      <c r="I169">
        <v>560</v>
      </c>
      <c r="J169">
        <v>33</v>
      </c>
      <c r="K169">
        <v>2</v>
      </c>
      <c r="L169">
        <v>1</v>
      </c>
      <c r="M169">
        <v>16</v>
      </c>
      <c r="O169" s="3">
        <f t="shared" si="8"/>
        <v>5.161290322580645</v>
      </c>
      <c r="P169">
        <f t="shared" si="6"/>
        <v>1</v>
      </c>
      <c r="Q169">
        <f t="shared" si="7"/>
        <v>0</v>
      </c>
    </row>
    <row r="170" spans="1:17" x14ac:dyDescent="0.2">
      <c r="A170" t="s">
        <v>17</v>
      </c>
      <c r="B170" t="s">
        <v>189</v>
      </c>
      <c r="C170">
        <v>370</v>
      </c>
      <c r="D170">
        <v>100</v>
      </c>
      <c r="E170">
        <v>11</v>
      </c>
      <c r="F170">
        <v>4.5</v>
      </c>
      <c r="G170">
        <v>0</v>
      </c>
      <c r="H170">
        <v>35</v>
      </c>
      <c r="I170">
        <v>1110</v>
      </c>
      <c r="J170">
        <v>49</v>
      </c>
      <c r="K170">
        <v>8</v>
      </c>
      <c r="L170">
        <v>4</v>
      </c>
      <c r="M170">
        <v>19</v>
      </c>
      <c r="O170" s="3">
        <f t="shared" si="8"/>
        <v>5.1351351351351351</v>
      </c>
      <c r="P170">
        <f t="shared" si="6"/>
        <v>1</v>
      </c>
      <c r="Q170">
        <f t="shared" si="7"/>
        <v>0</v>
      </c>
    </row>
    <row r="171" spans="1:17" x14ac:dyDescent="0.2">
      <c r="A171" t="s">
        <v>25</v>
      </c>
      <c r="B171" t="s">
        <v>190</v>
      </c>
      <c r="C171">
        <v>430</v>
      </c>
      <c r="D171">
        <v>230</v>
      </c>
      <c r="E171">
        <v>26</v>
      </c>
      <c r="F171">
        <v>10</v>
      </c>
      <c r="G171">
        <v>1.5</v>
      </c>
      <c r="H171">
        <v>75</v>
      </c>
      <c r="I171">
        <v>730</v>
      </c>
      <c r="J171">
        <v>27</v>
      </c>
      <c r="K171">
        <v>2</v>
      </c>
      <c r="L171">
        <v>2</v>
      </c>
      <c r="M171">
        <v>22</v>
      </c>
      <c r="N171">
        <v>420</v>
      </c>
      <c r="O171" s="3">
        <f t="shared" si="8"/>
        <v>5.1162790697674421</v>
      </c>
      <c r="P171">
        <f t="shared" si="6"/>
        <v>1</v>
      </c>
      <c r="Q171">
        <f t="shared" si="7"/>
        <v>0</v>
      </c>
    </row>
    <row r="172" spans="1:17" x14ac:dyDescent="0.2">
      <c r="A172" t="s">
        <v>21</v>
      </c>
      <c r="B172" t="s">
        <v>191</v>
      </c>
      <c r="C172">
        <v>470</v>
      </c>
      <c r="D172" s="2">
        <v>0</v>
      </c>
      <c r="E172">
        <v>24</v>
      </c>
      <c r="F172">
        <v>3.5</v>
      </c>
      <c r="G172">
        <v>0</v>
      </c>
      <c r="H172">
        <v>60</v>
      </c>
      <c r="I172">
        <v>1170</v>
      </c>
      <c r="J172">
        <v>39</v>
      </c>
      <c r="K172" s="2">
        <v>0</v>
      </c>
      <c r="L172">
        <v>4</v>
      </c>
      <c r="M172">
        <v>24</v>
      </c>
      <c r="N172">
        <v>453.5</v>
      </c>
      <c r="O172" s="3">
        <f t="shared" si="8"/>
        <v>5.1063829787234036</v>
      </c>
      <c r="P172">
        <f t="shared" si="6"/>
        <v>1</v>
      </c>
      <c r="Q172">
        <f t="shared" si="7"/>
        <v>0</v>
      </c>
    </row>
    <row r="173" spans="1:17" x14ac:dyDescent="0.2">
      <c r="A173" t="s">
        <v>25</v>
      </c>
      <c r="B173" t="s">
        <v>192</v>
      </c>
      <c r="C173">
        <v>475</v>
      </c>
      <c r="D173" s="2">
        <v>0</v>
      </c>
      <c r="E173">
        <v>22</v>
      </c>
      <c r="F173">
        <v>4.5</v>
      </c>
      <c r="G173">
        <v>0</v>
      </c>
      <c r="H173">
        <v>50</v>
      </c>
      <c r="I173">
        <v>680</v>
      </c>
      <c r="J173">
        <v>46</v>
      </c>
      <c r="K173">
        <v>2</v>
      </c>
      <c r="L173">
        <v>14</v>
      </c>
      <c r="M173">
        <v>24</v>
      </c>
      <c r="O173" s="3">
        <f t="shared" si="8"/>
        <v>5.0526315789473681</v>
      </c>
      <c r="P173">
        <f t="shared" si="6"/>
        <v>1</v>
      </c>
      <c r="Q173">
        <f t="shared" si="7"/>
        <v>0</v>
      </c>
    </row>
    <row r="174" spans="1:17" x14ac:dyDescent="0.2">
      <c r="A174" t="s">
        <v>25</v>
      </c>
      <c r="B174" t="s">
        <v>162</v>
      </c>
      <c r="C174">
        <v>300</v>
      </c>
      <c r="D174">
        <v>110</v>
      </c>
      <c r="E174">
        <v>12</v>
      </c>
      <c r="F174">
        <v>6</v>
      </c>
      <c r="G174">
        <v>0.5</v>
      </c>
      <c r="H174">
        <v>40</v>
      </c>
      <c r="I174">
        <v>750</v>
      </c>
      <c r="J174">
        <v>33</v>
      </c>
      <c r="K174">
        <v>2</v>
      </c>
      <c r="L174">
        <v>6</v>
      </c>
      <c r="M174">
        <v>15</v>
      </c>
      <c r="N174">
        <v>297</v>
      </c>
      <c r="O174" s="3">
        <f t="shared" si="8"/>
        <v>5</v>
      </c>
      <c r="P174">
        <f t="shared" si="6"/>
        <v>1</v>
      </c>
      <c r="Q174">
        <f t="shared" si="7"/>
        <v>0</v>
      </c>
    </row>
    <row r="175" spans="1:17" x14ac:dyDescent="0.2">
      <c r="A175" t="s">
        <v>25</v>
      </c>
      <c r="B175" t="s">
        <v>193</v>
      </c>
      <c r="C175">
        <v>620</v>
      </c>
      <c r="D175">
        <v>260</v>
      </c>
      <c r="E175">
        <v>29</v>
      </c>
      <c r="F175">
        <v>7</v>
      </c>
      <c r="G175">
        <v>0</v>
      </c>
      <c r="H175">
        <v>70</v>
      </c>
      <c r="I175">
        <v>1200</v>
      </c>
      <c r="J175">
        <v>57</v>
      </c>
      <c r="K175">
        <v>3</v>
      </c>
      <c r="L175">
        <v>11</v>
      </c>
      <c r="M175">
        <v>31</v>
      </c>
      <c r="N175">
        <v>607</v>
      </c>
      <c r="O175" s="3">
        <f t="shared" si="8"/>
        <v>5</v>
      </c>
      <c r="P175">
        <f t="shared" si="6"/>
        <v>1</v>
      </c>
      <c r="Q175">
        <f t="shared" si="7"/>
        <v>0</v>
      </c>
    </row>
    <row r="176" spans="1:17" x14ac:dyDescent="0.2">
      <c r="A176" t="s">
        <v>25</v>
      </c>
      <c r="B176" t="s">
        <v>194</v>
      </c>
      <c r="C176">
        <v>540</v>
      </c>
      <c r="D176">
        <v>210</v>
      </c>
      <c r="E176">
        <v>23</v>
      </c>
      <c r="F176">
        <v>4.5</v>
      </c>
      <c r="G176">
        <v>0</v>
      </c>
      <c r="H176">
        <v>55</v>
      </c>
      <c r="I176">
        <v>1160</v>
      </c>
      <c r="J176">
        <v>56</v>
      </c>
      <c r="K176">
        <v>3</v>
      </c>
      <c r="L176">
        <v>11</v>
      </c>
      <c r="M176">
        <v>27</v>
      </c>
      <c r="N176">
        <v>528.5</v>
      </c>
      <c r="O176" s="3">
        <f t="shared" si="8"/>
        <v>5</v>
      </c>
      <c r="P176">
        <f t="shared" si="6"/>
        <v>1</v>
      </c>
      <c r="Q176">
        <f t="shared" si="7"/>
        <v>0</v>
      </c>
    </row>
    <row r="177" spans="1:17" x14ac:dyDescent="0.2">
      <c r="A177" t="s">
        <v>25</v>
      </c>
      <c r="B177" t="s">
        <v>195</v>
      </c>
      <c r="C177">
        <v>20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10</v>
      </c>
      <c r="J177">
        <v>4</v>
      </c>
      <c r="K177">
        <v>1</v>
      </c>
      <c r="L177">
        <v>2</v>
      </c>
      <c r="M177">
        <v>1</v>
      </c>
      <c r="N177">
        <v>21</v>
      </c>
      <c r="O177" s="3">
        <f t="shared" si="8"/>
        <v>5</v>
      </c>
      <c r="P177">
        <f t="shared" si="6"/>
        <v>0</v>
      </c>
      <c r="Q177">
        <f t="shared" si="7"/>
        <v>0</v>
      </c>
    </row>
    <row r="178" spans="1:17" x14ac:dyDescent="0.2">
      <c r="A178" t="s">
        <v>25</v>
      </c>
      <c r="B178" t="s">
        <v>196</v>
      </c>
      <c r="C178">
        <v>660</v>
      </c>
      <c r="D178">
        <v>300</v>
      </c>
      <c r="E178">
        <v>33</v>
      </c>
      <c r="F178">
        <v>12</v>
      </c>
      <c r="G178">
        <v>1</v>
      </c>
      <c r="H178">
        <v>300</v>
      </c>
      <c r="I178">
        <v>1580</v>
      </c>
      <c r="J178">
        <v>56</v>
      </c>
      <c r="K178">
        <v>3</v>
      </c>
      <c r="L178">
        <v>7</v>
      </c>
      <c r="M178">
        <v>33</v>
      </c>
      <c r="N178">
        <v>646</v>
      </c>
      <c r="O178" s="3">
        <f t="shared" si="8"/>
        <v>5</v>
      </c>
      <c r="P178">
        <f t="shared" si="6"/>
        <v>1</v>
      </c>
      <c r="Q178">
        <f t="shared" si="7"/>
        <v>0</v>
      </c>
    </row>
    <row r="179" spans="1:17" x14ac:dyDescent="0.2">
      <c r="A179" t="s">
        <v>25</v>
      </c>
      <c r="B179" t="s">
        <v>197</v>
      </c>
      <c r="C179">
        <v>120</v>
      </c>
      <c r="D179">
        <v>60</v>
      </c>
      <c r="E179">
        <v>7</v>
      </c>
      <c r="F179">
        <v>4</v>
      </c>
      <c r="G179">
        <v>0</v>
      </c>
      <c r="H179">
        <v>20</v>
      </c>
      <c r="I179">
        <v>85</v>
      </c>
      <c r="J179">
        <v>9</v>
      </c>
      <c r="K179">
        <v>0</v>
      </c>
      <c r="L179">
        <v>9</v>
      </c>
      <c r="M179">
        <v>6</v>
      </c>
      <c r="N179">
        <v>127</v>
      </c>
      <c r="O179" s="3">
        <f t="shared" si="8"/>
        <v>5</v>
      </c>
      <c r="P179">
        <f t="shared" si="6"/>
        <v>0</v>
      </c>
      <c r="Q179">
        <f t="shared" si="7"/>
        <v>0</v>
      </c>
    </row>
    <row r="180" spans="1:17" x14ac:dyDescent="0.2">
      <c r="A180" t="s">
        <v>25</v>
      </c>
      <c r="B180" t="s">
        <v>198</v>
      </c>
      <c r="C180">
        <v>180</v>
      </c>
      <c r="D180">
        <v>90</v>
      </c>
      <c r="E180">
        <v>10</v>
      </c>
      <c r="F180">
        <v>6</v>
      </c>
      <c r="G180">
        <v>0</v>
      </c>
      <c r="H180">
        <v>30</v>
      </c>
      <c r="I180">
        <v>130</v>
      </c>
      <c r="J180">
        <v>13</v>
      </c>
      <c r="K180">
        <v>0</v>
      </c>
      <c r="L180">
        <v>13</v>
      </c>
      <c r="M180">
        <v>9</v>
      </c>
      <c r="N180">
        <v>190</v>
      </c>
      <c r="O180" s="3">
        <f t="shared" si="8"/>
        <v>5</v>
      </c>
      <c r="P180">
        <f t="shared" si="6"/>
        <v>0</v>
      </c>
      <c r="Q180">
        <f t="shared" si="7"/>
        <v>0</v>
      </c>
    </row>
    <row r="181" spans="1:17" x14ac:dyDescent="0.2">
      <c r="A181" t="s">
        <v>25</v>
      </c>
      <c r="B181" t="s">
        <v>199</v>
      </c>
      <c r="C181">
        <v>100</v>
      </c>
      <c r="D181">
        <v>50</v>
      </c>
      <c r="E181">
        <v>5</v>
      </c>
      <c r="F181">
        <v>3</v>
      </c>
      <c r="G181">
        <v>0</v>
      </c>
      <c r="H181">
        <v>15</v>
      </c>
      <c r="I181">
        <v>105</v>
      </c>
      <c r="J181">
        <v>15</v>
      </c>
      <c r="K181">
        <v>0</v>
      </c>
      <c r="L181">
        <v>7</v>
      </c>
      <c r="M181">
        <v>5</v>
      </c>
      <c r="N181">
        <v>105</v>
      </c>
      <c r="O181" s="3">
        <f t="shared" si="8"/>
        <v>5</v>
      </c>
      <c r="P181">
        <f t="shared" si="6"/>
        <v>0</v>
      </c>
      <c r="Q181">
        <f t="shared" si="7"/>
        <v>0</v>
      </c>
    </row>
    <row r="182" spans="1:17" x14ac:dyDescent="0.2">
      <c r="A182" t="s">
        <v>25</v>
      </c>
      <c r="B182" t="s">
        <v>200</v>
      </c>
      <c r="C182">
        <v>120</v>
      </c>
      <c r="D182">
        <v>60</v>
      </c>
      <c r="E182">
        <v>6</v>
      </c>
      <c r="F182">
        <v>3.5</v>
      </c>
      <c r="G182">
        <v>0</v>
      </c>
      <c r="H182">
        <v>20</v>
      </c>
      <c r="I182">
        <v>130</v>
      </c>
      <c r="J182">
        <v>18</v>
      </c>
      <c r="K182">
        <v>0</v>
      </c>
      <c r="L182">
        <v>9</v>
      </c>
      <c r="M182">
        <v>6</v>
      </c>
      <c r="N182">
        <v>126.5</v>
      </c>
      <c r="O182" s="3">
        <f t="shared" si="8"/>
        <v>5</v>
      </c>
      <c r="P182">
        <f t="shared" si="6"/>
        <v>0</v>
      </c>
      <c r="Q182">
        <f t="shared" si="7"/>
        <v>0</v>
      </c>
    </row>
    <row r="183" spans="1:17" x14ac:dyDescent="0.2">
      <c r="A183" t="s">
        <v>25</v>
      </c>
      <c r="B183" t="s">
        <v>201</v>
      </c>
      <c r="C183">
        <v>160</v>
      </c>
      <c r="D183">
        <v>70</v>
      </c>
      <c r="E183">
        <v>8</v>
      </c>
      <c r="F183">
        <v>5</v>
      </c>
      <c r="G183">
        <v>0</v>
      </c>
      <c r="H183">
        <v>25</v>
      </c>
      <c r="I183">
        <v>150</v>
      </c>
      <c r="J183">
        <v>21</v>
      </c>
      <c r="K183">
        <v>0</v>
      </c>
      <c r="L183">
        <v>11</v>
      </c>
      <c r="M183">
        <v>8</v>
      </c>
      <c r="N183">
        <v>168</v>
      </c>
      <c r="O183" s="3">
        <f t="shared" si="8"/>
        <v>5</v>
      </c>
      <c r="P183">
        <f t="shared" si="6"/>
        <v>0</v>
      </c>
      <c r="Q183">
        <f t="shared" si="7"/>
        <v>0</v>
      </c>
    </row>
    <row r="184" spans="1:17" x14ac:dyDescent="0.2">
      <c r="A184" t="s">
        <v>25</v>
      </c>
      <c r="B184" t="s">
        <v>202</v>
      </c>
      <c r="C184">
        <v>80</v>
      </c>
      <c r="D184">
        <v>40</v>
      </c>
      <c r="E184">
        <v>4.5</v>
      </c>
      <c r="F184">
        <v>2.5</v>
      </c>
      <c r="G184">
        <v>0</v>
      </c>
      <c r="H184">
        <v>15</v>
      </c>
      <c r="I184">
        <v>65</v>
      </c>
      <c r="J184">
        <v>6</v>
      </c>
      <c r="K184">
        <v>0</v>
      </c>
      <c r="L184">
        <v>6</v>
      </c>
      <c r="M184">
        <v>4</v>
      </c>
      <c r="N184">
        <v>84.5</v>
      </c>
      <c r="O184" s="3">
        <f t="shared" si="8"/>
        <v>5</v>
      </c>
      <c r="P184">
        <f t="shared" si="6"/>
        <v>0</v>
      </c>
      <c r="Q184">
        <f t="shared" si="7"/>
        <v>0</v>
      </c>
    </row>
    <row r="185" spans="1:17" x14ac:dyDescent="0.2">
      <c r="A185" t="s">
        <v>25</v>
      </c>
      <c r="B185" t="s">
        <v>203</v>
      </c>
      <c r="C185">
        <v>140</v>
      </c>
      <c r="D185">
        <v>70</v>
      </c>
      <c r="E185">
        <v>8</v>
      </c>
      <c r="F185">
        <v>4.5</v>
      </c>
      <c r="G185">
        <v>0</v>
      </c>
      <c r="H185">
        <v>25</v>
      </c>
      <c r="I185">
        <v>105</v>
      </c>
      <c r="J185">
        <v>10</v>
      </c>
      <c r="K185">
        <v>0</v>
      </c>
      <c r="L185">
        <v>10</v>
      </c>
      <c r="M185">
        <v>7</v>
      </c>
      <c r="N185">
        <v>147.5</v>
      </c>
      <c r="O185" s="3">
        <f t="shared" si="8"/>
        <v>5</v>
      </c>
      <c r="P185">
        <f t="shared" si="6"/>
        <v>0</v>
      </c>
      <c r="Q185">
        <f t="shared" si="7"/>
        <v>0</v>
      </c>
    </row>
    <row r="186" spans="1:17" x14ac:dyDescent="0.2">
      <c r="A186" t="s">
        <v>25</v>
      </c>
      <c r="B186" t="s">
        <v>204</v>
      </c>
      <c r="C186">
        <v>60</v>
      </c>
      <c r="D186">
        <v>30</v>
      </c>
      <c r="E186">
        <v>3</v>
      </c>
      <c r="F186">
        <v>2</v>
      </c>
      <c r="G186">
        <v>0</v>
      </c>
      <c r="H186">
        <v>10</v>
      </c>
      <c r="I186">
        <v>80</v>
      </c>
      <c r="J186">
        <v>12</v>
      </c>
      <c r="K186">
        <v>0</v>
      </c>
      <c r="L186">
        <v>4</v>
      </c>
      <c r="M186">
        <v>3</v>
      </c>
      <c r="N186">
        <v>63</v>
      </c>
      <c r="O186" s="3">
        <f t="shared" si="8"/>
        <v>5</v>
      </c>
      <c r="P186">
        <f t="shared" si="6"/>
        <v>0</v>
      </c>
      <c r="Q186">
        <f t="shared" si="7"/>
        <v>0</v>
      </c>
    </row>
    <row r="187" spans="1:17" x14ac:dyDescent="0.2">
      <c r="A187" t="s">
        <v>51</v>
      </c>
      <c r="B187" t="s">
        <v>205</v>
      </c>
      <c r="C187">
        <v>700</v>
      </c>
      <c r="D187">
        <v>380</v>
      </c>
      <c r="E187">
        <v>42</v>
      </c>
      <c r="F187">
        <v>16</v>
      </c>
      <c r="G187">
        <v>2</v>
      </c>
      <c r="H187">
        <v>125</v>
      </c>
      <c r="I187">
        <v>1360</v>
      </c>
      <c r="J187">
        <v>48</v>
      </c>
      <c r="K187">
        <v>1</v>
      </c>
      <c r="L187">
        <v>10</v>
      </c>
      <c r="M187">
        <v>35</v>
      </c>
      <c r="N187">
        <v>691</v>
      </c>
      <c r="O187" s="3">
        <f t="shared" si="8"/>
        <v>5</v>
      </c>
      <c r="P187">
        <f t="shared" si="6"/>
        <v>1</v>
      </c>
      <c r="Q187">
        <f t="shared" si="7"/>
        <v>0</v>
      </c>
    </row>
    <row r="188" spans="1:17" x14ac:dyDescent="0.2">
      <c r="A188" t="s">
        <v>51</v>
      </c>
      <c r="B188" t="s">
        <v>206</v>
      </c>
      <c r="C188">
        <v>160</v>
      </c>
      <c r="D188">
        <v>25</v>
      </c>
      <c r="E188">
        <v>2.5</v>
      </c>
      <c r="F188">
        <v>1.5</v>
      </c>
      <c r="G188">
        <v>0</v>
      </c>
      <c r="H188">
        <v>15</v>
      </c>
      <c r="I188">
        <v>150</v>
      </c>
      <c r="J188">
        <v>26</v>
      </c>
      <c r="K188">
        <v>0</v>
      </c>
      <c r="L188">
        <v>25</v>
      </c>
      <c r="M188">
        <v>8</v>
      </c>
      <c r="N188">
        <v>179</v>
      </c>
      <c r="O188" s="3">
        <f t="shared" si="8"/>
        <v>5</v>
      </c>
      <c r="P188">
        <f t="shared" si="6"/>
        <v>0</v>
      </c>
      <c r="Q188">
        <f t="shared" si="7"/>
        <v>0</v>
      </c>
    </row>
    <row r="189" spans="1:17" x14ac:dyDescent="0.2">
      <c r="A189" t="s">
        <v>51</v>
      </c>
      <c r="B189" t="s">
        <v>207</v>
      </c>
      <c r="C189">
        <v>40</v>
      </c>
      <c r="D189">
        <v>30</v>
      </c>
      <c r="E189">
        <v>3.5</v>
      </c>
      <c r="F189">
        <v>2</v>
      </c>
      <c r="G189">
        <v>0</v>
      </c>
      <c r="H189">
        <v>10</v>
      </c>
      <c r="I189">
        <v>180</v>
      </c>
      <c r="J189">
        <v>1</v>
      </c>
      <c r="K189">
        <v>0</v>
      </c>
      <c r="L189">
        <v>0</v>
      </c>
      <c r="M189">
        <v>2</v>
      </c>
      <c r="N189">
        <v>40</v>
      </c>
      <c r="O189" s="3">
        <f t="shared" si="8"/>
        <v>5</v>
      </c>
      <c r="P189">
        <f t="shared" si="6"/>
        <v>0</v>
      </c>
      <c r="Q189">
        <f t="shared" si="7"/>
        <v>0</v>
      </c>
    </row>
    <row r="190" spans="1:17" x14ac:dyDescent="0.2">
      <c r="A190" t="s">
        <v>51</v>
      </c>
      <c r="B190" t="s">
        <v>206</v>
      </c>
      <c r="C190">
        <v>160</v>
      </c>
      <c r="D190">
        <v>25</v>
      </c>
      <c r="E190">
        <v>2.5</v>
      </c>
      <c r="F190">
        <v>1.5</v>
      </c>
      <c r="G190">
        <v>0</v>
      </c>
      <c r="H190">
        <v>15</v>
      </c>
      <c r="I190">
        <v>150</v>
      </c>
      <c r="J190">
        <v>26</v>
      </c>
      <c r="K190">
        <v>0</v>
      </c>
      <c r="L190">
        <v>25</v>
      </c>
      <c r="M190">
        <v>8</v>
      </c>
      <c r="N190">
        <v>179</v>
      </c>
      <c r="O190" s="3">
        <f t="shared" si="8"/>
        <v>5</v>
      </c>
      <c r="P190">
        <f t="shared" si="6"/>
        <v>0</v>
      </c>
      <c r="Q190">
        <f t="shared" si="7"/>
        <v>0</v>
      </c>
    </row>
    <row r="191" spans="1:17" x14ac:dyDescent="0.2">
      <c r="A191" t="s">
        <v>58</v>
      </c>
      <c r="B191" t="s">
        <v>208</v>
      </c>
      <c r="C191">
        <v>380</v>
      </c>
      <c r="D191" s="2">
        <v>0</v>
      </c>
      <c r="E191">
        <v>22</v>
      </c>
      <c r="F191">
        <v>8</v>
      </c>
      <c r="G191">
        <v>1</v>
      </c>
      <c r="H191">
        <v>65</v>
      </c>
      <c r="I191">
        <v>680</v>
      </c>
      <c r="J191">
        <v>25</v>
      </c>
      <c r="K191">
        <v>1</v>
      </c>
      <c r="L191">
        <v>5</v>
      </c>
      <c r="M191">
        <v>19</v>
      </c>
      <c r="N191">
        <v>374</v>
      </c>
      <c r="O191" s="3">
        <f t="shared" si="8"/>
        <v>5</v>
      </c>
      <c r="P191">
        <f t="shared" si="6"/>
        <v>1</v>
      </c>
      <c r="Q191">
        <f t="shared" si="7"/>
        <v>0</v>
      </c>
    </row>
    <row r="192" spans="1:17" x14ac:dyDescent="0.2">
      <c r="A192" t="s">
        <v>21</v>
      </c>
      <c r="B192" t="s">
        <v>209</v>
      </c>
      <c r="C192">
        <v>100</v>
      </c>
      <c r="D192" s="2">
        <v>0</v>
      </c>
      <c r="E192">
        <v>7</v>
      </c>
      <c r="F192">
        <v>1.5</v>
      </c>
      <c r="G192">
        <v>0</v>
      </c>
      <c r="H192">
        <v>20</v>
      </c>
      <c r="I192">
        <v>310</v>
      </c>
      <c r="J192">
        <v>3</v>
      </c>
      <c r="K192">
        <v>0</v>
      </c>
      <c r="L192">
        <v>0</v>
      </c>
      <c r="M192">
        <v>5</v>
      </c>
      <c r="N192">
        <v>96.5</v>
      </c>
      <c r="O192" s="3">
        <f t="shared" si="8"/>
        <v>5</v>
      </c>
      <c r="P192">
        <f t="shared" si="6"/>
        <v>0</v>
      </c>
      <c r="Q192">
        <f t="shared" si="7"/>
        <v>0</v>
      </c>
    </row>
    <row r="193" spans="1:17" x14ac:dyDescent="0.2">
      <c r="A193" t="s">
        <v>21</v>
      </c>
      <c r="B193" t="s">
        <v>210</v>
      </c>
      <c r="C193">
        <v>100</v>
      </c>
      <c r="D193" s="2">
        <v>0</v>
      </c>
      <c r="E193">
        <v>6</v>
      </c>
      <c r="F193">
        <v>1</v>
      </c>
      <c r="G193">
        <v>0</v>
      </c>
      <c r="H193">
        <v>20</v>
      </c>
      <c r="I193">
        <v>210</v>
      </c>
      <c r="J193">
        <v>8</v>
      </c>
      <c r="K193">
        <v>0</v>
      </c>
      <c r="L193">
        <v>4</v>
      </c>
      <c r="M193">
        <v>5</v>
      </c>
      <c r="N193">
        <v>100</v>
      </c>
      <c r="O193" s="3">
        <f t="shared" si="8"/>
        <v>5</v>
      </c>
      <c r="P193">
        <f t="shared" si="6"/>
        <v>0</v>
      </c>
      <c r="Q193">
        <f t="shared" si="7"/>
        <v>0</v>
      </c>
    </row>
    <row r="194" spans="1:17" x14ac:dyDescent="0.2">
      <c r="A194" t="s">
        <v>21</v>
      </c>
      <c r="B194" t="s">
        <v>211</v>
      </c>
      <c r="C194">
        <v>80</v>
      </c>
      <c r="D194" s="2">
        <v>0</v>
      </c>
      <c r="E194">
        <v>0</v>
      </c>
      <c r="F194">
        <v>0</v>
      </c>
      <c r="G194">
        <v>0</v>
      </c>
      <c r="H194">
        <v>0</v>
      </c>
      <c r="I194">
        <v>930</v>
      </c>
      <c r="J194">
        <v>15</v>
      </c>
      <c r="K194">
        <v>9</v>
      </c>
      <c r="L194">
        <v>3</v>
      </c>
      <c r="M194">
        <v>4</v>
      </c>
      <c r="N194">
        <v>79</v>
      </c>
      <c r="O194" s="3">
        <f t="shared" si="8"/>
        <v>5</v>
      </c>
      <c r="P194">
        <f t="shared" ref="P194:P257" si="9">IF(I194&gt;2300*0.2,1,0)</f>
        <v>1</v>
      </c>
      <c r="Q194">
        <f t="shared" ref="Q194:Q257" si="10">IF(H194&gt;300,1,0)</f>
        <v>0</v>
      </c>
    </row>
    <row r="195" spans="1:17" x14ac:dyDescent="0.2">
      <c r="A195" t="s">
        <v>17</v>
      </c>
      <c r="B195" t="s">
        <v>212</v>
      </c>
      <c r="C195">
        <v>180</v>
      </c>
      <c r="D195">
        <v>80</v>
      </c>
      <c r="E195">
        <v>9</v>
      </c>
      <c r="F195">
        <v>4</v>
      </c>
      <c r="G195">
        <v>0</v>
      </c>
      <c r="H195">
        <v>25</v>
      </c>
      <c r="I195">
        <v>500</v>
      </c>
      <c r="J195">
        <v>17</v>
      </c>
      <c r="K195">
        <v>3</v>
      </c>
      <c r="L195">
        <v>1</v>
      </c>
      <c r="M195">
        <v>9</v>
      </c>
      <c r="O195" s="3">
        <f t="shared" si="8"/>
        <v>5</v>
      </c>
      <c r="P195">
        <f t="shared" si="9"/>
        <v>1</v>
      </c>
      <c r="Q195">
        <f t="shared" si="10"/>
        <v>0</v>
      </c>
    </row>
    <row r="196" spans="1:17" x14ac:dyDescent="0.2">
      <c r="A196" t="s">
        <v>17</v>
      </c>
      <c r="B196" t="s">
        <v>213</v>
      </c>
      <c r="C196">
        <v>180</v>
      </c>
      <c r="D196">
        <v>80</v>
      </c>
      <c r="E196">
        <v>9</v>
      </c>
      <c r="F196">
        <v>5</v>
      </c>
      <c r="G196">
        <v>0</v>
      </c>
      <c r="H196">
        <v>20</v>
      </c>
      <c r="I196">
        <v>430</v>
      </c>
      <c r="J196">
        <v>15</v>
      </c>
      <c r="K196">
        <v>2</v>
      </c>
      <c r="L196" s="2">
        <v>0</v>
      </c>
      <c r="M196">
        <v>9</v>
      </c>
      <c r="O196" s="3">
        <f t="shared" si="8"/>
        <v>5</v>
      </c>
      <c r="P196">
        <f t="shared" si="9"/>
        <v>0</v>
      </c>
      <c r="Q196">
        <f t="shared" si="10"/>
        <v>0</v>
      </c>
    </row>
    <row r="197" spans="1:17" x14ac:dyDescent="0.2">
      <c r="A197" t="s">
        <v>17</v>
      </c>
      <c r="B197" t="s">
        <v>214</v>
      </c>
      <c r="C197">
        <v>180</v>
      </c>
      <c r="D197">
        <v>80</v>
      </c>
      <c r="E197">
        <v>9</v>
      </c>
      <c r="F197">
        <v>4</v>
      </c>
      <c r="G197">
        <v>0</v>
      </c>
      <c r="H197">
        <v>25</v>
      </c>
      <c r="I197">
        <v>500</v>
      </c>
      <c r="J197">
        <v>17</v>
      </c>
      <c r="K197">
        <v>3</v>
      </c>
      <c r="L197">
        <v>1</v>
      </c>
      <c r="M197">
        <v>9</v>
      </c>
      <c r="O197" s="3">
        <f t="shared" si="8"/>
        <v>5</v>
      </c>
      <c r="P197">
        <f t="shared" si="9"/>
        <v>1</v>
      </c>
      <c r="Q197">
        <f t="shared" si="10"/>
        <v>0</v>
      </c>
    </row>
    <row r="198" spans="1:17" x14ac:dyDescent="0.2">
      <c r="A198" t="s">
        <v>17</v>
      </c>
      <c r="B198" t="s">
        <v>215</v>
      </c>
      <c r="C198">
        <v>180</v>
      </c>
      <c r="D198">
        <v>80</v>
      </c>
      <c r="E198">
        <v>9</v>
      </c>
      <c r="F198">
        <v>5</v>
      </c>
      <c r="G198">
        <v>0</v>
      </c>
      <c r="H198">
        <v>20</v>
      </c>
      <c r="I198">
        <v>430</v>
      </c>
      <c r="J198">
        <v>15</v>
      </c>
      <c r="K198">
        <v>2</v>
      </c>
      <c r="L198" s="2">
        <v>0</v>
      </c>
      <c r="M198">
        <v>9</v>
      </c>
      <c r="O198" s="3">
        <f t="shared" ref="O198:O261" si="11">M198/C198*100</f>
        <v>5</v>
      </c>
      <c r="P198">
        <f t="shared" si="9"/>
        <v>0</v>
      </c>
      <c r="Q198">
        <f t="shared" si="10"/>
        <v>0</v>
      </c>
    </row>
    <row r="199" spans="1:17" x14ac:dyDescent="0.2">
      <c r="A199" t="s">
        <v>17</v>
      </c>
      <c r="B199" t="s">
        <v>216</v>
      </c>
      <c r="C199">
        <v>180</v>
      </c>
      <c r="D199">
        <v>80</v>
      </c>
      <c r="E199">
        <v>9</v>
      </c>
      <c r="F199">
        <v>5</v>
      </c>
      <c r="G199">
        <v>0</v>
      </c>
      <c r="H199">
        <v>20</v>
      </c>
      <c r="I199">
        <v>430</v>
      </c>
      <c r="J199">
        <v>15</v>
      </c>
      <c r="K199">
        <v>2</v>
      </c>
      <c r="L199" s="2">
        <v>0</v>
      </c>
      <c r="M199">
        <v>9</v>
      </c>
      <c r="O199" s="3">
        <f t="shared" si="11"/>
        <v>5</v>
      </c>
      <c r="P199">
        <f t="shared" si="9"/>
        <v>0</v>
      </c>
      <c r="Q199">
        <f t="shared" si="10"/>
        <v>0</v>
      </c>
    </row>
    <row r="200" spans="1:17" x14ac:dyDescent="0.2">
      <c r="A200" t="s">
        <v>159</v>
      </c>
      <c r="B200" t="s">
        <v>217</v>
      </c>
      <c r="C200">
        <v>180</v>
      </c>
      <c r="D200" s="2">
        <v>0</v>
      </c>
      <c r="E200">
        <v>8</v>
      </c>
      <c r="F200">
        <v>3</v>
      </c>
      <c r="G200">
        <v>0</v>
      </c>
      <c r="H200">
        <v>20</v>
      </c>
      <c r="I200">
        <v>350</v>
      </c>
      <c r="J200">
        <v>17</v>
      </c>
      <c r="K200">
        <v>1</v>
      </c>
      <c r="L200">
        <v>2</v>
      </c>
      <c r="M200">
        <v>9</v>
      </c>
      <c r="O200" s="3">
        <f t="shared" si="11"/>
        <v>5</v>
      </c>
      <c r="P200">
        <f t="shared" si="9"/>
        <v>0</v>
      </c>
      <c r="Q200">
        <f t="shared" si="10"/>
        <v>0</v>
      </c>
    </row>
    <row r="201" spans="1:17" x14ac:dyDescent="0.2">
      <c r="A201" t="s">
        <v>159</v>
      </c>
      <c r="B201" t="s">
        <v>218</v>
      </c>
      <c r="C201">
        <v>240</v>
      </c>
      <c r="D201" s="2">
        <v>0</v>
      </c>
      <c r="E201">
        <v>9</v>
      </c>
      <c r="F201">
        <v>3.5</v>
      </c>
      <c r="G201">
        <v>0</v>
      </c>
      <c r="H201">
        <v>20</v>
      </c>
      <c r="I201">
        <v>480</v>
      </c>
      <c r="J201">
        <v>29</v>
      </c>
      <c r="K201">
        <v>2</v>
      </c>
      <c r="L201">
        <v>2</v>
      </c>
      <c r="M201">
        <v>12</v>
      </c>
      <c r="O201" s="3">
        <f t="shared" si="11"/>
        <v>5</v>
      </c>
      <c r="P201">
        <f t="shared" si="9"/>
        <v>1</v>
      </c>
      <c r="Q201">
        <f t="shared" si="10"/>
        <v>0</v>
      </c>
    </row>
    <row r="202" spans="1:17" x14ac:dyDescent="0.2">
      <c r="A202" t="s">
        <v>25</v>
      </c>
      <c r="B202" t="s">
        <v>219</v>
      </c>
      <c r="C202">
        <v>410</v>
      </c>
      <c r="D202">
        <v>220</v>
      </c>
      <c r="E202">
        <v>25</v>
      </c>
      <c r="F202">
        <v>10</v>
      </c>
      <c r="G202">
        <v>1.5</v>
      </c>
      <c r="H202">
        <v>75</v>
      </c>
      <c r="I202">
        <v>990</v>
      </c>
      <c r="J202">
        <v>27</v>
      </c>
      <c r="K202">
        <v>2</v>
      </c>
      <c r="L202">
        <v>3</v>
      </c>
      <c r="M202">
        <v>20</v>
      </c>
      <c r="N202">
        <v>403</v>
      </c>
      <c r="O202" s="3">
        <f t="shared" si="11"/>
        <v>4.8780487804878048</v>
      </c>
      <c r="P202">
        <f t="shared" si="9"/>
        <v>1</v>
      </c>
      <c r="Q202">
        <f t="shared" si="10"/>
        <v>0</v>
      </c>
    </row>
    <row r="203" spans="1:17" x14ac:dyDescent="0.2">
      <c r="A203" t="s">
        <v>58</v>
      </c>
      <c r="B203" t="s">
        <v>220</v>
      </c>
      <c r="C203">
        <v>370</v>
      </c>
      <c r="D203" s="2">
        <v>0</v>
      </c>
      <c r="E203">
        <v>20</v>
      </c>
      <c r="F203">
        <v>5</v>
      </c>
      <c r="G203">
        <v>0</v>
      </c>
      <c r="H203">
        <v>50</v>
      </c>
      <c r="I203">
        <v>850</v>
      </c>
      <c r="J203">
        <v>30</v>
      </c>
      <c r="K203">
        <v>2</v>
      </c>
      <c r="L203">
        <v>2</v>
      </c>
      <c r="M203">
        <v>18</v>
      </c>
      <c r="N203">
        <v>359</v>
      </c>
      <c r="O203" s="3">
        <f t="shared" si="11"/>
        <v>4.8648648648648649</v>
      </c>
      <c r="P203">
        <f t="shared" si="9"/>
        <v>1</v>
      </c>
      <c r="Q203">
        <f t="shared" si="10"/>
        <v>0</v>
      </c>
    </row>
    <row r="204" spans="1:17" x14ac:dyDescent="0.2">
      <c r="A204" t="s">
        <v>17</v>
      </c>
      <c r="B204" t="s">
        <v>221</v>
      </c>
      <c r="C204">
        <v>370</v>
      </c>
      <c r="D204">
        <v>110</v>
      </c>
      <c r="E204">
        <v>12</v>
      </c>
      <c r="F204">
        <v>5</v>
      </c>
      <c r="G204">
        <v>0</v>
      </c>
      <c r="H204">
        <v>30</v>
      </c>
      <c r="I204">
        <v>1090</v>
      </c>
      <c r="J204">
        <v>49</v>
      </c>
      <c r="K204">
        <v>7</v>
      </c>
      <c r="L204">
        <v>4</v>
      </c>
      <c r="M204">
        <v>18</v>
      </c>
      <c r="O204" s="3">
        <f t="shared" si="11"/>
        <v>4.8648648648648649</v>
      </c>
      <c r="P204">
        <f t="shared" si="9"/>
        <v>1</v>
      </c>
      <c r="Q204">
        <f t="shared" si="10"/>
        <v>0</v>
      </c>
    </row>
    <row r="205" spans="1:17" x14ac:dyDescent="0.2">
      <c r="A205" t="s">
        <v>159</v>
      </c>
      <c r="B205" t="s">
        <v>222</v>
      </c>
      <c r="C205">
        <v>350</v>
      </c>
      <c r="D205" s="2">
        <v>0</v>
      </c>
      <c r="E205">
        <v>15</v>
      </c>
      <c r="F205">
        <v>5</v>
      </c>
      <c r="G205">
        <v>0</v>
      </c>
      <c r="H205">
        <v>30</v>
      </c>
      <c r="I205">
        <v>690</v>
      </c>
      <c r="J205">
        <v>38</v>
      </c>
      <c r="K205">
        <v>2</v>
      </c>
      <c r="L205">
        <v>3</v>
      </c>
      <c r="M205">
        <v>17</v>
      </c>
      <c r="O205" s="3">
        <f t="shared" si="11"/>
        <v>4.8571428571428568</v>
      </c>
      <c r="P205">
        <f t="shared" si="9"/>
        <v>1</v>
      </c>
      <c r="Q205">
        <f t="shared" si="10"/>
        <v>0</v>
      </c>
    </row>
    <row r="206" spans="1:17" x14ac:dyDescent="0.2">
      <c r="A206" t="s">
        <v>58</v>
      </c>
      <c r="B206" t="s">
        <v>223</v>
      </c>
      <c r="C206">
        <v>660</v>
      </c>
      <c r="D206" s="2">
        <v>0</v>
      </c>
      <c r="E206">
        <v>32</v>
      </c>
      <c r="F206">
        <v>13</v>
      </c>
      <c r="G206">
        <v>1</v>
      </c>
      <c r="H206">
        <v>85</v>
      </c>
      <c r="I206">
        <v>1820</v>
      </c>
      <c r="J206">
        <v>63</v>
      </c>
      <c r="K206">
        <v>10</v>
      </c>
      <c r="L206">
        <v>18</v>
      </c>
      <c r="M206">
        <v>32</v>
      </c>
      <c r="N206">
        <v>659</v>
      </c>
      <c r="O206" s="3">
        <f t="shared" si="11"/>
        <v>4.8484848484848486</v>
      </c>
      <c r="P206">
        <f t="shared" si="9"/>
        <v>1</v>
      </c>
      <c r="Q206">
        <f t="shared" si="10"/>
        <v>0</v>
      </c>
    </row>
    <row r="207" spans="1:17" x14ac:dyDescent="0.2">
      <c r="A207" t="s">
        <v>17</v>
      </c>
      <c r="B207" t="s">
        <v>224</v>
      </c>
      <c r="C207">
        <v>330</v>
      </c>
      <c r="D207">
        <v>140</v>
      </c>
      <c r="E207">
        <v>15</v>
      </c>
      <c r="F207">
        <v>3.5</v>
      </c>
      <c r="G207">
        <v>0</v>
      </c>
      <c r="H207">
        <v>35</v>
      </c>
      <c r="I207">
        <v>560</v>
      </c>
      <c r="J207">
        <v>31</v>
      </c>
      <c r="K207">
        <v>2</v>
      </c>
      <c r="L207">
        <v>3</v>
      </c>
      <c r="M207">
        <v>16</v>
      </c>
      <c r="O207" s="3">
        <f t="shared" si="11"/>
        <v>4.8484848484848486</v>
      </c>
      <c r="P207">
        <f t="shared" si="9"/>
        <v>1</v>
      </c>
      <c r="Q207">
        <f t="shared" si="10"/>
        <v>0</v>
      </c>
    </row>
    <row r="208" spans="1:17" x14ac:dyDescent="0.2">
      <c r="A208" t="s">
        <v>159</v>
      </c>
      <c r="B208" t="s">
        <v>225</v>
      </c>
      <c r="C208">
        <v>310</v>
      </c>
      <c r="D208" s="2">
        <v>0</v>
      </c>
      <c r="E208">
        <v>13</v>
      </c>
      <c r="F208">
        <v>6</v>
      </c>
      <c r="G208">
        <v>0</v>
      </c>
      <c r="H208">
        <v>35</v>
      </c>
      <c r="I208">
        <v>540</v>
      </c>
      <c r="J208">
        <v>33</v>
      </c>
      <c r="K208">
        <v>2</v>
      </c>
      <c r="L208">
        <v>1</v>
      </c>
      <c r="M208">
        <v>15</v>
      </c>
      <c r="O208" s="3">
        <f t="shared" si="11"/>
        <v>4.838709677419355</v>
      </c>
      <c r="P208">
        <f t="shared" si="9"/>
        <v>1</v>
      </c>
      <c r="Q208">
        <f t="shared" si="10"/>
        <v>0</v>
      </c>
    </row>
    <row r="209" spans="1:17" x14ac:dyDescent="0.2">
      <c r="A209" t="s">
        <v>17</v>
      </c>
      <c r="B209" t="s">
        <v>226</v>
      </c>
      <c r="C209">
        <v>560</v>
      </c>
      <c r="D209">
        <v>250</v>
      </c>
      <c r="E209">
        <v>28</v>
      </c>
      <c r="F209">
        <v>9</v>
      </c>
      <c r="G209">
        <v>0</v>
      </c>
      <c r="H209">
        <v>240</v>
      </c>
      <c r="I209">
        <v>1310</v>
      </c>
      <c r="J209">
        <v>50</v>
      </c>
      <c r="K209">
        <v>4</v>
      </c>
      <c r="L209">
        <v>3</v>
      </c>
      <c r="M209">
        <v>27</v>
      </c>
      <c r="O209" s="3">
        <f t="shared" si="11"/>
        <v>4.8214285714285721</v>
      </c>
      <c r="P209">
        <f t="shared" si="9"/>
        <v>1</v>
      </c>
      <c r="Q209">
        <f t="shared" si="10"/>
        <v>0</v>
      </c>
    </row>
    <row r="210" spans="1:17" x14ac:dyDescent="0.2">
      <c r="A210" t="s">
        <v>21</v>
      </c>
      <c r="B210" t="s">
        <v>227</v>
      </c>
      <c r="C210">
        <v>270</v>
      </c>
      <c r="D210" s="2">
        <v>0</v>
      </c>
      <c r="E210">
        <v>20</v>
      </c>
      <c r="F210">
        <v>3.5</v>
      </c>
      <c r="G210">
        <v>0</v>
      </c>
      <c r="H210">
        <v>65</v>
      </c>
      <c r="I210">
        <v>720</v>
      </c>
      <c r="J210">
        <v>10</v>
      </c>
      <c r="K210">
        <v>1</v>
      </c>
      <c r="L210">
        <v>0</v>
      </c>
      <c r="M210">
        <v>13</v>
      </c>
      <c r="N210">
        <v>260.5</v>
      </c>
      <c r="O210" s="3">
        <f t="shared" si="11"/>
        <v>4.8148148148148149</v>
      </c>
      <c r="P210">
        <f t="shared" si="9"/>
        <v>1</v>
      </c>
      <c r="Q210">
        <f t="shared" si="10"/>
        <v>0</v>
      </c>
    </row>
    <row r="211" spans="1:17" x14ac:dyDescent="0.2">
      <c r="A211" t="s">
        <v>159</v>
      </c>
      <c r="B211" t="s">
        <v>228</v>
      </c>
      <c r="C211">
        <v>270</v>
      </c>
      <c r="D211" s="2">
        <v>0</v>
      </c>
      <c r="E211">
        <v>8</v>
      </c>
      <c r="F211">
        <v>4</v>
      </c>
      <c r="G211">
        <v>0</v>
      </c>
      <c r="H211">
        <v>30</v>
      </c>
      <c r="I211">
        <v>740</v>
      </c>
      <c r="J211">
        <v>37</v>
      </c>
      <c r="K211">
        <v>2</v>
      </c>
      <c r="L211">
        <v>2</v>
      </c>
      <c r="M211">
        <v>13</v>
      </c>
      <c r="O211" s="3">
        <f t="shared" si="11"/>
        <v>4.8148148148148149</v>
      </c>
      <c r="P211">
        <f t="shared" si="9"/>
        <v>1</v>
      </c>
      <c r="Q211">
        <f t="shared" si="10"/>
        <v>0</v>
      </c>
    </row>
    <row r="212" spans="1:17" x14ac:dyDescent="0.2">
      <c r="A212" t="s">
        <v>25</v>
      </c>
      <c r="B212" t="s">
        <v>229</v>
      </c>
      <c r="C212">
        <v>395</v>
      </c>
      <c r="D212" s="2">
        <v>0</v>
      </c>
      <c r="E212">
        <v>17</v>
      </c>
      <c r="F212">
        <v>3.5</v>
      </c>
      <c r="G212">
        <v>0</v>
      </c>
      <c r="H212">
        <v>35</v>
      </c>
      <c r="I212">
        <v>510</v>
      </c>
      <c r="J212">
        <v>41</v>
      </c>
      <c r="K212">
        <v>1</v>
      </c>
      <c r="L212">
        <v>14</v>
      </c>
      <c r="M212">
        <v>19</v>
      </c>
      <c r="O212" s="3">
        <f t="shared" si="11"/>
        <v>4.8101265822784809</v>
      </c>
      <c r="P212">
        <f t="shared" si="9"/>
        <v>1</v>
      </c>
      <c r="Q212">
        <f t="shared" si="10"/>
        <v>0</v>
      </c>
    </row>
    <row r="213" spans="1:17" x14ac:dyDescent="0.2">
      <c r="A213" t="s">
        <v>25</v>
      </c>
      <c r="B213" t="s">
        <v>154</v>
      </c>
      <c r="C213">
        <v>250</v>
      </c>
      <c r="D213">
        <v>80</v>
      </c>
      <c r="E213">
        <v>9</v>
      </c>
      <c r="F213">
        <v>3.5</v>
      </c>
      <c r="G213">
        <v>0.5</v>
      </c>
      <c r="H213">
        <v>25</v>
      </c>
      <c r="I213">
        <v>520</v>
      </c>
      <c r="J213">
        <v>31</v>
      </c>
      <c r="K213">
        <v>2</v>
      </c>
      <c r="L213">
        <v>6</v>
      </c>
      <c r="M213">
        <v>12</v>
      </c>
      <c r="N213">
        <v>247.5</v>
      </c>
      <c r="O213" s="3">
        <f t="shared" si="11"/>
        <v>4.8</v>
      </c>
      <c r="P213">
        <f t="shared" si="9"/>
        <v>1</v>
      </c>
      <c r="Q213">
        <f t="shared" si="10"/>
        <v>0</v>
      </c>
    </row>
    <row r="214" spans="1:17" x14ac:dyDescent="0.2">
      <c r="A214" t="s">
        <v>21</v>
      </c>
      <c r="B214" t="s">
        <v>230</v>
      </c>
      <c r="C214">
        <v>500</v>
      </c>
      <c r="D214" s="2">
        <v>0</v>
      </c>
      <c r="E214">
        <v>27</v>
      </c>
      <c r="F214">
        <v>4</v>
      </c>
      <c r="G214">
        <v>0</v>
      </c>
      <c r="H214">
        <v>60</v>
      </c>
      <c r="I214">
        <v>1500</v>
      </c>
      <c r="J214">
        <v>39</v>
      </c>
      <c r="K214" s="2">
        <v>0</v>
      </c>
      <c r="L214">
        <v>4</v>
      </c>
      <c r="M214">
        <v>24</v>
      </c>
      <c r="N214">
        <v>484</v>
      </c>
      <c r="O214" s="3">
        <f t="shared" si="11"/>
        <v>4.8</v>
      </c>
      <c r="P214">
        <f t="shared" si="9"/>
        <v>1</v>
      </c>
      <c r="Q214">
        <f t="shared" si="10"/>
        <v>0</v>
      </c>
    </row>
    <row r="215" spans="1:17" x14ac:dyDescent="0.2">
      <c r="A215" t="s">
        <v>159</v>
      </c>
      <c r="B215" t="s">
        <v>231</v>
      </c>
      <c r="C215">
        <v>230</v>
      </c>
      <c r="D215" s="2">
        <v>0</v>
      </c>
      <c r="E215">
        <v>9</v>
      </c>
      <c r="F215">
        <v>4</v>
      </c>
      <c r="G215">
        <v>0</v>
      </c>
      <c r="H215">
        <v>25</v>
      </c>
      <c r="I215">
        <v>410</v>
      </c>
      <c r="J215">
        <v>25</v>
      </c>
      <c r="K215">
        <v>2</v>
      </c>
      <c r="L215">
        <v>1</v>
      </c>
      <c r="M215">
        <v>11</v>
      </c>
      <c r="O215" s="3">
        <f t="shared" si="11"/>
        <v>4.7826086956521738</v>
      </c>
      <c r="P215">
        <f t="shared" si="9"/>
        <v>0</v>
      </c>
      <c r="Q215">
        <f t="shared" si="10"/>
        <v>0</v>
      </c>
    </row>
    <row r="216" spans="1:17" x14ac:dyDescent="0.2">
      <c r="A216" t="s">
        <v>159</v>
      </c>
      <c r="B216" t="s">
        <v>232</v>
      </c>
      <c r="C216">
        <v>230</v>
      </c>
      <c r="D216" s="2">
        <v>0</v>
      </c>
      <c r="E216">
        <v>10</v>
      </c>
      <c r="F216">
        <v>4.5</v>
      </c>
      <c r="G216">
        <v>0</v>
      </c>
      <c r="H216">
        <v>25</v>
      </c>
      <c r="I216">
        <v>390</v>
      </c>
      <c r="J216">
        <v>25</v>
      </c>
      <c r="K216">
        <v>2</v>
      </c>
      <c r="L216">
        <v>1</v>
      </c>
      <c r="M216">
        <v>11</v>
      </c>
      <c r="O216" s="3">
        <f t="shared" si="11"/>
        <v>4.7826086956521738</v>
      </c>
      <c r="P216">
        <f t="shared" si="9"/>
        <v>0</v>
      </c>
      <c r="Q216">
        <f t="shared" si="10"/>
        <v>0</v>
      </c>
    </row>
    <row r="217" spans="1:17" x14ac:dyDescent="0.2">
      <c r="A217" t="s">
        <v>58</v>
      </c>
      <c r="B217" t="s">
        <v>233</v>
      </c>
      <c r="C217">
        <v>420</v>
      </c>
      <c r="D217" s="2">
        <v>0</v>
      </c>
      <c r="E217">
        <v>23</v>
      </c>
      <c r="F217">
        <v>6</v>
      </c>
      <c r="G217">
        <v>0</v>
      </c>
      <c r="H217">
        <v>50</v>
      </c>
      <c r="I217">
        <v>950</v>
      </c>
      <c r="J217">
        <v>35</v>
      </c>
      <c r="K217">
        <v>2</v>
      </c>
      <c r="L217">
        <v>5</v>
      </c>
      <c r="M217">
        <v>20</v>
      </c>
      <c r="N217">
        <v>411</v>
      </c>
      <c r="O217" s="3">
        <f t="shared" si="11"/>
        <v>4.7619047619047619</v>
      </c>
      <c r="P217">
        <f t="shared" si="9"/>
        <v>1</v>
      </c>
      <c r="Q217">
        <f t="shared" si="10"/>
        <v>0</v>
      </c>
    </row>
    <row r="218" spans="1:17" x14ac:dyDescent="0.2">
      <c r="A218" t="s">
        <v>17</v>
      </c>
      <c r="B218" t="s">
        <v>212</v>
      </c>
      <c r="C218">
        <v>210</v>
      </c>
      <c r="D218">
        <v>90</v>
      </c>
      <c r="E218">
        <v>10</v>
      </c>
      <c r="F218">
        <v>5</v>
      </c>
      <c r="G218">
        <v>0</v>
      </c>
      <c r="H218">
        <v>25</v>
      </c>
      <c r="I218">
        <v>520</v>
      </c>
      <c r="J218">
        <v>20</v>
      </c>
      <c r="K218">
        <v>3</v>
      </c>
      <c r="L218">
        <v>2</v>
      </c>
      <c r="M218">
        <v>10</v>
      </c>
      <c r="O218" s="3">
        <f t="shared" si="11"/>
        <v>4.7619047619047619</v>
      </c>
      <c r="P218">
        <f t="shared" si="9"/>
        <v>1</v>
      </c>
      <c r="Q218">
        <f t="shared" si="10"/>
        <v>0</v>
      </c>
    </row>
    <row r="219" spans="1:17" x14ac:dyDescent="0.2">
      <c r="A219" t="s">
        <v>17</v>
      </c>
      <c r="B219" t="s">
        <v>234</v>
      </c>
      <c r="C219">
        <v>210</v>
      </c>
      <c r="D219">
        <v>90</v>
      </c>
      <c r="E219">
        <v>10</v>
      </c>
      <c r="F219">
        <v>5</v>
      </c>
      <c r="G219">
        <v>0</v>
      </c>
      <c r="H219">
        <v>25</v>
      </c>
      <c r="I219">
        <v>520</v>
      </c>
      <c r="J219">
        <v>20</v>
      </c>
      <c r="K219">
        <v>3</v>
      </c>
      <c r="L219">
        <v>2</v>
      </c>
      <c r="M219">
        <v>10</v>
      </c>
      <c r="O219" s="3">
        <f t="shared" si="11"/>
        <v>4.7619047619047619</v>
      </c>
      <c r="P219">
        <f t="shared" si="9"/>
        <v>1</v>
      </c>
      <c r="Q219">
        <f t="shared" si="10"/>
        <v>0</v>
      </c>
    </row>
    <row r="220" spans="1:17" x14ac:dyDescent="0.2">
      <c r="A220" t="s">
        <v>159</v>
      </c>
      <c r="B220" t="s">
        <v>235</v>
      </c>
      <c r="C220">
        <v>210</v>
      </c>
      <c r="D220" s="2">
        <v>0</v>
      </c>
      <c r="E220">
        <v>8</v>
      </c>
      <c r="F220">
        <v>3.5</v>
      </c>
      <c r="G220">
        <v>0</v>
      </c>
      <c r="H220">
        <v>20</v>
      </c>
      <c r="I220">
        <v>390</v>
      </c>
      <c r="J220">
        <v>26</v>
      </c>
      <c r="K220">
        <v>2</v>
      </c>
      <c r="L220">
        <v>1</v>
      </c>
      <c r="M220">
        <v>10</v>
      </c>
      <c r="O220" s="3">
        <f t="shared" si="11"/>
        <v>4.7619047619047619</v>
      </c>
      <c r="P220">
        <f t="shared" si="9"/>
        <v>0</v>
      </c>
      <c r="Q220">
        <f t="shared" si="10"/>
        <v>0</v>
      </c>
    </row>
    <row r="221" spans="1:17" x14ac:dyDescent="0.2">
      <c r="A221" t="s">
        <v>159</v>
      </c>
      <c r="B221" t="s">
        <v>236</v>
      </c>
      <c r="C221">
        <v>210</v>
      </c>
      <c r="D221" s="2">
        <v>0</v>
      </c>
      <c r="E221">
        <v>6</v>
      </c>
      <c r="F221">
        <v>3</v>
      </c>
      <c r="G221">
        <v>0</v>
      </c>
      <c r="H221">
        <v>20</v>
      </c>
      <c r="I221">
        <v>420</v>
      </c>
      <c r="J221">
        <v>27</v>
      </c>
      <c r="K221">
        <v>2</v>
      </c>
      <c r="L221">
        <v>2</v>
      </c>
      <c r="M221">
        <v>10</v>
      </c>
      <c r="O221" s="3">
        <f t="shared" si="11"/>
        <v>4.7619047619047619</v>
      </c>
      <c r="P221">
        <f t="shared" si="9"/>
        <v>0</v>
      </c>
      <c r="Q221">
        <f t="shared" si="10"/>
        <v>0</v>
      </c>
    </row>
    <row r="222" spans="1:17" x14ac:dyDescent="0.2">
      <c r="A222" t="s">
        <v>25</v>
      </c>
      <c r="B222" t="s">
        <v>237</v>
      </c>
      <c r="C222">
        <v>190</v>
      </c>
      <c r="D222">
        <v>110</v>
      </c>
      <c r="E222">
        <v>12</v>
      </c>
      <c r="F222">
        <v>2</v>
      </c>
      <c r="G222">
        <v>0</v>
      </c>
      <c r="H222">
        <v>25</v>
      </c>
      <c r="I222">
        <v>360</v>
      </c>
      <c r="J222">
        <v>12</v>
      </c>
      <c r="K222">
        <v>1</v>
      </c>
      <c r="L222">
        <v>0</v>
      </c>
      <c r="M222">
        <v>9</v>
      </c>
      <c r="N222">
        <v>183</v>
      </c>
      <c r="O222" s="3">
        <f t="shared" si="11"/>
        <v>4.7368421052631584</v>
      </c>
      <c r="P222">
        <f t="shared" si="9"/>
        <v>0</v>
      </c>
      <c r="Q222">
        <f t="shared" si="10"/>
        <v>0</v>
      </c>
    </row>
    <row r="223" spans="1:17" x14ac:dyDescent="0.2">
      <c r="A223" t="s">
        <v>21</v>
      </c>
      <c r="B223" t="s">
        <v>30</v>
      </c>
      <c r="C223">
        <v>190</v>
      </c>
      <c r="D223" s="2">
        <v>0</v>
      </c>
      <c r="E223">
        <v>14</v>
      </c>
      <c r="F223">
        <v>2.5</v>
      </c>
      <c r="G223">
        <v>0</v>
      </c>
      <c r="H223">
        <v>40</v>
      </c>
      <c r="I223">
        <v>510</v>
      </c>
      <c r="J223">
        <v>6</v>
      </c>
      <c r="K223">
        <v>1</v>
      </c>
      <c r="L223">
        <v>0</v>
      </c>
      <c r="M223">
        <v>9</v>
      </c>
      <c r="N223">
        <v>183.5</v>
      </c>
      <c r="O223" s="3">
        <f t="shared" si="11"/>
        <v>4.7368421052631584</v>
      </c>
      <c r="P223">
        <f t="shared" si="9"/>
        <v>1</v>
      </c>
      <c r="Q223">
        <f t="shared" si="10"/>
        <v>0</v>
      </c>
    </row>
    <row r="224" spans="1:17" x14ac:dyDescent="0.2">
      <c r="A224" t="s">
        <v>58</v>
      </c>
      <c r="B224" t="s">
        <v>238</v>
      </c>
      <c r="C224">
        <v>360</v>
      </c>
      <c r="D224" s="2">
        <v>0</v>
      </c>
      <c r="E224">
        <v>20</v>
      </c>
      <c r="F224">
        <v>8</v>
      </c>
      <c r="G224">
        <v>0</v>
      </c>
      <c r="H224">
        <v>210</v>
      </c>
      <c r="I224">
        <v>920</v>
      </c>
      <c r="J224">
        <v>29</v>
      </c>
      <c r="K224">
        <v>1</v>
      </c>
      <c r="L224">
        <v>2</v>
      </c>
      <c r="M224">
        <v>17</v>
      </c>
      <c r="N224">
        <v>353</v>
      </c>
      <c r="O224" s="3">
        <f t="shared" si="11"/>
        <v>4.7222222222222223</v>
      </c>
      <c r="P224">
        <f t="shared" si="9"/>
        <v>1</v>
      </c>
      <c r="Q224">
        <f t="shared" si="10"/>
        <v>0</v>
      </c>
    </row>
    <row r="225" spans="1:17" x14ac:dyDescent="0.2">
      <c r="A225" t="s">
        <v>58</v>
      </c>
      <c r="B225" t="s">
        <v>239</v>
      </c>
      <c r="C225">
        <v>720</v>
      </c>
      <c r="D225" s="2">
        <v>0</v>
      </c>
      <c r="E225">
        <v>41</v>
      </c>
      <c r="F225">
        <v>16</v>
      </c>
      <c r="G225">
        <v>0</v>
      </c>
      <c r="H225">
        <v>420</v>
      </c>
      <c r="I225">
        <v>1830</v>
      </c>
      <c r="J225">
        <v>59</v>
      </c>
      <c r="K225">
        <v>2</v>
      </c>
      <c r="L225">
        <v>5</v>
      </c>
      <c r="M225">
        <v>34</v>
      </c>
      <c r="N225">
        <v>707</v>
      </c>
      <c r="O225" s="3">
        <f t="shared" si="11"/>
        <v>4.7222222222222223</v>
      </c>
      <c r="P225">
        <f t="shared" si="9"/>
        <v>1</v>
      </c>
      <c r="Q225">
        <f t="shared" si="10"/>
        <v>1</v>
      </c>
    </row>
    <row r="226" spans="1:17" x14ac:dyDescent="0.2">
      <c r="A226" t="s">
        <v>25</v>
      </c>
      <c r="B226" t="s">
        <v>240</v>
      </c>
      <c r="C226">
        <v>510</v>
      </c>
      <c r="D226">
        <v>200</v>
      </c>
      <c r="E226">
        <v>22</v>
      </c>
      <c r="F226">
        <v>3.5</v>
      </c>
      <c r="G226">
        <v>0</v>
      </c>
      <c r="H226">
        <v>45</v>
      </c>
      <c r="I226">
        <v>990</v>
      </c>
      <c r="J226">
        <v>56</v>
      </c>
      <c r="K226">
        <v>3</v>
      </c>
      <c r="L226">
        <v>10</v>
      </c>
      <c r="M226">
        <v>24</v>
      </c>
      <c r="N226">
        <v>499.5</v>
      </c>
      <c r="O226" s="3">
        <f t="shared" si="11"/>
        <v>4.7058823529411766</v>
      </c>
      <c r="P226">
        <f t="shared" si="9"/>
        <v>1</v>
      </c>
      <c r="Q226">
        <f t="shared" si="10"/>
        <v>0</v>
      </c>
    </row>
    <row r="227" spans="1:17" x14ac:dyDescent="0.2">
      <c r="A227" t="s">
        <v>51</v>
      </c>
      <c r="B227" t="s">
        <v>241</v>
      </c>
      <c r="C227">
        <v>170</v>
      </c>
      <c r="D227">
        <v>100</v>
      </c>
      <c r="E227">
        <v>11</v>
      </c>
      <c r="F227">
        <v>1.5</v>
      </c>
      <c r="G227">
        <v>0</v>
      </c>
      <c r="H227">
        <v>25</v>
      </c>
      <c r="I227">
        <v>310</v>
      </c>
      <c r="J227">
        <v>11</v>
      </c>
      <c r="K227">
        <v>1</v>
      </c>
      <c r="L227">
        <v>0</v>
      </c>
      <c r="M227">
        <v>8</v>
      </c>
      <c r="N227">
        <v>164</v>
      </c>
      <c r="O227" s="3">
        <f t="shared" si="11"/>
        <v>4.7058823529411766</v>
      </c>
      <c r="P227">
        <f t="shared" si="9"/>
        <v>0</v>
      </c>
      <c r="Q227">
        <f t="shared" si="10"/>
        <v>0</v>
      </c>
    </row>
    <row r="228" spans="1:17" x14ac:dyDescent="0.2">
      <c r="A228" t="s">
        <v>51</v>
      </c>
      <c r="B228" t="s">
        <v>241</v>
      </c>
      <c r="C228">
        <v>170</v>
      </c>
      <c r="D228">
        <v>100</v>
      </c>
      <c r="E228">
        <v>11</v>
      </c>
      <c r="F228">
        <v>1.5</v>
      </c>
      <c r="G228">
        <v>0</v>
      </c>
      <c r="H228">
        <v>25</v>
      </c>
      <c r="I228">
        <v>310</v>
      </c>
      <c r="J228">
        <v>11</v>
      </c>
      <c r="K228">
        <v>1</v>
      </c>
      <c r="L228">
        <v>0</v>
      </c>
      <c r="M228">
        <v>8</v>
      </c>
      <c r="N228">
        <v>164</v>
      </c>
      <c r="O228" s="3">
        <f t="shared" si="11"/>
        <v>4.7058823529411766</v>
      </c>
      <c r="P228">
        <f t="shared" si="9"/>
        <v>0</v>
      </c>
      <c r="Q228">
        <f t="shared" si="10"/>
        <v>0</v>
      </c>
    </row>
    <row r="229" spans="1:17" x14ac:dyDescent="0.2">
      <c r="A229" t="s">
        <v>58</v>
      </c>
      <c r="B229" t="s">
        <v>242</v>
      </c>
      <c r="C229">
        <v>340</v>
      </c>
      <c r="D229" s="2">
        <v>0</v>
      </c>
      <c r="E229">
        <v>19</v>
      </c>
      <c r="F229">
        <v>7</v>
      </c>
      <c r="G229">
        <v>1</v>
      </c>
      <c r="H229">
        <v>55</v>
      </c>
      <c r="I229">
        <v>660</v>
      </c>
      <c r="J229">
        <v>27</v>
      </c>
      <c r="K229">
        <v>2</v>
      </c>
      <c r="L229">
        <v>7</v>
      </c>
      <c r="M229">
        <v>16</v>
      </c>
      <c r="N229">
        <v>338</v>
      </c>
      <c r="O229" s="3">
        <f t="shared" si="11"/>
        <v>4.7058823529411766</v>
      </c>
      <c r="P229">
        <f t="shared" si="9"/>
        <v>1</v>
      </c>
      <c r="Q229">
        <f t="shared" si="10"/>
        <v>0</v>
      </c>
    </row>
    <row r="230" spans="1:17" x14ac:dyDescent="0.2">
      <c r="A230" t="s">
        <v>21</v>
      </c>
      <c r="B230" t="s">
        <v>243</v>
      </c>
      <c r="C230">
        <v>510</v>
      </c>
      <c r="D230" s="2">
        <v>0</v>
      </c>
      <c r="E230">
        <v>25</v>
      </c>
      <c r="F230">
        <v>3.5</v>
      </c>
      <c r="G230">
        <v>0</v>
      </c>
      <c r="H230">
        <v>60</v>
      </c>
      <c r="I230">
        <v>1290</v>
      </c>
      <c r="J230">
        <v>48</v>
      </c>
      <c r="K230" s="2">
        <v>0</v>
      </c>
      <c r="L230">
        <v>12</v>
      </c>
      <c r="M230">
        <v>24</v>
      </c>
      <c r="N230">
        <v>501.5</v>
      </c>
      <c r="O230" s="3">
        <f t="shared" si="11"/>
        <v>4.7058823529411766</v>
      </c>
      <c r="P230">
        <f t="shared" si="9"/>
        <v>1</v>
      </c>
      <c r="Q230">
        <f t="shared" si="10"/>
        <v>0</v>
      </c>
    </row>
    <row r="231" spans="1:17" x14ac:dyDescent="0.2">
      <c r="A231" t="s">
        <v>17</v>
      </c>
      <c r="B231" t="s">
        <v>244</v>
      </c>
      <c r="C231">
        <v>170</v>
      </c>
      <c r="D231">
        <v>80</v>
      </c>
      <c r="E231">
        <v>9</v>
      </c>
      <c r="F231">
        <v>3.5</v>
      </c>
      <c r="G231">
        <v>0</v>
      </c>
      <c r="H231">
        <v>25</v>
      </c>
      <c r="I231">
        <v>310</v>
      </c>
      <c r="J231">
        <v>13</v>
      </c>
      <c r="K231">
        <v>3</v>
      </c>
      <c r="L231" s="2">
        <v>0</v>
      </c>
      <c r="M231">
        <v>8</v>
      </c>
      <c r="O231" s="3">
        <f t="shared" si="11"/>
        <v>4.7058823529411766</v>
      </c>
      <c r="P231">
        <f t="shared" si="9"/>
        <v>0</v>
      </c>
      <c r="Q231">
        <f t="shared" si="10"/>
        <v>0</v>
      </c>
    </row>
    <row r="232" spans="1:17" x14ac:dyDescent="0.2">
      <c r="A232" t="s">
        <v>17</v>
      </c>
      <c r="B232" t="s">
        <v>245</v>
      </c>
      <c r="C232">
        <v>170</v>
      </c>
      <c r="D232">
        <v>80</v>
      </c>
      <c r="E232">
        <v>9</v>
      </c>
      <c r="F232">
        <v>3.5</v>
      </c>
      <c r="G232">
        <v>0</v>
      </c>
      <c r="H232">
        <v>25</v>
      </c>
      <c r="I232">
        <v>360</v>
      </c>
      <c r="J232">
        <v>13</v>
      </c>
      <c r="K232">
        <v>3</v>
      </c>
      <c r="L232" s="2">
        <v>0</v>
      </c>
      <c r="M232">
        <v>8</v>
      </c>
      <c r="O232" s="3">
        <f t="shared" si="11"/>
        <v>4.7058823529411766</v>
      </c>
      <c r="P232">
        <f t="shared" si="9"/>
        <v>0</v>
      </c>
      <c r="Q232">
        <f t="shared" si="10"/>
        <v>0</v>
      </c>
    </row>
    <row r="233" spans="1:17" x14ac:dyDescent="0.2">
      <c r="A233" t="s">
        <v>17</v>
      </c>
      <c r="B233" t="s">
        <v>246</v>
      </c>
      <c r="C233">
        <v>170</v>
      </c>
      <c r="D233">
        <v>80</v>
      </c>
      <c r="E233">
        <v>9</v>
      </c>
      <c r="F233">
        <v>3.5</v>
      </c>
      <c r="G233">
        <v>0</v>
      </c>
      <c r="H233">
        <v>25</v>
      </c>
      <c r="I233">
        <v>310</v>
      </c>
      <c r="J233">
        <v>13</v>
      </c>
      <c r="K233">
        <v>3</v>
      </c>
      <c r="L233" s="2">
        <v>0</v>
      </c>
      <c r="M233">
        <v>8</v>
      </c>
      <c r="O233" s="3">
        <f t="shared" si="11"/>
        <v>4.7058823529411766</v>
      </c>
      <c r="P233">
        <f t="shared" si="9"/>
        <v>0</v>
      </c>
      <c r="Q233">
        <f t="shared" si="10"/>
        <v>0</v>
      </c>
    </row>
    <row r="234" spans="1:17" x14ac:dyDescent="0.2">
      <c r="A234" t="s">
        <v>17</v>
      </c>
      <c r="B234" t="s">
        <v>247</v>
      </c>
      <c r="C234">
        <v>170</v>
      </c>
      <c r="D234">
        <v>80</v>
      </c>
      <c r="E234">
        <v>9</v>
      </c>
      <c r="F234">
        <v>3.5</v>
      </c>
      <c r="G234">
        <v>0</v>
      </c>
      <c r="H234">
        <v>25</v>
      </c>
      <c r="I234">
        <v>360</v>
      </c>
      <c r="J234">
        <v>13</v>
      </c>
      <c r="K234">
        <v>3</v>
      </c>
      <c r="L234" s="2">
        <v>0</v>
      </c>
      <c r="M234">
        <v>8</v>
      </c>
      <c r="O234" s="3">
        <f t="shared" si="11"/>
        <v>4.7058823529411766</v>
      </c>
      <c r="P234">
        <f t="shared" si="9"/>
        <v>0</v>
      </c>
      <c r="Q234">
        <f t="shared" si="10"/>
        <v>0</v>
      </c>
    </row>
    <row r="235" spans="1:17" x14ac:dyDescent="0.2">
      <c r="A235" t="s">
        <v>159</v>
      </c>
      <c r="B235" t="s">
        <v>248</v>
      </c>
      <c r="C235">
        <v>170</v>
      </c>
      <c r="D235" s="2">
        <v>0</v>
      </c>
      <c r="E235">
        <v>8</v>
      </c>
      <c r="F235">
        <v>3.5</v>
      </c>
      <c r="G235">
        <v>0</v>
      </c>
      <c r="H235">
        <v>15</v>
      </c>
      <c r="I235">
        <v>330</v>
      </c>
      <c r="J235">
        <v>17</v>
      </c>
      <c r="K235">
        <v>1</v>
      </c>
      <c r="L235">
        <v>2</v>
      </c>
      <c r="M235">
        <v>8</v>
      </c>
      <c r="O235" s="3">
        <f t="shared" si="11"/>
        <v>4.7058823529411766</v>
      </c>
      <c r="P235">
        <f t="shared" si="9"/>
        <v>0</v>
      </c>
      <c r="Q235">
        <f t="shared" si="10"/>
        <v>0</v>
      </c>
    </row>
    <row r="236" spans="1:17" x14ac:dyDescent="0.2">
      <c r="A236" t="s">
        <v>25</v>
      </c>
      <c r="B236" t="s">
        <v>249</v>
      </c>
      <c r="C236">
        <v>470</v>
      </c>
      <c r="D236">
        <v>270</v>
      </c>
      <c r="E236">
        <v>30</v>
      </c>
      <c r="F236">
        <v>5</v>
      </c>
      <c r="G236">
        <v>0</v>
      </c>
      <c r="H236">
        <v>65</v>
      </c>
      <c r="I236">
        <v>900</v>
      </c>
      <c r="J236">
        <v>30</v>
      </c>
      <c r="K236">
        <v>2</v>
      </c>
      <c r="L236">
        <v>0</v>
      </c>
      <c r="M236">
        <v>22</v>
      </c>
      <c r="N236">
        <v>453</v>
      </c>
      <c r="O236" s="3">
        <f t="shared" si="11"/>
        <v>4.6808510638297873</v>
      </c>
      <c r="P236">
        <f t="shared" si="9"/>
        <v>1</v>
      </c>
      <c r="Q236">
        <f t="shared" si="10"/>
        <v>0</v>
      </c>
    </row>
    <row r="237" spans="1:17" x14ac:dyDescent="0.2">
      <c r="A237" t="s">
        <v>25</v>
      </c>
      <c r="B237" t="s">
        <v>250</v>
      </c>
      <c r="C237">
        <v>450</v>
      </c>
      <c r="D237">
        <v>250</v>
      </c>
      <c r="E237">
        <v>27</v>
      </c>
      <c r="F237">
        <v>10</v>
      </c>
      <c r="G237">
        <v>0</v>
      </c>
      <c r="H237">
        <v>285</v>
      </c>
      <c r="I237">
        <v>920</v>
      </c>
      <c r="J237">
        <v>30</v>
      </c>
      <c r="K237">
        <v>2</v>
      </c>
      <c r="L237">
        <v>2</v>
      </c>
      <c r="M237">
        <v>21</v>
      </c>
      <c r="N237">
        <v>441</v>
      </c>
      <c r="O237" s="3">
        <f t="shared" si="11"/>
        <v>4.666666666666667</v>
      </c>
      <c r="P237">
        <f t="shared" si="9"/>
        <v>1</v>
      </c>
      <c r="Q237">
        <f t="shared" si="10"/>
        <v>0</v>
      </c>
    </row>
    <row r="238" spans="1:17" x14ac:dyDescent="0.2">
      <c r="A238" t="s">
        <v>58</v>
      </c>
      <c r="B238" t="s">
        <v>251</v>
      </c>
      <c r="C238">
        <v>150</v>
      </c>
      <c r="D238" s="2">
        <v>0</v>
      </c>
      <c r="E238">
        <v>2.5</v>
      </c>
      <c r="F238">
        <v>1.5</v>
      </c>
      <c r="G238">
        <v>0</v>
      </c>
      <c r="H238">
        <v>10</v>
      </c>
      <c r="I238">
        <v>170</v>
      </c>
      <c r="J238">
        <v>26</v>
      </c>
      <c r="K238">
        <v>0</v>
      </c>
      <c r="L238">
        <v>23</v>
      </c>
      <c r="M238">
        <v>7</v>
      </c>
      <c r="N238">
        <v>168</v>
      </c>
      <c r="O238" s="3">
        <f t="shared" si="11"/>
        <v>4.666666666666667</v>
      </c>
      <c r="P238">
        <f t="shared" si="9"/>
        <v>0</v>
      </c>
      <c r="Q238">
        <f t="shared" si="10"/>
        <v>0</v>
      </c>
    </row>
    <row r="239" spans="1:17" x14ac:dyDescent="0.2">
      <c r="A239" t="s">
        <v>21</v>
      </c>
      <c r="B239" t="s">
        <v>252</v>
      </c>
      <c r="C239">
        <v>300</v>
      </c>
      <c r="D239" s="2">
        <v>0</v>
      </c>
      <c r="E239">
        <v>15</v>
      </c>
      <c r="F239">
        <v>2.5</v>
      </c>
      <c r="G239">
        <v>0</v>
      </c>
      <c r="H239">
        <v>30</v>
      </c>
      <c r="I239">
        <v>620</v>
      </c>
      <c r="J239">
        <v>27</v>
      </c>
      <c r="K239">
        <v>1</v>
      </c>
      <c r="L239">
        <v>3</v>
      </c>
      <c r="M239">
        <v>14</v>
      </c>
      <c r="N239">
        <v>291.5</v>
      </c>
      <c r="O239" s="3">
        <f t="shared" si="11"/>
        <v>4.666666666666667</v>
      </c>
      <c r="P239">
        <f t="shared" si="9"/>
        <v>1</v>
      </c>
      <c r="Q239">
        <f t="shared" si="10"/>
        <v>0</v>
      </c>
    </row>
    <row r="240" spans="1:17" x14ac:dyDescent="0.2">
      <c r="A240" t="s">
        <v>21</v>
      </c>
      <c r="B240" t="s">
        <v>253</v>
      </c>
      <c r="C240">
        <v>150</v>
      </c>
      <c r="D240" s="2">
        <v>0</v>
      </c>
      <c r="E240">
        <v>2.5</v>
      </c>
      <c r="F240">
        <v>1.5</v>
      </c>
      <c r="G240">
        <v>0</v>
      </c>
      <c r="H240">
        <v>10</v>
      </c>
      <c r="I240">
        <v>170</v>
      </c>
      <c r="J240">
        <v>26</v>
      </c>
      <c r="K240">
        <v>0</v>
      </c>
      <c r="L240">
        <v>23</v>
      </c>
      <c r="M240">
        <v>7</v>
      </c>
      <c r="N240">
        <v>167.5</v>
      </c>
      <c r="O240" s="3">
        <f t="shared" si="11"/>
        <v>4.666666666666667</v>
      </c>
      <c r="P240">
        <f t="shared" si="9"/>
        <v>0</v>
      </c>
      <c r="Q240">
        <f t="shared" si="10"/>
        <v>0</v>
      </c>
    </row>
    <row r="241" spans="1:17" x14ac:dyDescent="0.2">
      <c r="A241" t="s">
        <v>159</v>
      </c>
      <c r="B241" t="s">
        <v>254</v>
      </c>
      <c r="C241">
        <v>150</v>
      </c>
      <c r="D241" s="2">
        <v>0</v>
      </c>
      <c r="E241">
        <v>6</v>
      </c>
      <c r="F241">
        <v>2.5</v>
      </c>
      <c r="G241">
        <v>0</v>
      </c>
      <c r="H241">
        <v>15</v>
      </c>
      <c r="I241">
        <v>310</v>
      </c>
      <c r="J241">
        <v>17</v>
      </c>
      <c r="K241">
        <v>1</v>
      </c>
      <c r="L241">
        <v>2</v>
      </c>
      <c r="M241">
        <v>7</v>
      </c>
      <c r="O241" s="3">
        <f t="shared" si="11"/>
        <v>4.666666666666667</v>
      </c>
      <c r="P241">
        <f t="shared" si="9"/>
        <v>0</v>
      </c>
      <c r="Q241">
        <f t="shared" si="10"/>
        <v>0</v>
      </c>
    </row>
    <row r="242" spans="1:17" x14ac:dyDescent="0.2">
      <c r="A242" t="s">
        <v>159</v>
      </c>
      <c r="B242" t="s">
        <v>255</v>
      </c>
      <c r="C242">
        <v>300</v>
      </c>
      <c r="D242" s="2">
        <v>0</v>
      </c>
      <c r="E242">
        <v>10</v>
      </c>
      <c r="F242">
        <v>4.5</v>
      </c>
      <c r="G242">
        <v>0</v>
      </c>
      <c r="H242">
        <v>30</v>
      </c>
      <c r="I242">
        <v>530</v>
      </c>
      <c r="J242">
        <v>40</v>
      </c>
      <c r="K242">
        <v>2</v>
      </c>
      <c r="L242">
        <v>7</v>
      </c>
      <c r="M242">
        <v>14</v>
      </c>
      <c r="O242" s="3">
        <f t="shared" si="11"/>
        <v>4.666666666666667</v>
      </c>
      <c r="P242">
        <f t="shared" si="9"/>
        <v>1</v>
      </c>
      <c r="Q242">
        <f t="shared" si="10"/>
        <v>0</v>
      </c>
    </row>
    <row r="243" spans="1:17" x14ac:dyDescent="0.2">
      <c r="A243" t="s">
        <v>159</v>
      </c>
      <c r="B243" t="s">
        <v>256</v>
      </c>
      <c r="C243">
        <v>150</v>
      </c>
      <c r="D243" s="2">
        <v>0</v>
      </c>
      <c r="E243">
        <v>6</v>
      </c>
      <c r="F243">
        <v>2.5</v>
      </c>
      <c r="G243">
        <v>0</v>
      </c>
      <c r="H243">
        <v>15</v>
      </c>
      <c r="I243">
        <v>270</v>
      </c>
      <c r="J243">
        <v>16</v>
      </c>
      <c r="K243">
        <v>1</v>
      </c>
      <c r="L243">
        <v>0</v>
      </c>
      <c r="M243">
        <v>7</v>
      </c>
      <c r="O243" s="3">
        <f t="shared" si="11"/>
        <v>4.666666666666667</v>
      </c>
      <c r="P243">
        <f t="shared" si="9"/>
        <v>0</v>
      </c>
      <c r="Q243">
        <f t="shared" si="10"/>
        <v>0</v>
      </c>
    </row>
    <row r="244" spans="1:17" x14ac:dyDescent="0.2">
      <c r="A244" t="s">
        <v>51</v>
      </c>
      <c r="B244" t="s">
        <v>257</v>
      </c>
      <c r="C244">
        <v>580</v>
      </c>
      <c r="D244">
        <v>340</v>
      </c>
      <c r="E244">
        <v>38</v>
      </c>
      <c r="F244">
        <v>16</v>
      </c>
      <c r="G244">
        <v>0.5</v>
      </c>
      <c r="H244">
        <v>220</v>
      </c>
      <c r="I244">
        <v>1530</v>
      </c>
      <c r="J244">
        <v>31</v>
      </c>
      <c r="K244">
        <v>1</v>
      </c>
      <c r="L244">
        <v>5</v>
      </c>
      <c r="M244">
        <v>27</v>
      </c>
      <c r="N244">
        <v>574</v>
      </c>
      <c r="O244" s="3">
        <f t="shared" si="11"/>
        <v>4.6551724137931041</v>
      </c>
      <c r="P244">
        <f t="shared" si="9"/>
        <v>1</v>
      </c>
      <c r="Q244">
        <f t="shared" si="10"/>
        <v>0</v>
      </c>
    </row>
    <row r="245" spans="1:17" x14ac:dyDescent="0.2">
      <c r="A245" t="s">
        <v>51</v>
      </c>
      <c r="B245" t="s">
        <v>258</v>
      </c>
      <c r="C245">
        <v>430</v>
      </c>
      <c r="D245">
        <v>240</v>
      </c>
      <c r="E245">
        <v>27</v>
      </c>
      <c r="F245">
        <v>4.5</v>
      </c>
      <c r="G245">
        <v>0</v>
      </c>
      <c r="H245">
        <v>55</v>
      </c>
      <c r="I245">
        <v>780</v>
      </c>
      <c r="J245">
        <v>27</v>
      </c>
      <c r="K245">
        <v>2</v>
      </c>
      <c r="L245">
        <v>0</v>
      </c>
      <c r="M245">
        <v>20</v>
      </c>
      <c r="N245">
        <v>415</v>
      </c>
      <c r="O245" s="3">
        <f t="shared" si="11"/>
        <v>4.6511627906976747</v>
      </c>
      <c r="P245">
        <f t="shared" si="9"/>
        <v>1</v>
      </c>
      <c r="Q245">
        <f t="shared" si="10"/>
        <v>0</v>
      </c>
    </row>
    <row r="246" spans="1:17" x14ac:dyDescent="0.2">
      <c r="A246" t="s">
        <v>25</v>
      </c>
      <c r="B246" t="s">
        <v>259</v>
      </c>
      <c r="C246">
        <v>280</v>
      </c>
      <c r="D246">
        <v>160</v>
      </c>
      <c r="E246">
        <v>18</v>
      </c>
      <c r="F246">
        <v>3</v>
      </c>
      <c r="G246">
        <v>0</v>
      </c>
      <c r="H246">
        <v>40</v>
      </c>
      <c r="I246">
        <v>540</v>
      </c>
      <c r="J246">
        <v>18</v>
      </c>
      <c r="K246">
        <v>1</v>
      </c>
      <c r="L246">
        <v>0</v>
      </c>
      <c r="M246">
        <v>13</v>
      </c>
      <c r="N246">
        <v>270</v>
      </c>
      <c r="O246" s="3">
        <f t="shared" si="11"/>
        <v>4.6428571428571432</v>
      </c>
      <c r="P246">
        <f t="shared" si="9"/>
        <v>1</v>
      </c>
      <c r="Q246">
        <f t="shared" si="10"/>
        <v>0</v>
      </c>
    </row>
    <row r="247" spans="1:17" x14ac:dyDescent="0.2">
      <c r="A247" t="s">
        <v>51</v>
      </c>
      <c r="B247" t="s">
        <v>260</v>
      </c>
      <c r="C247">
        <v>280</v>
      </c>
      <c r="D247">
        <v>150</v>
      </c>
      <c r="E247">
        <v>17</v>
      </c>
      <c r="F247">
        <v>2.5</v>
      </c>
      <c r="G247">
        <v>0</v>
      </c>
      <c r="H247">
        <v>35</v>
      </c>
      <c r="I247">
        <v>850</v>
      </c>
      <c r="J247">
        <v>20</v>
      </c>
      <c r="K247">
        <v>1</v>
      </c>
      <c r="L247">
        <v>1</v>
      </c>
      <c r="M247">
        <v>13</v>
      </c>
      <c r="N247">
        <v>271</v>
      </c>
      <c r="O247" s="3">
        <f t="shared" si="11"/>
        <v>4.6428571428571432</v>
      </c>
      <c r="P247">
        <f t="shared" si="9"/>
        <v>1</v>
      </c>
      <c r="Q247">
        <f t="shared" si="10"/>
        <v>0</v>
      </c>
    </row>
    <row r="248" spans="1:17" x14ac:dyDescent="0.2">
      <c r="A248" t="s">
        <v>159</v>
      </c>
      <c r="B248" t="s">
        <v>261</v>
      </c>
      <c r="C248">
        <v>280</v>
      </c>
      <c r="D248" s="2">
        <v>0</v>
      </c>
      <c r="E248">
        <v>12</v>
      </c>
      <c r="F248">
        <v>6</v>
      </c>
      <c r="G248">
        <v>0</v>
      </c>
      <c r="H248">
        <v>30</v>
      </c>
      <c r="I248">
        <v>560</v>
      </c>
      <c r="J248">
        <v>31</v>
      </c>
      <c r="K248">
        <v>2</v>
      </c>
      <c r="L248">
        <v>2</v>
      </c>
      <c r="M248">
        <v>13</v>
      </c>
      <c r="O248" s="3">
        <f t="shared" si="11"/>
        <v>4.6428571428571432</v>
      </c>
      <c r="P248">
        <f t="shared" si="9"/>
        <v>1</v>
      </c>
      <c r="Q248">
        <f t="shared" si="10"/>
        <v>0</v>
      </c>
    </row>
    <row r="249" spans="1:17" x14ac:dyDescent="0.2">
      <c r="A249" t="s">
        <v>25</v>
      </c>
      <c r="B249" t="s">
        <v>262</v>
      </c>
      <c r="C249">
        <v>475</v>
      </c>
      <c r="D249" s="2">
        <v>0</v>
      </c>
      <c r="E249">
        <v>16</v>
      </c>
      <c r="F249" t="s">
        <v>263</v>
      </c>
      <c r="G249">
        <v>0</v>
      </c>
      <c r="H249">
        <v>40</v>
      </c>
      <c r="I249">
        <v>690</v>
      </c>
      <c r="J249">
        <v>62</v>
      </c>
      <c r="K249">
        <v>2</v>
      </c>
      <c r="L249">
        <v>20</v>
      </c>
      <c r="M249">
        <v>22</v>
      </c>
      <c r="O249" s="3">
        <f t="shared" si="11"/>
        <v>4.6315789473684212</v>
      </c>
      <c r="P249">
        <f t="shared" si="9"/>
        <v>1</v>
      </c>
      <c r="Q249">
        <f t="shared" si="10"/>
        <v>0</v>
      </c>
    </row>
    <row r="250" spans="1:17" x14ac:dyDescent="0.2">
      <c r="A250" t="s">
        <v>25</v>
      </c>
      <c r="B250" t="s">
        <v>264</v>
      </c>
      <c r="C250">
        <v>540</v>
      </c>
      <c r="D250">
        <v>260</v>
      </c>
      <c r="E250">
        <v>29</v>
      </c>
      <c r="F250">
        <v>10</v>
      </c>
      <c r="G250">
        <v>1.5</v>
      </c>
      <c r="H250">
        <v>75</v>
      </c>
      <c r="I250">
        <v>1040</v>
      </c>
      <c r="J250">
        <v>45</v>
      </c>
      <c r="K250">
        <v>3</v>
      </c>
      <c r="L250">
        <v>9</v>
      </c>
      <c r="M250">
        <v>25</v>
      </c>
      <c r="N250">
        <v>534</v>
      </c>
      <c r="O250" s="3">
        <f t="shared" si="11"/>
        <v>4.6296296296296298</v>
      </c>
      <c r="P250">
        <f t="shared" si="9"/>
        <v>1</v>
      </c>
      <c r="Q250">
        <f t="shared" si="10"/>
        <v>0</v>
      </c>
    </row>
    <row r="251" spans="1:17" x14ac:dyDescent="0.2">
      <c r="A251" t="s">
        <v>51</v>
      </c>
      <c r="B251" t="s">
        <v>265</v>
      </c>
      <c r="C251">
        <v>260</v>
      </c>
      <c r="D251">
        <v>150</v>
      </c>
      <c r="E251">
        <v>16</v>
      </c>
      <c r="F251">
        <v>2.5</v>
      </c>
      <c r="G251">
        <v>0</v>
      </c>
      <c r="H251">
        <v>35</v>
      </c>
      <c r="I251">
        <v>470</v>
      </c>
      <c r="J251">
        <v>16</v>
      </c>
      <c r="K251">
        <v>1</v>
      </c>
      <c r="L251">
        <v>0</v>
      </c>
      <c r="M251">
        <v>12</v>
      </c>
      <c r="N251">
        <v>251</v>
      </c>
      <c r="O251" s="3">
        <f t="shared" si="11"/>
        <v>4.6153846153846159</v>
      </c>
      <c r="P251">
        <f t="shared" si="9"/>
        <v>1</v>
      </c>
      <c r="Q251">
        <f t="shared" si="10"/>
        <v>0</v>
      </c>
    </row>
    <row r="252" spans="1:17" x14ac:dyDescent="0.2">
      <c r="A252" t="s">
        <v>51</v>
      </c>
      <c r="B252" t="s">
        <v>265</v>
      </c>
      <c r="C252">
        <v>260</v>
      </c>
      <c r="D252">
        <v>150</v>
      </c>
      <c r="E252">
        <v>16</v>
      </c>
      <c r="F252">
        <v>2.5</v>
      </c>
      <c r="G252">
        <v>0</v>
      </c>
      <c r="H252">
        <v>35</v>
      </c>
      <c r="I252">
        <v>470</v>
      </c>
      <c r="J252">
        <v>16</v>
      </c>
      <c r="K252">
        <v>1</v>
      </c>
      <c r="L252">
        <v>0</v>
      </c>
      <c r="M252">
        <v>12</v>
      </c>
      <c r="N252">
        <v>251</v>
      </c>
      <c r="O252" s="3">
        <f t="shared" si="11"/>
        <v>4.6153846153846159</v>
      </c>
      <c r="P252">
        <f t="shared" si="9"/>
        <v>1</v>
      </c>
      <c r="Q252">
        <f t="shared" si="10"/>
        <v>0</v>
      </c>
    </row>
    <row r="253" spans="1:17" x14ac:dyDescent="0.2">
      <c r="A253" t="s">
        <v>159</v>
      </c>
      <c r="B253" t="s">
        <v>266</v>
      </c>
      <c r="C253">
        <v>390</v>
      </c>
      <c r="D253" s="2">
        <v>0</v>
      </c>
      <c r="E253">
        <v>20</v>
      </c>
      <c r="F253">
        <v>7</v>
      </c>
      <c r="G253">
        <v>0</v>
      </c>
      <c r="H253">
        <v>40</v>
      </c>
      <c r="I253">
        <v>680</v>
      </c>
      <c r="J253">
        <v>35</v>
      </c>
      <c r="K253">
        <v>2</v>
      </c>
      <c r="L253">
        <v>2</v>
      </c>
      <c r="M253">
        <v>18</v>
      </c>
      <c r="O253" s="3">
        <f t="shared" si="11"/>
        <v>4.6153846153846159</v>
      </c>
      <c r="P253">
        <f t="shared" si="9"/>
        <v>1</v>
      </c>
      <c r="Q253">
        <f t="shared" si="10"/>
        <v>0</v>
      </c>
    </row>
    <row r="254" spans="1:17" x14ac:dyDescent="0.2">
      <c r="A254" t="s">
        <v>159</v>
      </c>
      <c r="B254" t="s">
        <v>267</v>
      </c>
      <c r="C254">
        <v>130</v>
      </c>
      <c r="D254" s="2">
        <v>0</v>
      </c>
      <c r="E254">
        <v>3.5</v>
      </c>
      <c r="F254">
        <v>1.5</v>
      </c>
      <c r="G254">
        <v>0</v>
      </c>
      <c r="H254">
        <v>10</v>
      </c>
      <c r="I254">
        <v>380</v>
      </c>
      <c r="J254">
        <v>19</v>
      </c>
      <c r="K254">
        <v>0</v>
      </c>
      <c r="L254">
        <v>0</v>
      </c>
      <c r="M254">
        <v>6</v>
      </c>
      <c r="O254" s="3">
        <f t="shared" si="11"/>
        <v>4.6153846153846159</v>
      </c>
      <c r="P254">
        <f t="shared" si="9"/>
        <v>0</v>
      </c>
      <c r="Q254">
        <f t="shared" si="10"/>
        <v>0</v>
      </c>
    </row>
    <row r="255" spans="1:17" x14ac:dyDescent="0.2">
      <c r="A255" t="s">
        <v>159</v>
      </c>
      <c r="B255" t="s">
        <v>268</v>
      </c>
      <c r="C255">
        <v>130</v>
      </c>
      <c r="D255" s="2">
        <v>0</v>
      </c>
      <c r="E255">
        <v>4.5</v>
      </c>
      <c r="F255">
        <v>2</v>
      </c>
      <c r="G255">
        <v>0</v>
      </c>
      <c r="H255">
        <v>10</v>
      </c>
      <c r="I255">
        <v>250</v>
      </c>
      <c r="J255">
        <v>17</v>
      </c>
      <c r="K255">
        <v>1</v>
      </c>
      <c r="L255">
        <v>0</v>
      </c>
      <c r="M255">
        <v>6</v>
      </c>
      <c r="O255" s="3">
        <f t="shared" si="11"/>
        <v>4.6153846153846159</v>
      </c>
      <c r="P255">
        <f t="shared" si="9"/>
        <v>0</v>
      </c>
      <c r="Q255">
        <f t="shared" si="10"/>
        <v>0</v>
      </c>
    </row>
    <row r="256" spans="1:17" x14ac:dyDescent="0.2">
      <c r="A256" t="s">
        <v>159</v>
      </c>
      <c r="B256" t="s">
        <v>269</v>
      </c>
      <c r="C256">
        <v>130</v>
      </c>
      <c r="D256" s="2">
        <v>0</v>
      </c>
      <c r="E256">
        <v>5</v>
      </c>
      <c r="F256">
        <v>2</v>
      </c>
      <c r="G256">
        <v>0</v>
      </c>
      <c r="H256">
        <v>10</v>
      </c>
      <c r="I256">
        <v>260</v>
      </c>
      <c r="J256">
        <v>16</v>
      </c>
      <c r="K256">
        <v>1</v>
      </c>
      <c r="L256">
        <v>0</v>
      </c>
      <c r="M256">
        <v>6</v>
      </c>
      <c r="O256" s="3">
        <f t="shared" si="11"/>
        <v>4.6153846153846159</v>
      </c>
      <c r="P256">
        <f t="shared" si="9"/>
        <v>0</v>
      </c>
      <c r="Q256">
        <f t="shared" si="10"/>
        <v>0</v>
      </c>
    </row>
    <row r="257" spans="1:17" x14ac:dyDescent="0.2">
      <c r="A257" t="s">
        <v>51</v>
      </c>
      <c r="B257" t="s">
        <v>270</v>
      </c>
      <c r="C257">
        <v>630</v>
      </c>
      <c r="D257">
        <v>330</v>
      </c>
      <c r="E257">
        <v>37</v>
      </c>
      <c r="F257">
        <v>14</v>
      </c>
      <c r="G257">
        <v>1.5</v>
      </c>
      <c r="H257">
        <v>100</v>
      </c>
      <c r="I257">
        <v>1050</v>
      </c>
      <c r="J257">
        <v>45</v>
      </c>
      <c r="K257">
        <v>2</v>
      </c>
      <c r="L257">
        <v>9</v>
      </c>
      <c r="M257">
        <v>29</v>
      </c>
      <c r="N257">
        <v>624</v>
      </c>
      <c r="O257" s="3">
        <f t="shared" si="11"/>
        <v>4.6031746031746037</v>
      </c>
      <c r="P257">
        <f t="shared" si="9"/>
        <v>1</v>
      </c>
      <c r="Q257">
        <f t="shared" si="10"/>
        <v>0</v>
      </c>
    </row>
    <row r="258" spans="1:17" x14ac:dyDescent="0.2">
      <c r="A258" t="s">
        <v>51</v>
      </c>
      <c r="B258" t="s">
        <v>271</v>
      </c>
      <c r="C258">
        <v>370</v>
      </c>
      <c r="D258">
        <v>170</v>
      </c>
      <c r="E258">
        <v>19</v>
      </c>
      <c r="F258">
        <v>8</v>
      </c>
      <c r="G258">
        <v>0</v>
      </c>
      <c r="H258">
        <v>175</v>
      </c>
      <c r="I258">
        <v>1030</v>
      </c>
      <c r="J258">
        <v>30</v>
      </c>
      <c r="K258">
        <v>1</v>
      </c>
      <c r="L258">
        <v>5</v>
      </c>
      <c r="M258">
        <v>17</v>
      </c>
      <c r="N258">
        <v>366</v>
      </c>
      <c r="O258" s="3">
        <f t="shared" si="11"/>
        <v>4.5945945945945947</v>
      </c>
      <c r="P258">
        <f t="shared" ref="P258:P321" si="12">IF(I258&gt;2300*0.2,1,0)</f>
        <v>1</v>
      </c>
      <c r="Q258">
        <f t="shared" ref="Q258:Q321" si="13">IF(H258&gt;300,1,0)</f>
        <v>0</v>
      </c>
    </row>
    <row r="259" spans="1:17" x14ac:dyDescent="0.2">
      <c r="A259" t="s">
        <v>159</v>
      </c>
      <c r="B259" t="s">
        <v>272</v>
      </c>
      <c r="C259">
        <v>370</v>
      </c>
      <c r="D259" s="2">
        <v>0</v>
      </c>
      <c r="E259">
        <v>18</v>
      </c>
      <c r="F259">
        <v>8</v>
      </c>
      <c r="G259">
        <v>0</v>
      </c>
      <c r="H259">
        <v>50</v>
      </c>
      <c r="I259">
        <v>740</v>
      </c>
      <c r="J259">
        <v>35</v>
      </c>
      <c r="K259">
        <v>3</v>
      </c>
      <c r="L259">
        <v>2</v>
      </c>
      <c r="M259">
        <v>17</v>
      </c>
      <c r="O259" s="3">
        <f t="shared" si="11"/>
        <v>4.5945945945945947</v>
      </c>
      <c r="P259">
        <f t="shared" si="12"/>
        <v>1</v>
      </c>
      <c r="Q259">
        <f t="shared" si="13"/>
        <v>0</v>
      </c>
    </row>
    <row r="260" spans="1:17" x14ac:dyDescent="0.2">
      <c r="A260" t="s">
        <v>51</v>
      </c>
      <c r="B260" t="s">
        <v>273</v>
      </c>
      <c r="C260">
        <v>610</v>
      </c>
      <c r="D260">
        <v>360</v>
      </c>
      <c r="E260">
        <v>40</v>
      </c>
      <c r="F260">
        <v>17</v>
      </c>
      <c r="G260">
        <v>0.5</v>
      </c>
      <c r="H260">
        <v>225</v>
      </c>
      <c r="I260">
        <v>1680</v>
      </c>
      <c r="J260">
        <v>31</v>
      </c>
      <c r="K260">
        <v>1</v>
      </c>
      <c r="L260">
        <v>5</v>
      </c>
      <c r="M260">
        <v>28</v>
      </c>
      <c r="N260">
        <v>604</v>
      </c>
      <c r="O260" s="3">
        <f t="shared" si="11"/>
        <v>4.5901639344262293</v>
      </c>
      <c r="P260">
        <f t="shared" si="12"/>
        <v>1</v>
      </c>
      <c r="Q260">
        <f t="shared" si="13"/>
        <v>0</v>
      </c>
    </row>
    <row r="261" spans="1:17" x14ac:dyDescent="0.2">
      <c r="A261" t="s">
        <v>159</v>
      </c>
      <c r="B261" t="s">
        <v>274</v>
      </c>
      <c r="C261">
        <v>240</v>
      </c>
      <c r="D261" s="2">
        <v>0</v>
      </c>
      <c r="E261">
        <v>9</v>
      </c>
      <c r="F261">
        <v>3.5</v>
      </c>
      <c r="G261">
        <v>0</v>
      </c>
      <c r="H261">
        <v>20</v>
      </c>
      <c r="I261">
        <v>680</v>
      </c>
      <c r="J261">
        <v>31</v>
      </c>
      <c r="K261">
        <v>2</v>
      </c>
      <c r="L261">
        <v>2</v>
      </c>
      <c r="M261">
        <v>11</v>
      </c>
      <c r="O261" s="3">
        <f t="shared" si="11"/>
        <v>4.583333333333333</v>
      </c>
      <c r="P261">
        <f t="shared" si="12"/>
        <v>1</v>
      </c>
      <c r="Q261">
        <f t="shared" si="13"/>
        <v>0</v>
      </c>
    </row>
    <row r="262" spans="1:17" x14ac:dyDescent="0.2">
      <c r="A262" t="s">
        <v>25</v>
      </c>
      <c r="B262" t="s">
        <v>275</v>
      </c>
      <c r="C262">
        <v>330</v>
      </c>
      <c r="D262">
        <v>170</v>
      </c>
      <c r="E262">
        <v>19</v>
      </c>
      <c r="F262">
        <v>7</v>
      </c>
      <c r="G262">
        <v>1</v>
      </c>
      <c r="H262">
        <v>45</v>
      </c>
      <c r="I262">
        <v>690</v>
      </c>
      <c r="J262">
        <v>26</v>
      </c>
      <c r="K262">
        <v>1</v>
      </c>
      <c r="L262">
        <v>3</v>
      </c>
      <c r="M262">
        <v>15</v>
      </c>
      <c r="N262">
        <v>325</v>
      </c>
      <c r="O262" s="3">
        <f t="shared" ref="O262:O325" si="14">M262/C262*100</f>
        <v>4.5454545454545459</v>
      </c>
      <c r="P262">
        <f t="shared" si="12"/>
        <v>1</v>
      </c>
      <c r="Q262">
        <f t="shared" si="13"/>
        <v>0</v>
      </c>
    </row>
    <row r="263" spans="1:17" x14ac:dyDescent="0.2">
      <c r="A263" t="s">
        <v>21</v>
      </c>
      <c r="B263" t="s">
        <v>276</v>
      </c>
      <c r="C263">
        <v>770</v>
      </c>
      <c r="D263" s="2">
        <v>0</v>
      </c>
      <c r="E263">
        <v>60</v>
      </c>
      <c r="F263">
        <v>10</v>
      </c>
      <c r="G263">
        <v>0</v>
      </c>
      <c r="H263">
        <v>105</v>
      </c>
      <c r="I263">
        <v>1530</v>
      </c>
      <c r="J263">
        <v>21</v>
      </c>
      <c r="K263">
        <v>1</v>
      </c>
      <c r="L263">
        <v>1</v>
      </c>
      <c r="M263">
        <v>35</v>
      </c>
      <c r="N263">
        <v>746</v>
      </c>
      <c r="O263" s="3">
        <f t="shared" si="14"/>
        <v>4.5454545454545459</v>
      </c>
      <c r="P263">
        <f t="shared" si="12"/>
        <v>1</v>
      </c>
      <c r="Q263">
        <f t="shared" si="13"/>
        <v>0</v>
      </c>
    </row>
    <row r="264" spans="1:17" x14ac:dyDescent="0.2">
      <c r="A264" t="s">
        <v>21</v>
      </c>
      <c r="B264" t="s">
        <v>88</v>
      </c>
      <c r="C264">
        <v>220</v>
      </c>
      <c r="D264" s="2">
        <v>0</v>
      </c>
      <c r="E264">
        <v>16</v>
      </c>
      <c r="F264">
        <v>2.5</v>
      </c>
      <c r="G264">
        <v>0</v>
      </c>
      <c r="H264">
        <v>25</v>
      </c>
      <c r="I264">
        <v>460</v>
      </c>
      <c r="J264">
        <v>9</v>
      </c>
      <c r="K264" s="2">
        <v>0</v>
      </c>
      <c r="L264">
        <v>0</v>
      </c>
      <c r="M264">
        <v>10</v>
      </c>
      <c r="N264">
        <v>212.5</v>
      </c>
      <c r="O264" s="3">
        <f t="shared" si="14"/>
        <v>4.5454545454545459</v>
      </c>
      <c r="P264">
        <f t="shared" si="12"/>
        <v>0</v>
      </c>
      <c r="Q264">
        <f t="shared" si="13"/>
        <v>0</v>
      </c>
    </row>
    <row r="265" spans="1:17" x14ac:dyDescent="0.2">
      <c r="A265" t="s">
        <v>17</v>
      </c>
      <c r="B265" t="s">
        <v>277</v>
      </c>
      <c r="C265">
        <v>440</v>
      </c>
      <c r="D265">
        <v>240</v>
      </c>
      <c r="E265">
        <v>27</v>
      </c>
      <c r="F265">
        <v>5</v>
      </c>
      <c r="G265">
        <v>0</v>
      </c>
      <c r="H265">
        <v>50</v>
      </c>
      <c r="I265">
        <v>840</v>
      </c>
      <c r="J265">
        <v>31</v>
      </c>
      <c r="K265">
        <v>2</v>
      </c>
      <c r="L265">
        <v>3</v>
      </c>
      <c r="M265">
        <v>20</v>
      </c>
      <c r="O265" s="3">
        <f t="shared" si="14"/>
        <v>4.5454545454545459</v>
      </c>
      <c r="P265">
        <f t="shared" si="12"/>
        <v>1</v>
      </c>
      <c r="Q265">
        <f t="shared" si="13"/>
        <v>0</v>
      </c>
    </row>
    <row r="266" spans="1:17" x14ac:dyDescent="0.2">
      <c r="A266" t="s">
        <v>17</v>
      </c>
      <c r="B266" t="s">
        <v>278</v>
      </c>
      <c r="C266">
        <v>330</v>
      </c>
      <c r="D266">
        <v>140</v>
      </c>
      <c r="E266">
        <v>16</v>
      </c>
      <c r="F266">
        <v>4</v>
      </c>
      <c r="G266">
        <v>0</v>
      </c>
      <c r="H266">
        <v>30</v>
      </c>
      <c r="I266">
        <v>530</v>
      </c>
      <c r="J266">
        <v>32</v>
      </c>
      <c r="K266">
        <v>2</v>
      </c>
      <c r="L266">
        <v>3</v>
      </c>
      <c r="M266">
        <v>15</v>
      </c>
      <c r="O266" s="3">
        <f t="shared" si="14"/>
        <v>4.5454545454545459</v>
      </c>
      <c r="P266">
        <f t="shared" si="12"/>
        <v>1</v>
      </c>
      <c r="Q266">
        <f t="shared" si="13"/>
        <v>0</v>
      </c>
    </row>
    <row r="267" spans="1:17" x14ac:dyDescent="0.2">
      <c r="A267" t="s">
        <v>17</v>
      </c>
      <c r="B267" t="s">
        <v>279</v>
      </c>
      <c r="C267">
        <v>440</v>
      </c>
      <c r="D267">
        <v>240</v>
      </c>
      <c r="E267">
        <v>27</v>
      </c>
      <c r="F267">
        <v>5</v>
      </c>
      <c r="G267">
        <v>0</v>
      </c>
      <c r="H267">
        <v>50</v>
      </c>
      <c r="I267">
        <v>840</v>
      </c>
      <c r="J267">
        <v>31</v>
      </c>
      <c r="K267">
        <v>2</v>
      </c>
      <c r="L267">
        <v>3</v>
      </c>
      <c r="M267">
        <v>20</v>
      </c>
      <c r="O267" s="3">
        <f t="shared" si="14"/>
        <v>4.5454545454545459</v>
      </c>
      <c r="P267">
        <f t="shared" si="12"/>
        <v>1</v>
      </c>
      <c r="Q267">
        <f t="shared" si="13"/>
        <v>0</v>
      </c>
    </row>
    <row r="268" spans="1:17" x14ac:dyDescent="0.2">
      <c r="A268" t="s">
        <v>159</v>
      </c>
      <c r="B268" t="s">
        <v>280</v>
      </c>
      <c r="C268">
        <v>220</v>
      </c>
      <c r="D268" s="2">
        <v>0</v>
      </c>
      <c r="E268">
        <v>7</v>
      </c>
      <c r="F268">
        <v>3</v>
      </c>
      <c r="G268">
        <v>0</v>
      </c>
      <c r="H268">
        <v>20</v>
      </c>
      <c r="I268">
        <v>390</v>
      </c>
      <c r="J268">
        <v>31</v>
      </c>
      <c r="K268">
        <v>2</v>
      </c>
      <c r="L268">
        <v>6</v>
      </c>
      <c r="M268">
        <v>10</v>
      </c>
      <c r="O268" s="3">
        <f t="shared" si="14"/>
        <v>4.5454545454545459</v>
      </c>
      <c r="P268">
        <f t="shared" si="12"/>
        <v>0</v>
      </c>
      <c r="Q268">
        <f t="shared" si="13"/>
        <v>0</v>
      </c>
    </row>
    <row r="269" spans="1:17" x14ac:dyDescent="0.2">
      <c r="A269" t="s">
        <v>51</v>
      </c>
      <c r="B269" t="s">
        <v>281</v>
      </c>
      <c r="C269">
        <v>860</v>
      </c>
      <c r="D269">
        <v>490</v>
      </c>
      <c r="E269">
        <v>54</v>
      </c>
      <c r="F269">
        <v>9</v>
      </c>
      <c r="G269">
        <v>0</v>
      </c>
      <c r="H269">
        <v>115</v>
      </c>
      <c r="I269">
        <v>1570</v>
      </c>
      <c r="J269">
        <v>53</v>
      </c>
      <c r="K269">
        <v>3</v>
      </c>
      <c r="L269">
        <v>1</v>
      </c>
      <c r="M269">
        <v>39</v>
      </c>
      <c r="N269">
        <v>831</v>
      </c>
      <c r="O269" s="3">
        <f t="shared" si="14"/>
        <v>4.5348837209302326</v>
      </c>
      <c r="P269">
        <f t="shared" si="12"/>
        <v>1</v>
      </c>
      <c r="Q269">
        <f t="shared" si="13"/>
        <v>0</v>
      </c>
    </row>
    <row r="270" spans="1:17" x14ac:dyDescent="0.2">
      <c r="A270" t="s">
        <v>21</v>
      </c>
      <c r="B270" t="s">
        <v>282</v>
      </c>
      <c r="C270">
        <v>310</v>
      </c>
      <c r="D270" s="2">
        <v>0</v>
      </c>
      <c r="E270">
        <v>17</v>
      </c>
      <c r="F270">
        <v>2.5</v>
      </c>
      <c r="G270">
        <v>0</v>
      </c>
      <c r="H270">
        <v>30</v>
      </c>
      <c r="I270">
        <v>790</v>
      </c>
      <c r="J270">
        <v>27</v>
      </c>
      <c r="K270">
        <v>1</v>
      </c>
      <c r="L270">
        <v>3</v>
      </c>
      <c r="M270">
        <v>14</v>
      </c>
      <c r="N270">
        <v>301.5</v>
      </c>
      <c r="O270" s="3">
        <f t="shared" si="14"/>
        <v>4.5161290322580641</v>
      </c>
      <c r="P270">
        <f t="shared" si="12"/>
        <v>1</v>
      </c>
      <c r="Q270">
        <f t="shared" si="13"/>
        <v>0</v>
      </c>
    </row>
    <row r="271" spans="1:17" x14ac:dyDescent="0.2">
      <c r="A271" t="s">
        <v>159</v>
      </c>
      <c r="B271" t="s">
        <v>283</v>
      </c>
      <c r="C271">
        <v>200</v>
      </c>
      <c r="D271" s="2">
        <v>0</v>
      </c>
      <c r="E271">
        <v>7</v>
      </c>
      <c r="F271">
        <v>3.5</v>
      </c>
      <c r="G271">
        <v>0</v>
      </c>
      <c r="H271">
        <v>15</v>
      </c>
      <c r="I271">
        <v>410</v>
      </c>
      <c r="J271">
        <v>26</v>
      </c>
      <c r="K271">
        <v>2</v>
      </c>
      <c r="L271">
        <v>1</v>
      </c>
      <c r="M271">
        <v>9</v>
      </c>
      <c r="O271" s="3">
        <f t="shared" si="14"/>
        <v>4.5</v>
      </c>
      <c r="P271">
        <f t="shared" si="12"/>
        <v>0</v>
      </c>
      <c r="Q271">
        <f t="shared" si="13"/>
        <v>0</v>
      </c>
    </row>
    <row r="272" spans="1:17" x14ac:dyDescent="0.2">
      <c r="A272" t="s">
        <v>159</v>
      </c>
      <c r="B272" t="s">
        <v>284</v>
      </c>
      <c r="C272">
        <v>200</v>
      </c>
      <c r="D272" s="2">
        <v>0</v>
      </c>
      <c r="E272">
        <v>5</v>
      </c>
      <c r="F272">
        <v>2.5</v>
      </c>
      <c r="G272">
        <v>0</v>
      </c>
      <c r="H272">
        <v>20</v>
      </c>
      <c r="I272">
        <v>560</v>
      </c>
      <c r="J272">
        <v>28</v>
      </c>
      <c r="K272">
        <v>2</v>
      </c>
      <c r="L272">
        <v>1</v>
      </c>
      <c r="M272">
        <v>9</v>
      </c>
      <c r="O272" s="3">
        <f t="shared" si="14"/>
        <v>4.5</v>
      </c>
      <c r="P272">
        <f t="shared" si="12"/>
        <v>1</v>
      </c>
      <c r="Q272">
        <f t="shared" si="13"/>
        <v>0</v>
      </c>
    </row>
    <row r="273" spans="1:17" x14ac:dyDescent="0.2">
      <c r="A273" t="s">
        <v>21</v>
      </c>
      <c r="B273" t="s">
        <v>285</v>
      </c>
      <c r="C273">
        <v>290</v>
      </c>
      <c r="D273" s="2">
        <v>0</v>
      </c>
      <c r="E273">
        <v>19</v>
      </c>
      <c r="F273">
        <v>2.5</v>
      </c>
      <c r="G273">
        <v>0</v>
      </c>
      <c r="H273">
        <v>30</v>
      </c>
      <c r="I273">
        <v>870</v>
      </c>
      <c r="J273">
        <v>19</v>
      </c>
      <c r="K273">
        <v>1</v>
      </c>
      <c r="L273">
        <v>0</v>
      </c>
      <c r="M273">
        <v>13</v>
      </c>
      <c r="N273">
        <v>279.5</v>
      </c>
      <c r="O273" s="3">
        <f t="shared" si="14"/>
        <v>4.4827586206896548</v>
      </c>
      <c r="P273">
        <f t="shared" si="12"/>
        <v>1</v>
      </c>
      <c r="Q273">
        <f t="shared" si="13"/>
        <v>0</v>
      </c>
    </row>
    <row r="274" spans="1:17" x14ac:dyDescent="0.2">
      <c r="A274" t="s">
        <v>159</v>
      </c>
      <c r="B274" t="s">
        <v>286</v>
      </c>
      <c r="C274">
        <v>290</v>
      </c>
      <c r="D274" s="2">
        <v>0</v>
      </c>
      <c r="E274">
        <v>13</v>
      </c>
      <c r="F274">
        <v>6</v>
      </c>
      <c r="G274">
        <v>0</v>
      </c>
      <c r="H274">
        <v>30</v>
      </c>
      <c r="I274">
        <v>570</v>
      </c>
      <c r="J274">
        <v>31</v>
      </c>
      <c r="K274">
        <v>2</v>
      </c>
      <c r="L274">
        <v>2</v>
      </c>
      <c r="M274">
        <v>13</v>
      </c>
      <c r="O274" s="3">
        <f t="shared" si="14"/>
        <v>4.4827586206896548</v>
      </c>
      <c r="P274">
        <f t="shared" si="12"/>
        <v>1</v>
      </c>
      <c r="Q274">
        <f t="shared" si="13"/>
        <v>0</v>
      </c>
    </row>
    <row r="275" spans="1:17" x14ac:dyDescent="0.2">
      <c r="A275" t="s">
        <v>159</v>
      </c>
      <c r="B275" t="s">
        <v>287</v>
      </c>
      <c r="C275">
        <v>290</v>
      </c>
      <c r="D275" s="2">
        <v>0</v>
      </c>
      <c r="E275">
        <v>10</v>
      </c>
      <c r="F275">
        <v>5</v>
      </c>
      <c r="G275">
        <v>0</v>
      </c>
      <c r="H275">
        <v>30</v>
      </c>
      <c r="I275">
        <v>540</v>
      </c>
      <c r="J275">
        <v>34</v>
      </c>
      <c r="K275">
        <v>3</v>
      </c>
      <c r="L275">
        <v>2</v>
      </c>
      <c r="M275">
        <v>13</v>
      </c>
      <c r="O275" s="3">
        <f t="shared" si="14"/>
        <v>4.4827586206896548</v>
      </c>
      <c r="P275">
        <f t="shared" si="12"/>
        <v>1</v>
      </c>
      <c r="Q275">
        <f t="shared" si="13"/>
        <v>0</v>
      </c>
    </row>
    <row r="276" spans="1:17" x14ac:dyDescent="0.2">
      <c r="A276" t="s">
        <v>25</v>
      </c>
      <c r="B276" t="s">
        <v>288</v>
      </c>
      <c r="C276">
        <v>45</v>
      </c>
      <c r="D276">
        <v>30</v>
      </c>
      <c r="E276">
        <v>3.5</v>
      </c>
      <c r="F276">
        <v>0.5</v>
      </c>
      <c r="G276">
        <v>0</v>
      </c>
      <c r="H276">
        <v>0</v>
      </c>
      <c r="I276">
        <v>0</v>
      </c>
      <c r="J276">
        <v>2</v>
      </c>
      <c r="K276">
        <v>1</v>
      </c>
      <c r="L276">
        <v>0</v>
      </c>
      <c r="M276">
        <v>2</v>
      </c>
      <c r="N276">
        <v>43.5</v>
      </c>
      <c r="O276" s="3">
        <f t="shared" si="14"/>
        <v>4.4444444444444446</v>
      </c>
      <c r="P276">
        <f t="shared" si="12"/>
        <v>0</v>
      </c>
      <c r="Q276">
        <f t="shared" si="13"/>
        <v>0</v>
      </c>
    </row>
    <row r="277" spans="1:17" x14ac:dyDescent="0.2">
      <c r="A277" t="s">
        <v>21</v>
      </c>
      <c r="B277" t="s">
        <v>54</v>
      </c>
      <c r="C277">
        <v>180</v>
      </c>
      <c r="D277" s="2">
        <v>0</v>
      </c>
      <c r="E277">
        <v>15</v>
      </c>
      <c r="F277">
        <v>2.5</v>
      </c>
      <c r="G277">
        <v>0</v>
      </c>
      <c r="H277">
        <v>35</v>
      </c>
      <c r="I277">
        <v>450</v>
      </c>
      <c r="J277">
        <v>5</v>
      </c>
      <c r="K277">
        <v>1</v>
      </c>
      <c r="L277">
        <v>0</v>
      </c>
      <c r="M277">
        <v>8</v>
      </c>
      <c r="N277">
        <v>174.5</v>
      </c>
      <c r="O277" s="3">
        <f t="shared" si="14"/>
        <v>4.4444444444444446</v>
      </c>
      <c r="P277">
        <f t="shared" si="12"/>
        <v>0</v>
      </c>
      <c r="Q277">
        <f t="shared" si="13"/>
        <v>0</v>
      </c>
    </row>
    <row r="278" spans="1:17" x14ac:dyDescent="0.2">
      <c r="A278" t="s">
        <v>21</v>
      </c>
      <c r="B278" t="s">
        <v>289</v>
      </c>
      <c r="C278">
        <v>540</v>
      </c>
      <c r="D278" s="2">
        <v>0</v>
      </c>
      <c r="E278">
        <v>32</v>
      </c>
      <c r="F278">
        <v>4.5</v>
      </c>
      <c r="G278">
        <v>0</v>
      </c>
      <c r="H278">
        <v>60</v>
      </c>
      <c r="I278">
        <v>1290</v>
      </c>
      <c r="J278">
        <v>40</v>
      </c>
      <c r="K278" s="2">
        <v>0</v>
      </c>
      <c r="L278">
        <v>5</v>
      </c>
      <c r="M278">
        <v>24</v>
      </c>
      <c r="N278">
        <v>525.5</v>
      </c>
      <c r="O278" s="3">
        <f t="shared" si="14"/>
        <v>4.4444444444444446</v>
      </c>
      <c r="P278">
        <f t="shared" si="12"/>
        <v>1</v>
      </c>
      <c r="Q278">
        <f t="shared" si="13"/>
        <v>0</v>
      </c>
    </row>
    <row r="279" spans="1:17" x14ac:dyDescent="0.2">
      <c r="A279" t="s">
        <v>21</v>
      </c>
      <c r="B279" t="s">
        <v>290</v>
      </c>
      <c r="C279">
        <v>630</v>
      </c>
      <c r="D279" s="2">
        <v>0</v>
      </c>
      <c r="E279">
        <v>34</v>
      </c>
      <c r="F279">
        <v>7</v>
      </c>
      <c r="G279">
        <v>0</v>
      </c>
      <c r="H279">
        <v>70</v>
      </c>
      <c r="I279">
        <v>1260</v>
      </c>
      <c r="J279">
        <v>53</v>
      </c>
      <c r="K279">
        <v>4</v>
      </c>
      <c r="L279">
        <v>3</v>
      </c>
      <c r="M279">
        <v>28</v>
      </c>
      <c r="N279">
        <v>612</v>
      </c>
      <c r="O279" s="3">
        <f t="shared" si="14"/>
        <v>4.4444444444444446</v>
      </c>
      <c r="P279">
        <f t="shared" si="12"/>
        <v>1</v>
      </c>
      <c r="Q279">
        <f t="shared" si="13"/>
        <v>0</v>
      </c>
    </row>
    <row r="280" spans="1:17" x14ac:dyDescent="0.2">
      <c r="A280" t="s">
        <v>159</v>
      </c>
      <c r="B280" t="s">
        <v>291</v>
      </c>
      <c r="C280">
        <v>180</v>
      </c>
      <c r="D280" s="2">
        <v>0</v>
      </c>
      <c r="E280">
        <v>6</v>
      </c>
      <c r="F280">
        <v>2</v>
      </c>
      <c r="G280">
        <v>0</v>
      </c>
      <c r="H280">
        <v>15</v>
      </c>
      <c r="I280">
        <v>370</v>
      </c>
      <c r="J280">
        <v>25</v>
      </c>
      <c r="K280">
        <v>1</v>
      </c>
      <c r="L280">
        <v>8</v>
      </c>
      <c r="M280">
        <v>8</v>
      </c>
      <c r="O280" s="3">
        <f t="shared" si="14"/>
        <v>4.4444444444444446</v>
      </c>
      <c r="P280">
        <f t="shared" si="12"/>
        <v>0</v>
      </c>
      <c r="Q280">
        <f t="shared" si="13"/>
        <v>0</v>
      </c>
    </row>
    <row r="281" spans="1:17" x14ac:dyDescent="0.2">
      <c r="A281" t="s">
        <v>159</v>
      </c>
      <c r="B281" t="s">
        <v>292</v>
      </c>
      <c r="C281">
        <v>360</v>
      </c>
      <c r="D281" s="2">
        <v>0</v>
      </c>
      <c r="E281">
        <v>17</v>
      </c>
      <c r="F281">
        <v>7</v>
      </c>
      <c r="G281">
        <v>0</v>
      </c>
      <c r="H281">
        <v>35</v>
      </c>
      <c r="I281">
        <v>660</v>
      </c>
      <c r="J281">
        <v>37</v>
      </c>
      <c r="K281">
        <v>2</v>
      </c>
      <c r="L281">
        <v>2</v>
      </c>
      <c r="M281">
        <v>16</v>
      </c>
      <c r="O281" s="3">
        <f t="shared" si="14"/>
        <v>4.4444444444444446</v>
      </c>
      <c r="P281">
        <f t="shared" si="12"/>
        <v>1</v>
      </c>
      <c r="Q281">
        <f t="shared" si="13"/>
        <v>0</v>
      </c>
    </row>
    <row r="282" spans="1:17" x14ac:dyDescent="0.2">
      <c r="A282" t="s">
        <v>159</v>
      </c>
      <c r="B282" t="s">
        <v>293</v>
      </c>
      <c r="C282">
        <v>270</v>
      </c>
      <c r="D282" s="2">
        <v>0</v>
      </c>
      <c r="E282">
        <v>13</v>
      </c>
      <c r="F282">
        <v>4.5</v>
      </c>
      <c r="G282">
        <v>0</v>
      </c>
      <c r="H282">
        <v>30</v>
      </c>
      <c r="I282">
        <v>470</v>
      </c>
      <c r="J282">
        <v>27</v>
      </c>
      <c r="K282">
        <v>2</v>
      </c>
      <c r="L282">
        <v>1</v>
      </c>
      <c r="M282">
        <v>12</v>
      </c>
      <c r="O282" s="3">
        <f t="shared" si="14"/>
        <v>4.4444444444444446</v>
      </c>
      <c r="P282">
        <f t="shared" si="12"/>
        <v>1</v>
      </c>
      <c r="Q282">
        <f t="shared" si="13"/>
        <v>0</v>
      </c>
    </row>
    <row r="283" spans="1:17" x14ac:dyDescent="0.2">
      <c r="A283" t="s">
        <v>159</v>
      </c>
      <c r="B283" t="s">
        <v>294</v>
      </c>
      <c r="C283">
        <v>180</v>
      </c>
      <c r="D283" s="2">
        <v>0</v>
      </c>
      <c r="E283">
        <v>9</v>
      </c>
      <c r="F283">
        <v>3.5</v>
      </c>
      <c r="G283">
        <v>0</v>
      </c>
      <c r="H283">
        <v>20</v>
      </c>
      <c r="I283">
        <v>370</v>
      </c>
      <c r="J283">
        <v>17</v>
      </c>
      <c r="K283">
        <v>1</v>
      </c>
      <c r="L283">
        <v>2</v>
      </c>
      <c r="M283">
        <v>8</v>
      </c>
      <c r="O283" s="3">
        <f t="shared" si="14"/>
        <v>4.4444444444444446</v>
      </c>
      <c r="P283">
        <f t="shared" si="12"/>
        <v>0</v>
      </c>
      <c r="Q283">
        <f t="shared" si="13"/>
        <v>0</v>
      </c>
    </row>
    <row r="284" spans="1:17" x14ac:dyDescent="0.2">
      <c r="A284" t="s">
        <v>159</v>
      </c>
      <c r="B284" t="s">
        <v>295</v>
      </c>
      <c r="C284">
        <v>270</v>
      </c>
      <c r="D284" s="2">
        <v>0</v>
      </c>
      <c r="E284">
        <v>13</v>
      </c>
      <c r="F284">
        <v>5</v>
      </c>
      <c r="G284">
        <v>0</v>
      </c>
      <c r="H284">
        <v>25</v>
      </c>
      <c r="I284">
        <v>470</v>
      </c>
      <c r="J284">
        <v>27</v>
      </c>
      <c r="K284">
        <v>2</v>
      </c>
      <c r="L284">
        <v>1</v>
      </c>
      <c r="M284">
        <v>12</v>
      </c>
      <c r="O284" s="3">
        <f t="shared" si="14"/>
        <v>4.4444444444444446</v>
      </c>
      <c r="P284">
        <f t="shared" si="12"/>
        <v>1</v>
      </c>
      <c r="Q284">
        <f t="shared" si="13"/>
        <v>0</v>
      </c>
    </row>
    <row r="285" spans="1:17" x14ac:dyDescent="0.2">
      <c r="A285" t="s">
        <v>159</v>
      </c>
      <c r="B285" t="s">
        <v>296</v>
      </c>
      <c r="C285">
        <v>270</v>
      </c>
      <c r="D285" s="2">
        <v>0</v>
      </c>
      <c r="E285">
        <v>13</v>
      </c>
      <c r="F285">
        <v>6</v>
      </c>
      <c r="G285">
        <v>0</v>
      </c>
      <c r="H285">
        <v>35</v>
      </c>
      <c r="I285">
        <v>530</v>
      </c>
      <c r="J285">
        <v>26</v>
      </c>
      <c r="K285">
        <v>2</v>
      </c>
      <c r="L285">
        <v>1</v>
      </c>
      <c r="M285">
        <v>12</v>
      </c>
      <c r="O285" s="3">
        <f t="shared" si="14"/>
        <v>4.4444444444444446</v>
      </c>
      <c r="P285">
        <f t="shared" si="12"/>
        <v>1</v>
      </c>
      <c r="Q285">
        <f t="shared" si="13"/>
        <v>0</v>
      </c>
    </row>
    <row r="286" spans="1:17" x14ac:dyDescent="0.2">
      <c r="A286" t="s">
        <v>51</v>
      </c>
      <c r="B286" t="s">
        <v>297</v>
      </c>
      <c r="C286">
        <v>790</v>
      </c>
      <c r="D286">
        <v>460</v>
      </c>
      <c r="E286">
        <v>51</v>
      </c>
      <c r="F286">
        <v>17</v>
      </c>
      <c r="G286">
        <v>2</v>
      </c>
      <c r="H286">
        <v>125</v>
      </c>
      <c r="I286">
        <v>1560</v>
      </c>
      <c r="J286">
        <v>50</v>
      </c>
      <c r="K286">
        <v>2</v>
      </c>
      <c r="L286">
        <v>11</v>
      </c>
      <c r="M286">
        <v>35</v>
      </c>
      <c r="N286">
        <v>783</v>
      </c>
      <c r="O286" s="3">
        <f t="shared" si="14"/>
        <v>4.4303797468354427</v>
      </c>
      <c r="P286">
        <f t="shared" si="12"/>
        <v>1</v>
      </c>
      <c r="Q286">
        <f t="shared" si="13"/>
        <v>0</v>
      </c>
    </row>
    <row r="287" spans="1:17" x14ac:dyDescent="0.2">
      <c r="A287" t="s">
        <v>25</v>
      </c>
      <c r="B287" t="s">
        <v>298</v>
      </c>
      <c r="C287">
        <v>610</v>
      </c>
      <c r="D287">
        <v>320</v>
      </c>
      <c r="E287">
        <v>36</v>
      </c>
      <c r="F287">
        <v>14</v>
      </c>
      <c r="G287">
        <v>0.5</v>
      </c>
      <c r="H287">
        <v>410</v>
      </c>
      <c r="I287">
        <v>1390</v>
      </c>
      <c r="J287">
        <v>44</v>
      </c>
      <c r="K287">
        <v>3</v>
      </c>
      <c r="L287">
        <v>4</v>
      </c>
      <c r="M287">
        <v>27</v>
      </c>
      <c r="N287">
        <v>601</v>
      </c>
      <c r="O287" s="3">
        <f t="shared" si="14"/>
        <v>4.4262295081967213</v>
      </c>
      <c r="P287">
        <f t="shared" si="12"/>
        <v>1</v>
      </c>
      <c r="Q287">
        <f t="shared" si="13"/>
        <v>1</v>
      </c>
    </row>
    <row r="288" spans="1:17" x14ac:dyDescent="0.2">
      <c r="A288" t="s">
        <v>58</v>
      </c>
      <c r="B288" t="s">
        <v>299</v>
      </c>
      <c r="C288">
        <v>610</v>
      </c>
      <c r="D288" s="2">
        <v>0</v>
      </c>
      <c r="E288">
        <v>40</v>
      </c>
      <c r="F288">
        <v>15</v>
      </c>
      <c r="G288">
        <v>0</v>
      </c>
      <c r="H288">
        <v>290</v>
      </c>
      <c r="I288">
        <v>1400</v>
      </c>
      <c r="J288">
        <v>37</v>
      </c>
      <c r="K288">
        <v>2</v>
      </c>
      <c r="L288">
        <v>7</v>
      </c>
      <c r="M288">
        <v>27</v>
      </c>
      <c r="N288">
        <v>605</v>
      </c>
      <c r="O288" s="3">
        <f t="shared" si="14"/>
        <v>4.4262295081967213</v>
      </c>
      <c r="P288">
        <f t="shared" si="12"/>
        <v>1</v>
      </c>
      <c r="Q288">
        <f t="shared" si="13"/>
        <v>0</v>
      </c>
    </row>
    <row r="289" spans="1:17" x14ac:dyDescent="0.2">
      <c r="A289" t="s">
        <v>25</v>
      </c>
      <c r="B289" t="s">
        <v>300</v>
      </c>
      <c r="C289">
        <v>500</v>
      </c>
      <c r="D289">
        <v>240</v>
      </c>
      <c r="E289">
        <v>26</v>
      </c>
      <c r="F289">
        <v>10</v>
      </c>
      <c r="G289">
        <v>0</v>
      </c>
      <c r="H289">
        <v>70</v>
      </c>
      <c r="I289">
        <v>980</v>
      </c>
      <c r="J289">
        <v>44</v>
      </c>
      <c r="K289">
        <v>3</v>
      </c>
      <c r="L289">
        <v>11</v>
      </c>
      <c r="M289">
        <v>22</v>
      </c>
      <c r="N289">
        <v>499</v>
      </c>
      <c r="O289" s="3">
        <f t="shared" si="14"/>
        <v>4.3999999999999995</v>
      </c>
      <c r="P289">
        <f t="shared" si="12"/>
        <v>1</v>
      </c>
      <c r="Q289">
        <f t="shared" si="13"/>
        <v>0</v>
      </c>
    </row>
    <row r="290" spans="1:17" x14ac:dyDescent="0.2">
      <c r="A290" t="s">
        <v>21</v>
      </c>
      <c r="B290" t="s">
        <v>301</v>
      </c>
      <c r="C290">
        <v>250</v>
      </c>
      <c r="D290" s="2">
        <v>0</v>
      </c>
      <c r="E290">
        <v>21</v>
      </c>
      <c r="F290">
        <v>3.5</v>
      </c>
      <c r="G290">
        <v>0</v>
      </c>
      <c r="H290">
        <v>50</v>
      </c>
      <c r="I290">
        <v>530</v>
      </c>
      <c r="J290">
        <v>6</v>
      </c>
      <c r="K290">
        <v>1</v>
      </c>
      <c r="L290">
        <v>0</v>
      </c>
      <c r="M290">
        <v>11</v>
      </c>
      <c r="N290">
        <v>242.5</v>
      </c>
      <c r="O290" s="3">
        <f t="shared" si="14"/>
        <v>4.3999999999999995</v>
      </c>
      <c r="P290">
        <f t="shared" si="12"/>
        <v>1</v>
      </c>
      <c r="Q290">
        <f t="shared" si="13"/>
        <v>0</v>
      </c>
    </row>
    <row r="291" spans="1:17" x14ac:dyDescent="0.2">
      <c r="A291" t="s">
        <v>21</v>
      </c>
      <c r="B291" t="s">
        <v>302</v>
      </c>
      <c r="C291">
        <v>500</v>
      </c>
      <c r="D291" s="2">
        <v>0</v>
      </c>
      <c r="E291">
        <v>40</v>
      </c>
      <c r="F291">
        <v>7</v>
      </c>
      <c r="G291">
        <v>0</v>
      </c>
      <c r="H291">
        <v>100</v>
      </c>
      <c r="I291">
        <v>970</v>
      </c>
      <c r="J291">
        <v>11</v>
      </c>
      <c r="K291">
        <v>1</v>
      </c>
      <c r="L291">
        <v>1</v>
      </c>
      <c r="M291">
        <v>22</v>
      </c>
      <c r="N291">
        <v>486</v>
      </c>
      <c r="O291" s="3">
        <f t="shared" si="14"/>
        <v>4.3999999999999995</v>
      </c>
      <c r="P291">
        <f t="shared" si="12"/>
        <v>1</v>
      </c>
      <c r="Q291">
        <f t="shared" si="13"/>
        <v>0</v>
      </c>
    </row>
    <row r="292" spans="1:17" x14ac:dyDescent="0.2">
      <c r="A292" t="s">
        <v>159</v>
      </c>
      <c r="B292" t="s">
        <v>303</v>
      </c>
      <c r="C292">
        <v>250</v>
      </c>
      <c r="D292" s="2">
        <v>0</v>
      </c>
      <c r="E292">
        <v>10</v>
      </c>
      <c r="F292">
        <v>4.5</v>
      </c>
      <c r="G292">
        <v>0</v>
      </c>
      <c r="H292">
        <v>25</v>
      </c>
      <c r="I292">
        <v>450</v>
      </c>
      <c r="J292">
        <v>28</v>
      </c>
      <c r="K292">
        <v>2</v>
      </c>
      <c r="L292">
        <v>1</v>
      </c>
      <c r="M292">
        <v>11</v>
      </c>
      <c r="O292" s="3">
        <f t="shared" si="14"/>
        <v>4.3999999999999995</v>
      </c>
      <c r="P292">
        <f t="shared" si="12"/>
        <v>0</v>
      </c>
      <c r="Q292">
        <f t="shared" si="13"/>
        <v>0</v>
      </c>
    </row>
    <row r="293" spans="1:17" x14ac:dyDescent="0.2">
      <c r="A293" t="s">
        <v>51</v>
      </c>
      <c r="B293" t="s">
        <v>304</v>
      </c>
      <c r="C293">
        <v>640</v>
      </c>
      <c r="D293">
        <v>400</v>
      </c>
      <c r="E293">
        <v>45</v>
      </c>
      <c r="F293">
        <v>20</v>
      </c>
      <c r="G293">
        <v>0</v>
      </c>
      <c r="H293">
        <v>225</v>
      </c>
      <c r="I293">
        <v>2190</v>
      </c>
      <c r="J293">
        <v>31</v>
      </c>
      <c r="K293">
        <v>1</v>
      </c>
      <c r="L293">
        <v>4</v>
      </c>
      <c r="M293">
        <v>28</v>
      </c>
      <c r="N293">
        <v>636</v>
      </c>
      <c r="O293" s="3">
        <f t="shared" si="14"/>
        <v>4.375</v>
      </c>
      <c r="P293">
        <f t="shared" si="12"/>
        <v>1</v>
      </c>
      <c r="Q293">
        <f t="shared" si="13"/>
        <v>0</v>
      </c>
    </row>
    <row r="294" spans="1:17" x14ac:dyDescent="0.2">
      <c r="A294" t="s">
        <v>58</v>
      </c>
      <c r="B294" t="s">
        <v>305</v>
      </c>
      <c r="C294">
        <v>480</v>
      </c>
      <c r="D294" s="2">
        <v>0</v>
      </c>
      <c r="E294">
        <v>33</v>
      </c>
      <c r="F294">
        <v>13</v>
      </c>
      <c r="G294">
        <v>0</v>
      </c>
      <c r="H294">
        <v>275</v>
      </c>
      <c r="I294">
        <v>980</v>
      </c>
      <c r="J294">
        <v>27</v>
      </c>
      <c r="K294">
        <v>1</v>
      </c>
      <c r="L294">
        <v>4</v>
      </c>
      <c r="M294">
        <v>21</v>
      </c>
      <c r="N294">
        <v>476</v>
      </c>
      <c r="O294" s="3">
        <f t="shared" si="14"/>
        <v>4.375</v>
      </c>
      <c r="P294">
        <f t="shared" si="12"/>
        <v>1</v>
      </c>
      <c r="Q294">
        <f t="shared" si="13"/>
        <v>0</v>
      </c>
    </row>
    <row r="295" spans="1:17" x14ac:dyDescent="0.2">
      <c r="A295" t="s">
        <v>21</v>
      </c>
      <c r="B295" t="s">
        <v>306</v>
      </c>
      <c r="C295">
        <v>320</v>
      </c>
      <c r="D295" s="2">
        <v>0</v>
      </c>
      <c r="E295">
        <v>15</v>
      </c>
      <c r="F295">
        <v>2.5</v>
      </c>
      <c r="G295">
        <v>0</v>
      </c>
      <c r="H295">
        <v>30</v>
      </c>
      <c r="I295">
        <v>680</v>
      </c>
      <c r="J295">
        <v>31</v>
      </c>
      <c r="K295">
        <v>1</v>
      </c>
      <c r="L295">
        <v>7</v>
      </c>
      <c r="M295">
        <v>14</v>
      </c>
      <c r="N295">
        <v>315.5</v>
      </c>
      <c r="O295" s="3">
        <f t="shared" si="14"/>
        <v>4.375</v>
      </c>
      <c r="P295">
        <f t="shared" si="12"/>
        <v>1</v>
      </c>
      <c r="Q295">
        <f t="shared" si="13"/>
        <v>0</v>
      </c>
    </row>
    <row r="296" spans="1:17" x14ac:dyDescent="0.2">
      <c r="A296" t="s">
        <v>159</v>
      </c>
      <c r="B296" t="s">
        <v>307</v>
      </c>
      <c r="C296">
        <v>320</v>
      </c>
      <c r="D296" s="2">
        <v>0</v>
      </c>
      <c r="E296">
        <v>16</v>
      </c>
      <c r="F296">
        <v>6</v>
      </c>
      <c r="G296">
        <v>0</v>
      </c>
      <c r="H296">
        <v>35</v>
      </c>
      <c r="I296">
        <v>640</v>
      </c>
      <c r="J296">
        <v>31</v>
      </c>
      <c r="K296">
        <v>2</v>
      </c>
      <c r="L296">
        <v>2</v>
      </c>
      <c r="M296">
        <v>14</v>
      </c>
      <c r="O296" s="3">
        <f t="shared" si="14"/>
        <v>4.375</v>
      </c>
      <c r="P296">
        <f t="shared" si="12"/>
        <v>1</v>
      </c>
      <c r="Q296">
        <f t="shared" si="13"/>
        <v>0</v>
      </c>
    </row>
    <row r="297" spans="1:17" x14ac:dyDescent="0.2">
      <c r="A297" t="s">
        <v>159</v>
      </c>
      <c r="B297" t="s">
        <v>308</v>
      </c>
      <c r="C297">
        <v>160</v>
      </c>
      <c r="D297" s="2">
        <v>0</v>
      </c>
      <c r="E297">
        <v>5</v>
      </c>
      <c r="F297">
        <v>2</v>
      </c>
      <c r="G297">
        <v>0</v>
      </c>
      <c r="H297">
        <v>15</v>
      </c>
      <c r="I297">
        <v>570</v>
      </c>
      <c r="J297">
        <v>22</v>
      </c>
      <c r="K297">
        <v>1</v>
      </c>
      <c r="L297">
        <v>2</v>
      </c>
      <c r="M297">
        <v>7</v>
      </c>
      <c r="O297" s="3">
        <f t="shared" si="14"/>
        <v>4.375</v>
      </c>
      <c r="P297">
        <f t="shared" si="12"/>
        <v>1</v>
      </c>
      <c r="Q297">
        <f t="shared" si="13"/>
        <v>0</v>
      </c>
    </row>
    <row r="298" spans="1:17" x14ac:dyDescent="0.2">
      <c r="A298" t="s">
        <v>159</v>
      </c>
      <c r="B298" t="s">
        <v>309</v>
      </c>
      <c r="C298">
        <v>160</v>
      </c>
      <c r="D298" s="2">
        <v>0</v>
      </c>
      <c r="E298">
        <v>7</v>
      </c>
      <c r="F298">
        <v>3</v>
      </c>
      <c r="G298">
        <v>0</v>
      </c>
      <c r="H298">
        <v>20</v>
      </c>
      <c r="I298">
        <v>310</v>
      </c>
      <c r="J298">
        <v>17</v>
      </c>
      <c r="K298">
        <v>1</v>
      </c>
      <c r="L298">
        <v>0</v>
      </c>
      <c r="M298">
        <v>7</v>
      </c>
      <c r="O298" s="3">
        <f t="shared" si="14"/>
        <v>4.375</v>
      </c>
      <c r="P298">
        <f t="shared" si="12"/>
        <v>0</v>
      </c>
      <c r="Q298">
        <f t="shared" si="13"/>
        <v>0</v>
      </c>
    </row>
    <row r="299" spans="1:17" x14ac:dyDescent="0.2">
      <c r="A299" t="s">
        <v>159</v>
      </c>
      <c r="B299" t="s">
        <v>310</v>
      </c>
      <c r="C299">
        <v>320</v>
      </c>
      <c r="D299" s="2">
        <v>0</v>
      </c>
      <c r="E299">
        <v>14</v>
      </c>
      <c r="F299">
        <v>6</v>
      </c>
      <c r="G299">
        <v>0</v>
      </c>
      <c r="H299">
        <v>35</v>
      </c>
      <c r="I299">
        <v>630</v>
      </c>
      <c r="J299">
        <v>35</v>
      </c>
      <c r="K299">
        <v>3</v>
      </c>
      <c r="L299">
        <v>2</v>
      </c>
      <c r="M299">
        <v>14</v>
      </c>
      <c r="O299" s="3">
        <f t="shared" si="14"/>
        <v>4.375</v>
      </c>
      <c r="P299">
        <f t="shared" si="12"/>
        <v>1</v>
      </c>
      <c r="Q299">
        <f t="shared" si="13"/>
        <v>0</v>
      </c>
    </row>
    <row r="300" spans="1:17" x14ac:dyDescent="0.2">
      <c r="A300" t="s">
        <v>159</v>
      </c>
      <c r="B300" t="s">
        <v>311</v>
      </c>
      <c r="C300">
        <v>390</v>
      </c>
      <c r="D300" s="2">
        <v>0</v>
      </c>
      <c r="E300">
        <v>20</v>
      </c>
      <c r="F300">
        <v>8</v>
      </c>
      <c r="G300">
        <v>0</v>
      </c>
      <c r="H300">
        <v>40</v>
      </c>
      <c r="I300">
        <v>670</v>
      </c>
      <c r="J300">
        <v>36</v>
      </c>
      <c r="K300">
        <v>2</v>
      </c>
      <c r="L300">
        <v>2</v>
      </c>
      <c r="M300">
        <v>17</v>
      </c>
      <c r="O300" s="3">
        <f t="shared" si="14"/>
        <v>4.3589743589743586</v>
      </c>
      <c r="P300">
        <f t="shared" si="12"/>
        <v>1</v>
      </c>
      <c r="Q300">
        <f t="shared" si="13"/>
        <v>0</v>
      </c>
    </row>
    <row r="301" spans="1:17" x14ac:dyDescent="0.2">
      <c r="A301" t="s">
        <v>159</v>
      </c>
      <c r="B301" t="s">
        <v>312</v>
      </c>
      <c r="C301">
        <v>390</v>
      </c>
      <c r="D301" s="2">
        <v>0</v>
      </c>
      <c r="E301">
        <v>21</v>
      </c>
      <c r="F301">
        <v>8</v>
      </c>
      <c r="G301">
        <v>0</v>
      </c>
      <c r="H301">
        <v>45</v>
      </c>
      <c r="I301">
        <v>830</v>
      </c>
      <c r="J301">
        <v>34</v>
      </c>
      <c r="K301">
        <v>3</v>
      </c>
      <c r="L301">
        <v>2</v>
      </c>
      <c r="M301">
        <v>17</v>
      </c>
      <c r="O301" s="3">
        <f t="shared" si="14"/>
        <v>4.3589743589743586</v>
      </c>
      <c r="P301">
        <f t="shared" si="12"/>
        <v>1</v>
      </c>
      <c r="Q301">
        <f t="shared" si="13"/>
        <v>0</v>
      </c>
    </row>
    <row r="302" spans="1:17" x14ac:dyDescent="0.2">
      <c r="A302" t="s">
        <v>21</v>
      </c>
      <c r="B302" t="s">
        <v>313</v>
      </c>
      <c r="C302">
        <v>620</v>
      </c>
      <c r="D302" s="2">
        <v>0</v>
      </c>
      <c r="E302">
        <v>39</v>
      </c>
      <c r="F302">
        <v>5</v>
      </c>
      <c r="G302">
        <v>0</v>
      </c>
      <c r="H302">
        <v>65</v>
      </c>
      <c r="I302">
        <v>1820</v>
      </c>
      <c r="J302">
        <v>39</v>
      </c>
      <c r="K302">
        <v>2</v>
      </c>
      <c r="L302">
        <v>0</v>
      </c>
      <c r="M302">
        <v>27</v>
      </c>
      <c r="N302">
        <v>598</v>
      </c>
      <c r="O302" s="3">
        <f t="shared" si="14"/>
        <v>4.354838709677419</v>
      </c>
      <c r="P302">
        <f t="shared" si="12"/>
        <v>1</v>
      </c>
      <c r="Q302">
        <f t="shared" si="13"/>
        <v>0</v>
      </c>
    </row>
    <row r="303" spans="1:17" x14ac:dyDescent="0.2">
      <c r="A303" t="s">
        <v>159</v>
      </c>
      <c r="B303" t="s">
        <v>314</v>
      </c>
      <c r="C303">
        <v>300</v>
      </c>
      <c r="D303" s="2">
        <v>0</v>
      </c>
      <c r="E303">
        <v>15</v>
      </c>
      <c r="F303">
        <v>6</v>
      </c>
      <c r="G303">
        <v>0</v>
      </c>
      <c r="H303">
        <v>35</v>
      </c>
      <c r="I303">
        <v>580</v>
      </c>
      <c r="J303">
        <v>28</v>
      </c>
      <c r="K303">
        <v>2</v>
      </c>
      <c r="L303">
        <v>1</v>
      </c>
      <c r="M303">
        <v>13</v>
      </c>
      <c r="O303" s="3">
        <f t="shared" si="14"/>
        <v>4.3333333333333339</v>
      </c>
      <c r="P303">
        <f t="shared" si="12"/>
        <v>1</v>
      </c>
      <c r="Q303">
        <f t="shared" si="13"/>
        <v>0</v>
      </c>
    </row>
    <row r="304" spans="1:17" x14ac:dyDescent="0.2">
      <c r="A304" t="s">
        <v>159</v>
      </c>
      <c r="B304" t="s">
        <v>315</v>
      </c>
      <c r="C304">
        <v>300</v>
      </c>
      <c r="D304" s="2">
        <v>0</v>
      </c>
      <c r="E304">
        <v>13</v>
      </c>
      <c r="F304">
        <v>6</v>
      </c>
      <c r="G304">
        <v>0</v>
      </c>
      <c r="H304">
        <v>30</v>
      </c>
      <c r="I304">
        <v>590</v>
      </c>
      <c r="J304">
        <v>34</v>
      </c>
      <c r="K304">
        <v>3</v>
      </c>
      <c r="L304">
        <v>2</v>
      </c>
      <c r="M304">
        <v>13</v>
      </c>
      <c r="O304" s="3">
        <f t="shared" si="14"/>
        <v>4.3333333333333339</v>
      </c>
      <c r="P304">
        <f t="shared" si="12"/>
        <v>1</v>
      </c>
      <c r="Q304">
        <f t="shared" si="13"/>
        <v>0</v>
      </c>
    </row>
    <row r="305" spans="1:17" x14ac:dyDescent="0.2">
      <c r="A305" t="s">
        <v>51</v>
      </c>
      <c r="B305" t="s">
        <v>316</v>
      </c>
      <c r="C305">
        <v>740</v>
      </c>
      <c r="D305">
        <v>420</v>
      </c>
      <c r="E305">
        <v>46</v>
      </c>
      <c r="F305">
        <v>16</v>
      </c>
      <c r="G305">
        <v>2</v>
      </c>
      <c r="H305">
        <v>115</v>
      </c>
      <c r="I305">
        <v>1340</v>
      </c>
      <c r="J305">
        <v>50</v>
      </c>
      <c r="K305">
        <v>2</v>
      </c>
      <c r="L305">
        <v>11</v>
      </c>
      <c r="M305">
        <v>32</v>
      </c>
      <c r="N305">
        <v>735</v>
      </c>
      <c r="O305" s="3">
        <f t="shared" si="14"/>
        <v>4.3243243243243246</v>
      </c>
      <c r="P305">
        <f t="shared" si="12"/>
        <v>1</v>
      </c>
      <c r="Q305">
        <f t="shared" si="13"/>
        <v>0</v>
      </c>
    </row>
    <row r="306" spans="1:17" x14ac:dyDescent="0.2">
      <c r="A306" t="s">
        <v>17</v>
      </c>
      <c r="B306" t="s">
        <v>317</v>
      </c>
      <c r="C306">
        <v>370</v>
      </c>
      <c r="D306">
        <v>150</v>
      </c>
      <c r="E306">
        <v>17</v>
      </c>
      <c r="F306">
        <v>8</v>
      </c>
      <c r="G306">
        <v>0</v>
      </c>
      <c r="H306">
        <v>35</v>
      </c>
      <c r="I306">
        <v>970</v>
      </c>
      <c r="J306">
        <v>40</v>
      </c>
      <c r="K306">
        <v>4</v>
      </c>
      <c r="L306">
        <v>2</v>
      </c>
      <c r="M306">
        <v>16</v>
      </c>
      <c r="O306" s="3">
        <f t="shared" si="14"/>
        <v>4.3243243243243246</v>
      </c>
      <c r="P306">
        <f t="shared" si="12"/>
        <v>1</v>
      </c>
      <c r="Q306">
        <f t="shared" si="13"/>
        <v>0</v>
      </c>
    </row>
    <row r="307" spans="1:17" x14ac:dyDescent="0.2">
      <c r="A307" t="s">
        <v>159</v>
      </c>
      <c r="B307" t="s">
        <v>318</v>
      </c>
      <c r="C307">
        <v>440</v>
      </c>
      <c r="D307" s="2">
        <v>0</v>
      </c>
      <c r="E307">
        <v>24</v>
      </c>
      <c r="F307">
        <v>9</v>
      </c>
      <c r="G307">
        <v>0.5</v>
      </c>
      <c r="H307">
        <v>50</v>
      </c>
      <c r="I307">
        <v>850</v>
      </c>
      <c r="J307">
        <v>37</v>
      </c>
      <c r="K307">
        <v>3</v>
      </c>
      <c r="L307">
        <v>2</v>
      </c>
      <c r="M307">
        <v>19</v>
      </c>
      <c r="O307" s="3">
        <f t="shared" si="14"/>
        <v>4.3181818181818183</v>
      </c>
      <c r="P307">
        <f t="shared" si="12"/>
        <v>1</v>
      </c>
      <c r="Q307">
        <f t="shared" si="13"/>
        <v>0</v>
      </c>
    </row>
    <row r="308" spans="1:17" x14ac:dyDescent="0.2">
      <c r="A308" t="s">
        <v>25</v>
      </c>
      <c r="B308" t="s">
        <v>319</v>
      </c>
      <c r="C308">
        <v>140</v>
      </c>
      <c r="D308">
        <v>40</v>
      </c>
      <c r="E308">
        <v>4.5</v>
      </c>
      <c r="F308">
        <v>2</v>
      </c>
      <c r="G308">
        <v>0</v>
      </c>
      <c r="H308">
        <v>10</v>
      </c>
      <c r="I308">
        <v>150</v>
      </c>
      <c r="J308">
        <v>20</v>
      </c>
      <c r="K308">
        <v>6</v>
      </c>
      <c r="L308">
        <v>6</v>
      </c>
      <c r="M308">
        <v>6</v>
      </c>
      <c r="N308">
        <v>142</v>
      </c>
      <c r="O308" s="3">
        <f t="shared" si="14"/>
        <v>4.2857142857142856</v>
      </c>
      <c r="P308">
        <f t="shared" si="12"/>
        <v>0</v>
      </c>
      <c r="Q308">
        <f t="shared" si="13"/>
        <v>0</v>
      </c>
    </row>
    <row r="309" spans="1:17" x14ac:dyDescent="0.2">
      <c r="A309" t="s">
        <v>25</v>
      </c>
      <c r="B309" t="s">
        <v>320</v>
      </c>
      <c r="C309">
        <v>560</v>
      </c>
      <c r="D309">
        <v>240</v>
      </c>
      <c r="E309">
        <v>27</v>
      </c>
      <c r="F309">
        <v>9</v>
      </c>
      <c r="G309">
        <v>0.5</v>
      </c>
      <c r="H309">
        <v>260</v>
      </c>
      <c r="I309">
        <v>1300</v>
      </c>
      <c r="J309">
        <v>56</v>
      </c>
      <c r="K309">
        <v>3</v>
      </c>
      <c r="L309">
        <v>7</v>
      </c>
      <c r="M309">
        <v>24</v>
      </c>
      <c r="N309">
        <v>552</v>
      </c>
      <c r="O309" s="3">
        <f t="shared" si="14"/>
        <v>4.2857142857142856</v>
      </c>
      <c r="P309">
        <f t="shared" si="12"/>
        <v>1</v>
      </c>
      <c r="Q309">
        <f t="shared" si="13"/>
        <v>0</v>
      </c>
    </row>
    <row r="310" spans="1:17" x14ac:dyDescent="0.2">
      <c r="A310" t="s">
        <v>25</v>
      </c>
      <c r="B310" t="s">
        <v>321</v>
      </c>
      <c r="C310">
        <v>280</v>
      </c>
      <c r="D310">
        <v>35</v>
      </c>
      <c r="E310">
        <v>4</v>
      </c>
      <c r="F310">
        <v>2.5</v>
      </c>
      <c r="G310">
        <v>0</v>
      </c>
      <c r="H310">
        <v>10</v>
      </c>
      <c r="I310">
        <v>260</v>
      </c>
      <c r="J310">
        <v>49</v>
      </c>
      <c r="K310">
        <v>0</v>
      </c>
      <c r="L310">
        <v>46</v>
      </c>
      <c r="M310">
        <v>12</v>
      </c>
      <c r="N310">
        <v>316.5</v>
      </c>
      <c r="O310" s="3">
        <f t="shared" si="14"/>
        <v>4.2857142857142856</v>
      </c>
      <c r="P310">
        <f t="shared" si="12"/>
        <v>0</v>
      </c>
      <c r="Q310">
        <f t="shared" si="13"/>
        <v>0</v>
      </c>
    </row>
    <row r="311" spans="1:17" x14ac:dyDescent="0.2">
      <c r="A311" t="s">
        <v>17</v>
      </c>
      <c r="B311" t="s">
        <v>322</v>
      </c>
      <c r="C311">
        <v>560</v>
      </c>
      <c r="D311">
        <v>270</v>
      </c>
      <c r="E311">
        <v>30</v>
      </c>
      <c r="F311">
        <v>10</v>
      </c>
      <c r="G311">
        <v>0</v>
      </c>
      <c r="H311">
        <v>230</v>
      </c>
      <c r="I311">
        <v>1290</v>
      </c>
      <c r="J311">
        <v>49</v>
      </c>
      <c r="K311">
        <v>4</v>
      </c>
      <c r="L311">
        <v>3</v>
      </c>
      <c r="M311">
        <v>24</v>
      </c>
      <c r="O311" s="3">
        <f t="shared" si="14"/>
        <v>4.2857142857142856</v>
      </c>
      <c r="P311">
        <f t="shared" si="12"/>
        <v>1</v>
      </c>
      <c r="Q311">
        <f t="shared" si="13"/>
        <v>0</v>
      </c>
    </row>
    <row r="312" spans="1:17" x14ac:dyDescent="0.2">
      <c r="A312" t="s">
        <v>159</v>
      </c>
      <c r="B312" t="s">
        <v>323</v>
      </c>
      <c r="C312">
        <v>350</v>
      </c>
      <c r="D312" s="2">
        <v>0</v>
      </c>
      <c r="E312">
        <v>14</v>
      </c>
      <c r="F312">
        <v>5</v>
      </c>
      <c r="G312">
        <v>0</v>
      </c>
      <c r="H312">
        <v>30</v>
      </c>
      <c r="I312">
        <v>850</v>
      </c>
      <c r="J312">
        <v>40</v>
      </c>
      <c r="K312">
        <v>2</v>
      </c>
      <c r="L312">
        <v>2</v>
      </c>
      <c r="M312">
        <v>15</v>
      </c>
      <c r="O312" s="3">
        <f t="shared" si="14"/>
        <v>4.2857142857142856</v>
      </c>
      <c r="P312">
        <f t="shared" si="12"/>
        <v>1</v>
      </c>
      <c r="Q312">
        <f t="shared" si="13"/>
        <v>0</v>
      </c>
    </row>
    <row r="313" spans="1:17" x14ac:dyDescent="0.2">
      <c r="A313" t="s">
        <v>159</v>
      </c>
      <c r="B313" t="s">
        <v>324</v>
      </c>
      <c r="C313">
        <v>210</v>
      </c>
      <c r="D313" s="2">
        <v>0</v>
      </c>
      <c r="E313">
        <v>12</v>
      </c>
      <c r="F313">
        <v>4.5</v>
      </c>
      <c r="G313">
        <v>0</v>
      </c>
      <c r="H313">
        <v>25</v>
      </c>
      <c r="I313">
        <v>460</v>
      </c>
      <c r="J313">
        <v>18</v>
      </c>
      <c r="K313">
        <v>1</v>
      </c>
      <c r="L313">
        <v>2</v>
      </c>
      <c r="M313">
        <v>9</v>
      </c>
      <c r="O313" s="3">
        <f t="shared" si="14"/>
        <v>4.2857142857142856</v>
      </c>
      <c r="P313">
        <f t="shared" si="12"/>
        <v>0</v>
      </c>
      <c r="Q313">
        <f t="shared" si="13"/>
        <v>0</v>
      </c>
    </row>
    <row r="314" spans="1:17" x14ac:dyDescent="0.2">
      <c r="A314" t="s">
        <v>159</v>
      </c>
      <c r="B314" t="s">
        <v>325</v>
      </c>
      <c r="C314">
        <v>140</v>
      </c>
      <c r="D314" s="2">
        <v>0</v>
      </c>
      <c r="E314">
        <v>5</v>
      </c>
      <c r="F314">
        <v>2</v>
      </c>
      <c r="G314">
        <v>0</v>
      </c>
      <c r="H314">
        <v>10</v>
      </c>
      <c r="I314">
        <v>290</v>
      </c>
      <c r="J314">
        <v>18</v>
      </c>
      <c r="K314">
        <v>1</v>
      </c>
      <c r="L314">
        <v>2</v>
      </c>
      <c r="M314">
        <v>6</v>
      </c>
      <c r="O314" s="3">
        <f t="shared" si="14"/>
        <v>4.2857142857142856</v>
      </c>
      <c r="P314">
        <f t="shared" si="12"/>
        <v>0</v>
      </c>
      <c r="Q314">
        <f t="shared" si="13"/>
        <v>0</v>
      </c>
    </row>
    <row r="315" spans="1:17" x14ac:dyDescent="0.2">
      <c r="A315" t="s">
        <v>159</v>
      </c>
      <c r="B315" t="s">
        <v>326</v>
      </c>
      <c r="C315">
        <v>140</v>
      </c>
      <c r="D315" s="2">
        <v>0</v>
      </c>
      <c r="E315">
        <v>4</v>
      </c>
      <c r="F315">
        <v>2</v>
      </c>
      <c r="G315">
        <v>0</v>
      </c>
      <c r="H315">
        <v>15</v>
      </c>
      <c r="I315">
        <v>250</v>
      </c>
      <c r="J315">
        <v>20</v>
      </c>
      <c r="K315">
        <v>1</v>
      </c>
      <c r="L315">
        <v>4</v>
      </c>
      <c r="M315">
        <v>6</v>
      </c>
      <c r="O315" s="3">
        <f t="shared" si="14"/>
        <v>4.2857142857142856</v>
      </c>
      <c r="P315">
        <f t="shared" si="12"/>
        <v>0</v>
      </c>
      <c r="Q315">
        <f t="shared" si="13"/>
        <v>0</v>
      </c>
    </row>
    <row r="316" spans="1:17" x14ac:dyDescent="0.2">
      <c r="A316" t="s">
        <v>159</v>
      </c>
      <c r="B316" t="s">
        <v>327</v>
      </c>
      <c r="C316">
        <v>280</v>
      </c>
      <c r="D316" s="2">
        <v>0</v>
      </c>
      <c r="E316">
        <v>10</v>
      </c>
      <c r="F316">
        <v>5</v>
      </c>
      <c r="G316">
        <v>0</v>
      </c>
      <c r="H316">
        <v>20</v>
      </c>
      <c r="I316">
        <v>560</v>
      </c>
      <c r="J316">
        <v>35</v>
      </c>
      <c r="K316">
        <v>3</v>
      </c>
      <c r="L316">
        <v>2</v>
      </c>
      <c r="M316">
        <v>12</v>
      </c>
      <c r="O316" s="3">
        <f t="shared" si="14"/>
        <v>4.2857142857142856</v>
      </c>
      <c r="P316">
        <f t="shared" si="12"/>
        <v>1</v>
      </c>
      <c r="Q316">
        <f t="shared" si="13"/>
        <v>0</v>
      </c>
    </row>
    <row r="317" spans="1:17" x14ac:dyDescent="0.2">
      <c r="A317" t="s">
        <v>51</v>
      </c>
      <c r="B317" t="s">
        <v>328</v>
      </c>
      <c r="C317">
        <v>400</v>
      </c>
      <c r="D317">
        <v>210</v>
      </c>
      <c r="E317">
        <v>24</v>
      </c>
      <c r="F317">
        <v>12</v>
      </c>
      <c r="G317">
        <v>0</v>
      </c>
      <c r="H317">
        <v>175</v>
      </c>
      <c r="I317">
        <v>1550</v>
      </c>
      <c r="J317">
        <v>29</v>
      </c>
      <c r="K317">
        <v>1</v>
      </c>
      <c r="L317">
        <v>3</v>
      </c>
      <c r="M317">
        <v>17</v>
      </c>
      <c r="N317">
        <v>398</v>
      </c>
      <c r="O317" s="3">
        <f t="shared" si="14"/>
        <v>4.25</v>
      </c>
      <c r="P317">
        <f t="shared" si="12"/>
        <v>1</v>
      </c>
      <c r="Q317">
        <f t="shared" si="13"/>
        <v>0</v>
      </c>
    </row>
    <row r="318" spans="1:17" x14ac:dyDescent="0.2">
      <c r="A318" t="s">
        <v>25</v>
      </c>
      <c r="B318" t="s">
        <v>329</v>
      </c>
      <c r="C318">
        <v>330</v>
      </c>
      <c r="D318">
        <v>140</v>
      </c>
      <c r="E318">
        <v>16</v>
      </c>
      <c r="F318">
        <v>4.5</v>
      </c>
      <c r="G318">
        <v>0</v>
      </c>
      <c r="H318">
        <v>30</v>
      </c>
      <c r="I318">
        <v>780</v>
      </c>
      <c r="J318">
        <v>34</v>
      </c>
      <c r="K318">
        <v>1</v>
      </c>
      <c r="L318">
        <v>4</v>
      </c>
      <c r="M318">
        <v>14</v>
      </c>
      <c r="N318">
        <v>324.5</v>
      </c>
      <c r="O318" s="3">
        <f t="shared" si="14"/>
        <v>4.2424242424242431</v>
      </c>
      <c r="P318">
        <f t="shared" si="12"/>
        <v>1</v>
      </c>
      <c r="Q318">
        <f t="shared" si="13"/>
        <v>0</v>
      </c>
    </row>
    <row r="319" spans="1:17" x14ac:dyDescent="0.2">
      <c r="A319" t="s">
        <v>25</v>
      </c>
      <c r="B319" t="s">
        <v>330</v>
      </c>
      <c r="C319">
        <v>330</v>
      </c>
      <c r="D319">
        <v>140</v>
      </c>
      <c r="E319">
        <v>15</v>
      </c>
      <c r="F319">
        <v>4.5</v>
      </c>
      <c r="G319">
        <v>0</v>
      </c>
      <c r="H319">
        <v>30</v>
      </c>
      <c r="I319">
        <v>810</v>
      </c>
      <c r="J319">
        <v>35</v>
      </c>
      <c r="K319">
        <v>1</v>
      </c>
      <c r="L319">
        <v>4</v>
      </c>
      <c r="M319">
        <v>14</v>
      </c>
      <c r="N319">
        <v>324.5</v>
      </c>
      <c r="O319" s="3">
        <f t="shared" si="14"/>
        <v>4.2424242424242431</v>
      </c>
      <c r="P319">
        <f t="shared" si="12"/>
        <v>1</v>
      </c>
      <c r="Q319">
        <f t="shared" si="13"/>
        <v>0</v>
      </c>
    </row>
    <row r="320" spans="1:17" x14ac:dyDescent="0.2">
      <c r="A320" t="s">
        <v>51</v>
      </c>
      <c r="B320" t="s">
        <v>331</v>
      </c>
      <c r="C320">
        <v>660</v>
      </c>
      <c r="D320">
        <v>360</v>
      </c>
      <c r="E320">
        <v>40</v>
      </c>
      <c r="F320">
        <v>12</v>
      </c>
      <c r="G320">
        <v>1.5</v>
      </c>
      <c r="H320">
        <v>90</v>
      </c>
      <c r="I320">
        <v>980</v>
      </c>
      <c r="J320">
        <v>49</v>
      </c>
      <c r="K320">
        <v>2</v>
      </c>
      <c r="L320">
        <v>11</v>
      </c>
      <c r="M320">
        <v>28</v>
      </c>
      <c r="N320">
        <v>655</v>
      </c>
      <c r="O320" s="3">
        <f t="shared" si="14"/>
        <v>4.2424242424242431</v>
      </c>
      <c r="P320">
        <f t="shared" si="12"/>
        <v>1</v>
      </c>
      <c r="Q320">
        <f t="shared" si="13"/>
        <v>0</v>
      </c>
    </row>
    <row r="321" spans="1:17" x14ac:dyDescent="0.2">
      <c r="A321" t="s">
        <v>51</v>
      </c>
      <c r="B321" t="s">
        <v>332</v>
      </c>
      <c r="C321">
        <v>660</v>
      </c>
      <c r="D321">
        <v>360</v>
      </c>
      <c r="E321">
        <v>40</v>
      </c>
      <c r="F321">
        <v>7</v>
      </c>
      <c r="G321">
        <v>0</v>
      </c>
      <c r="H321">
        <v>75</v>
      </c>
      <c r="I321">
        <v>1170</v>
      </c>
      <c r="J321">
        <v>48</v>
      </c>
      <c r="K321">
        <v>2</v>
      </c>
      <c r="L321">
        <v>5</v>
      </c>
      <c r="M321">
        <v>28</v>
      </c>
      <c r="N321">
        <v>644</v>
      </c>
      <c r="O321" s="3">
        <f t="shared" si="14"/>
        <v>4.2424242424242431</v>
      </c>
      <c r="P321">
        <f t="shared" si="12"/>
        <v>1</v>
      </c>
      <c r="Q321">
        <f t="shared" si="13"/>
        <v>0</v>
      </c>
    </row>
    <row r="322" spans="1:17" x14ac:dyDescent="0.2">
      <c r="A322" t="s">
        <v>58</v>
      </c>
      <c r="B322" t="s">
        <v>333</v>
      </c>
      <c r="C322">
        <v>330</v>
      </c>
      <c r="D322" s="2">
        <v>0</v>
      </c>
      <c r="E322">
        <v>16</v>
      </c>
      <c r="F322">
        <v>3</v>
      </c>
      <c r="G322">
        <v>0</v>
      </c>
      <c r="H322">
        <v>30</v>
      </c>
      <c r="I322">
        <v>600</v>
      </c>
      <c r="J322">
        <v>33</v>
      </c>
      <c r="K322">
        <v>2</v>
      </c>
      <c r="L322">
        <v>4</v>
      </c>
      <c r="M322">
        <v>14</v>
      </c>
      <c r="N322">
        <v>323</v>
      </c>
      <c r="O322" s="3">
        <f t="shared" si="14"/>
        <v>4.2424242424242431</v>
      </c>
      <c r="P322">
        <f t="shared" ref="P322:P385" si="15">IF(I322&gt;2300*0.2,1,0)</f>
        <v>1</v>
      </c>
      <c r="Q322">
        <f t="shared" ref="Q322:Q385" si="16">IF(H322&gt;300,1,0)</f>
        <v>0</v>
      </c>
    </row>
    <row r="323" spans="1:17" x14ac:dyDescent="0.2">
      <c r="A323" t="s">
        <v>159</v>
      </c>
      <c r="B323" t="s">
        <v>334</v>
      </c>
      <c r="C323">
        <v>330</v>
      </c>
      <c r="D323" s="2">
        <v>0</v>
      </c>
      <c r="E323">
        <v>17</v>
      </c>
      <c r="F323">
        <v>7</v>
      </c>
      <c r="G323">
        <v>0</v>
      </c>
      <c r="H323">
        <v>40</v>
      </c>
      <c r="I323">
        <v>720</v>
      </c>
      <c r="J323">
        <v>30</v>
      </c>
      <c r="K323">
        <v>2</v>
      </c>
      <c r="L323">
        <v>2</v>
      </c>
      <c r="M323">
        <v>14</v>
      </c>
      <c r="O323" s="3">
        <f t="shared" si="14"/>
        <v>4.2424242424242431</v>
      </c>
      <c r="P323">
        <f t="shared" si="15"/>
        <v>1</v>
      </c>
      <c r="Q323">
        <f t="shared" si="16"/>
        <v>0</v>
      </c>
    </row>
    <row r="324" spans="1:17" x14ac:dyDescent="0.2">
      <c r="A324" t="s">
        <v>159</v>
      </c>
      <c r="B324" t="s">
        <v>335</v>
      </c>
      <c r="C324">
        <v>330</v>
      </c>
      <c r="D324" s="2">
        <v>0</v>
      </c>
      <c r="E324">
        <v>15</v>
      </c>
      <c r="F324">
        <v>5</v>
      </c>
      <c r="G324">
        <v>0</v>
      </c>
      <c r="H324">
        <v>25</v>
      </c>
      <c r="I324">
        <v>620</v>
      </c>
      <c r="J324">
        <v>38</v>
      </c>
      <c r="K324">
        <v>3</v>
      </c>
      <c r="L324">
        <v>3</v>
      </c>
      <c r="M324">
        <v>14</v>
      </c>
      <c r="O324" s="3">
        <f t="shared" si="14"/>
        <v>4.2424242424242431</v>
      </c>
      <c r="P324">
        <f t="shared" si="15"/>
        <v>1</v>
      </c>
      <c r="Q324">
        <f t="shared" si="16"/>
        <v>0</v>
      </c>
    </row>
    <row r="325" spans="1:17" x14ac:dyDescent="0.2">
      <c r="A325" t="s">
        <v>159</v>
      </c>
      <c r="B325" t="s">
        <v>336</v>
      </c>
      <c r="C325">
        <v>260</v>
      </c>
      <c r="D325" s="2">
        <v>0</v>
      </c>
      <c r="E325">
        <v>9</v>
      </c>
      <c r="F325">
        <v>4</v>
      </c>
      <c r="G325">
        <v>0</v>
      </c>
      <c r="H325">
        <v>20</v>
      </c>
      <c r="I325">
        <v>510</v>
      </c>
      <c r="J325">
        <v>36</v>
      </c>
      <c r="K325">
        <v>3</v>
      </c>
      <c r="L325">
        <v>3</v>
      </c>
      <c r="M325">
        <v>11</v>
      </c>
      <c r="O325" s="3">
        <f t="shared" si="14"/>
        <v>4.2307692307692308</v>
      </c>
      <c r="P325">
        <f t="shared" si="15"/>
        <v>1</v>
      </c>
      <c r="Q325">
        <f t="shared" si="16"/>
        <v>0</v>
      </c>
    </row>
    <row r="326" spans="1:17" x14ac:dyDescent="0.2">
      <c r="A326" t="s">
        <v>17</v>
      </c>
      <c r="B326" t="s">
        <v>337</v>
      </c>
      <c r="C326">
        <v>190</v>
      </c>
      <c r="D326">
        <v>100</v>
      </c>
      <c r="E326">
        <v>11</v>
      </c>
      <c r="F326">
        <v>4.5</v>
      </c>
      <c r="G326">
        <v>0</v>
      </c>
      <c r="H326">
        <v>25</v>
      </c>
      <c r="I326">
        <v>340</v>
      </c>
      <c r="J326">
        <v>15</v>
      </c>
      <c r="K326">
        <v>3</v>
      </c>
      <c r="L326">
        <v>2</v>
      </c>
      <c r="M326">
        <v>8</v>
      </c>
      <c r="O326" s="3">
        <f t="shared" ref="O326:O389" si="17">M326/C326*100</f>
        <v>4.2105263157894735</v>
      </c>
      <c r="P326">
        <f t="shared" si="15"/>
        <v>0</v>
      </c>
      <c r="Q326">
        <f t="shared" si="16"/>
        <v>0</v>
      </c>
    </row>
    <row r="327" spans="1:17" x14ac:dyDescent="0.2">
      <c r="A327" t="s">
        <v>17</v>
      </c>
      <c r="B327" t="s">
        <v>338</v>
      </c>
      <c r="C327">
        <v>190</v>
      </c>
      <c r="D327">
        <v>100</v>
      </c>
      <c r="E327">
        <v>11</v>
      </c>
      <c r="F327">
        <v>4.5</v>
      </c>
      <c r="G327">
        <v>0</v>
      </c>
      <c r="H327">
        <v>30</v>
      </c>
      <c r="I327">
        <v>380</v>
      </c>
      <c r="J327">
        <v>15</v>
      </c>
      <c r="K327">
        <v>3</v>
      </c>
      <c r="L327">
        <v>2</v>
      </c>
      <c r="M327">
        <v>8</v>
      </c>
      <c r="O327" s="3">
        <f t="shared" si="17"/>
        <v>4.2105263157894735</v>
      </c>
      <c r="P327">
        <f t="shared" si="15"/>
        <v>0</v>
      </c>
      <c r="Q327">
        <f t="shared" si="16"/>
        <v>0</v>
      </c>
    </row>
    <row r="328" spans="1:17" x14ac:dyDescent="0.2">
      <c r="A328" t="s">
        <v>17</v>
      </c>
      <c r="B328" t="s">
        <v>339</v>
      </c>
      <c r="C328">
        <v>570</v>
      </c>
      <c r="D328">
        <v>270</v>
      </c>
      <c r="E328">
        <v>30</v>
      </c>
      <c r="F328">
        <v>9</v>
      </c>
      <c r="G328">
        <v>0</v>
      </c>
      <c r="H328">
        <v>140</v>
      </c>
      <c r="I328">
        <v>1290</v>
      </c>
      <c r="J328">
        <v>50</v>
      </c>
      <c r="K328">
        <v>4</v>
      </c>
      <c r="L328">
        <v>2</v>
      </c>
      <c r="M328">
        <v>24</v>
      </c>
      <c r="O328" s="3">
        <f t="shared" si="17"/>
        <v>4.2105263157894735</v>
      </c>
      <c r="P328">
        <f t="shared" si="15"/>
        <v>1</v>
      </c>
      <c r="Q328">
        <f t="shared" si="16"/>
        <v>0</v>
      </c>
    </row>
    <row r="329" spans="1:17" x14ac:dyDescent="0.2">
      <c r="A329" t="s">
        <v>159</v>
      </c>
      <c r="B329" t="s">
        <v>340</v>
      </c>
      <c r="C329">
        <v>380</v>
      </c>
      <c r="D329" s="2">
        <v>0</v>
      </c>
      <c r="E329">
        <v>16</v>
      </c>
      <c r="F329">
        <v>6</v>
      </c>
      <c r="G329">
        <v>0</v>
      </c>
      <c r="H329">
        <v>35</v>
      </c>
      <c r="I329">
        <v>650</v>
      </c>
      <c r="J329">
        <v>43</v>
      </c>
      <c r="K329">
        <v>2</v>
      </c>
      <c r="L329">
        <v>7</v>
      </c>
      <c r="M329">
        <v>16</v>
      </c>
      <c r="O329" s="3">
        <f t="shared" si="17"/>
        <v>4.2105263157894735</v>
      </c>
      <c r="P329">
        <f t="shared" si="15"/>
        <v>1</v>
      </c>
      <c r="Q329">
        <f t="shared" si="16"/>
        <v>0</v>
      </c>
    </row>
    <row r="330" spans="1:17" x14ac:dyDescent="0.2">
      <c r="A330" t="s">
        <v>51</v>
      </c>
      <c r="B330" t="s">
        <v>341</v>
      </c>
      <c r="C330">
        <v>310</v>
      </c>
      <c r="D330">
        <v>160</v>
      </c>
      <c r="E330">
        <v>18</v>
      </c>
      <c r="F330">
        <v>5</v>
      </c>
      <c r="G330">
        <v>0.5</v>
      </c>
      <c r="H330">
        <v>40</v>
      </c>
      <c r="I330">
        <v>390</v>
      </c>
      <c r="J330">
        <v>27</v>
      </c>
      <c r="K330">
        <v>1</v>
      </c>
      <c r="L330">
        <v>7</v>
      </c>
      <c r="M330">
        <v>13</v>
      </c>
      <c r="N330">
        <v>309</v>
      </c>
      <c r="O330" s="3">
        <f t="shared" si="17"/>
        <v>4.1935483870967749</v>
      </c>
      <c r="P330">
        <f t="shared" si="15"/>
        <v>0</v>
      </c>
      <c r="Q330">
        <f t="shared" si="16"/>
        <v>0</v>
      </c>
    </row>
    <row r="331" spans="1:17" x14ac:dyDescent="0.2">
      <c r="A331" t="s">
        <v>159</v>
      </c>
      <c r="B331" t="s">
        <v>342</v>
      </c>
      <c r="C331">
        <v>240</v>
      </c>
      <c r="D331" s="2">
        <v>0</v>
      </c>
      <c r="E331">
        <v>10</v>
      </c>
      <c r="F331">
        <v>4.5</v>
      </c>
      <c r="G331">
        <v>0</v>
      </c>
      <c r="H331">
        <v>15</v>
      </c>
      <c r="I331">
        <v>470</v>
      </c>
      <c r="J331">
        <v>29</v>
      </c>
      <c r="K331">
        <v>2</v>
      </c>
      <c r="L331">
        <v>1</v>
      </c>
      <c r="M331">
        <v>10</v>
      </c>
      <c r="O331" s="3">
        <f t="shared" si="17"/>
        <v>4.1666666666666661</v>
      </c>
      <c r="P331">
        <f t="shared" si="15"/>
        <v>1</v>
      </c>
      <c r="Q331">
        <f t="shared" si="16"/>
        <v>0</v>
      </c>
    </row>
    <row r="332" spans="1:17" x14ac:dyDescent="0.2">
      <c r="A332" t="s">
        <v>159</v>
      </c>
      <c r="B332" t="s">
        <v>343</v>
      </c>
      <c r="C332">
        <v>240</v>
      </c>
      <c r="D332" s="2">
        <v>0</v>
      </c>
      <c r="E332">
        <v>10</v>
      </c>
      <c r="F332">
        <v>4</v>
      </c>
      <c r="G332">
        <v>0</v>
      </c>
      <c r="H332">
        <v>25</v>
      </c>
      <c r="I332">
        <v>450</v>
      </c>
      <c r="J332">
        <v>26</v>
      </c>
      <c r="K332">
        <v>2</v>
      </c>
      <c r="L332">
        <v>2</v>
      </c>
      <c r="M332">
        <v>10</v>
      </c>
      <c r="O332" s="3">
        <f t="shared" si="17"/>
        <v>4.1666666666666661</v>
      </c>
      <c r="P332">
        <f t="shared" si="15"/>
        <v>0</v>
      </c>
      <c r="Q332">
        <f t="shared" si="16"/>
        <v>0</v>
      </c>
    </row>
    <row r="333" spans="1:17" x14ac:dyDescent="0.2">
      <c r="A333" t="s">
        <v>159</v>
      </c>
      <c r="B333" t="s">
        <v>344</v>
      </c>
      <c r="C333">
        <v>120</v>
      </c>
      <c r="D333" s="2">
        <v>0</v>
      </c>
      <c r="E333">
        <v>4</v>
      </c>
      <c r="F333">
        <v>1.5</v>
      </c>
      <c r="G333">
        <v>0</v>
      </c>
      <c r="H333">
        <v>10</v>
      </c>
      <c r="I333">
        <v>230</v>
      </c>
      <c r="J333">
        <v>17</v>
      </c>
      <c r="K333">
        <v>1</v>
      </c>
      <c r="L333">
        <v>1</v>
      </c>
      <c r="M333">
        <v>5</v>
      </c>
      <c r="O333" s="3">
        <f t="shared" si="17"/>
        <v>4.1666666666666661</v>
      </c>
      <c r="P333">
        <f t="shared" si="15"/>
        <v>0</v>
      </c>
      <c r="Q333">
        <f t="shared" si="16"/>
        <v>0</v>
      </c>
    </row>
    <row r="334" spans="1:17" x14ac:dyDescent="0.2">
      <c r="A334" t="s">
        <v>25</v>
      </c>
      <c r="B334" t="s">
        <v>345</v>
      </c>
      <c r="C334">
        <v>410</v>
      </c>
      <c r="D334">
        <v>180</v>
      </c>
      <c r="E334">
        <v>20</v>
      </c>
      <c r="F334">
        <v>8</v>
      </c>
      <c r="G334">
        <v>0</v>
      </c>
      <c r="H334">
        <v>30</v>
      </c>
      <c r="I334">
        <v>1180</v>
      </c>
      <c r="J334">
        <v>41</v>
      </c>
      <c r="K334">
        <v>2</v>
      </c>
      <c r="L334">
        <v>3</v>
      </c>
      <c r="M334">
        <v>17</v>
      </c>
      <c r="N334">
        <v>404</v>
      </c>
      <c r="O334" s="3">
        <f t="shared" si="17"/>
        <v>4.1463414634146343</v>
      </c>
      <c r="P334">
        <f t="shared" si="15"/>
        <v>1</v>
      </c>
      <c r="Q334">
        <f t="shared" si="16"/>
        <v>0</v>
      </c>
    </row>
    <row r="335" spans="1:17" x14ac:dyDescent="0.2">
      <c r="A335" t="s">
        <v>159</v>
      </c>
      <c r="B335" t="s">
        <v>346</v>
      </c>
      <c r="C335">
        <v>290</v>
      </c>
      <c r="D335" s="2">
        <v>0</v>
      </c>
      <c r="E335">
        <v>15</v>
      </c>
      <c r="F335">
        <v>6</v>
      </c>
      <c r="G335">
        <v>0</v>
      </c>
      <c r="H335">
        <v>30</v>
      </c>
      <c r="I335">
        <v>590</v>
      </c>
      <c r="J335">
        <v>26</v>
      </c>
      <c r="K335">
        <v>2</v>
      </c>
      <c r="L335">
        <v>1</v>
      </c>
      <c r="M335">
        <v>12</v>
      </c>
      <c r="O335" s="3">
        <f t="shared" si="17"/>
        <v>4.1379310344827589</v>
      </c>
      <c r="P335">
        <f t="shared" si="15"/>
        <v>1</v>
      </c>
      <c r="Q335">
        <f t="shared" si="16"/>
        <v>0</v>
      </c>
    </row>
    <row r="336" spans="1:17" x14ac:dyDescent="0.2">
      <c r="A336" t="s">
        <v>58</v>
      </c>
      <c r="B336" t="s">
        <v>347</v>
      </c>
      <c r="C336">
        <v>460</v>
      </c>
      <c r="D336" s="2">
        <v>0</v>
      </c>
      <c r="E336">
        <v>11</v>
      </c>
      <c r="F336">
        <v>5</v>
      </c>
      <c r="G336">
        <v>0</v>
      </c>
      <c r="H336">
        <v>35</v>
      </c>
      <c r="I336">
        <v>710</v>
      </c>
      <c r="J336">
        <v>71</v>
      </c>
      <c r="K336">
        <v>8</v>
      </c>
      <c r="L336">
        <v>7</v>
      </c>
      <c r="M336">
        <v>19</v>
      </c>
      <c r="N336">
        <v>453</v>
      </c>
      <c r="O336" s="3">
        <f t="shared" si="17"/>
        <v>4.1304347826086953</v>
      </c>
      <c r="P336">
        <f t="shared" si="15"/>
        <v>1</v>
      </c>
      <c r="Q336">
        <f t="shared" si="16"/>
        <v>0</v>
      </c>
    </row>
    <row r="337" spans="1:17" x14ac:dyDescent="0.2">
      <c r="A337" t="s">
        <v>25</v>
      </c>
      <c r="B337" t="s">
        <v>348</v>
      </c>
      <c r="C337">
        <v>340</v>
      </c>
      <c r="D337">
        <v>150</v>
      </c>
      <c r="E337">
        <v>17</v>
      </c>
      <c r="F337">
        <v>4.5</v>
      </c>
      <c r="G337">
        <v>0</v>
      </c>
      <c r="H337">
        <v>30</v>
      </c>
      <c r="I337">
        <v>810</v>
      </c>
      <c r="J337">
        <v>33</v>
      </c>
      <c r="K337">
        <v>1</v>
      </c>
      <c r="L337">
        <v>2</v>
      </c>
      <c r="M337">
        <v>14</v>
      </c>
      <c r="N337">
        <v>332.5</v>
      </c>
      <c r="O337" s="3">
        <f t="shared" si="17"/>
        <v>4.117647058823529</v>
      </c>
      <c r="P337">
        <f t="shared" si="15"/>
        <v>1</v>
      </c>
      <c r="Q337">
        <f t="shared" si="16"/>
        <v>0</v>
      </c>
    </row>
    <row r="338" spans="1:17" x14ac:dyDescent="0.2">
      <c r="A338" t="s">
        <v>25</v>
      </c>
      <c r="B338" t="s">
        <v>349</v>
      </c>
      <c r="C338">
        <v>170</v>
      </c>
      <c r="D338">
        <v>0</v>
      </c>
      <c r="E338">
        <v>0</v>
      </c>
      <c r="F338">
        <v>0</v>
      </c>
      <c r="G338">
        <v>0</v>
      </c>
      <c r="H338">
        <v>5</v>
      </c>
      <c r="I338">
        <v>150</v>
      </c>
      <c r="J338">
        <v>36</v>
      </c>
      <c r="K338">
        <v>0</v>
      </c>
      <c r="L338">
        <v>36</v>
      </c>
      <c r="M338">
        <v>7</v>
      </c>
      <c r="N338">
        <v>199</v>
      </c>
      <c r="O338" s="3">
        <f t="shared" si="17"/>
        <v>4.117647058823529</v>
      </c>
      <c r="P338">
        <f t="shared" si="15"/>
        <v>0</v>
      </c>
      <c r="Q338">
        <f t="shared" si="16"/>
        <v>0</v>
      </c>
    </row>
    <row r="339" spans="1:17" x14ac:dyDescent="0.2">
      <c r="A339" t="s">
        <v>21</v>
      </c>
      <c r="B339" t="s">
        <v>350</v>
      </c>
      <c r="C339">
        <v>340</v>
      </c>
      <c r="D339" s="2">
        <v>0</v>
      </c>
      <c r="E339">
        <v>19</v>
      </c>
      <c r="F339">
        <v>3</v>
      </c>
      <c r="G339">
        <v>0</v>
      </c>
      <c r="H339">
        <v>30</v>
      </c>
      <c r="I339">
        <v>680</v>
      </c>
      <c r="J339">
        <v>27</v>
      </c>
      <c r="K339">
        <v>1</v>
      </c>
      <c r="L339">
        <v>3</v>
      </c>
      <c r="M339">
        <v>14</v>
      </c>
      <c r="N339">
        <v>332</v>
      </c>
      <c r="O339" s="3">
        <f t="shared" si="17"/>
        <v>4.117647058823529</v>
      </c>
      <c r="P339">
        <f t="shared" si="15"/>
        <v>1</v>
      </c>
      <c r="Q339">
        <f t="shared" si="16"/>
        <v>0</v>
      </c>
    </row>
    <row r="340" spans="1:17" x14ac:dyDescent="0.2">
      <c r="A340" t="s">
        <v>159</v>
      </c>
      <c r="B340" t="s">
        <v>351</v>
      </c>
      <c r="C340">
        <v>170</v>
      </c>
      <c r="D340" s="2">
        <v>0</v>
      </c>
      <c r="E340">
        <v>8</v>
      </c>
      <c r="F340">
        <v>3</v>
      </c>
      <c r="G340">
        <v>0</v>
      </c>
      <c r="H340">
        <v>15</v>
      </c>
      <c r="I340">
        <v>360</v>
      </c>
      <c r="J340">
        <v>18</v>
      </c>
      <c r="K340">
        <v>1</v>
      </c>
      <c r="L340">
        <v>2</v>
      </c>
      <c r="M340">
        <v>7</v>
      </c>
      <c r="O340" s="3">
        <f t="shared" si="17"/>
        <v>4.117647058823529</v>
      </c>
      <c r="P340">
        <f t="shared" si="15"/>
        <v>0</v>
      </c>
      <c r="Q340">
        <f t="shared" si="16"/>
        <v>0</v>
      </c>
    </row>
    <row r="341" spans="1:17" x14ac:dyDescent="0.2">
      <c r="A341" t="s">
        <v>25</v>
      </c>
      <c r="B341" t="s">
        <v>352</v>
      </c>
      <c r="C341">
        <v>390</v>
      </c>
      <c r="D341">
        <v>50</v>
      </c>
      <c r="E341">
        <v>6</v>
      </c>
      <c r="F341">
        <v>3.5</v>
      </c>
      <c r="G341">
        <v>0</v>
      </c>
      <c r="H341">
        <v>10</v>
      </c>
      <c r="I341">
        <v>250</v>
      </c>
      <c r="J341">
        <v>68</v>
      </c>
      <c r="K341">
        <v>0</v>
      </c>
      <c r="L341">
        <v>59</v>
      </c>
      <c r="M341">
        <v>16</v>
      </c>
      <c r="N341">
        <v>436.5</v>
      </c>
      <c r="O341" s="3">
        <f t="shared" si="17"/>
        <v>4.1025641025641022</v>
      </c>
      <c r="P341">
        <f t="shared" si="15"/>
        <v>0</v>
      </c>
      <c r="Q341">
        <f t="shared" si="16"/>
        <v>0</v>
      </c>
    </row>
    <row r="342" spans="1:17" x14ac:dyDescent="0.2">
      <c r="A342" t="s">
        <v>51</v>
      </c>
      <c r="B342" t="s">
        <v>353</v>
      </c>
      <c r="C342">
        <v>780</v>
      </c>
      <c r="D342">
        <v>380</v>
      </c>
      <c r="E342">
        <v>42</v>
      </c>
      <c r="F342">
        <v>15</v>
      </c>
      <c r="G342">
        <v>0</v>
      </c>
      <c r="H342">
        <v>355</v>
      </c>
      <c r="I342">
        <v>1960</v>
      </c>
      <c r="J342">
        <v>68</v>
      </c>
      <c r="K342">
        <v>3</v>
      </c>
      <c r="L342">
        <v>4</v>
      </c>
      <c r="M342">
        <v>32</v>
      </c>
      <c r="N342">
        <v>767</v>
      </c>
      <c r="O342" s="3">
        <f t="shared" si="17"/>
        <v>4.1025641025641022</v>
      </c>
      <c r="P342">
        <f t="shared" si="15"/>
        <v>1</v>
      </c>
      <c r="Q342">
        <f t="shared" si="16"/>
        <v>1</v>
      </c>
    </row>
    <row r="343" spans="1:17" x14ac:dyDescent="0.2">
      <c r="A343" t="s">
        <v>17</v>
      </c>
      <c r="B343" t="s">
        <v>354</v>
      </c>
      <c r="C343">
        <v>390</v>
      </c>
      <c r="D343">
        <v>130</v>
      </c>
      <c r="E343">
        <v>14</v>
      </c>
      <c r="F343">
        <v>6</v>
      </c>
      <c r="G343">
        <v>0</v>
      </c>
      <c r="H343">
        <v>25</v>
      </c>
      <c r="I343">
        <v>1110</v>
      </c>
      <c r="J343">
        <v>51</v>
      </c>
      <c r="K343">
        <v>9</v>
      </c>
      <c r="L343">
        <v>4</v>
      </c>
      <c r="M343">
        <v>16</v>
      </c>
      <c r="O343" s="3">
        <f t="shared" si="17"/>
        <v>4.1025641025641022</v>
      </c>
      <c r="P343">
        <f t="shared" si="15"/>
        <v>1</v>
      </c>
      <c r="Q343">
        <f t="shared" si="16"/>
        <v>0</v>
      </c>
    </row>
    <row r="344" spans="1:17" x14ac:dyDescent="0.2">
      <c r="A344" t="s">
        <v>159</v>
      </c>
      <c r="B344" t="s">
        <v>355</v>
      </c>
      <c r="C344">
        <v>390</v>
      </c>
      <c r="D344" s="2">
        <v>0</v>
      </c>
      <c r="E344">
        <v>20</v>
      </c>
      <c r="F344">
        <v>7</v>
      </c>
      <c r="G344">
        <v>0</v>
      </c>
      <c r="H344">
        <v>40</v>
      </c>
      <c r="I344">
        <v>740</v>
      </c>
      <c r="J344">
        <v>37</v>
      </c>
      <c r="K344">
        <v>2</v>
      </c>
      <c r="L344">
        <v>2</v>
      </c>
      <c r="M344">
        <v>16</v>
      </c>
      <c r="O344" s="3">
        <f t="shared" si="17"/>
        <v>4.1025641025641022</v>
      </c>
      <c r="P344">
        <f t="shared" si="15"/>
        <v>1</v>
      </c>
      <c r="Q344">
        <f t="shared" si="16"/>
        <v>0</v>
      </c>
    </row>
    <row r="345" spans="1:17" x14ac:dyDescent="0.2">
      <c r="A345" t="s">
        <v>25</v>
      </c>
      <c r="B345" t="s">
        <v>356</v>
      </c>
      <c r="C345">
        <v>220</v>
      </c>
      <c r="D345">
        <v>0</v>
      </c>
      <c r="E345">
        <v>0</v>
      </c>
      <c r="F345">
        <v>0</v>
      </c>
      <c r="G345">
        <v>0</v>
      </c>
      <c r="H345">
        <v>5</v>
      </c>
      <c r="I345">
        <v>180</v>
      </c>
      <c r="J345">
        <v>45</v>
      </c>
      <c r="K345">
        <v>0</v>
      </c>
      <c r="L345">
        <v>45</v>
      </c>
      <c r="M345">
        <v>9</v>
      </c>
      <c r="N345">
        <v>256</v>
      </c>
      <c r="O345" s="3">
        <f t="shared" si="17"/>
        <v>4.0909090909090908</v>
      </c>
      <c r="P345">
        <f t="shared" si="15"/>
        <v>0</v>
      </c>
      <c r="Q345">
        <f t="shared" si="16"/>
        <v>0</v>
      </c>
    </row>
    <row r="346" spans="1:17" x14ac:dyDescent="0.2">
      <c r="A346" t="s">
        <v>25</v>
      </c>
      <c r="B346" t="s">
        <v>357</v>
      </c>
      <c r="C346">
        <v>220</v>
      </c>
      <c r="D346">
        <v>0</v>
      </c>
      <c r="E346">
        <v>0</v>
      </c>
      <c r="F346">
        <v>0</v>
      </c>
      <c r="G346">
        <v>0</v>
      </c>
      <c r="H346">
        <v>5</v>
      </c>
      <c r="I346">
        <v>115</v>
      </c>
      <c r="J346">
        <v>46</v>
      </c>
      <c r="K346">
        <v>0</v>
      </c>
      <c r="L346">
        <v>46</v>
      </c>
      <c r="M346">
        <v>9</v>
      </c>
      <c r="N346">
        <v>257</v>
      </c>
      <c r="O346" s="3">
        <f t="shared" si="17"/>
        <v>4.0909090909090908</v>
      </c>
      <c r="P346">
        <f t="shared" si="15"/>
        <v>0</v>
      </c>
      <c r="Q346">
        <f t="shared" si="16"/>
        <v>0</v>
      </c>
    </row>
    <row r="347" spans="1:17" x14ac:dyDescent="0.2">
      <c r="A347" t="s">
        <v>25</v>
      </c>
      <c r="B347" t="s">
        <v>358</v>
      </c>
      <c r="C347">
        <v>220</v>
      </c>
      <c r="D347">
        <v>0</v>
      </c>
      <c r="E347">
        <v>0</v>
      </c>
      <c r="F347">
        <v>0</v>
      </c>
      <c r="G347">
        <v>0</v>
      </c>
      <c r="H347">
        <v>5</v>
      </c>
      <c r="I347">
        <v>115</v>
      </c>
      <c r="J347">
        <v>46</v>
      </c>
      <c r="K347">
        <v>0</v>
      </c>
      <c r="L347">
        <v>46</v>
      </c>
      <c r="M347">
        <v>9</v>
      </c>
      <c r="N347">
        <v>257</v>
      </c>
      <c r="O347" s="3">
        <f t="shared" si="17"/>
        <v>4.0909090909090908</v>
      </c>
      <c r="P347">
        <f t="shared" si="15"/>
        <v>0</v>
      </c>
      <c r="Q347">
        <f t="shared" si="16"/>
        <v>0</v>
      </c>
    </row>
    <row r="348" spans="1:17" x14ac:dyDescent="0.2">
      <c r="A348" t="s">
        <v>159</v>
      </c>
      <c r="B348" t="s">
        <v>359</v>
      </c>
      <c r="C348">
        <v>220</v>
      </c>
      <c r="D348" s="2">
        <v>0</v>
      </c>
      <c r="E348">
        <v>9</v>
      </c>
      <c r="F348">
        <v>4</v>
      </c>
      <c r="G348">
        <v>0</v>
      </c>
      <c r="H348">
        <v>20</v>
      </c>
      <c r="I348">
        <v>420</v>
      </c>
      <c r="J348">
        <v>25</v>
      </c>
      <c r="K348">
        <v>2</v>
      </c>
      <c r="L348">
        <v>1</v>
      </c>
      <c r="M348">
        <v>9</v>
      </c>
      <c r="O348" s="3">
        <f t="shared" si="17"/>
        <v>4.0909090909090908</v>
      </c>
      <c r="P348">
        <f t="shared" si="15"/>
        <v>0</v>
      </c>
      <c r="Q348">
        <f t="shared" si="16"/>
        <v>0</v>
      </c>
    </row>
    <row r="349" spans="1:17" x14ac:dyDescent="0.2">
      <c r="A349" t="s">
        <v>51</v>
      </c>
      <c r="B349" t="s">
        <v>360</v>
      </c>
      <c r="C349">
        <v>710</v>
      </c>
      <c r="D349">
        <v>470</v>
      </c>
      <c r="E349">
        <v>52</v>
      </c>
      <c r="F349">
        <v>20</v>
      </c>
      <c r="G349">
        <v>0.5</v>
      </c>
      <c r="H349">
        <v>240</v>
      </c>
      <c r="I349">
        <v>1420</v>
      </c>
      <c r="J349">
        <v>31</v>
      </c>
      <c r="K349">
        <v>1</v>
      </c>
      <c r="L349">
        <v>5</v>
      </c>
      <c r="M349">
        <v>29</v>
      </c>
      <c r="N349">
        <v>706</v>
      </c>
      <c r="O349" s="3">
        <f t="shared" si="17"/>
        <v>4.084507042253521</v>
      </c>
      <c r="P349">
        <f t="shared" si="15"/>
        <v>1</v>
      </c>
      <c r="Q349">
        <f t="shared" si="16"/>
        <v>0</v>
      </c>
    </row>
    <row r="350" spans="1:17" x14ac:dyDescent="0.2">
      <c r="A350" t="s">
        <v>21</v>
      </c>
      <c r="B350" t="s">
        <v>361</v>
      </c>
      <c r="C350">
        <v>270</v>
      </c>
      <c r="D350" s="2">
        <v>0</v>
      </c>
      <c r="E350">
        <v>14</v>
      </c>
      <c r="F350">
        <v>3.5</v>
      </c>
      <c r="G350">
        <v>0</v>
      </c>
      <c r="H350">
        <v>20</v>
      </c>
      <c r="I350">
        <v>850</v>
      </c>
      <c r="J350">
        <v>27</v>
      </c>
      <c r="K350">
        <v>2</v>
      </c>
      <c r="L350">
        <v>1</v>
      </c>
      <c r="M350">
        <v>11</v>
      </c>
      <c r="N350">
        <v>263.5</v>
      </c>
      <c r="O350" s="3">
        <f t="shared" si="17"/>
        <v>4.0740740740740744</v>
      </c>
      <c r="P350">
        <f t="shared" si="15"/>
        <v>1</v>
      </c>
      <c r="Q350">
        <f t="shared" si="16"/>
        <v>0</v>
      </c>
    </row>
    <row r="351" spans="1:17" x14ac:dyDescent="0.2">
      <c r="A351" t="s">
        <v>159</v>
      </c>
      <c r="B351" t="s">
        <v>362</v>
      </c>
      <c r="C351">
        <v>270</v>
      </c>
      <c r="D351" s="2">
        <v>0</v>
      </c>
      <c r="E351">
        <v>10</v>
      </c>
      <c r="F351">
        <v>4</v>
      </c>
      <c r="G351">
        <v>0</v>
      </c>
      <c r="H351">
        <v>25</v>
      </c>
      <c r="I351">
        <v>450</v>
      </c>
      <c r="J351">
        <v>33</v>
      </c>
      <c r="K351">
        <v>2</v>
      </c>
      <c r="L351">
        <v>6</v>
      </c>
      <c r="M351">
        <v>11</v>
      </c>
      <c r="O351" s="3">
        <f t="shared" si="17"/>
        <v>4.0740740740740744</v>
      </c>
      <c r="P351">
        <f t="shared" si="15"/>
        <v>0</v>
      </c>
      <c r="Q351">
        <f t="shared" si="16"/>
        <v>0</v>
      </c>
    </row>
    <row r="352" spans="1:17" x14ac:dyDescent="0.2">
      <c r="A352" t="s">
        <v>159</v>
      </c>
      <c r="B352" t="s">
        <v>363</v>
      </c>
      <c r="C352">
        <v>270</v>
      </c>
      <c r="D352" s="2">
        <v>0</v>
      </c>
      <c r="E352">
        <v>13</v>
      </c>
      <c r="F352">
        <v>5</v>
      </c>
      <c r="G352">
        <v>0</v>
      </c>
      <c r="H352">
        <v>25</v>
      </c>
      <c r="I352">
        <v>500</v>
      </c>
      <c r="J352">
        <v>29</v>
      </c>
      <c r="K352">
        <v>2</v>
      </c>
      <c r="L352">
        <v>2</v>
      </c>
      <c r="M352">
        <v>11</v>
      </c>
      <c r="O352" s="3">
        <f t="shared" si="17"/>
        <v>4.0740740740740744</v>
      </c>
      <c r="P352">
        <f t="shared" si="15"/>
        <v>1</v>
      </c>
      <c r="Q352">
        <f t="shared" si="16"/>
        <v>0</v>
      </c>
    </row>
    <row r="353" spans="1:17" x14ac:dyDescent="0.2">
      <c r="A353" t="s">
        <v>159</v>
      </c>
      <c r="B353" t="s">
        <v>364</v>
      </c>
      <c r="C353">
        <v>320</v>
      </c>
      <c r="D353" s="2">
        <v>0</v>
      </c>
      <c r="E353">
        <v>17</v>
      </c>
      <c r="F353">
        <v>6</v>
      </c>
      <c r="G353">
        <v>0</v>
      </c>
      <c r="H353">
        <v>35</v>
      </c>
      <c r="I353">
        <v>640</v>
      </c>
      <c r="J353">
        <v>28</v>
      </c>
      <c r="K353">
        <v>2</v>
      </c>
      <c r="L353">
        <v>1</v>
      </c>
      <c r="M353">
        <v>13</v>
      </c>
      <c r="O353" s="3">
        <f t="shared" si="17"/>
        <v>4.0625</v>
      </c>
      <c r="P353">
        <f t="shared" si="15"/>
        <v>1</v>
      </c>
      <c r="Q353">
        <f t="shared" si="16"/>
        <v>0</v>
      </c>
    </row>
    <row r="354" spans="1:17" x14ac:dyDescent="0.2">
      <c r="A354" t="s">
        <v>51</v>
      </c>
      <c r="B354" t="s">
        <v>365</v>
      </c>
      <c r="C354">
        <v>370</v>
      </c>
      <c r="D354">
        <v>210</v>
      </c>
      <c r="E354">
        <v>23</v>
      </c>
      <c r="F354">
        <v>8</v>
      </c>
      <c r="G354">
        <v>0</v>
      </c>
      <c r="H354">
        <v>150</v>
      </c>
      <c r="I354">
        <v>930</v>
      </c>
      <c r="J354">
        <v>27</v>
      </c>
      <c r="K354">
        <v>3</v>
      </c>
      <c r="L354">
        <v>2</v>
      </c>
      <c r="M354">
        <v>15</v>
      </c>
      <c r="N354">
        <v>365</v>
      </c>
      <c r="O354" s="3">
        <f t="shared" si="17"/>
        <v>4.0540540540540544</v>
      </c>
      <c r="P354">
        <f t="shared" si="15"/>
        <v>1</v>
      </c>
      <c r="Q354">
        <f t="shared" si="16"/>
        <v>0</v>
      </c>
    </row>
    <row r="355" spans="1:17" x14ac:dyDescent="0.2">
      <c r="A355" t="s">
        <v>159</v>
      </c>
      <c r="B355" t="s">
        <v>366</v>
      </c>
      <c r="C355">
        <v>370</v>
      </c>
      <c r="D355" s="2">
        <v>0</v>
      </c>
      <c r="E355">
        <v>18</v>
      </c>
      <c r="F355">
        <v>6</v>
      </c>
      <c r="G355">
        <v>0</v>
      </c>
      <c r="H355">
        <v>35</v>
      </c>
      <c r="I355">
        <v>680</v>
      </c>
      <c r="J355">
        <v>36</v>
      </c>
      <c r="K355">
        <v>2</v>
      </c>
      <c r="L355">
        <v>2</v>
      </c>
      <c r="M355">
        <v>15</v>
      </c>
      <c r="O355" s="3">
        <f t="shared" si="17"/>
        <v>4.0540540540540544</v>
      </c>
      <c r="P355">
        <f t="shared" si="15"/>
        <v>1</v>
      </c>
      <c r="Q355">
        <f t="shared" si="16"/>
        <v>0</v>
      </c>
    </row>
    <row r="356" spans="1:17" x14ac:dyDescent="0.2">
      <c r="A356" t="s">
        <v>58</v>
      </c>
      <c r="B356" t="s">
        <v>367</v>
      </c>
      <c r="C356">
        <v>470</v>
      </c>
      <c r="D356" s="2">
        <v>0</v>
      </c>
      <c r="E356">
        <v>23</v>
      </c>
      <c r="F356">
        <v>8</v>
      </c>
      <c r="G356">
        <v>0.5</v>
      </c>
      <c r="H356">
        <v>45</v>
      </c>
      <c r="I356">
        <v>1320</v>
      </c>
      <c r="J356">
        <v>49</v>
      </c>
      <c r="K356">
        <v>7</v>
      </c>
      <c r="L356">
        <v>12</v>
      </c>
      <c r="M356">
        <v>19</v>
      </c>
      <c r="N356">
        <v>471</v>
      </c>
      <c r="O356" s="3">
        <f t="shared" si="17"/>
        <v>4.042553191489362</v>
      </c>
      <c r="P356">
        <f t="shared" si="15"/>
        <v>1</v>
      </c>
      <c r="Q356">
        <f t="shared" si="16"/>
        <v>0</v>
      </c>
    </row>
    <row r="357" spans="1:17" x14ac:dyDescent="0.2">
      <c r="A357" t="s">
        <v>17</v>
      </c>
      <c r="B357" t="s">
        <v>368</v>
      </c>
      <c r="C357">
        <v>470</v>
      </c>
      <c r="D357">
        <v>230</v>
      </c>
      <c r="E357">
        <v>25</v>
      </c>
      <c r="F357">
        <v>12</v>
      </c>
      <c r="G357">
        <v>0.5</v>
      </c>
      <c r="H357">
        <v>50</v>
      </c>
      <c r="I357">
        <v>990</v>
      </c>
      <c r="J357">
        <v>37</v>
      </c>
      <c r="K357">
        <v>4</v>
      </c>
      <c r="L357">
        <v>2</v>
      </c>
      <c r="M357">
        <v>19</v>
      </c>
      <c r="O357" s="3">
        <f t="shared" si="17"/>
        <v>4.042553191489362</v>
      </c>
      <c r="P357">
        <f t="shared" si="15"/>
        <v>1</v>
      </c>
      <c r="Q357">
        <f t="shared" si="16"/>
        <v>0</v>
      </c>
    </row>
    <row r="358" spans="1:17" x14ac:dyDescent="0.2">
      <c r="A358" t="s">
        <v>17</v>
      </c>
      <c r="B358" t="s">
        <v>369</v>
      </c>
      <c r="C358">
        <v>470</v>
      </c>
      <c r="D358">
        <v>230</v>
      </c>
      <c r="E358">
        <v>25</v>
      </c>
      <c r="F358">
        <v>12</v>
      </c>
      <c r="G358">
        <v>0.5</v>
      </c>
      <c r="H358">
        <v>50</v>
      </c>
      <c r="I358">
        <v>990</v>
      </c>
      <c r="J358">
        <v>37</v>
      </c>
      <c r="K358">
        <v>4</v>
      </c>
      <c r="L358">
        <v>2</v>
      </c>
      <c r="M358">
        <v>19</v>
      </c>
      <c r="O358" s="3">
        <f t="shared" si="17"/>
        <v>4.042553191489362</v>
      </c>
      <c r="P358">
        <f t="shared" si="15"/>
        <v>1</v>
      </c>
      <c r="Q358">
        <f t="shared" si="16"/>
        <v>0</v>
      </c>
    </row>
    <row r="359" spans="1:17" x14ac:dyDescent="0.2">
      <c r="A359" t="s">
        <v>159</v>
      </c>
      <c r="B359" t="s">
        <v>370</v>
      </c>
      <c r="C359">
        <v>470</v>
      </c>
      <c r="D359" s="2">
        <v>0</v>
      </c>
      <c r="E359">
        <v>27</v>
      </c>
      <c r="F359">
        <v>10</v>
      </c>
      <c r="G359">
        <v>0</v>
      </c>
      <c r="H359">
        <v>50</v>
      </c>
      <c r="I359">
        <v>940</v>
      </c>
      <c r="J359">
        <v>37</v>
      </c>
      <c r="K359">
        <v>2</v>
      </c>
      <c r="L359">
        <v>2</v>
      </c>
      <c r="M359">
        <v>19</v>
      </c>
      <c r="O359" s="3">
        <f t="shared" si="17"/>
        <v>4.042553191489362</v>
      </c>
      <c r="P359">
        <f t="shared" si="15"/>
        <v>1</v>
      </c>
      <c r="Q359">
        <f t="shared" si="16"/>
        <v>0</v>
      </c>
    </row>
    <row r="360" spans="1:17" x14ac:dyDescent="0.2">
      <c r="A360" t="s">
        <v>17</v>
      </c>
      <c r="B360" t="s">
        <v>371</v>
      </c>
      <c r="C360">
        <v>620</v>
      </c>
      <c r="D360">
        <v>270</v>
      </c>
      <c r="E360">
        <v>29</v>
      </c>
      <c r="F360">
        <v>11</v>
      </c>
      <c r="G360">
        <v>0</v>
      </c>
      <c r="H360">
        <v>65</v>
      </c>
      <c r="I360">
        <v>1390</v>
      </c>
      <c r="J360">
        <v>66</v>
      </c>
      <c r="K360">
        <v>4</v>
      </c>
      <c r="L360">
        <v>4</v>
      </c>
      <c r="M360">
        <v>25</v>
      </c>
      <c r="O360" s="3">
        <f t="shared" si="17"/>
        <v>4.032258064516129</v>
      </c>
      <c r="P360">
        <f t="shared" si="15"/>
        <v>1</v>
      </c>
      <c r="Q360">
        <f t="shared" si="16"/>
        <v>0</v>
      </c>
    </row>
    <row r="361" spans="1:17" x14ac:dyDescent="0.2">
      <c r="A361" t="s">
        <v>25</v>
      </c>
      <c r="B361" t="s">
        <v>372</v>
      </c>
      <c r="C361">
        <v>300</v>
      </c>
      <c r="D361">
        <v>140</v>
      </c>
      <c r="E361">
        <v>16</v>
      </c>
      <c r="F361">
        <v>7</v>
      </c>
      <c r="G361">
        <v>0</v>
      </c>
      <c r="H361">
        <v>115</v>
      </c>
      <c r="I361">
        <v>830</v>
      </c>
      <c r="J361">
        <v>26</v>
      </c>
      <c r="K361">
        <v>1</v>
      </c>
      <c r="L361">
        <v>2</v>
      </c>
      <c r="M361">
        <v>12</v>
      </c>
      <c r="N361">
        <v>297</v>
      </c>
      <c r="O361" s="3">
        <f t="shared" si="17"/>
        <v>4</v>
      </c>
      <c r="P361">
        <f t="shared" si="15"/>
        <v>1</v>
      </c>
      <c r="Q361">
        <f t="shared" si="16"/>
        <v>0</v>
      </c>
    </row>
    <row r="362" spans="1:17" x14ac:dyDescent="0.2">
      <c r="A362" t="s">
        <v>25</v>
      </c>
      <c r="B362" t="s">
        <v>373</v>
      </c>
      <c r="C362">
        <v>200</v>
      </c>
      <c r="D362">
        <v>35</v>
      </c>
      <c r="E362">
        <v>4</v>
      </c>
      <c r="F362">
        <v>2.5</v>
      </c>
      <c r="G362">
        <v>0</v>
      </c>
      <c r="H362">
        <v>5</v>
      </c>
      <c r="I362">
        <v>170</v>
      </c>
      <c r="J362">
        <v>34</v>
      </c>
      <c r="K362">
        <v>0</v>
      </c>
      <c r="L362">
        <v>31</v>
      </c>
      <c r="M362">
        <v>8</v>
      </c>
      <c r="N362">
        <v>225.5</v>
      </c>
      <c r="O362" s="3">
        <f t="shared" si="17"/>
        <v>4</v>
      </c>
      <c r="P362">
        <f t="shared" si="15"/>
        <v>0</v>
      </c>
      <c r="Q362">
        <f t="shared" si="16"/>
        <v>0</v>
      </c>
    </row>
    <row r="363" spans="1:17" x14ac:dyDescent="0.2">
      <c r="A363" t="s">
        <v>21</v>
      </c>
      <c r="B363" t="s">
        <v>374</v>
      </c>
      <c r="C363">
        <v>25</v>
      </c>
      <c r="D363" s="2">
        <v>0</v>
      </c>
      <c r="E363">
        <v>0</v>
      </c>
      <c r="F363">
        <v>0</v>
      </c>
      <c r="G363">
        <v>0</v>
      </c>
      <c r="H363">
        <v>0</v>
      </c>
      <c r="I363">
        <v>300</v>
      </c>
      <c r="J363">
        <v>5</v>
      </c>
      <c r="K363">
        <v>3</v>
      </c>
      <c r="L363">
        <v>1</v>
      </c>
      <c r="M363">
        <v>1</v>
      </c>
      <c r="N363">
        <v>25</v>
      </c>
      <c r="O363" s="3">
        <f t="shared" si="17"/>
        <v>4</v>
      </c>
      <c r="P363">
        <f t="shared" si="15"/>
        <v>0</v>
      </c>
      <c r="Q363">
        <f t="shared" si="16"/>
        <v>0</v>
      </c>
    </row>
    <row r="364" spans="1:17" x14ac:dyDescent="0.2">
      <c r="A364" t="s">
        <v>17</v>
      </c>
      <c r="B364" t="s">
        <v>375</v>
      </c>
      <c r="C364">
        <v>250</v>
      </c>
      <c r="D364">
        <v>110</v>
      </c>
      <c r="E364">
        <v>12</v>
      </c>
      <c r="F364">
        <v>4.5</v>
      </c>
      <c r="G364">
        <v>0</v>
      </c>
      <c r="H364">
        <v>25</v>
      </c>
      <c r="I364">
        <v>610</v>
      </c>
      <c r="J364">
        <v>24</v>
      </c>
      <c r="K364">
        <v>3</v>
      </c>
      <c r="L364">
        <v>2</v>
      </c>
      <c r="M364">
        <v>10</v>
      </c>
      <c r="O364" s="3">
        <f t="shared" si="17"/>
        <v>4</v>
      </c>
      <c r="P364">
        <f t="shared" si="15"/>
        <v>1</v>
      </c>
      <c r="Q364">
        <f t="shared" si="16"/>
        <v>0</v>
      </c>
    </row>
    <row r="365" spans="1:17" x14ac:dyDescent="0.2">
      <c r="A365" t="s">
        <v>17</v>
      </c>
      <c r="B365" t="s">
        <v>376</v>
      </c>
      <c r="C365">
        <v>500</v>
      </c>
      <c r="D365">
        <v>250</v>
      </c>
      <c r="E365">
        <v>28</v>
      </c>
      <c r="F365">
        <v>10</v>
      </c>
      <c r="G365">
        <v>0.5</v>
      </c>
      <c r="H365">
        <v>55</v>
      </c>
      <c r="I365">
        <v>850</v>
      </c>
      <c r="J365">
        <v>41</v>
      </c>
      <c r="K365">
        <v>5</v>
      </c>
      <c r="L365">
        <v>4</v>
      </c>
      <c r="M365">
        <v>20</v>
      </c>
      <c r="O365" s="3">
        <f t="shared" si="17"/>
        <v>4</v>
      </c>
      <c r="P365">
        <f t="shared" si="15"/>
        <v>1</v>
      </c>
      <c r="Q365">
        <f t="shared" si="16"/>
        <v>0</v>
      </c>
    </row>
    <row r="366" spans="1:17" x14ac:dyDescent="0.2">
      <c r="A366" t="s">
        <v>17</v>
      </c>
      <c r="B366" t="s">
        <v>377</v>
      </c>
      <c r="C366">
        <v>250</v>
      </c>
      <c r="D366">
        <v>110</v>
      </c>
      <c r="E366">
        <v>12</v>
      </c>
      <c r="F366">
        <v>4.5</v>
      </c>
      <c r="G366">
        <v>0</v>
      </c>
      <c r="H366">
        <v>25</v>
      </c>
      <c r="I366">
        <v>610</v>
      </c>
      <c r="J366">
        <v>24</v>
      </c>
      <c r="K366">
        <v>3</v>
      </c>
      <c r="L366">
        <v>2</v>
      </c>
      <c r="M366">
        <v>10</v>
      </c>
      <c r="O366" s="3">
        <f t="shared" si="17"/>
        <v>4</v>
      </c>
      <c r="P366">
        <f t="shared" si="15"/>
        <v>1</v>
      </c>
      <c r="Q366">
        <f t="shared" si="16"/>
        <v>0</v>
      </c>
    </row>
    <row r="367" spans="1:17" x14ac:dyDescent="0.2">
      <c r="A367" t="s">
        <v>17</v>
      </c>
      <c r="B367" t="s">
        <v>378</v>
      </c>
      <c r="C367">
        <v>500</v>
      </c>
      <c r="D367">
        <v>250</v>
      </c>
      <c r="E367">
        <v>28</v>
      </c>
      <c r="F367">
        <v>10</v>
      </c>
      <c r="G367">
        <v>0.5</v>
      </c>
      <c r="H367">
        <v>55</v>
      </c>
      <c r="I367">
        <v>850</v>
      </c>
      <c r="J367">
        <v>41</v>
      </c>
      <c r="K367">
        <v>5</v>
      </c>
      <c r="L367">
        <v>4</v>
      </c>
      <c r="M367">
        <v>20</v>
      </c>
      <c r="O367" s="3">
        <f t="shared" si="17"/>
        <v>4</v>
      </c>
      <c r="P367">
        <f t="shared" si="15"/>
        <v>1</v>
      </c>
      <c r="Q367">
        <f t="shared" si="16"/>
        <v>0</v>
      </c>
    </row>
    <row r="368" spans="1:17" x14ac:dyDescent="0.2">
      <c r="A368" t="s">
        <v>17</v>
      </c>
      <c r="B368" t="s">
        <v>379</v>
      </c>
      <c r="C368">
        <v>50</v>
      </c>
      <c r="D368">
        <v>10</v>
      </c>
      <c r="E368">
        <v>1</v>
      </c>
      <c r="F368">
        <v>0</v>
      </c>
      <c r="G368">
        <v>0</v>
      </c>
      <c r="H368">
        <v>0</v>
      </c>
      <c r="I368">
        <v>135</v>
      </c>
      <c r="J368">
        <v>8</v>
      </c>
      <c r="K368">
        <v>3</v>
      </c>
      <c r="L368">
        <v>0</v>
      </c>
      <c r="M368">
        <v>2</v>
      </c>
      <c r="O368" s="3">
        <f t="shared" si="17"/>
        <v>4</v>
      </c>
      <c r="P368">
        <f t="shared" si="15"/>
        <v>0</v>
      </c>
      <c r="Q368">
        <f t="shared" si="16"/>
        <v>0</v>
      </c>
    </row>
    <row r="369" spans="1:17" x14ac:dyDescent="0.2">
      <c r="A369" t="s">
        <v>17</v>
      </c>
      <c r="B369" t="s">
        <v>380</v>
      </c>
      <c r="C369">
        <v>250</v>
      </c>
      <c r="D369">
        <v>110</v>
      </c>
      <c r="E369">
        <v>12</v>
      </c>
      <c r="F369">
        <v>4.5</v>
      </c>
      <c r="G369">
        <v>0</v>
      </c>
      <c r="H369">
        <v>25</v>
      </c>
      <c r="I369">
        <v>610</v>
      </c>
      <c r="J369">
        <v>24</v>
      </c>
      <c r="K369">
        <v>3</v>
      </c>
      <c r="L369">
        <v>2</v>
      </c>
      <c r="M369">
        <v>10</v>
      </c>
      <c r="O369" s="3">
        <f t="shared" si="17"/>
        <v>4</v>
      </c>
      <c r="P369">
        <f t="shared" si="15"/>
        <v>1</v>
      </c>
      <c r="Q369">
        <f t="shared" si="16"/>
        <v>0</v>
      </c>
    </row>
    <row r="370" spans="1:17" x14ac:dyDescent="0.2">
      <c r="A370" t="s">
        <v>159</v>
      </c>
      <c r="B370" t="s">
        <v>381</v>
      </c>
      <c r="C370">
        <v>350</v>
      </c>
      <c r="D370" s="2">
        <v>0</v>
      </c>
      <c r="E370">
        <v>16</v>
      </c>
      <c r="F370">
        <v>6</v>
      </c>
      <c r="G370">
        <v>0</v>
      </c>
      <c r="H370">
        <v>25</v>
      </c>
      <c r="I370">
        <v>680</v>
      </c>
      <c r="J370">
        <v>38</v>
      </c>
      <c r="K370">
        <v>3</v>
      </c>
      <c r="L370">
        <v>2</v>
      </c>
      <c r="M370">
        <v>14</v>
      </c>
      <c r="O370" s="3">
        <f t="shared" si="17"/>
        <v>4</v>
      </c>
      <c r="P370">
        <f t="shared" si="15"/>
        <v>1</v>
      </c>
      <c r="Q370">
        <f t="shared" si="16"/>
        <v>0</v>
      </c>
    </row>
    <row r="371" spans="1:17" x14ac:dyDescent="0.2">
      <c r="A371" t="s">
        <v>159</v>
      </c>
      <c r="B371" t="s">
        <v>382</v>
      </c>
      <c r="C371">
        <v>150</v>
      </c>
      <c r="D371" s="2">
        <v>0</v>
      </c>
      <c r="E371">
        <v>7</v>
      </c>
      <c r="F371">
        <v>2.5</v>
      </c>
      <c r="G371">
        <v>0</v>
      </c>
      <c r="H371">
        <v>15</v>
      </c>
      <c r="I371">
        <v>310</v>
      </c>
      <c r="J371">
        <v>17</v>
      </c>
      <c r="K371">
        <v>1</v>
      </c>
      <c r="L371">
        <v>2</v>
      </c>
      <c r="M371">
        <v>6</v>
      </c>
      <c r="O371" s="3">
        <f t="shared" si="17"/>
        <v>4</v>
      </c>
      <c r="P371">
        <f t="shared" si="15"/>
        <v>0</v>
      </c>
      <c r="Q371">
        <f t="shared" si="16"/>
        <v>0</v>
      </c>
    </row>
    <row r="372" spans="1:17" x14ac:dyDescent="0.2">
      <c r="A372" t="s">
        <v>159</v>
      </c>
      <c r="B372" t="s">
        <v>383</v>
      </c>
      <c r="C372">
        <v>250</v>
      </c>
      <c r="D372" s="2">
        <v>0</v>
      </c>
      <c r="E372">
        <v>11</v>
      </c>
      <c r="F372">
        <v>4.5</v>
      </c>
      <c r="G372">
        <v>0</v>
      </c>
      <c r="H372">
        <v>25</v>
      </c>
      <c r="I372">
        <v>470</v>
      </c>
      <c r="J372">
        <v>28</v>
      </c>
      <c r="K372">
        <v>2</v>
      </c>
      <c r="L372">
        <v>1</v>
      </c>
      <c r="M372">
        <v>10</v>
      </c>
      <c r="O372" s="3">
        <f t="shared" si="17"/>
        <v>4</v>
      </c>
      <c r="P372">
        <f t="shared" si="15"/>
        <v>1</v>
      </c>
      <c r="Q372">
        <f t="shared" si="16"/>
        <v>0</v>
      </c>
    </row>
    <row r="373" spans="1:17" x14ac:dyDescent="0.2">
      <c r="A373" t="s">
        <v>159</v>
      </c>
      <c r="B373" t="s">
        <v>384</v>
      </c>
      <c r="C373">
        <v>150</v>
      </c>
      <c r="D373" s="2">
        <v>0</v>
      </c>
      <c r="E373">
        <v>6</v>
      </c>
      <c r="F373">
        <v>2.5</v>
      </c>
      <c r="G373">
        <v>0</v>
      </c>
      <c r="H373">
        <v>15</v>
      </c>
      <c r="I373">
        <v>280</v>
      </c>
      <c r="J373">
        <v>17</v>
      </c>
      <c r="K373">
        <v>1</v>
      </c>
      <c r="L373">
        <v>1</v>
      </c>
      <c r="M373">
        <v>6</v>
      </c>
      <c r="O373" s="3">
        <f t="shared" si="17"/>
        <v>4</v>
      </c>
      <c r="P373">
        <f t="shared" si="15"/>
        <v>0</v>
      </c>
      <c r="Q373">
        <f t="shared" si="16"/>
        <v>0</v>
      </c>
    </row>
    <row r="374" spans="1:17" x14ac:dyDescent="0.2">
      <c r="A374" t="s">
        <v>159</v>
      </c>
      <c r="B374" t="s">
        <v>385</v>
      </c>
      <c r="C374">
        <v>150</v>
      </c>
      <c r="D374" s="2">
        <v>0</v>
      </c>
      <c r="E374">
        <v>6</v>
      </c>
      <c r="F374">
        <v>2.5</v>
      </c>
      <c r="G374">
        <v>0</v>
      </c>
      <c r="H374">
        <v>15</v>
      </c>
      <c r="I374">
        <v>250</v>
      </c>
      <c r="J374">
        <v>16</v>
      </c>
      <c r="K374">
        <v>1</v>
      </c>
      <c r="L374" s="2">
        <v>0</v>
      </c>
      <c r="M374">
        <v>6</v>
      </c>
      <c r="O374" s="3">
        <f t="shared" si="17"/>
        <v>4</v>
      </c>
      <c r="P374">
        <f t="shared" si="15"/>
        <v>0</v>
      </c>
      <c r="Q374">
        <f t="shared" si="16"/>
        <v>0</v>
      </c>
    </row>
    <row r="375" spans="1:17" x14ac:dyDescent="0.2">
      <c r="A375" t="s">
        <v>159</v>
      </c>
      <c r="B375" t="s">
        <v>386</v>
      </c>
      <c r="C375">
        <v>200</v>
      </c>
      <c r="D375" s="2">
        <v>0</v>
      </c>
      <c r="E375">
        <v>6</v>
      </c>
      <c r="F375">
        <v>2.5</v>
      </c>
      <c r="G375">
        <v>0</v>
      </c>
      <c r="H375">
        <v>15</v>
      </c>
      <c r="I375">
        <v>370</v>
      </c>
      <c r="J375">
        <v>27</v>
      </c>
      <c r="K375">
        <v>2</v>
      </c>
      <c r="L375">
        <v>2</v>
      </c>
      <c r="M375">
        <v>8</v>
      </c>
      <c r="O375" s="3">
        <f t="shared" si="17"/>
        <v>4</v>
      </c>
      <c r="P375">
        <f t="shared" si="15"/>
        <v>0</v>
      </c>
      <c r="Q375">
        <f t="shared" si="16"/>
        <v>0</v>
      </c>
    </row>
    <row r="376" spans="1:17" x14ac:dyDescent="0.2">
      <c r="A376" t="s">
        <v>51</v>
      </c>
      <c r="B376" t="s">
        <v>387</v>
      </c>
      <c r="C376">
        <v>630</v>
      </c>
      <c r="D376">
        <v>310</v>
      </c>
      <c r="E376">
        <v>34</v>
      </c>
      <c r="F376">
        <v>11</v>
      </c>
      <c r="G376">
        <v>0</v>
      </c>
      <c r="H376">
        <v>10</v>
      </c>
      <c r="I376">
        <v>1080</v>
      </c>
      <c r="J376">
        <v>58</v>
      </c>
      <c r="K376">
        <v>4</v>
      </c>
      <c r="L376">
        <v>12</v>
      </c>
      <c r="M376">
        <v>25</v>
      </c>
      <c r="N376">
        <v>628</v>
      </c>
      <c r="O376" s="3">
        <f t="shared" si="17"/>
        <v>3.9682539682539679</v>
      </c>
      <c r="P376">
        <f t="shared" si="15"/>
        <v>1</v>
      </c>
      <c r="Q376">
        <f t="shared" si="16"/>
        <v>0</v>
      </c>
    </row>
    <row r="377" spans="1:17" x14ac:dyDescent="0.2">
      <c r="A377" t="s">
        <v>51</v>
      </c>
      <c r="B377" t="s">
        <v>388</v>
      </c>
      <c r="C377">
        <v>580</v>
      </c>
      <c r="D377">
        <v>340</v>
      </c>
      <c r="E377">
        <v>40</v>
      </c>
      <c r="F377">
        <v>16</v>
      </c>
      <c r="G377">
        <v>0.5</v>
      </c>
      <c r="H377">
        <v>215</v>
      </c>
      <c r="I377">
        <v>1260</v>
      </c>
      <c r="J377">
        <v>31</v>
      </c>
      <c r="K377">
        <v>1</v>
      </c>
      <c r="L377">
        <v>5</v>
      </c>
      <c r="M377">
        <v>23</v>
      </c>
      <c r="N377">
        <v>578</v>
      </c>
      <c r="O377" s="3">
        <f t="shared" si="17"/>
        <v>3.9655172413793105</v>
      </c>
      <c r="P377">
        <f t="shared" si="15"/>
        <v>1</v>
      </c>
      <c r="Q377">
        <f t="shared" si="16"/>
        <v>0</v>
      </c>
    </row>
    <row r="378" spans="1:17" x14ac:dyDescent="0.2">
      <c r="A378" t="s">
        <v>25</v>
      </c>
      <c r="B378" t="s">
        <v>389</v>
      </c>
      <c r="C378">
        <v>380</v>
      </c>
      <c r="D378">
        <v>170</v>
      </c>
      <c r="E378">
        <v>18</v>
      </c>
      <c r="F378">
        <v>3.5</v>
      </c>
      <c r="G378">
        <v>0</v>
      </c>
      <c r="H378">
        <v>40</v>
      </c>
      <c r="I378">
        <v>640</v>
      </c>
      <c r="J378">
        <v>38</v>
      </c>
      <c r="K378">
        <v>2</v>
      </c>
      <c r="L378">
        <v>5</v>
      </c>
      <c r="M378">
        <v>15</v>
      </c>
      <c r="N378">
        <v>373.5</v>
      </c>
      <c r="O378" s="3">
        <f t="shared" si="17"/>
        <v>3.9473684210526314</v>
      </c>
      <c r="P378">
        <f t="shared" si="15"/>
        <v>1</v>
      </c>
      <c r="Q378">
        <f t="shared" si="16"/>
        <v>0</v>
      </c>
    </row>
    <row r="379" spans="1:17" x14ac:dyDescent="0.2">
      <c r="A379" t="s">
        <v>17</v>
      </c>
      <c r="B379" t="s">
        <v>390</v>
      </c>
      <c r="C379">
        <v>560</v>
      </c>
      <c r="D379">
        <v>280</v>
      </c>
      <c r="E379">
        <v>31</v>
      </c>
      <c r="F379">
        <v>10</v>
      </c>
      <c r="G379">
        <v>0</v>
      </c>
      <c r="H379">
        <v>230</v>
      </c>
      <c r="I379">
        <v>1150</v>
      </c>
      <c r="J379">
        <v>49</v>
      </c>
      <c r="K379">
        <v>4</v>
      </c>
      <c r="L379">
        <v>3</v>
      </c>
      <c r="M379">
        <v>22</v>
      </c>
      <c r="O379" s="3">
        <f t="shared" si="17"/>
        <v>3.9285714285714284</v>
      </c>
      <c r="P379">
        <f t="shared" si="15"/>
        <v>1</v>
      </c>
      <c r="Q379">
        <f t="shared" si="16"/>
        <v>0</v>
      </c>
    </row>
    <row r="380" spans="1:17" x14ac:dyDescent="0.2">
      <c r="A380" t="s">
        <v>159</v>
      </c>
      <c r="B380" t="s">
        <v>391</v>
      </c>
      <c r="C380">
        <v>230</v>
      </c>
      <c r="D380" s="2">
        <v>0</v>
      </c>
      <c r="E380">
        <v>9</v>
      </c>
      <c r="F380">
        <v>3.5</v>
      </c>
      <c r="G380">
        <v>0</v>
      </c>
      <c r="H380">
        <v>15</v>
      </c>
      <c r="I380">
        <v>420</v>
      </c>
      <c r="J380">
        <v>29</v>
      </c>
      <c r="K380">
        <v>2</v>
      </c>
      <c r="L380">
        <v>2</v>
      </c>
      <c r="M380">
        <v>9</v>
      </c>
      <c r="O380" s="3">
        <f t="shared" si="17"/>
        <v>3.9130434782608701</v>
      </c>
      <c r="P380">
        <f t="shared" si="15"/>
        <v>0</v>
      </c>
      <c r="Q380">
        <f t="shared" si="16"/>
        <v>0</v>
      </c>
    </row>
    <row r="381" spans="1:17" x14ac:dyDescent="0.2">
      <c r="A381" t="s">
        <v>25</v>
      </c>
      <c r="B381" t="s">
        <v>392</v>
      </c>
      <c r="C381">
        <v>360</v>
      </c>
      <c r="D381">
        <v>150</v>
      </c>
      <c r="E381">
        <v>16</v>
      </c>
      <c r="F381">
        <v>3</v>
      </c>
      <c r="G381">
        <v>0</v>
      </c>
      <c r="H381">
        <v>35</v>
      </c>
      <c r="I381">
        <v>830</v>
      </c>
      <c r="J381">
        <v>40</v>
      </c>
      <c r="K381">
        <v>2</v>
      </c>
      <c r="L381">
        <v>5</v>
      </c>
      <c r="M381">
        <v>14</v>
      </c>
      <c r="N381">
        <v>354</v>
      </c>
      <c r="O381" s="3">
        <f t="shared" si="17"/>
        <v>3.8888888888888888</v>
      </c>
      <c r="P381">
        <f t="shared" si="15"/>
        <v>1</v>
      </c>
      <c r="Q381">
        <f t="shared" si="16"/>
        <v>0</v>
      </c>
    </row>
    <row r="382" spans="1:17" x14ac:dyDescent="0.2">
      <c r="A382" t="s">
        <v>25</v>
      </c>
      <c r="B382" t="s">
        <v>393</v>
      </c>
      <c r="C382">
        <v>180</v>
      </c>
      <c r="D382">
        <v>0</v>
      </c>
      <c r="E382">
        <v>0</v>
      </c>
      <c r="F382">
        <v>0</v>
      </c>
      <c r="G382">
        <v>0</v>
      </c>
      <c r="H382">
        <v>5</v>
      </c>
      <c r="I382">
        <v>95</v>
      </c>
      <c r="J382">
        <v>37</v>
      </c>
      <c r="K382">
        <v>0</v>
      </c>
      <c r="L382">
        <v>37</v>
      </c>
      <c r="M382">
        <v>7</v>
      </c>
      <c r="N382">
        <v>210</v>
      </c>
      <c r="O382" s="3">
        <f t="shared" si="17"/>
        <v>3.8888888888888888</v>
      </c>
      <c r="P382">
        <f t="shared" si="15"/>
        <v>0</v>
      </c>
      <c r="Q382">
        <f t="shared" si="16"/>
        <v>0</v>
      </c>
    </row>
    <row r="383" spans="1:17" x14ac:dyDescent="0.2">
      <c r="A383" t="s">
        <v>25</v>
      </c>
      <c r="B383" t="s">
        <v>394</v>
      </c>
      <c r="C383">
        <v>180</v>
      </c>
      <c r="D383">
        <v>0</v>
      </c>
      <c r="E383">
        <v>0</v>
      </c>
      <c r="F383">
        <v>0</v>
      </c>
      <c r="G383">
        <v>0</v>
      </c>
      <c r="H383">
        <v>5</v>
      </c>
      <c r="I383">
        <v>95</v>
      </c>
      <c r="J383">
        <v>37</v>
      </c>
      <c r="K383">
        <v>0</v>
      </c>
      <c r="L383">
        <v>37</v>
      </c>
      <c r="M383">
        <v>7</v>
      </c>
      <c r="N383">
        <v>210</v>
      </c>
      <c r="O383" s="3">
        <f t="shared" si="17"/>
        <v>3.8888888888888888</v>
      </c>
      <c r="P383">
        <f t="shared" si="15"/>
        <v>0</v>
      </c>
      <c r="Q383">
        <f t="shared" si="16"/>
        <v>0</v>
      </c>
    </row>
    <row r="384" spans="1:17" x14ac:dyDescent="0.2">
      <c r="A384" t="s">
        <v>159</v>
      </c>
      <c r="B384" t="s">
        <v>395</v>
      </c>
      <c r="C384">
        <v>180</v>
      </c>
      <c r="D384" s="2">
        <v>0</v>
      </c>
      <c r="E384">
        <v>9</v>
      </c>
      <c r="F384">
        <v>3.5</v>
      </c>
      <c r="G384">
        <v>0</v>
      </c>
      <c r="H384">
        <v>20</v>
      </c>
      <c r="I384">
        <v>370</v>
      </c>
      <c r="J384">
        <v>17</v>
      </c>
      <c r="K384">
        <v>1</v>
      </c>
      <c r="L384">
        <v>0</v>
      </c>
      <c r="M384">
        <v>7</v>
      </c>
      <c r="O384" s="3">
        <f t="shared" si="17"/>
        <v>3.8888888888888888</v>
      </c>
      <c r="P384">
        <f t="shared" si="15"/>
        <v>0</v>
      </c>
      <c r="Q384">
        <f t="shared" si="16"/>
        <v>0</v>
      </c>
    </row>
    <row r="385" spans="1:17" x14ac:dyDescent="0.2">
      <c r="A385" t="s">
        <v>58</v>
      </c>
      <c r="B385" t="s">
        <v>396</v>
      </c>
      <c r="C385">
        <v>440</v>
      </c>
      <c r="D385" s="2">
        <v>0</v>
      </c>
      <c r="E385">
        <v>14</v>
      </c>
      <c r="F385">
        <v>6</v>
      </c>
      <c r="G385">
        <v>0</v>
      </c>
      <c r="H385">
        <v>35</v>
      </c>
      <c r="I385">
        <v>550</v>
      </c>
      <c r="J385">
        <v>64</v>
      </c>
      <c r="K385">
        <v>7</v>
      </c>
      <c r="L385">
        <v>4</v>
      </c>
      <c r="M385">
        <v>17</v>
      </c>
      <c r="N385">
        <v>433</v>
      </c>
      <c r="O385" s="3">
        <f t="shared" si="17"/>
        <v>3.8636363636363633</v>
      </c>
      <c r="P385">
        <f t="shared" si="15"/>
        <v>1</v>
      </c>
      <c r="Q385">
        <f t="shared" si="16"/>
        <v>0</v>
      </c>
    </row>
    <row r="386" spans="1:17" x14ac:dyDescent="0.2">
      <c r="A386" t="s">
        <v>25</v>
      </c>
      <c r="B386" t="s">
        <v>397</v>
      </c>
      <c r="C386">
        <v>260</v>
      </c>
      <c r="D386">
        <v>0</v>
      </c>
      <c r="E386">
        <v>0</v>
      </c>
      <c r="F386">
        <v>0</v>
      </c>
      <c r="G386">
        <v>0</v>
      </c>
      <c r="H386">
        <v>5</v>
      </c>
      <c r="I386">
        <v>220</v>
      </c>
      <c r="J386">
        <v>53</v>
      </c>
      <c r="K386">
        <v>0</v>
      </c>
      <c r="L386">
        <v>53</v>
      </c>
      <c r="M386">
        <v>10</v>
      </c>
      <c r="N386">
        <v>303</v>
      </c>
      <c r="O386" s="3">
        <f t="shared" si="17"/>
        <v>3.8461538461538463</v>
      </c>
      <c r="P386">
        <f t="shared" ref="P386:P449" si="18">IF(I386&gt;2300*0.2,1,0)</f>
        <v>0</v>
      </c>
      <c r="Q386">
        <f t="shared" ref="Q386:Q449" si="19">IF(H386&gt;300,1,0)</f>
        <v>0</v>
      </c>
    </row>
    <row r="387" spans="1:17" x14ac:dyDescent="0.2">
      <c r="A387" t="s">
        <v>25</v>
      </c>
      <c r="B387" t="s">
        <v>398</v>
      </c>
      <c r="C387">
        <v>260</v>
      </c>
      <c r="D387">
        <v>0</v>
      </c>
      <c r="E387">
        <v>0</v>
      </c>
      <c r="F387">
        <v>0</v>
      </c>
      <c r="G387">
        <v>0</v>
      </c>
      <c r="H387">
        <v>5</v>
      </c>
      <c r="I387">
        <v>135</v>
      </c>
      <c r="J387">
        <v>55</v>
      </c>
      <c r="K387">
        <v>0</v>
      </c>
      <c r="L387">
        <v>55</v>
      </c>
      <c r="M387">
        <v>10</v>
      </c>
      <c r="N387">
        <v>305</v>
      </c>
      <c r="O387" s="3">
        <f t="shared" si="17"/>
        <v>3.8461538461538463</v>
      </c>
      <c r="P387">
        <f t="shared" si="18"/>
        <v>0</v>
      </c>
      <c r="Q387">
        <f t="shared" si="19"/>
        <v>0</v>
      </c>
    </row>
    <row r="388" spans="1:17" x14ac:dyDescent="0.2">
      <c r="A388" t="s">
        <v>25</v>
      </c>
      <c r="B388" t="s">
        <v>399</v>
      </c>
      <c r="C388">
        <v>260</v>
      </c>
      <c r="D388">
        <v>0</v>
      </c>
      <c r="E388">
        <v>0</v>
      </c>
      <c r="F388">
        <v>0</v>
      </c>
      <c r="G388">
        <v>0</v>
      </c>
      <c r="H388">
        <v>5</v>
      </c>
      <c r="I388">
        <v>135</v>
      </c>
      <c r="J388">
        <v>55</v>
      </c>
      <c r="K388">
        <v>0</v>
      </c>
      <c r="L388">
        <v>55</v>
      </c>
      <c r="M388">
        <v>10</v>
      </c>
      <c r="N388">
        <v>305</v>
      </c>
      <c r="O388" s="3">
        <f t="shared" si="17"/>
        <v>3.8461538461538463</v>
      </c>
      <c r="P388">
        <f t="shared" si="18"/>
        <v>0</v>
      </c>
      <c r="Q388">
        <f t="shared" si="19"/>
        <v>0</v>
      </c>
    </row>
    <row r="389" spans="1:17" x14ac:dyDescent="0.2">
      <c r="A389" t="s">
        <v>21</v>
      </c>
      <c r="B389" t="s">
        <v>400</v>
      </c>
      <c r="C389">
        <v>130</v>
      </c>
      <c r="D389" s="2">
        <v>0</v>
      </c>
      <c r="E389">
        <v>11</v>
      </c>
      <c r="F389">
        <v>2</v>
      </c>
      <c r="G389">
        <v>0</v>
      </c>
      <c r="H389">
        <v>20</v>
      </c>
      <c r="I389">
        <v>230</v>
      </c>
      <c r="J389">
        <v>4</v>
      </c>
      <c r="K389">
        <v>0</v>
      </c>
      <c r="L389">
        <v>0</v>
      </c>
      <c r="M389">
        <v>5</v>
      </c>
      <c r="N389">
        <v>127</v>
      </c>
      <c r="O389" s="3">
        <f t="shared" si="17"/>
        <v>3.8461538461538463</v>
      </c>
      <c r="P389">
        <f t="shared" si="18"/>
        <v>0</v>
      </c>
      <c r="Q389">
        <f t="shared" si="19"/>
        <v>0</v>
      </c>
    </row>
    <row r="390" spans="1:17" x14ac:dyDescent="0.2">
      <c r="A390" t="s">
        <v>51</v>
      </c>
      <c r="B390" t="s">
        <v>401</v>
      </c>
      <c r="C390">
        <v>210</v>
      </c>
      <c r="D390">
        <v>130</v>
      </c>
      <c r="E390">
        <v>15</v>
      </c>
      <c r="F390">
        <v>3</v>
      </c>
      <c r="G390">
        <v>0</v>
      </c>
      <c r="H390">
        <v>20</v>
      </c>
      <c r="I390">
        <v>570</v>
      </c>
      <c r="J390">
        <v>11</v>
      </c>
      <c r="K390">
        <v>2</v>
      </c>
      <c r="L390">
        <v>0</v>
      </c>
      <c r="M390">
        <v>8</v>
      </c>
      <c r="N390">
        <v>205</v>
      </c>
      <c r="O390" s="3">
        <f t="shared" ref="O390:O453" si="20">M390/C390*100</f>
        <v>3.8095238095238098</v>
      </c>
      <c r="P390">
        <f t="shared" si="18"/>
        <v>1</v>
      </c>
      <c r="Q390">
        <f t="shared" si="19"/>
        <v>0</v>
      </c>
    </row>
    <row r="391" spans="1:17" x14ac:dyDescent="0.2">
      <c r="A391" t="s">
        <v>51</v>
      </c>
      <c r="B391" t="s">
        <v>402</v>
      </c>
      <c r="C391">
        <v>1050</v>
      </c>
      <c r="D391">
        <v>670</v>
      </c>
      <c r="E391">
        <v>74</v>
      </c>
      <c r="F391">
        <v>15</v>
      </c>
      <c r="G391">
        <v>0</v>
      </c>
      <c r="H391">
        <v>110</v>
      </c>
      <c r="I391">
        <v>2840</v>
      </c>
      <c r="J391">
        <v>56</v>
      </c>
      <c r="K391">
        <v>9</v>
      </c>
      <c r="L391">
        <v>1</v>
      </c>
      <c r="M391">
        <v>40</v>
      </c>
      <c r="N391">
        <v>1026</v>
      </c>
      <c r="O391" s="3">
        <f t="shared" si="20"/>
        <v>3.8095238095238098</v>
      </c>
      <c r="P391">
        <f t="shared" si="18"/>
        <v>1</v>
      </c>
      <c r="Q391">
        <f t="shared" si="19"/>
        <v>0</v>
      </c>
    </row>
    <row r="392" spans="1:17" x14ac:dyDescent="0.2">
      <c r="A392" t="s">
        <v>17</v>
      </c>
      <c r="B392" t="s">
        <v>403</v>
      </c>
      <c r="C392">
        <v>630</v>
      </c>
      <c r="D392">
        <v>270</v>
      </c>
      <c r="E392">
        <v>30</v>
      </c>
      <c r="F392">
        <v>11</v>
      </c>
      <c r="G392">
        <v>0</v>
      </c>
      <c r="H392">
        <v>60</v>
      </c>
      <c r="I392">
        <v>1370</v>
      </c>
      <c r="J392">
        <v>66</v>
      </c>
      <c r="K392">
        <v>4</v>
      </c>
      <c r="L392">
        <v>4</v>
      </c>
      <c r="M392">
        <v>24</v>
      </c>
      <c r="O392" s="3">
        <f t="shared" si="20"/>
        <v>3.8095238095238098</v>
      </c>
      <c r="P392">
        <f t="shared" si="18"/>
        <v>1</v>
      </c>
      <c r="Q392">
        <f t="shared" si="19"/>
        <v>0</v>
      </c>
    </row>
    <row r="393" spans="1:17" x14ac:dyDescent="0.2">
      <c r="A393" t="s">
        <v>51</v>
      </c>
      <c r="B393" t="s">
        <v>404</v>
      </c>
      <c r="C393">
        <v>500</v>
      </c>
      <c r="D393">
        <v>300</v>
      </c>
      <c r="E393">
        <v>33</v>
      </c>
      <c r="F393">
        <v>13</v>
      </c>
      <c r="G393">
        <v>0</v>
      </c>
      <c r="H393">
        <v>195</v>
      </c>
      <c r="I393">
        <v>930</v>
      </c>
      <c r="J393">
        <v>30</v>
      </c>
      <c r="K393">
        <v>1</v>
      </c>
      <c r="L393">
        <v>4</v>
      </c>
      <c r="M393">
        <v>19</v>
      </c>
      <c r="N393">
        <v>498</v>
      </c>
      <c r="O393" s="3">
        <f t="shared" si="20"/>
        <v>3.8</v>
      </c>
      <c r="P393">
        <f t="shared" si="18"/>
        <v>1</v>
      </c>
      <c r="Q393">
        <f t="shared" si="19"/>
        <v>0</v>
      </c>
    </row>
    <row r="394" spans="1:17" x14ac:dyDescent="0.2">
      <c r="A394" t="s">
        <v>58</v>
      </c>
      <c r="B394" t="s">
        <v>405</v>
      </c>
      <c r="C394">
        <v>500</v>
      </c>
      <c r="D394" s="2">
        <v>0</v>
      </c>
      <c r="E394">
        <v>26</v>
      </c>
      <c r="F394">
        <v>12</v>
      </c>
      <c r="G394">
        <v>0</v>
      </c>
      <c r="H394">
        <v>50</v>
      </c>
      <c r="I394">
        <v>1120</v>
      </c>
      <c r="J394">
        <v>48</v>
      </c>
      <c r="K394">
        <v>1</v>
      </c>
      <c r="L394">
        <v>9</v>
      </c>
      <c r="M394">
        <v>19</v>
      </c>
      <c r="N394">
        <v>502</v>
      </c>
      <c r="O394" s="3">
        <f t="shared" si="20"/>
        <v>3.8</v>
      </c>
      <c r="P394">
        <f t="shared" si="18"/>
        <v>1</v>
      </c>
      <c r="Q394">
        <f t="shared" si="19"/>
        <v>0</v>
      </c>
    </row>
    <row r="395" spans="1:17" x14ac:dyDescent="0.2">
      <c r="A395" t="s">
        <v>25</v>
      </c>
      <c r="B395" t="s">
        <v>406</v>
      </c>
      <c r="C395">
        <v>370</v>
      </c>
      <c r="D395">
        <v>200</v>
      </c>
      <c r="E395">
        <v>22</v>
      </c>
      <c r="F395">
        <v>8</v>
      </c>
      <c r="G395">
        <v>0</v>
      </c>
      <c r="H395">
        <v>45</v>
      </c>
      <c r="I395">
        <v>850</v>
      </c>
      <c r="J395">
        <v>29</v>
      </c>
      <c r="K395">
        <v>2</v>
      </c>
      <c r="L395">
        <v>2</v>
      </c>
      <c r="M395">
        <v>14</v>
      </c>
      <c r="N395">
        <v>366</v>
      </c>
      <c r="O395" s="3">
        <f t="shared" si="20"/>
        <v>3.7837837837837842</v>
      </c>
      <c r="P395">
        <f t="shared" si="18"/>
        <v>1</v>
      </c>
      <c r="Q395">
        <f t="shared" si="19"/>
        <v>0</v>
      </c>
    </row>
    <row r="396" spans="1:17" x14ac:dyDescent="0.2">
      <c r="A396" t="s">
        <v>25</v>
      </c>
      <c r="B396" t="s">
        <v>407</v>
      </c>
      <c r="C396">
        <v>740</v>
      </c>
      <c r="D396">
        <v>430</v>
      </c>
      <c r="E396">
        <v>48</v>
      </c>
      <c r="F396">
        <v>17</v>
      </c>
      <c r="G396">
        <v>0</v>
      </c>
      <c r="H396">
        <v>555</v>
      </c>
      <c r="I396">
        <v>1560</v>
      </c>
      <c r="J396">
        <v>51</v>
      </c>
      <c r="K396">
        <v>3</v>
      </c>
      <c r="L396">
        <v>3</v>
      </c>
      <c r="M396">
        <v>28</v>
      </c>
      <c r="N396">
        <v>732</v>
      </c>
      <c r="O396" s="3">
        <f t="shared" si="20"/>
        <v>3.7837837837837842</v>
      </c>
      <c r="P396">
        <f t="shared" si="18"/>
        <v>1</v>
      </c>
      <c r="Q396">
        <f t="shared" si="19"/>
        <v>1</v>
      </c>
    </row>
    <row r="397" spans="1:17" x14ac:dyDescent="0.2">
      <c r="A397" t="s">
        <v>51</v>
      </c>
      <c r="B397" t="s">
        <v>408</v>
      </c>
      <c r="C397">
        <v>370</v>
      </c>
      <c r="D397">
        <v>190</v>
      </c>
      <c r="E397">
        <v>21</v>
      </c>
      <c r="F397">
        <v>9</v>
      </c>
      <c r="G397">
        <v>0</v>
      </c>
      <c r="H397">
        <v>170</v>
      </c>
      <c r="I397">
        <v>760</v>
      </c>
      <c r="J397">
        <v>30</v>
      </c>
      <c r="K397">
        <v>1</v>
      </c>
      <c r="L397">
        <v>4</v>
      </c>
      <c r="M397">
        <v>14</v>
      </c>
      <c r="N397">
        <v>369</v>
      </c>
      <c r="O397" s="3">
        <f t="shared" si="20"/>
        <v>3.7837837837837842</v>
      </c>
      <c r="P397">
        <f t="shared" si="18"/>
        <v>1</v>
      </c>
      <c r="Q397">
        <f t="shared" si="19"/>
        <v>0</v>
      </c>
    </row>
    <row r="398" spans="1:17" x14ac:dyDescent="0.2">
      <c r="A398" t="s">
        <v>51</v>
      </c>
      <c r="B398" t="s">
        <v>409</v>
      </c>
      <c r="C398">
        <v>530</v>
      </c>
      <c r="D398">
        <v>330</v>
      </c>
      <c r="E398">
        <v>37</v>
      </c>
      <c r="F398">
        <v>7</v>
      </c>
      <c r="G398">
        <v>0</v>
      </c>
      <c r="H398">
        <v>55</v>
      </c>
      <c r="I398">
        <v>1420</v>
      </c>
      <c r="J398">
        <v>28</v>
      </c>
      <c r="K398">
        <v>4</v>
      </c>
      <c r="L398">
        <v>1</v>
      </c>
      <c r="M398">
        <v>20</v>
      </c>
      <c r="N398">
        <v>518</v>
      </c>
      <c r="O398" s="3">
        <f t="shared" si="20"/>
        <v>3.7735849056603774</v>
      </c>
      <c r="P398">
        <f t="shared" si="18"/>
        <v>1</v>
      </c>
      <c r="Q398">
        <f t="shared" si="19"/>
        <v>0</v>
      </c>
    </row>
    <row r="399" spans="1:17" x14ac:dyDescent="0.2">
      <c r="A399" t="s">
        <v>25</v>
      </c>
      <c r="B399" t="s">
        <v>410</v>
      </c>
      <c r="C399">
        <v>240</v>
      </c>
      <c r="D399">
        <v>60</v>
      </c>
      <c r="E399">
        <v>6</v>
      </c>
      <c r="F399">
        <v>4</v>
      </c>
      <c r="G399">
        <v>0</v>
      </c>
      <c r="H399">
        <v>10</v>
      </c>
      <c r="I399">
        <v>190</v>
      </c>
      <c r="J399">
        <v>37</v>
      </c>
      <c r="K399">
        <v>0</v>
      </c>
      <c r="L399">
        <v>34</v>
      </c>
      <c r="M399">
        <v>9</v>
      </c>
      <c r="N399">
        <v>269</v>
      </c>
      <c r="O399" s="3">
        <f t="shared" si="20"/>
        <v>3.75</v>
      </c>
      <c r="P399">
        <f t="shared" si="18"/>
        <v>0</v>
      </c>
      <c r="Q399">
        <f t="shared" si="19"/>
        <v>0</v>
      </c>
    </row>
    <row r="400" spans="1:17" x14ac:dyDescent="0.2">
      <c r="A400" t="s">
        <v>25</v>
      </c>
      <c r="B400" t="s">
        <v>411</v>
      </c>
      <c r="C400">
        <v>240</v>
      </c>
      <c r="D400">
        <v>35</v>
      </c>
      <c r="E400">
        <v>4</v>
      </c>
      <c r="F400">
        <v>2.5</v>
      </c>
      <c r="G400">
        <v>0</v>
      </c>
      <c r="H400">
        <v>5</v>
      </c>
      <c r="I400">
        <v>200</v>
      </c>
      <c r="J400">
        <v>41</v>
      </c>
      <c r="K400">
        <v>0</v>
      </c>
      <c r="L400">
        <v>38</v>
      </c>
      <c r="M400">
        <v>9</v>
      </c>
      <c r="N400">
        <v>271.5</v>
      </c>
      <c r="O400" s="3">
        <f t="shared" si="20"/>
        <v>3.75</v>
      </c>
      <c r="P400">
        <f t="shared" si="18"/>
        <v>0</v>
      </c>
      <c r="Q400">
        <f t="shared" si="19"/>
        <v>0</v>
      </c>
    </row>
    <row r="401" spans="1:17" x14ac:dyDescent="0.2">
      <c r="A401" t="s">
        <v>51</v>
      </c>
      <c r="B401" t="s">
        <v>412</v>
      </c>
      <c r="C401">
        <v>800</v>
      </c>
      <c r="D401">
        <v>460</v>
      </c>
      <c r="E401">
        <v>52</v>
      </c>
      <c r="F401">
        <v>13</v>
      </c>
      <c r="G401">
        <v>1</v>
      </c>
      <c r="H401">
        <v>95</v>
      </c>
      <c r="I401">
        <v>1650</v>
      </c>
      <c r="J401">
        <v>55</v>
      </c>
      <c r="K401">
        <v>2</v>
      </c>
      <c r="L401">
        <v>8</v>
      </c>
      <c r="M401">
        <v>30</v>
      </c>
      <c r="N401">
        <v>791</v>
      </c>
      <c r="O401" s="3">
        <f t="shared" si="20"/>
        <v>3.75</v>
      </c>
      <c r="P401">
        <f t="shared" si="18"/>
        <v>1</v>
      </c>
      <c r="Q401">
        <f t="shared" si="19"/>
        <v>0</v>
      </c>
    </row>
    <row r="402" spans="1:17" x14ac:dyDescent="0.2">
      <c r="A402" t="s">
        <v>51</v>
      </c>
      <c r="B402" t="s">
        <v>413</v>
      </c>
      <c r="C402">
        <v>320</v>
      </c>
      <c r="D402">
        <v>200</v>
      </c>
      <c r="E402">
        <v>22</v>
      </c>
      <c r="F402">
        <v>4.5</v>
      </c>
      <c r="G402">
        <v>0</v>
      </c>
      <c r="H402">
        <v>35</v>
      </c>
      <c r="I402">
        <v>850</v>
      </c>
      <c r="J402">
        <v>17</v>
      </c>
      <c r="K402">
        <v>3</v>
      </c>
      <c r="L402">
        <v>0</v>
      </c>
      <c r="M402">
        <v>12</v>
      </c>
      <c r="N402">
        <v>313</v>
      </c>
      <c r="O402" s="3">
        <f t="shared" si="20"/>
        <v>3.75</v>
      </c>
      <c r="P402">
        <f t="shared" si="18"/>
        <v>1</v>
      </c>
      <c r="Q402">
        <f t="shared" si="19"/>
        <v>0</v>
      </c>
    </row>
    <row r="403" spans="1:17" x14ac:dyDescent="0.2">
      <c r="A403" t="s">
        <v>58</v>
      </c>
      <c r="B403" t="s">
        <v>414</v>
      </c>
      <c r="C403">
        <v>510</v>
      </c>
      <c r="D403" s="2">
        <v>0</v>
      </c>
      <c r="E403">
        <v>28</v>
      </c>
      <c r="F403">
        <v>9</v>
      </c>
      <c r="G403">
        <v>0</v>
      </c>
      <c r="H403">
        <v>245</v>
      </c>
      <c r="I403">
        <v>1390</v>
      </c>
      <c r="J403">
        <v>44</v>
      </c>
      <c r="K403">
        <v>4</v>
      </c>
      <c r="L403">
        <v>2</v>
      </c>
      <c r="M403">
        <v>19</v>
      </c>
      <c r="N403">
        <v>502</v>
      </c>
      <c r="O403" s="3">
        <f t="shared" si="20"/>
        <v>3.7254901960784315</v>
      </c>
      <c r="P403">
        <f t="shared" si="18"/>
        <v>1</v>
      </c>
      <c r="Q403">
        <f t="shared" si="19"/>
        <v>0</v>
      </c>
    </row>
    <row r="404" spans="1:17" x14ac:dyDescent="0.2">
      <c r="A404" t="s">
        <v>17</v>
      </c>
      <c r="B404" t="s">
        <v>415</v>
      </c>
      <c r="C404">
        <v>350</v>
      </c>
      <c r="D404">
        <v>170</v>
      </c>
      <c r="E404">
        <v>18</v>
      </c>
      <c r="F404">
        <v>5</v>
      </c>
      <c r="G404">
        <v>0</v>
      </c>
      <c r="H404">
        <v>25</v>
      </c>
      <c r="I404">
        <v>560</v>
      </c>
      <c r="J404">
        <v>33</v>
      </c>
      <c r="K404">
        <v>4</v>
      </c>
      <c r="L404">
        <v>3</v>
      </c>
      <c r="M404">
        <v>13</v>
      </c>
      <c r="O404" s="3">
        <f t="shared" si="20"/>
        <v>3.7142857142857144</v>
      </c>
      <c r="P404">
        <f t="shared" si="18"/>
        <v>1</v>
      </c>
      <c r="Q404">
        <f t="shared" si="19"/>
        <v>0</v>
      </c>
    </row>
    <row r="405" spans="1:17" x14ac:dyDescent="0.2">
      <c r="A405" t="s">
        <v>17</v>
      </c>
      <c r="B405" t="s">
        <v>416</v>
      </c>
      <c r="C405">
        <v>350</v>
      </c>
      <c r="D405">
        <v>80</v>
      </c>
      <c r="E405">
        <v>9</v>
      </c>
      <c r="F405">
        <v>3.5</v>
      </c>
      <c r="G405">
        <v>0</v>
      </c>
      <c r="H405">
        <v>5</v>
      </c>
      <c r="I405">
        <v>1000</v>
      </c>
      <c r="J405">
        <v>54</v>
      </c>
      <c r="K405">
        <v>11</v>
      </c>
      <c r="L405">
        <v>3</v>
      </c>
      <c r="M405">
        <v>13</v>
      </c>
      <c r="O405" s="3">
        <f t="shared" si="20"/>
        <v>3.7142857142857144</v>
      </c>
      <c r="P405">
        <f t="shared" si="18"/>
        <v>1</v>
      </c>
      <c r="Q405">
        <f t="shared" si="19"/>
        <v>0</v>
      </c>
    </row>
    <row r="406" spans="1:17" x14ac:dyDescent="0.2">
      <c r="A406" t="s">
        <v>17</v>
      </c>
      <c r="B406" t="s">
        <v>417</v>
      </c>
      <c r="C406">
        <v>350</v>
      </c>
      <c r="D406">
        <v>170</v>
      </c>
      <c r="E406">
        <v>18</v>
      </c>
      <c r="F406">
        <v>5</v>
      </c>
      <c r="G406">
        <v>0</v>
      </c>
      <c r="H406">
        <v>25</v>
      </c>
      <c r="I406">
        <v>560</v>
      </c>
      <c r="J406">
        <v>33</v>
      </c>
      <c r="K406">
        <v>4</v>
      </c>
      <c r="L406">
        <v>3</v>
      </c>
      <c r="M406">
        <v>13</v>
      </c>
      <c r="O406" s="3">
        <f t="shared" si="20"/>
        <v>3.7142857142857144</v>
      </c>
      <c r="P406">
        <f t="shared" si="18"/>
        <v>1</v>
      </c>
      <c r="Q406">
        <f t="shared" si="19"/>
        <v>0</v>
      </c>
    </row>
    <row r="407" spans="1:17" x14ac:dyDescent="0.2">
      <c r="A407" t="s">
        <v>17</v>
      </c>
      <c r="B407" t="s">
        <v>418</v>
      </c>
      <c r="C407">
        <v>350</v>
      </c>
      <c r="D407">
        <v>80</v>
      </c>
      <c r="E407">
        <v>9</v>
      </c>
      <c r="F407">
        <v>3.5</v>
      </c>
      <c r="G407">
        <v>0</v>
      </c>
      <c r="H407">
        <v>5</v>
      </c>
      <c r="I407">
        <v>1000</v>
      </c>
      <c r="J407">
        <v>54</v>
      </c>
      <c r="K407">
        <v>11</v>
      </c>
      <c r="L407">
        <v>3</v>
      </c>
      <c r="M407">
        <v>13</v>
      </c>
      <c r="O407" s="3">
        <f t="shared" si="20"/>
        <v>3.7142857142857144</v>
      </c>
      <c r="P407">
        <f t="shared" si="18"/>
        <v>1</v>
      </c>
      <c r="Q407">
        <f t="shared" si="19"/>
        <v>0</v>
      </c>
    </row>
    <row r="408" spans="1:17" x14ac:dyDescent="0.2">
      <c r="A408" t="s">
        <v>17</v>
      </c>
      <c r="B408" t="s">
        <v>419</v>
      </c>
      <c r="C408">
        <v>350</v>
      </c>
      <c r="D408">
        <v>150</v>
      </c>
      <c r="E408">
        <v>16</v>
      </c>
      <c r="F408">
        <v>4.5</v>
      </c>
      <c r="G408">
        <v>0</v>
      </c>
      <c r="H408">
        <v>115</v>
      </c>
      <c r="I408">
        <v>870</v>
      </c>
      <c r="J408">
        <v>36</v>
      </c>
      <c r="K408">
        <v>2</v>
      </c>
      <c r="L408">
        <v>3</v>
      </c>
      <c r="M408">
        <v>13</v>
      </c>
      <c r="O408" s="3">
        <f t="shared" si="20"/>
        <v>3.7142857142857144</v>
      </c>
      <c r="P408">
        <f t="shared" si="18"/>
        <v>1</v>
      </c>
      <c r="Q408">
        <f t="shared" si="19"/>
        <v>0</v>
      </c>
    </row>
    <row r="409" spans="1:17" x14ac:dyDescent="0.2">
      <c r="A409" t="s">
        <v>17</v>
      </c>
      <c r="B409" t="s">
        <v>420</v>
      </c>
      <c r="C409">
        <v>570</v>
      </c>
      <c r="D409">
        <v>300</v>
      </c>
      <c r="E409">
        <v>33</v>
      </c>
      <c r="F409">
        <v>10</v>
      </c>
      <c r="G409">
        <v>0</v>
      </c>
      <c r="H409">
        <v>135</v>
      </c>
      <c r="I409">
        <v>1270</v>
      </c>
      <c r="J409">
        <v>49</v>
      </c>
      <c r="K409">
        <v>4</v>
      </c>
      <c r="L409">
        <v>2</v>
      </c>
      <c r="M409">
        <v>21</v>
      </c>
      <c r="O409" s="3">
        <f t="shared" si="20"/>
        <v>3.6842105263157889</v>
      </c>
      <c r="P409">
        <f t="shared" si="18"/>
        <v>1</v>
      </c>
      <c r="Q409">
        <f t="shared" si="19"/>
        <v>0</v>
      </c>
    </row>
    <row r="410" spans="1:17" x14ac:dyDescent="0.2">
      <c r="A410" t="s">
        <v>17</v>
      </c>
      <c r="B410" t="s">
        <v>421</v>
      </c>
      <c r="C410">
        <v>490</v>
      </c>
      <c r="D410">
        <v>160</v>
      </c>
      <c r="E410">
        <v>18</v>
      </c>
      <c r="F410">
        <v>7</v>
      </c>
      <c r="G410">
        <v>0</v>
      </c>
      <c r="H410">
        <v>30</v>
      </c>
      <c r="I410">
        <v>1250</v>
      </c>
      <c r="J410">
        <v>63</v>
      </c>
      <c r="K410">
        <v>9</v>
      </c>
      <c r="L410">
        <v>5</v>
      </c>
      <c r="M410">
        <v>18</v>
      </c>
      <c r="O410" s="3">
        <f t="shared" si="20"/>
        <v>3.6734693877551026</v>
      </c>
      <c r="P410">
        <f t="shared" si="18"/>
        <v>1</v>
      </c>
      <c r="Q410">
        <f t="shared" si="19"/>
        <v>0</v>
      </c>
    </row>
    <row r="411" spans="1:17" x14ac:dyDescent="0.2">
      <c r="A411" t="s">
        <v>25</v>
      </c>
      <c r="B411" t="s">
        <v>422</v>
      </c>
      <c r="C411">
        <v>300</v>
      </c>
      <c r="D411">
        <v>60</v>
      </c>
      <c r="E411">
        <v>6</v>
      </c>
      <c r="F411">
        <v>4</v>
      </c>
      <c r="G411">
        <v>0</v>
      </c>
      <c r="H411">
        <v>10</v>
      </c>
      <c r="I411">
        <v>230</v>
      </c>
      <c r="J411">
        <v>49</v>
      </c>
      <c r="K411">
        <v>0</v>
      </c>
      <c r="L411">
        <v>45</v>
      </c>
      <c r="M411">
        <v>11</v>
      </c>
      <c r="N411">
        <v>338</v>
      </c>
      <c r="O411" s="3">
        <f t="shared" si="20"/>
        <v>3.6666666666666665</v>
      </c>
      <c r="P411">
        <f t="shared" si="18"/>
        <v>0</v>
      </c>
      <c r="Q411">
        <f t="shared" si="19"/>
        <v>0</v>
      </c>
    </row>
    <row r="412" spans="1:17" x14ac:dyDescent="0.2">
      <c r="A412" t="s">
        <v>51</v>
      </c>
      <c r="B412" t="s">
        <v>423</v>
      </c>
      <c r="C412">
        <v>300</v>
      </c>
      <c r="D412">
        <v>140</v>
      </c>
      <c r="E412">
        <v>16</v>
      </c>
      <c r="F412">
        <v>3</v>
      </c>
      <c r="G412">
        <v>0</v>
      </c>
      <c r="H412">
        <v>0</v>
      </c>
      <c r="I412">
        <v>290</v>
      </c>
      <c r="J412">
        <v>33</v>
      </c>
      <c r="K412">
        <v>4</v>
      </c>
      <c r="L412">
        <v>11</v>
      </c>
      <c r="M412">
        <v>11</v>
      </c>
      <c r="N412">
        <v>303</v>
      </c>
      <c r="O412" s="3">
        <f t="shared" si="20"/>
        <v>3.6666666666666665</v>
      </c>
      <c r="P412">
        <f t="shared" si="18"/>
        <v>0</v>
      </c>
      <c r="Q412">
        <f t="shared" si="19"/>
        <v>0</v>
      </c>
    </row>
    <row r="413" spans="1:17" x14ac:dyDescent="0.2">
      <c r="A413" t="s">
        <v>58</v>
      </c>
      <c r="B413" t="s">
        <v>424</v>
      </c>
      <c r="C413">
        <v>410</v>
      </c>
      <c r="D413" s="2">
        <v>0</v>
      </c>
      <c r="E413">
        <v>24</v>
      </c>
      <c r="F413">
        <v>13</v>
      </c>
      <c r="G413">
        <v>0</v>
      </c>
      <c r="H413">
        <v>235</v>
      </c>
      <c r="I413">
        <v>970</v>
      </c>
      <c r="J413">
        <v>34</v>
      </c>
      <c r="K413">
        <v>1</v>
      </c>
      <c r="L413">
        <v>5</v>
      </c>
      <c r="M413">
        <v>15</v>
      </c>
      <c r="N413">
        <v>413</v>
      </c>
      <c r="O413" s="3">
        <f t="shared" si="20"/>
        <v>3.6585365853658534</v>
      </c>
      <c r="P413">
        <f t="shared" si="18"/>
        <v>1</v>
      </c>
      <c r="Q413">
        <f t="shared" si="19"/>
        <v>0</v>
      </c>
    </row>
    <row r="414" spans="1:17" x14ac:dyDescent="0.2">
      <c r="A414" t="s">
        <v>17</v>
      </c>
      <c r="B414" t="s">
        <v>425</v>
      </c>
      <c r="C414">
        <v>660</v>
      </c>
      <c r="D414">
        <v>350</v>
      </c>
      <c r="E414">
        <v>38</v>
      </c>
      <c r="F414">
        <v>12</v>
      </c>
      <c r="G414">
        <v>0</v>
      </c>
      <c r="H414">
        <v>145</v>
      </c>
      <c r="I414">
        <v>1300</v>
      </c>
      <c r="J414">
        <v>51</v>
      </c>
      <c r="K414">
        <v>4</v>
      </c>
      <c r="L414">
        <v>3</v>
      </c>
      <c r="M414">
        <v>24</v>
      </c>
      <c r="O414" s="3">
        <f t="shared" si="20"/>
        <v>3.6363636363636362</v>
      </c>
      <c r="P414">
        <f t="shared" si="18"/>
        <v>1</v>
      </c>
      <c r="Q414">
        <f t="shared" si="19"/>
        <v>0</v>
      </c>
    </row>
    <row r="415" spans="1:17" x14ac:dyDescent="0.2">
      <c r="A415" t="s">
        <v>25</v>
      </c>
      <c r="B415" t="s">
        <v>426</v>
      </c>
      <c r="C415">
        <v>470</v>
      </c>
      <c r="D415">
        <v>220</v>
      </c>
      <c r="E415">
        <v>24</v>
      </c>
      <c r="F415">
        <v>9</v>
      </c>
      <c r="G415">
        <v>0</v>
      </c>
      <c r="H415">
        <v>30</v>
      </c>
      <c r="I415">
        <v>1290</v>
      </c>
      <c r="J415">
        <v>46</v>
      </c>
      <c r="K415">
        <v>3</v>
      </c>
      <c r="L415">
        <v>4</v>
      </c>
      <c r="M415">
        <v>17</v>
      </c>
      <c r="N415">
        <v>466</v>
      </c>
      <c r="O415" s="3">
        <f t="shared" si="20"/>
        <v>3.6170212765957444</v>
      </c>
      <c r="P415">
        <f t="shared" si="18"/>
        <v>1</v>
      </c>
      <c r="Q415">
        <f t="shared" si="19"/>
        <v>0</v>
      </c>
    </row>
    <row r="416" spans="1:17" x14ac:dyDescent="0.2">
      <c r="A416" t="s">
        <v>21</v>
      </c>
      <c r="B416" t="s">
        <v>427</v>
      </c>
      <c r="C416">
        <v>720</v>
      </c>
      <c r="D416" s="2">
        <v>0</v>
      </c>
      <c r="E416">
        <v>41</v>
      </c>
      <c r="F416">
        <v>25</v>
      </c>
      <c r="G416">
        <v>0</v>
      </c>
      <c r="H416">
        <v>80</v>
      </c>
      <c r="I416">
        <v>1750</v>
      </c>
      <c r="J416">
        <v>60</v>
      </c>
      <c r="K416">
        <v>7</v>
      </c>
      <c r="L416">
        <v>5</v>
      </c>
      <c r="M416">
        <v>26</v>
      </c>
      <c r="N416">
        <v>724</v>
      </c>
      <c r="O416" s="3">
        <f t="shared" si="20"/>
        <v>3.6111111111111107</v>
      </c>
      <c r="P416">
        <f t="shared" si="18"/>
        <v>1</v>
      </c>
      <c r="Q416">
        <f t="shared" si="19"/>
        <v>0</v>
      </c>
    </row>
    <row r="417" spans="1:17" x14ac:dyDescent="0.2">
      <c r="A417" t="s">
        <v>21</v>
      </c>
      <c r="B417" t="s">
        <v>428</v>
      </c>
      <c r="C417">
        <v>360</v>
      </c>
      <c r="D417" s="2">
        <v>0</v>
      </c>
      <c r="E417">
        <v>24</v>
      </c>
      <c r="F417">
        <v>7</v>
      </c>
      <c r="G417">
        <v>1</v>
      </c>
      <c r="H417">
        <v>35</v>
      </c>
      <c r="I417">
        <v>750</v>
      </c>
      <c r="J417">
        <v>22</v>
      </c>
      <c r="K417">
        <v>2</v>
      </c>
      <c r="L417">
        <v>0</v>
      </c>
      <c r="M417">
        <v>13</v>
      </c>
      <c r="N417">
        <v>354</v>
      </c>
      <c r="O417" s="3">
        <f t="shared" si="20"/>
        <v>3.6111111111111107</v>
      </c>
      <c r="P417">
        <f t="shared" si="18"/>
        <v>1</v>
      </c>
      <c r="Q417">
        <f t="shared" si="19"/>
        <v>0</v>
      </c>
    </row>
    <row r="418" spans="1:17" x14ac:dyDescent="0.2">
      <c r="A418" t="s">
        <v>51</v>
      </c>
      <c r="B418" t="s">
        <v>429</v>
      </c>
      <c r="C418">
        <v>530</v>
      </c>
      <c r="D418">
        <v>340</v>
      </c>
      <c r="E418">
        <v>38</v>
      </c>
      <c r="F418">
        <v>17</v>
      </c>
      <c r="G418">
        <v>0</v>
      </c>
      <c r="H418">
        <v>195</v>
      </c>
      <c r="I418">
        <v>1440</v>
      </c>
      <c r="J418">
        <v>29</v>
      </c>
      <c r="K418">
        <v>1</v>
      </c>
      <c r="L418">
        <v>3</v>
      </c>
      <c r="M418">
        <v>19</v>
      </c>
      <c r="N418">
        <v>531</v>
      </c>
      <c r="O418" s="3">
        <f t="shared" si="20"/>
        <v>3.5849056603773586</v>
      </c>
      <c r="P418">
        <f t="shared" si="18"/>
        <v>1</v>
      </c>
      <c r="Q418">
        <f t="shared" si="19"/>
        <v>0</v>
      </c>
    </row>
    <row r="419" spans="1:17" x14ac:dyDescent="0.2">
      <c r="A419" t="s">
        <v>25</v>
      </c>
      <c r="B419" t="s">
        <v>430</v>
      </c>
      <c r="C419">
        <v>420</v>
      </c>
      <c r="D419">
        <v>210</v>
      </c>
      <c r="E419">
        <v>23</v>
      </c>
      <c r="F419">
        <v>12</v>
      </c>
      <c r="G419">
        <v>0</v>
      </c>
      <c r="H419">
        <v>235</v>
      </c>
      <c r="I419">
        <v>1160</v>
      </c>
      <c r="J419">
        <v>37</v>
      </c>
      <c r="K419">
        <v>2</v>
      </c>
      <c r="L419">
        <v>3</v>
      </c>
      <c r="M419">
        <v>15</v>
      </c>
      <c r="N419">
        <v>420</v>
      </c>
      <c r="O419" s="3">
        <f t="shared" si="20"/>
        <v>3.5714285714285712</v>
      </c>
      <c r="P419">
        <f t="shared" si="18"/>
        <v>1</v>
      </c>
      <c r="Q419">
        <f t="shared" si="19"/>
        <v>0</v>
      </c>
    </row>
    <row r="420" spans="1:17" x14ac:dyDescent="0.2">
      <c r="A420" t="s">
        <v>25</v>
      </c>
      <c r="B420" t="s">
        <v>431</v>
      </c>
      <c r="C420">
        <v>420</v>
      </c>
      <c r="D420">
        <v>160</v>
      </c>
      <c r="E420">
        <v>18</v>
      </c>
      <c r="F420">
        <v>8</v>
      </c>
      <c r="G420">
        <v>0</v>
      </c>
      <c r="H420">
        <v>240</v>
      </c>
      <c r="I420">
        <v>1110</v>
      </c>
      <c r="J420">
        <v>48</v>
      </c>
      <c r="K420">
        <v>2</v>
      </c>
      <c r="L420">
        <v>15</v>
      </c>
      <c r="M420">
        <v>15</v>
      </c>
      <c r="N420">
        <v>428</v>
      </c>
      <c r="O420" s="3">
        <f t="shared" si="20"/>
        <v>3.5714285714285712</v>
      </c>
      <c r="P420">
        <f t="shared" si="18"/>
        <v>1</v>
      </c>
      <c r="Q420">
        <f t="shared" si="19"/>
        <v>0</v>
      </c>
    </row>
    <row r="421" spans="1:17" x14ac:dyDescent="0.2">
      <c r="A421" t="s">
        <v>25</v>
      </c>
      <c r="B421" t="s">
        <v>432</v>
      </c>
      <c r="C421">
        <v>560</v>
      </c>
      <c r="D421">
        <v>290</v>
      </c>
      <c r="E421">
        <v>32</v>
      </c>
      <c r="F421">
        <v>12</v>
      </c>
      <c r="G421">
        <v>0</v>
      </c>
      <c r="H421">
        <v>265</v>
      </c>
      <c r="I421">
        <v>1360</v>
      </c>
      <c r="J421">
        <v>48</v>
      </c>
      <c r="K421">
        <v>2</v>
      </c>
      <c r="L421">
        <v>15</v>
      </c>
      <c r="M421">
        <v>20</v>
      </c>
      <c r="N421">
        <v>567</v>
      </c>
      <c r="O421" s="3">
        <f t="shared" si="20"/>
        <v>3.5714285714285712</v>
      </c>
      <c r="P421">
        <f t="shared" si="18"/>
        <v>1</v>
      </c>
      <c r="Q421">
        <f t="shared" si="19"/>
        <v>0</v>
      </c>
    </row>
    <row r="422" spans="1:17" x14ac:dyDescent="0.2">
      <c r="A422" t="s">
        <v>51</v>
      </c>
      <c r="B422" t="s">
        <v>433</v>
      </c>
      <c r="C422">
        <v>700</v>
      </c>
      <c r="D422">
        <v>370</v>
      </c>
      <c r="E422">
        <v>42</v>
      </c>
      <c r="F422">
        <v>7</v>
      </c>
      <c r="G422">
        <v>0</v>
      </c>
      <c r="H422">
        <v>65</v>
      </c>
      <c r="I422">
        <v>1140</v>
      </c>
      <c r="J422">
        <v>57</v>
      </c>
      <c r="K422">
        <v>3</v>
      </c>
      <c r="L422">
        <v>8</v>
      </c>
      <c r="M422">
        <v>25</v>
      </c>
      <c r="N422">
        <v>690</v>
      </c>
      <c r="O422" s="3">
        <f t="shared" si="20"/>
        <v>3.5714285714285712</v>
      </c>
      <c r="P422">
        <f t="shared" si="18"/>
        <v>1</v>
      </c>
      <c r="Q422">
        <f t="shared" si="19"/>
        <v>0</v>
      </c>
    </row>
    <row r="423" spans="1:17" x14ac:dyDescent="0.2">
      <c r="A423" t="s">
        <v>21</v>
      </c>
      <c r="B423" t="s">
        <v>434</v>
      </c>
      <c r="C423">
        <v>140</v>
      </c>
      <c r="D423" s="2">
        <v>0</v>
      </c>
      <c r="E423">
        <v>6</v>
      </c>
      <c r="F423">
        <v>1.5</v>
      </c>
      <c r="G423">
        <v>0</v>
      </c>
      <c r="H423">
        <v>0</v>
      </c>
      <c r="I423">
        <v>590</v>
      </c>
      <c r="J423">
        <v>17</v>
      </c>
      <c r="K423">
        <v>1</v>
      </c>
      <c r="L423">
        <v>2</v>
      </c>
      <c r="M423">
        <v>5</v>
      </c>
      <c r="N423">
        <v>138.5</v>
      </c>
      <c r="O423" s="3">
        <f t="shared" si="20"/>
        <v>3.5714285714285712</v>
      </c>
      <c r="P423">
        <f t="shared" si="18"/>
        <v>1</v>
      </c>
      <c r="Q423">
        <f t="shared" si="19"/>
        <v>0</v>
      </c>
    </row>
    <row r="424" spans="1:17" x14ac:dyDescent="0.2">
      <c r="A424" t="s">
        <v>21</v>
      </c>
      <c r="B424" t="s">
        <v>435</v>
      </c>
      <c r="C424">
        <v>280</v>
      </c>
      <c r="D424" s="2">
        <v>0</v>
      </c>
      <c r="E424">
        <v>2.5</v>
      </c>
      <c r="F424">
        <v>0</v>
      </c>
      <c r="G424">
        <v>0</v>
      </c>
      <c r="H424">
        <v>0</v>
      </c>
      <c r="I424">
        <v>10</v>
      </c>
      <c r="J424">
        <v>67</v>
      </c>
      <c r="K424">
        <v>7</v>
      </c>
      <c r="L424">
        <v>8</v>
      </c>
      <c r="M424">
        <v>10</v>
      </c>
      <c r="N424">
        <v>278</v>
      </c>
      <c r="O424" s="3">
        <f t="shared" si="20"/>
        <v>3.5714285714285712</v>
      </c>
      <c r="P424">
        <f t="shared" si="18"/>
        <v>0</v>
      </c>
      <c r="Q424">
        <f t="shared" si="19"/>
        <v>0</v>
      </c>
    </row>
    <row r="425" spans="1:17" x14ac:dyDescent="0.2">
      <c r="A425" t="s">
        <v>25</v>
      </c>
      <c r="B425" t="s">
        <v>436</v>
      </c>
      <c r="C425">
        <v>310</v>
      </c>
      <c r="D425">
        <v>50</v>
      </c>
      <c r="E425">
        <v>6</v>
      </c>
      <c r="F425">
        <v>3.5</v>
      </c>
      <c r="G425">
        <v>0</v>
      </c>
      <c r="H425">
        <v>10</v>
      </c>
      <c r="I425">
        <v>190</v>
      </c>
      <c r="J425">
        <v>55</v>
      </c>
      <c r="K425">
        <v>0</v>
      </c>
      <c r="L425">
        <v>47</v>
      </c>
      <c r="M425">
        <v>11</v>
      </c>
      <c r="N425">
        <v>349.5</v>
      </c>
      <c r="O425" s="3">
        <f t="shared" si="20"/>
        <v>3.5483870967741935</v>
      </c>
      <c r="P425">
        <f t="shared" si="18"/>
        <v>0</v>
      </c>
      <c r="Q425">
        <f t="shared" si="19"/>
        <v>0</v>
      </c>
    </row>
    <row r="426" spans="1:17" x14ac:dyDescent="0.2">
      <c r="A426" t="s">
        <v>51</v>
      </c>
      <c r="B426" t="s">
        <v>437</v>
      </c>
      <c r="C426">
        <v>790</v>
      </c>
      <c r="D426">
        <v>440</v>
      </c>
      <c r="E426">
        <v>49</v>
      </c>
      <c r="F426">
        <v>10</v>
      </c>
      <c r="G426">
        <v>0.5</v>
      </c>
      <c r="H426">
        <v>80</v>
      </c>
      <c r="I426">
        <v>1630</v>
      </c>
      <c r="J426">
        <v>60</v>
      </c>
      <c r="K426">
        <v>2</v>
      </c>
      <c r="L426">
        <v>13</v>
      </c>
      <c r="M426">
        <v>28</v>
      </c>
      <c r="N426">
        <v>785</v>
      </c>
      <c r="O426" s="3">
        <f t="shared" si="20"/>
        <v>3.5443037974683547</v>
      </c>
      <c r="P426">
        <f t="shared" si="18"/>
        <v>1</v>
      </c>
      <c r="Q426">
        <f t="shared" si="19"/>
        <v>0</v>
      </c>
    </row>
    <row r="427" spans="1:17" x14ac:dyDescent="0.2">
      <c r="A427" t="s">
        <v>25</v>
      </c>
      <c r="B427" t="s">
        <v>438</v>
      </c>
      <c r="C427">
        <v>510</v>
      </c>
      <c r="D427">
        <v>290</v>
      </c>
      <c r="E427">
        <v>33</v>
      </c>
      <c r="F427">
        <v>14</v>
      </c>
      <c r="G427">
        <v>0</v>
      </c>
      <c r="H427">
        <v>250</v>
      </c>
      <c r="I427">
        <v>1170</v>
      </c>
      <c r="J427">
        <v>36</v>
      </c>
      <c r="K427">
        <v>2</v>
      </c>
      <c r="L427">
        <v>2</v>
      </c>
      <c r="M427">
        <v>18</v>
      </c>
      <c r="N427">
        <v>508</v>
      </c>
      <c r="O427" s="3">
        <f t="shared" si="20"/>
        <v>3.5294117647058822</v>
      </c>
      <c r="P427">
        <f t="shared" si="18"/>
        <v>1</v>
      </c>
      <c r="Q427">
        <f t="shared" si="19"/>
        <v>0</v>
      </c>
    </row>
    <row r="428" spans="1:17" x14ac:dyDescent="0.2">
      <c r="A428" t="s">
        <v>51</v>
      </c>
      <c r="B428" t="s">
        <v>439</v>
      </c>
      <c r="C428">
        <v>340</v>
      </c>
      <c r="D428">
        <v>170</v>
      </c>
      <c r="E428">
        <v>18</v>
      </c>
      <c r="F428">
        <v>8</v>
      </c>
      <c r="G428">
        <v>0</v>
      </c>
      <c r="H428">
        <v>160</v>
      </c>
      <c r="I428">
        <v>610</v>
      </c>
      <c r="J428">
        <v>29</v>
      </c>
      <c r="K428">
        <v>1</v>
      </c>
      <c r="L428">
        <v>4</v>
      </c>
      <c r="M428">
        <v>12</v>
      </c>
      <c r="N428">
        <v>340</v>
      </c>
      <c r="O428" s="3">
        <f t="shared" si="20"/>
        <v>3.5294117647058822</v>
      </c>
      <c r="P428">
        <f t="shared" si="18"/>
        <v>1</v>
      </c>
      <c r="Q428">
        <f t="shared" si="19"/>
        <v>0</v>
      </c>
    </row>
    <row r="429" spans="1:17" x14ac:dyDescent="0.2">
      <c r="A429" t="s">
        <v>21</v>
      </c>
      <c r="B429" t="s">
        <v>440</v>
      </c>
      <c r="C429">
        <v>740</v>
      </c>
      <c r="D429" s="2">
        <v>0</v>
      </c>
      <c r="E429">
        <v>35</v>
      </c>
      <c r="F429">
        <v>6</v>
      </c>
      <c r="G429">
        <v>0</v>
      </c>
      <c r="H429">
        <v>45</v>
      </c>
      <c r="I429">
        <v>2350</v>
      </c>
      <c r="J429">
        <v>81</v>
      </c>
      <c r="K429">
        <v>6</v>
      </c>
      <c r="L429">
        <v>2</v>
      </c>
      <c r="M429">
        <v>26</v>
      </c>
      <c r="N429">
        <v>722</v>
      </c>
      <c r="O429" s="3">
        <f t="shared" si="20"/>
        <v>3.5135135135135136</v>
      </c>
      <c r="P429">
        <f t="shared" si="18"/>
        <v>1</v>
      </c>
      <c r="Q429">
        <f t="shared" si="19"/>
        <v>0</v>
      </c>
    </row>
    <row r="430" spans="1:17" x14ac:dyDescent="0.2">
      <c r="A430" t="s">
        <v>25</v>
      </c>
      <c r="B430" t="s">
        <v>441</v>
      </c>
      <c r="C430">
        <v>800</v>
      </c>
      <c r="D430">
        <v>470</v>
      </c>
      <c r="E430">
        <v>52</v>
      </c>
      <c r="F430">
        <v>18</v>
      </c>
      <c r="G430">
        <v>0</v>
      </c>
      <c r="H430">
        <v>555</v>
      </c>
      <c r="I430">
        <v>1680</v>
      </c>
      <c r="J430">
        <v>56</v>
      </c>
      <c r="K430">
        <v>4</v>
      </c>
      <c r="L430">
        <v>3</v>
      </c>
      <c r="M430">
        <v>28</v>
      </c>
      <c r="N430">
        <v>793</v>
      </c>
      <c r="O430" s="3">
        <f t="shared" si="20"/>
        <v>3.5000000000000004</v>
      </c>
      <c r="P430">
        <f t="shared" si="18"/>
        <v>1</v>
      </c>
      <c r="Q430">
        <f t="shared" si="19"/>
        <v>1</v>
      </c>
    </row>
    <row r="431" spans="1:17" x14ac:dyDescent="0.2">
      <c r="A431" t="s">
        <v>21</v>
      </c>
      <c r="B431" t="s">
        <v>442</v>
      </c>
      <c r="C431">
        <v>290</v>
      </c>
      <c r="D431" s="2">
        <v>0</v>
      </c>
      <c r="E431">
        <v>25</v>
      </c>
      <c r="F431">
        <v>4</v>
      </c>
      <c r="G431">
        <v>0</v>
      </c>
      <c r="H431">
        <v>45</v>
      </c>
      <c r="I431">
        <v>520</v>
      </c>
      <c r="J431">
        <v>6</v>
      </c>
      <c r="K431">
        <v>1</v>
      </c>
      <c r="L431">
        <v>1</v>
      </c>
      <c r="M431">
        <v>10</v>
      </c>
      <c r="N431">
        <v>285</v>
      </c>
      <c r="O431" s="3">
        <f t="shared" si="20"/>
        <v>3.4482758620689653</v>
      </c>
      <c r="P431">
        <f t="shared" si="18"/>
        <v>1</v>
      </c>
      <c r="Q431">
        <f t="shared" si="19"/>
        <v>0</v>
      </c>
    </row>
    <row r="432" spans="1:17" x14ac:dyDescent="0.2">
      <c r="A432" t="s">
        <v>51</v>
      </c>
      <c r="B432" t="s">
        <v>333</v>
      </c>
      <c r="C432">
        <v>670</v>
      </c>
      <c r="D432">
        <v>370</v>
      </c>
      <c r="E432">
        <v>41</v>
      </c>
      <c r="F432">
        <v>7</v>
      </c>
      <c r="G432">
        <v>0</v>
      </c>
      <c r="H432">
        <v>60</v>
      </c>
      <c r="I432">
        <v>1080</v>
      </c>
      <c r="J432">
        <v>54</v>
      </c>
      <c r="K432">
        <v>2</v>
      </c>
      <c r="L432">
        <v>8</v>
      </c>
      <c r="M432">
        <v>23</v>
      </c>
      <c r="N432">
        <v>662</v>
      </c>
      <c r="O432" s="3">
        <f t="shared" si="20"/>
        <v>3.4328358208955225</v>
      </c>
      <c r="P432">
        <f t="shared" si="18"/>
        <v>1</v>
      </c>
      <c r="Q432">
        <f t="shared" si="19"/>
        <v>0</v>
      </c>
    </row>
    <row r="433" spans="1:17" x14ac:dyDescent="0.2">
      <c r="A433" t="s">
        <v>58</v>
      </c>
      <c r="B433" t="s">
        <v>443</v>
      </c>
      <c r="C433">
        <v>590</v>
      </c>
      <c r="D433" s="2">
        <v>0</v>
      </c>
      <c r="E433">
        <v>41</v>
      </c>
      <c r="F433">
        <v>19</v>
      </c>
      <c r="G433">
        <v>0</v>
      </c>
      <c r="H433">
        <v>270</v>
      </c>
      <c r="I433">
        <v>1270</v>
      </c>
      <c r="J433">
        <v>36</v>
      </c>
      <c r="K433">
        <v>1</v>
      </c>
      <c r="L433">
        <v>6</v>
      </c>
      <c r="M433">
        <v>20</v>
      </c>
      <c r="N433">
        <v>595</v>
      </c>
      <c r="O433" s="3">
        <f t="shared" si="20"/>
        <v>3.3898305084745761</v>
      </c>
      <c r="P433">
        <f t="shared" si="18"/>
        <v>1</v>
      </c>
      <c r="Q433">
        <f t="shared" si="19"/>
        <v>0</v>
      </c>
    </row>
    <row r="434" spans="1:17" x14ac:dyDescent="0.2">
      <c r="A434" t="s">
        <v>17</v>
      </c>
      <c r="B434" t="s">
        <v>444</v>
      </c>
      <c r="C434">
        <v>650</v>
      </c>
      <c r="D434">
        <v>300</v>
      </c>
      <c r="E434">
        <v>33</v>
      </c>
      <c r="F434">
        <v>12</v>
      </c>
      <c r="G434">
        <v>0.5</v>
      </c>
      <c r="H434">
        <v>55</v>
      </c>
      <c r="I434">
        <v>1390</v>
      </c>
      <c r="J434">
        <v>67</v>
      </c>
      <c r="K434">
        <v>6</v>
      </c>
      <c r="L434">
        <v>5</v>
      </c>
      <c r="M434">
        <v>22</v>
      </c>
      <c r="O434" s="3">
        <f t="shared" si="20"/>
        <v>3.3846153846153846</v>
      </c>
      <c r="P434">
        <f t="shared" si="18"/>
        <v>1</v>
      </c>
      <c r="Q434">
        <f t="shared" si="19"/>
        <v>0</v>
      </c>
    </row>
    <row r="435" spans="1:17" x14ac:dyDescent="0.2">
      <c r="A435" t="s">
        <v>17</v>
      </c>
      <c r="B435" t="s">
        <v>445</v>
      </c>
      <c r="C435">
        <v>650</v>
      </c>
      <c r="D435">
        <v>300</v>
      </c>
      <c r="E435">
        <v>33</v>
      </c>
      <c r="F435">
        <v>12</v>
      </c>
      <c r="G435">
        <v>0.5</v>
      </c>
      <c r="H435">
        <v>55</v>
      </c>
      <c r="I435">
        <v>1390</v>
      </c>
      <c r="J435">
        <v>67</v>
      </c>
      <c r="K435">
        <v>6</v>
      </c>
      <c r="L435">
        <v>5</v>
      </c>
      <c r="M435">
        <v>22</v>
      </c>
      <c r="O435" s="3">
        <f t="shared" si="20"/>
        <v>3.3846153846153846</v>
      </c>
      <c r="P435">
        <f t="shared" si="18"/>
        <v>1</v>
      </c>
      <c r="Q435">
        <f t="shared" si="19"/>
        <v>0</v>
      </c>
    </row>
    <row r="436" spans="1:17" x14ac:dyDescent="0.2">
      <c r="A436" t="s">
        <v>17</v>
      </c>
      <c r="B436" t="s">
        <v>446</v>
      </c>
      <c r="C436">
        <v>650</v>
      </c>
      <c r="D436">
        <v>300</v>
      </c>
      <c r="E436">
        <v>33</v>
      </c>
      <c r="F436">
        <v>12</v>
      </c>
      <c r="G436">
        <v>0.5</v>
      </c>
      <c r="H436">
        <v>55</v>
      </c>
      <c r="I436">
        <v>1390</v>
      </c>
      <c r="J436">
        <v>67</v>
      </c>
      <c r="K436">
        <v>6</v>
      </c>
      <c r="L436">
        <v>5</v>
      </c>
      <c r="M436">
        <v>22</v>
      </c>
      <c r="O436" s="3">
        <f t="shared" si="20"/>
        <v>3.3846153846153846</v>
      </c>
      <c r="P436">
        <f t="shared" si="18"/>
        <v>1</v>
      </c>
      <c r="Q436">
        <f t="shared" si="19"/>
        <v>0</v>
      </c>
    </row>
    <row r="437" spans="1:17" x14ac:dyDescent="0.2">
      <c r="A437" t="s">
        <v>17</v>
      </c>
      <c r="B437" t="s">
        <v>447</v>
      </c>
      <c r="C437">
        <v>650</v>
      </c>
      <c r="D437">
        <v>300</v>
      </c>
      <c r="E437">
        <v>33</v>
      </c>
      <c r="F437">
        <v>12</v>
      </c>
      <c r="G437">
        <v>0.5</v>
      </c>
      <c r="H437">
        <v>55</v>
      </c>
      <c r="I437">
        <v>1390</v>
      </c>
      <c r="J437">
        <v>67</v>
      </c>
      <c r="K437">
        <v>6</v>
      </c>
      <c r="L437">
        <v>5</v>
      </c>
      <c r="M437">
        <v>22</v>
      </c>
      <c r="O437" s="3">
        <f t="shared" si="20"/>
        <v>3.3846153846153846</v>
      </c>
      <c r="P437">
        <f t="shared" si="18"/>
        <v>1</v>
      </c>
      <c r="Q437">
        <f t="shared" si="19"/>
        <v>0</v>
      </c>
    </row>
    <row r="438" spans="1:17" x14ac:dyDescent="0.2">
      <c r="A438" t="s">
        <v>25</v>
      </c>
      <c r="B438" t="s">
        <v>448</v>
      </c>
      <c r="C438">
        <v>60</v>
      </c>
      <c r="D438">
        <v>15</v>
      </c>
      <c r="E438">
        <v>1.5</v>
      </c>
      <c r="F438">
        <v>0</v>
      </c>
      <c r="G438">
        <v>0</v>
      </c>
      <c r="H438">
        <v>0</v>
      </c>
      <c r="I438">
        <v>140</v>
      </c>
      <c r="J438">
        <v>10</v>
      </c>
      <c r="K438">
        <v>1</v>
      </c>
      <c r="L438">
        <v>0</v>
      </c>
      <c r="M438">
        <v>2</v>
      </c>
      <c r="N438">
        <v>58</v>
      </c>
      <c r="O438" s="3">
        <f t="shared" si="20"/>
        <v>3.3333333333333335</v>
      </c>
      <c r="P438">
        <f t="shared" si="18"/>
        <v>0</v>
      </c>
      <c r="Q438">
        <f t="shared" si="19"/>
        <v>0</v>
      </c>
    </row>
    <row r="439" spans="1:17" x14ac:dyDescent="0.2">
      <c r="A439" t="s">
        <v>25</v>
      </c>
      <c r="B439" t="s">
        <v>449</v>
      </c>
      <c r="C439">
        <v>150</v>
      </c>
      <c r="D439">
        <v>0</v>
      </c>
      <c r="E439">
        <v>0</v>
      </c>
      <c r="F439">
        <v>0</v>
      </c>
      <c r="G439">
        <v>0</v>
      </c>
      <c r="H439">
        <v>5</v>
      </c>
      <c r="I439">
        <v>120</v>
      </c>
      <c r="J439">
        <v>33</v>
      </c>
      <c r="K439">
        <v>0</v>
      </c>
      <c r="L439">
        <v>32</v>
      </c>
      <c r="M439">
        <v>5</v>
      </c>
      <c r="N439">
        <v>177</v>
      </c>
      <c r="O439" s="3">
        <f t="shared" si="20"/>
        <v>3.3333333333333335</v>
      </c>
      <c r="P439">
        <f t="shared" si="18"/>
        <v>0</v>
      </c>
      <c r="Q439">
        <f t="shared" si="19"/>
        <v>0</v>
      </c>
    </row>
    <row r="440" spans="1:17" x14ac:dyDescent="0.2">
      <c r="A440" t="s">
        <v>25</v>
      </c>
      <c r="B440" t="s">
        <v>450</v>
      </c>
      <c r="C440">
        <v>150</v>
      </c>
      <c r="D440">
        <v>0</v>
      </c>
      <c r="E440">
        <v>0</v>
      </c>
      <c r="F440">
        <v>0</v>
      </c>
      <c r="G440">
        <v>0</v>
      </c>
      <c r="H440">
        <v>5</v>
      </c>
      <c r="I440">
        <v>70</v>
      </c>
      <c r="J440">
        <v>34</v>
      </c>
      <c r="K440">
        <v>0</v>
      </c>
      <c r="L440">
        <v>34</v>
      </c>
      <c r="M440">
        <v>5</v>
      </c>
      <c r="N440">
        <v>179</v>
      </c>
      <c r="O440" s="3">
        <f t="shared" si="20"/>
        <v>3.3333333333333335</v>
      </c>
      <c r="P440">
        <f t="shared" si="18"/>
        <v>0</v>
      </c>
      <c r="Q440">
        <f t="shared" si="19"/>
        <v>0</v>
      </c>
    </row>
    <row r="441" spans="1:17" x14ac:dyDescent="0.2">
      <c r="A441" t="s">
        <v>25</v>
      </c>
      <c r="B441" t="s">
        <v>451</v>
      </c>
      <c r="C441">
        <v>150</v>
      </c>
      <c r="D441">
        <v>0</v>
      </c>
      <c r="E441">
        <v>0</v>
      </c>
      <c r="F441">
        <v>0</v>
      </c>
      <c r="G441">
        <v>0</v>
      </c>
      <c r="H441">
        <v>5</v>
      </c>
      <c r="I441">
        <v>70</v>
      </c>
      <c r="J441">
        <v>34</v>
      </c>
      <c r="K441">
        <v>0</v>
      </c>
      <c r="L441">
        <v>34</v>
      </c>
      <c r="M441">
        <v>5</v>
      </c>
      <c r="N441">
        <v>179</v>
      </c>
      <c r="O441" s="3">
        <f t="shared" si="20"/>
        <v>3.3333333333333335</v>
      </c>
      <c r="P441">
        <f t="shared" si="18"/>
        <v>0</v>
      </c>
      <c r="Q441">
        <f t="shared" si="19"/>
        <v>0</v>
      </c>
    </row>
    <row r="442" spans="1:17" x14ac:dyDescent="0.2">
      <c r="A442" t="s">
        <v>25</v>
      </c>
      <c r="B442" t="s">
        <v>452</v>
      </c>
      <c r="C442">
        <v>150</v>
      </c>
      <c r="D442">
        <v>0</v>
      </c>
      <c r="E442">
        <v>0</v>
      </c>
      <c r="F442">
        <v>0</v>
      </c>
      <c r="G442">
        <v>0</v>
      </c>
      <c r="H442">
        <v>5</v>
      </c>
      <c r="I442">
        <v>120</v>
      </c>
      <c r="J442">
        <v>32</v>
      </c>
      <c r="K442">
        <v>0</v>
      </c>
      <c r="L442">
        <v>32</v>
      </c>
      <c r="M442">
        <v>5</v>
      </c>
      <c r="N442">
        <v>177</v>
      </c>
      <c r="O442" s="3">
        <f t="shared" si="20"/>
        <v>3.3333333333333335</v>
      </c>
      <c r="P442">
        <f t="shared" si="18"/>
        <v>0</v>
      </c>
      <c r="Q442">
        <f t="shared" si="19"/>
        <v>0</v>
      </c>
    </row>
    <row r="443" spans="1:17" x14ac:dyDescent="0.2">
      <c r="A443" t="s">
        <v>25</v>
      </c>
      <c r="B443" t="s">
        <v>453</v>
      </c>
      <c r="C443">
        <v>150</v>
      </c>
      <c r="D443">
        <v>0</v>
      </c>
      <c r="E443">
        <v>0</v>
      </c>
      <c r="F443">
        <v>0</v>
      </c>
      <c r="G443">
        <v>0</v>
      </c>
      <c r="H443">
        <v>5</v>
      </c>
      <c r="I443">
        <v>70</v>
      </c>
      <c r="J443">
        <v>33</v>
      </c>
      <c r="K443">
        <v>0</v>
      </c>
      <c r="L443">
        <v>33</v>
      </c>
      <c r="M443">
        <v>5</v>
      </c>
      <c r="N443">
        <v>178</v>
      </c>
      <c r="O443" s="3">
        <f t="shared" si="20"/>
        <v>3.3333333333333335</v>
      </c>
      <c r="P443">
        <f t="shared" si="18"/>
        <v>0</v>
      </c>
      <c r="Q443">
        <f t="shared" si="19"/>
        <v>0</v>
      </c>
    </row>
    <row r="444" spans="1:17" x14ac:dyDescent="0.2">
      <c r="A444" t="s">
        <v>25</v>
      </c>
      <c r="B444" t="s">
        <v>454</v>
      </c>
      <c r="C444">
        <v>150</v>
      </c>
      <c r="D444">
        <v>0</v>
      </c>
      <c r="E444">
        <v>0</v>
      </c>
      <c r="F444">
        <v>0</v>
      </c>
      <c r="G444">
        <v>0</v>
      </c>
      <c r="H444">
        <v>5</v>
      </c>
      <c r="I444">
        <v>70</v>
      </c>
      <c r="J444">
        <v>33</v>
      </c>
      <c r="K444">
        <v>0</v>
      </c>
      <c r="L444">
        <v>33</v>
      </c>
      <c r="M444">
        <v>5</v>
      </c>
      <c r="N444">
        <v>178</v>
      </c>
      <c r="O444" s="3">
        <f t="shared" si="20"/>
        <v>3.3333333333333335</v>
      </c>
      <c r="P444">
        <f t="shared" si="18"/>
        <v>0</v>
      </c>
      <c r="Q444">
        <f t="shared" si="19"/>
        <v>0</v>
      </c>
    </row>
    <row r="445" spans="1:17" x14ac:dyDescent="0.2">
      <c r="A445" t="s">
        <v>58</v>
      </c>
      <c r="B445" t="s">
        <v>81</v>
      </c>
      <c r="C445">
        <v>240</v>
      </c>
      <c r="D445" s="2">
        <v>0</v>
      </c>
      <c r="E445">
        <v>15</v>
      </c>
      <c r="F445">
        <v>4</v>
      </c>
      <c r="G445">
        <v>0</v>
      </c>
      <c r="H445">
        <v>30</v>
      </c>
      <c r="I445">
        <v>500</v>
      </c>
      <c r="J445">
        <v>19</v>
      </c>
      <c r="K445">
        <v>3</v>
      </c>
      <c r="L445">
        <v>4</v>
      </c>
      <c r="M445">
        <v>8</v>
      </c>
      <c r="N445">
        <v>240</v>
      </c>
      <c r="O445" s="3">
        <f t="shared" si="20"/>
        <v>3.3333333333333335</v>
      </c>
      <c r="P445">
        <f t="shared" si="18"/>
        <v>1</v>
      </c>
      <c r="Q445">
        <f t="shared" si="19"/>
        <v>0</v>
      </c>
    </row>
    <row r="446" spans="1:17" x14ac:dyDescent="0.2">
      <c r="A446" t="s">
        <v>21</v>
      </c>
      <c r="B446" t="s">
        <v>55</v>
      </c>
      <c r="C446">
        <v>390</v>
      </c>
      <c r="D446" s="2">
        <v>0</v>
      </c>
      <c r="E446">
        <v>32</v>
      </c>
      <c r="F446">
        <v>6</v>
      </c>
      <c r="G446">
        <v>0</v>
      </c>
      <c r="H446">
        <v>65</v>
      </c>
      <c r="I446">
        <v>900</v>
      </c>
      <c r="J446">
        <v>12</v>
      </c>
      <c r="K446">
        <v>2</v>
      </c>
      <c r="L446">
        <v>1</v>
      </c>
      <c r="M446">
        <v>13</v>
      </c>
      <c r="N446">
        <v>384</v>
      </c>
      <c r="O446" s="3">
        <f t="shared" si="20"/>
        <v>3.3333333333333335</v>
      </c>
      <c r="P446">
        <f t="shared" si="18"/>
        <v>1</v>
      </c>
      <c r="Q446">
        <f t="shared" si="19"/>
        <v>0</v>
      </c>
    </row>
    <row r="447" spans="1:17" x14ac:dyDescent="0.2">
      <c r="A447" t="s">
        <v>21</v>
      </c>
      <c r="B447" t="s">
        <v>455</v>
      </c>
      <c r="C447">
        <v>540</v>
      </c>
      <c r="D447" s="2">
        <v>0</v>
      </c>
      <c r="E447">
        <v>23</v>
      </c>
      <c r="F447">
        <v>6</v>
      </c>
      <c r="G447">
        <v>0</v>
      </c>
      <c r="H447">
        <v>10</v>
      </c>
      <c r="I447">
        <v>2220</v>
      </c>
      <c r="J447">
        <v>66</v>
      </c>
      <c r="K447">
        <v>5</v>
      </c>
      <c r="L447">
        <v>8</v>
      </c>
      <c r="M447">
        <v>18</v>
      </c>
      <c r="N447">
        <v>536</v>
      </c>
      <c r="O447" s="3">
        <f t="shared" si="20"/>
        <v>3.3333333333333335</v>
      </c>
      <c r="P447">
        <f t="shared" si="18"/>
        <v>1</v>
      </c>
      <c r="Q447">
        <f t="shared" si="19"/>
        <v>0</v>
      </c>
    </row>
    <row r="448" spans="1:17" x14ac:dyDescent="0.2">
      <c r="A448" t="s">
        <v>21</v>
      </c>
      <c r="B448" t="s">
        <v>456</v>
      </c>
      <c r="C448">
        <v>60</v>
      </c>
      <c r="D448" s="2">
        <v>0</v>
      </c>
      <c r="E448">
        <v>3</v>
      </c>
      <c r="F448">
        <v>0</v>
      </c>
      <c r="G448">
        <v>0</v>
      </c>
      <c r="H448">
        <v>0</v>
      </c>
      <c r="I448">
        <v>135</v>
      </c>
      <c r="J448">
        <v>8</v>
      </c>
      <c r="K448" s="2">
        <v>0</v>
      </c>
      <c r="L448">
        <v>0</v>
      </c>
      <c r="M448">
        <v>2</v>
      </c>
      <c r="N448">
        <v>58</v>
      </c>
      <c r="O448" s="3">
        <f t="shared" si="20"/>
        <v>3.3333333333333335</v>
      </c>
      <c r="P448">
        <f t="shared" si="18"/>
        <v>0</v>
      </c>
      <c r="Q448">
        <f t="shared" si="19"/>
        <v>0</v>
      </c>
    </row>
    <row r="449" spans="1:17" x14ac:dyDescent="0.2">
      <c r="A449" t="s">
        <v>21</v>
      </c>
      <c r="B449" t="s">
        <v>457</v>
      </c>
      <c r="C449">
        <v>390</v>
      </c>
      <c r="D449" s="2">
        <v>0</v>
      </c>
      <c r="E449">
        <v>26</v>
      </c>
      <c r="F449">
        <v>7</v>
      </c>
      <c r="G449">
        <v>1</v>
      </c>
      <c r="H449">
        <v>35</v>
      </c>
      <c r="I449">
        <v>910</v>
      </c>
      <c r="J449">
        <v>26</v>
      </c>
      <c r="K449">
        <v>2</v>
      </c>
      <c r="L449">
        <v>0</v>
      </c>
      <c r="M449">
        <v>13</v>
      </c>
      <c r="N449">
        <v>384</v>
      </c>
      <c r="O449" s="3">
        <f t="shared" si="20"/>
        <v>3.3333333333333335</v>
      </c>
      <c r="P449">
        <f t="shared" si="18"/>
        <v>1</v>
      </c>
      <c r="Q449">
        <f t="shared" si="19"/>
        <v>0</v>
      </c>
    </row>
    <row r="450" spans="1:17" x14ac:dyDescent="0.2">
      <c r="A450" t="s">
        <v>25</v>
      </c>
      <c r="B450" t="s">
        <v>458</v>
      </c>
      <c r="C450">
        <v>1090</v>
      </c>
      <c r="D450">
        <v>510</v>
      </c>
      <c r="E450">
        <v>56</v>
      </c>
      <c r="F450">
        <v>19</v>
      </c>
      <c r="G450">
        <v>0</v>
      </c>
      <c r="H450">
        <v>575</v>
      </c>
      <c r="I450">
        <v>2150</v>
      </c>
      <c r="J450">
        <v>111</v>
      </c>
      <c r="K450">
        <v>6</v>
      </c>
      <c r="L450">
        <v>17</v>
      </c>
      <c r="M450">
        <v>36</v>
      </c>
      <c r="N450">
        <v>1090</v>
      </c>
      <c r="O450" s="3">
        <f t="shared" si="20"/>
        <v>3.3027522935779818</v>
      </c>
      <c r="P450">
        <f t="shared" ref="P450:P513" si="21">IF(I450&gt;2300*0.2,1,0)</f>
        <v>1</v>
      </c>
      <c r="Q450">
        <f t="shared" ref="Q450:Q513" si="22">IF(H450&gt;300,1,0)</f>
        <v>1</v>
      </c>
    </row>
    <row r="451" spans="1:17" x14ac:dyDescent="0.2">
      <c r="A451" t="s">
        <v>58</v>
      </c>
      <c r="B451" t="s">
        <v>459</v>
      </c>
      <c r="C451">
        <v>640</v>
      </c>
      <c r="D451" s="2">
        <v>0</v>
      </c>
      <c r="E451">
        <v>42</v>
      </c>
      <c r="F451">
        <v>14</v>
      </c>
      <c r="G451">
        <v>0</v>
      </c>
      <c r="H451">
        <v>270</v>
      </c>
      <c r="I451">
        <v>1540</v>
      </c>
      <c r="J451">
        <v>46</v>
      </c>
      <c r="K451">
        <v>4</v>
      </c>
      <c r="L451">
        <v>3</v>
      </c>
      <c r="M451">
        <v>21</v>
      </c>
      <c r="N451">
        <v>636</v>
      </c>
      <c r="O451" s="3">
        <f t="shared" si="20"/>
        <v>3.28125</v>
      </c>
      <c r="P451">
        <f t="shared" si="21"/>
        <v>1</v>
      </c>
      <c r="Q451">
        <f t="shared" si="22"/>
        <v>0</v>
      </c>
    </row>
    <row r="452" spans="1:17" x14ac:dyDescent="0.2">
      <c r="A452" t="s">
        <v>58</v>
      </c>
      <c r="B452" t="s">
        <v>460</v>
      </c>
      <c r="C452">
        <v>430</v>
      </c>
      <c r="D452" s="2">
        <v>0</v>
      </c>
      <c r="E452">
        <v>13</v>
      </c>
      <c r="F452">
        <v>7</v>
      </c>
      <c r="G452">
        <v>0</v>
      </c>
      <c r="H452">
        <v>30</v>
      </c>
      <c r="I452">
        <v>560</v>
      </c>
      <c r="J452">
        <v>65</v>
      </c>
      <c r="K452">
        <v>7</v>
      </c>
      <c r="L452">
        <v>5</v>
      </c>
      <c r="M452">
        <v>14</v>
      </c>
      <c r="N452">
        <v>428</v>
      </c>
      <c r="O452" s="3">
        <f t="shared" si="20"/>
        <v>3.2558139534883721</v>
      </c>
      <c r="P452">
        <f t="shared" si="21"/>
        <v>1</v>
      </c>
      <c r="Q452">
        <f t="shared" si="22"/>
        <v>0</v>
      </c>
    </row>
    <row r="453" spans="1:17" x14ac:dyDescent="0.2">
      <c r="A453" t="s">
        <v>51</v>
      </c>
      <c r="B453" t="s">
        <v>461</v>
      </c>
      <c r="C453">
        <v>400</v>
      </c>
      <c r="D453">
        <v>230</v>
      </c>
      <c r="E453">
        <v>26</v>
      </c>
      <c r="F453">
        <v>13</v>
      </c>
      <c r="G453">
        <v>0</v>
      </c>
      <c r="H453">
        <v>170</v>
      </c>
      <c r="I453">
        <v>1270</v>
      </c>
      <c r="J453">
        <v>29</v>
      </c>
      <c r="K453">
        <v>1</v>
      </c>
      <c r="L453">
        <v>3</v>
      </c>
      <c r="M453">
        <v>13</v>
      </c>
      <c r="N453">
        <v>403</v>
      </c>
      <c r="O453" s="3">
        <f t="shared" si="20"/>
        <v>3.25</v>
      </c>
      <c r="P453">
        <f t="shared" si="21"/>
        <v>1</v>
      </c>
      <c r="Q453">
        <f t="shared" si="22"/>
        <v>0</v>
      </c>
    </row>
    <row r="454" spans="1:17" x14ac:dyDescent="0.2">
      <c r="A454" t="s">
        <v>17</v>
      </c>
      <c r="B454" t="s">
        <v>462</v>
      </c>
      <c r="C454">
        <v>340</v>
      </c>
      <c r="D454">
        <v>160</v>
      </c>
      <c r="E454">
        <v>17</v>
      </c>
      <c r="F454">
        <v>5</v>
      </c>
      <c r="G454">
        <v>0</v>
      </c>
      <c r="H454">
        <v>110</v>
      </c>
      <c r="I454">
        <v>730</v>
      </c>
      <c r="J454">
        <v>36</v>
      </c>
      <c r="K454">
        <v>2</v>
      </c>
      <c r="L454">
        <v>3</v>
      </c>
      <c r="M454">
        <v>11</v>
      </c>
      <c r="O454" s="3">
        <f t="shared" ref="O454:O517" si="23">M454/C454*100</f>
        <v>3.2352941176470593</v>
      </c>
      <c r="P454">
        <f t="shared" si="21"/>
        <v>1</v>
      </c>
      <c r="Q454">
        <f t="shared" si="22"/>
        <v>0</v>
      </c>
    </row>
    <row r="455" spans="1:17" x14ac:dyDescent="0.2">
      <c r="A455" t="s">
        <v>21</v>
      </c>
      <c r="B455" t="s">
        <v>463</v>
      </c>
      <c r="C455">
        <v>280</v>
      </c>
      <c r="D455" s="2">
        <v>0</v>
      </c>
      <c r="E455">
        <v>2</v>
      </c>
      <c r="F455">
        <v>0</v>
      </c>
      <c r="G455">
        <v>0</v>
      </c>
      <c r="H455">
        <v>0</v>
      </c>
      <c r="I455">
        <v>15</v>
      </c>
      <c r="J455">
        <v>67</v>
      </c>
      <c r="K455">
        <v>8</v>
      </c>
      <c r="L455">
        <v>11</v>
      </c>
      <c r="M455">
        <v>9</v>
      </c>
      <c r="N455">
        <v>282</v>
      </c>
      <c r="O455" s="3">
        <f t="shared" si="23"/>
        <v>3.214285714285714</v>
      </c>
      <c r="P455">
        <f t="shared" si="21"/>
        <v>0</v>
      </c>
      <c r="Q455">
        <f t="shared" si="22"/>
        <v>0</v>
      </c>
    </row>
    <row r="456" spans="1:17" x14ac:dyDescent="0.2">
      <c r="A456" t="s">
        <v>25</v>
      </c>
      <c r="B456" t="s">
        <v>464</v>
      </c>
      <c r="C456">
        <v>250</v>
      </c>
      <c r="D456">
        <v>45</v>
      </c>
      <c r="E456">
        <v>5</v>
      </c>
      <c r="F456">
        <v>3</v>
      </c>
      <c r="G456">
        <v>0</v>
      </c>
      <c r="H456">
        <v>10</v>
      </c>
      <c r="I456">
        <v>140</v>
      </c>
      <c r="J456">
        <v>43</v>
      </c>
      <c r="K456">
        <v>0</v>
      </c>
      <c r="L456">
        <v>37</v>
      </c>
      <c r="M456">
        <v>8</v>
      </c>
      <c r="N456">
        <v>282</v>
      </c>
      <c r="O456" s="3">
        <f t="shared" si="23"/>
        <v>3.2</v>
      </c>
      <c r="P456">
        <f t="shared" si="21"/>
        <v>0</v>
      </c>
      <c r="Q456">
        <f t="shared" si="22"/>
        <v>0</v>
      </c>
    </row>
    <row r="457" spans="1:17" x14ac:dyDescent="0.2">
      <c r="A457" t="s">
        <v>58</v>
      </c>
      <c r="B457" t="s">
        <v>465</v>
      </c>
      <c r="C457">
        <v>500</v>
      </c>
      <c r="D457" s="2">
        <v>0</v>
      </c>
      <c r="E457">
        <v>25</v>
      </c>
      <c r="F457">
        <v>8</v>
      </c>
      <c r="G457">
        <v>0.5</v>
      </c>
      <c r="H457">
        <v>35</v>
      </c>
      <c r="I457">
        <v>710</v>
      </c>
      <c r="J457">
        <v>53</v>
      </c>
      <c r="K457">
        <v>6</v>
      </c>
      <c r="L457">
        <v>4</v>
      </c>
      <c r="M457">
        <v>16</v>
      </c>
      <c r="N457">
        <v>496</v>
      </c>
      <c r="O457" s="3">
        <f t="shared" si="23"/>
        <v>3.2</v>
      </c>
      <c r="P457">
        <f t="shared" si="21"/>
        <v>1</v>
      </c>
      <c r="Q457">
        <f t="shared" si="22"/>
        <v>0</v>
      </c>
    </row>
    <row r="458" spans="1:17" x14ac:dyDescent="0.2">
      <c r="A458" t="s">
        <v>25</v>
      </c>
      <c r="B458" t="s">
        <v>466</v>
      </c>
      <c r="C458">
        <v>570</v>
      </c>
      <c r="D458">
        <v>330</v>
      </c>
      <c r="E458">
        <v>37</v>
      </c>
      <c r="F458">
        <v>15</v>
      </c>
      <c r="G458">
        <v>0</v>
      </c>
      <c r="H458">
        <v>250</v>
      </c>
      <c r="I458">
        <v>1280</v>
      </c>
      <c r="J458">
        <v>42</v>
      </c>
      <c r="K458">
        <v>3</v>
      </c>
      <c r="L458">
        <v>3</v>
      </c>
      <c r="M458">
        <v>18</v>
      </c>
      <c r="N458">
        <v>570</v>
      </c>
      <c r="O458" s="3">
        <f t="shared" si="23"/>
        <v>3.1578947368421053</v>
      </c>
      <c r="P458">
        <f t="shared" si="21"/>
        <v>1</v>
      </c>
      <c r="Q458">
        <f t="shared" si="22"/>
        <v>0</v>
      </c>
    </row>
    <row r="459" spans="1:17" x14ac:dyDescent="0.2">
      <c r="A459" t="s">
        <v>25</v>
      </c>
      <c r="B459" t="s">
        <v>467</v>
      </c>
      <c r="C459">
        <v>190</v>
      </c>
      <c r="D459">
        <v>0</v>
      </c>
      <c r="E459">
        <v>0</v>
      </c>
      <c r="F459">
        <v>0</v>
      </c>
      <c r="G459">
        <v>0</v>
      </c>
      <c r="H459">
        <v>5</v>
      </c>
      <c r="I459">
        <v>150</v>
      </c>
      <c r="J459">
        <v>41</v>
      </c>
      <c r="K459">
        <v>0</v>
      </c>
      <c r="L459">
        <v>41</v>
      </c>
      <c r="M459">
        <v>6</v>
      </c>
      <c r="N459">
        <v>225</v>
      </c>
      <c r="O459" s="3">
        <f t="shared" si="23"/>
        <v>3.1578947368421053</v>
      </c>
      <c r="P459">
        <f t="shared" si="21"/>
        <v>0</v>
      </c>
      <c r="Q459">
        <f t="shared" si="22"/>
        <v>0</v>
      </c>
    </row>
    <row r="460" spans="1:17" x14ac:dyDescent="0.2">
      <c r="A460" t="s">
        <v>25</v>
      </c>
      <c r="B460" t="s">
        <v>468</v>
      </c>
      <c r="C460">
        <v>190</v>
      </c>
      <c r="D460">
        <v>0</v>
      </c>
      <c r="E460">
        <v>0</v>
      </c>
      <c r="F460">
        <v>0</v>
      </c>
      <c r="G460">
        <v>0</v>
      </c>
      <c r="H460">
        <v>5</v>
      </c>
      <c r="I460">
        <v>90</v>
      </c>
      <c r="J460">
        <v>43</v>
      </c>
      <c r="K460">
        <v>0</v>
      </c>
      <c r="L460">
        <v>43</v>
      </c>
      <c r="M460">
        <v>6</v>
      </c>
      <c r="N460">
        <v>227</v>
      </c>
      <c r="O460" s="3">
        <f t="shared" si="23"/>
        <v>3.1578947368421053</v>
      </c>
      <c r="P460">
        <f t="shared" si="21"/>
        <v>0</v>
      </c>
      <c r="Q460">
        <f t="shared" si="22"/>
        <v>0</v>
      </c>
    </row>
    <row r="461" spans="1:17" x14ac:dyDescent="0.2">
      <c r="A461" t="s">
        <v>25</v>
      </c>
      <c r="B461" t="s">
        <v>469</v>
      </c>
      <c r="C461">
        <v>190</v>
      </c>
      <c r="D461">
        <v>0</v>
      </c>
      <c r="E461">
        <v>0</v>
      </c>
      <c r="F461">
        <v>0</v>
      </c>
      <c r="G461">
        <v>0</v>
      </c>
      <c r="H461">
        <v>5</v>
      </c>
      <c r="I461">
        <v>90</v>
      </c>
      <c r="J461">
        <v>42</v>
      </c>
      <c r="K461">
        <v>0</v>
      </c>
      <c r="L461">
        <v>42</v>
      </c>
      <c r="M461">
        <v>6</v>
      </c>
      <c r="N461">
        <v>226</v>
      </c>
      <c r="O461" s="3">
        <f t="shared" si="23"/>
        <v>3.1578947368421053</v>
      </c>
      <c r="P461">
        <f t="shared" si="21"/>
        <v>0</v>
      </c>
      <c r="Q461">
        <f t="shared" si="22"/>
        <v>0</v>
      </c>
    </row>
    <row r="462" spans="1:17" x14ac:dyDescent="0.2">
      <c r="A462" t="s">
        <v>25</v>
      </c>
      <c r="B462" t="s">
        <v>470</v>
      </c>
      <c r="C462">
        <v>190</v>
      </c>
      <c r="D462">
        <v>0</v>
      </c>
      <c r="E462">
        <v>0</v>
      </c>
      <c r="F462">
        <v>0</v>
      </c>
      <c r="G462">
        <v>0</v>
      </c>
      <c r="H462">
        <v>5</v>
      </c>
      <c r="I462">
        <v>150</v>
      </c>
      <c r="J462">
        <v>40</v>
      </c>
      <c r="K462">
        <v>0</v>
      </c>
      <c r="L462">
        <v>40</v>
      </c>
      <c r="M462">
        <v>6</v>
      </c>
      <c r="N462">
        <v>224</v>
      </c>
      <c r="O462" s="3">
        <f t="shared" si="23"/>
        <v>3.1578947368421053</v>
      </c>
      <c r="P462">
        <f t="shared" si="21"/>
        <v>0</v>
      </c>
      <c r="Q462">
        <f t="shared" si="22"/>
        <v>0</v>
      </c>
    </row>
    <row r="463" spans="1:17" x14ac:dyDescent="0.2">
      <c r="A463" t="s">
        <v>25</v>
      </c>
      <c r="B463" t="s">
        <v>471</v>
      </c>
      <c r="C463">
        <v>190</v>
      </c>
      <c r="D463">
        <v>0</v>
      </c>
      <c r="E463">
        <v>0</v>
      </c>
      <c r="F463">
        <v>0</v>
      </c>
      <c r="G463">
        <v>0</v>
      </c>
      <c r="H463">
        <v>5</v>
      </c>
      <c r="I463">
        <v>80</v>
      </c>
      <c r="J463">
        <v>42</v>
      </c>
      <c r="K463">
        <v>0</v>
      </c>
      <c r="L463">
        <v>42</v>
      </c>
      <c r="M463">
        <v>6</v>
      </c>
      <c r="N463">
        <v>226</v>
      </c>
      <c r="O463" s="3">
        <f t="shared" si="23"/>
        <v>3.1578947368421053</v>
      </c>
      <c r="P463">
        <f t="shared" si="21"/>
        <v>0</v>
      </c>
      <c r="Q463">
        <f t="shared" si="22"/>
        <v>0</v>
      </c>
    </row>
    <row r="464" spans="1:17" x14ac:dyDescent="0.2">
      <c r="A464" t="s">
        <v>25</v>
      </c>
      <c r="B464" t="s">
        <v>472</v>
      </c>
      <c r="C464">
        <v>190</v>
      </c>
      <c r="D464">
        <v>0</v>
      </c>
      <c r="E464">
        <v>0</v>
      </c>
      <c r="F464">
        <v>0</v>
      </c>
      <c r="G464">
        <v>0</v>
      </c>
      <c r="H464">
        <v>5</v>
      </c>
      <c r="I464">
        <v>85</v>
      </c>
      <c r="J464">
        <v>41</v>
      </c>
      <c r="K464">
        <v>0</v>
      </c>
      <c r="L464">
        <v>41</v>
      </c>
      <c r="M464">
        <v>6</v>
      </c>
      <c r="N464">
        <v>225</v>
      </c>
      <c r="O464" s="3">
        <f t="shared" si="23"/>
        <v>3.1578947368421053</v>
      </c>
      <c r="P464">
        <f t="shared" si="21"/>
        <v>0</v>
      </c>
      <c r="Q464">
        <f t="shared" si="22"/>
        <v>0</v>
      </c>
    </row>
    <row r="465" spans="1:17" x14ac:dyDescent="0.2">
      <c r="A465" t="s">
        <v>17</v>
      </c>
      <c r="B465" t="s">
        <v>473</v>
      </c>
      <c r="C465">
        <v>570</v>
      </c>
      <c r="D465">
        <v>300</v>
      </c>
      <c r="E465">
        <v>34</v>
      </c>
      <c r="F465">
        <v>10</v>
      </c>
      <c r="G465">
        <v>0</v>
      </c>
      <c r="H465">
        <v>130</v>
      </c>
      <c r="I465">
        <v>1130</v>
      </c>
      <c r="J465">
        <v>49</v>
      </c>
      <c r="K465">
        <v>4</v>
      </c>
      <c r="L465">
        <v>2</v>
      </c>
      <c r="M465">
        <v>18</v>
      </c>
      <c r="O465" s="3">
        <f t="shared" si="23"/>
        <v>3.1578947368421053</v>
      </c>
      <c r="P465">
        <f t="shared" si="21"/>
        <v>1</v>
      </c>
      <c r="Q465">
        <f t="shared" si="22"/>
        <v>0</v>
      </c>
    </row>
    <row r="466" spans="1:17" x14ac:dyDescent="0.2">
      <c r="A466" t="s">
        <v>51</v>
      </c>
      <c r="B466" t="s">
        <v>474</v>
      </c>
      <c r="C466">
        <v>510</v>
      </c>
      <c r="D466">
        <v>250</v>
      </c>
      <c r="E466">
        <v>28</v>
      </c>
      <c r="F466">
        <v>4.5</v>
      </c>
      <c r="G466">
        <v>0</v>
      </c>
      <c r="H466">
        <v>30</v>
      </c>
      <c r="I466">
        <v>1180</v>
      </c>
      <c r="J466">
        <v>51</v>
      </c>
      <c r="K466">
        <v>2</v>
      </c>
      <c r="L466">
        <v>7</v>
      </c>
      <c r="M466">
        <v>16</v>
      </c>
      <c r="N466">
        <v>506</v>
      </c>
      <c r="O466" s="3">
        <f t="shared" si="23"/>
        <v>3.1372549019607843</v>
      </c>
      <c r="P466">
        <f t="shared" si="21"/>
        <v>1</v>
      </c>
      <c r="Q466">
        <f t="shared" si="22"/>
        <v>0</v>
      </c>
    </row>
    <row r="467" spans="1:17" x14ac:dyDescent="0.2">
      <c r="A467" t="s">
        <v>17</v>
      </c>
      <c r="B467" t="s">
        <v>475</v>
      </c>
      <c r="C467">
        <v>670</v>
      </c>
      <c r="D467">
        <v>370</v>
      </c>
      <c r="E467">
        <v>41</v>
      </c>
      <c r="F467">
        <v>12</v>
      </c>
      <c r="G467">
        <v>0</v>
      </c>
      <c r="H467">
        <v>140</v>
      </c>
      <c r="I467">
        <v>1270</v>
      </c>
      <c r="J467">
        <v>50</v>
      </c>
      <c r="K467">
        <v>4</v>
      </c>
      <c r="L467">
        <v>3</v>
      </c>
      <c r="M467">
        <v>21</v>
      </c>
      <c r="O467" s="3">
        <f t="shared" si="23"/>
        <v>3.1343283582089549</v>
      </c>
      <c r="P467">
        <f t="shared" si="21"/>
        <v>1</v>
      </c>
      <c r="Q467">
        <f t="shared" si="22"/>
        <v>0</v>
      </c>
    </row>
    <row r="468" spans="1:17" x14ac:dyDescent="0.2">
      <c r="A468" t="s">
        <v>25</v>
      </c>
      <c r="B468" t="s">
        <v>476</v>
      </c>
      <c r="C468">
        <v>1150</v>
      </c>
      <c r="D468">
        <v>540</v>
      </c>
      <c r="E468">
        <v>60</v>
      </c>
      <c r="F468">
        <v>20</v>
      </c>
      <c r="G468">
        <v>0</v>
      </c>
      <c r="H468">
        <v>575</v>
      </c>
      <c r="I468">
        <v>2260</v>
      </c>
      <c r="J468">
        <v>116</v>
      </c>
      <c r="K468">
        <v>7</v>
      </c>
      <c r="L468">
        <v>17</v>
      </c>
      <c r="M468">
        <v>36</v>
      </c>
      <c r="N468">
        <v>1151</v>
      </c>
      <c r="O468" s="3">
        <f t="shared" si="23"/>
        <v>3.1304347826086958</v>
      </c>
      <c r="P468">
        <f t="shared" si="21"/>
        <v>1</v>
      </c>
      <c r="Q468">
        <f t="shared" si="22"/>
        <v>1</v>
      </c>
    </row>
    <row r="469" spans="1:17" x14ac:dyDescent="0.2">
      <c r="A469" t="s">
        <v>25</v>
      </c>
      <c r="B469" t="s">
        <v>477</v>
      </c>
      <c r="C469">
        <v>160</v>
      </c>
      <c r="D469">
        <v>30</v>
      </c>
      <c r="E469">
        <v>3</v>
      </c>
      <c r="F469">
        <v>0.5</v>
      </c>
      <c r="G469">
        <v>0</v>
      </c>
      <c r="H469">
        <v>0</v>
      </c>
      <c r="I469">
        <v>280</v>
      </c>
      <c r="J469">
        <v>27</v>
      </c>
      <c r="K469">
        <v>2</v>
      </c>
      <c r="L469">
        <v>2</v>
      </c>
      <c r="M469">
        <v>5</v>
      </c>
      <c r="N469">
        <v>157.5</v>
      </c>
      <c r="O469" s="3">
        <f t="shared" si="23"/>
        <v>3.125</v>
      </c>
      <c r="P469">
        <f t="shared" si="21"/>
        <v>0</v>
      </c>
      <c r="Q469">
        <f t="shared" si="22"/>
        <v>0</v>
      </c>
    </row>
    <row r="470" spans="1:17" x14ac:dyDescent="0.2">
      <c r="A470" t="s">
        <v>25</v>
      </c>
      <c r="B470" t="s">
        <v>478</v>
      </c>
      <c r="C470">
        <v>480</v>
      </c>
      <c r="D470">
        <v>240</v>
      </c>
      <c r="E470">
        <v>27</v>
      </c>
      <c r="F470">
        <v>12</v>
      </c>
      <c r="G470">
        <v>0</v>
      </c>
      <c r="H470">
        <v>235</v>
      </c>
      <c r="I470">
        <v>1270</v>
      </c>
      <c r="J470">
        <v>43</v>
      </c>
      <c r="K470">
        <v>3</v>
      </c>
      <c r="L470">
        <v>4</v>
      </c>
      <c r="M470">
        <v>15</v>
      </c>
      <c r="N470">
        <v>481</v>
      </c>
      <c r="O470" s="3">
        <f t="shared" si="23"/>
        <v>3.125</v>
      </c>
      <c r="P470">
        <f t="shared" si="21"/>
        <v>1</v>
      </c>
      <c r="Q470">
        <f t="shared" si="22"/>
        <v>0</v>
      </c>
    </row>
    <row r="471" spans="1:17" x14ac:dyDescent="0.2">
      <c r="A471" t="s">
        <v>51</v>
      </c>
      <c r="B471" t="s">
        <v>479</v>
      </c>
      <c r="C471">
        <v>390</v>
      </c>
      <c r="D471">
        <v>190</v>
      </c>
      <c r="E471">
        <v>21</v>
      </c>
      <c r="F471">
        <v>3.5</v>
      </c>
      <c r="G471">
        <v>0</v>
      </c>
      <c r="H471">
        <v>30</v>
      </c>
      <c r="I471">
        <v>740</v>
      </c>
      <c r="J471">
        <v>37</v>
      </c>
      <c r="K471">
        <v>2</v>
      </c>
      <c r="L471">
        <v>6</v>
      </c>
      <c r="M471">
        <v>12</v>
      </c>
      <c r="N471">
        <v>388</v>
      </c>
      <c r="O471" s="3">
        <f t="shared" si="23"/>
        <v>3.0769230769230771</v>
      </c>
      <c r="P471">
        <f t="shared" si="21"/>
        <v>1</v>
      </c>
      <c r="Q471">
        <f t="shared" si="22"/>
        <v>0</v>
      </c>
    </row>
    <row r="472" spans="1:17" x14ac:dyDescent="0.2">
      <c r="A472" t="s">
        <v>25</v>
      </c>
      <c r="B472" t="s">
        <v>480</v>
      </c>
      <c r="C472">
        <v>230</v>
      </c>
      <c r="D472">
        <v>0</v>
      </c>
      <c r="E472">
        <v>0</v>
      </c>
      <c r="F472">
        <v>0</v>
      </c>
      <c r="G472">
        <v>0</v>
      </c>
      <c r="H472">
        <v>5</v>
      </c>
      <c r="I472">
        <v>180</v>
      </c>
      <c r="J472">
        <v>49</v>
      </c>
      <c r="K472">
        <v>0</v>
      </c>
      <c r="L472">
        <v>49</v>
      </c>
      <c r="M472">
        <v>7</v>
      </c>
      <c r="N472">
        <v>272</v>
      </c>
      <c r="O472" s="3">
        <f t="shared" si="23"/>
        <v>3.0434782608695654</v>
      </c>
      <c r="P472">
        <f t="shared" si="21"/>
        <v>0</v>
      </c>
      <c r="Q472">
        <f t="shared" si="22"/>
        <v>0</v>
      </c>
    </row>
    <row r="473" spans="1:17" x14ac:dyDescent="0.2">
      <c r="A473" t="s">
        <v>25</v>
      </c>
      <c r="B473" t="s">
        <v>481</v>
      </c>
      <c r="C473">
        <v>230</v>
      </c>
      <c r="D473">
        <v>0</v>
      </c>
      <c r="E473">
        <v>0</v>
      </c>
      <c r="F473">
        <v>0</v>
      </c>
      <c r="G473">
        <v>0</v>
      </c>
      <c r="H473">
        <v>5</v>
      </c>
      <c r="I473">
        <v>100</v>
      </c>
      <c r="J473">
        <v>51</v>
      </c>
      <c r="K473">
        <v>0</v>
      </c>
      <c r="L473">
        <v>51</v>
      </c>
      <c r="M473">
        <v>7</v>
      </c>
      <c r="N473">
        <v>274</v>
      </c>
      <c r="O473" s="3">
        <f t="shared" si="23"/>
        <v>3.0434782608695654</v>
      </c>
      <c r="P473">
        <f t="shared" si="21"/>
        <v>0</v>
      </c>
      <c r="Q473">
        <f t="shared" si="22"/>
        <v>0</v>
      </c>
    </row>
    <row r="474" spans="1:17" x14ac:dyDescent="0.2">
      <c r="A474" t="s">
        <v>25</v>
      </c>
      <c r="B474" t="s">
        <v>482</v>
      </c>
      <c r="C474">
        <v>230</v>
      </c>
      <c r="D474">
        <v>0</v>
      </c>
      <c r="E474">
        <v>0</v>
      </c>
      <c r="F474">
        <v>0</v>
      </c>
      <c r="G474">
        <v>0</v>
      </c>
      <c r="H474">
        <v>5</v>
      </c>
      <c r="I474">
        <v>100</v>
      </c>
      <c r="J474">
        <v>51</v>
      </c>
      <c r="K474">
        <v>0</v>
      </c>
      <c r="L474">
        <v>51</v>
      </c>
      <c r="M474">
        <v>7</v>
      </c>
      <c r="N474">
        <v>274</v>
      </c>
      <c r="O474" s="3">
        <f t="shared" si="23"/>
        <v>3.0434782608695654</v>
      </c>
      <c r="P474">
        <f t="shared" si="21"/>
        <v>0</v>
      </c>
      <c r="Q474">
        <f t="shared" si="22"/>
        <v>0</v>
      </c>
    </row>
    <row r="475" spans="1:17" x14ac:dyDescent="0.2">
      <c r="A475" t="s">
        <v>25</v>
      </c>
      <c r="B475" t="s">
        <v>483</v>
      </c>
      <c r="C475">
        <v>230</v>
      </c>
      <c r="D475">
        <v>60</v>
      </c>
      <c r="E475">
        <v>7</v>
      </c>
      <c r="F475">
        <v>4</v>
      </c>
      <c r="G475">
        <v>0</v>
      </c>
      <c r="H475">
        <v>20</v>
      </c>
      <c r="I475">
        <v>140</v>
      </c>
      <c r="J475">
        <v>35</v>
      </c>
      <c r="K475">
        <v>0</v>
      </c>
      <c r="L475">
        <v>35</v>
      </c>
      <c r="M475">
        <v>7</v>
      </c>
      <c r="N475">
        <v>262</v>
      </c>
      <c r="O475" s="3">
        <f t="shared" si="23"/>
        <v>3.0434782608695654</v>
      </c>
      <c r="P475">
        <f t="shared" si="21"/>
        <v>0</v>
      </c>
      <c r="Q475">
        <f t="shared" si="22"/>
        <v>0</v>
      </c>
    </row>
    <row r="476" spans="1:17" x14ac:dyDescent="0.2">
      <c r="A476" t="s">
        <v>25</v>
      </c>
      <c r="B476" t="s">
        <v>484</v>
      </c>
      <c r="C476">
        <v>230</v>
      </c>
      <c r="D476">
        <v>60</v>
      </c>
      <c r="E476">
        <v>7</v>
      </c>
      <c r="F476">
        <v>4</v>
      </c>
      <c r="G476">
        <v>0</v>
      </c>
      <c r="H476">
        <v>20</v>
      </c>
      <c r="I476">
        <v>90</v>
      </c>
      <c r="J476">
        <v>36</v>
      </c>
      <c r="K476">
        <v>0</v>
      </c>
      <c r="L476">
        <v>36</v>
      </c>
      <c r="M476">
        <v>7</v>
      </c>
      <c r="N476">
        <v>263</v>
      </c>
      <c r="O476" s="3">
        <f t="shared" si="23"/>
        <v>3.0434782608695654</v>
      </c>
      <c r="P476">
        <f t="shared" si="21"/>
        <v>0</v>
      </c>
      <c r="Q476">
        <f t="shared" si="22"/>
        <v>0</v>
      </c>
    </row>
    <row r="477" spans="1:17" x14ac:dyDescent="0.2">
      <c r="A477" t="s">
        <v>25</v>
      </c>
      <c r="B477" t="s">
        <v>485</v>
      </c>
      <c r="C477">
        <v>230</v>
      </c>
      <c r="D477">
        <v>60</v>
      </c>
      <c r="E477">
        <v>7</v>
      </c>
      <c r="F477">
        <v>4</v>
      </c>
      <c r="G477">
        <v>0</v>
      </c>
      <c r="H477">
        <v>20</v>
      </c>
      <c r="I477">
        <v>90</v>
      </c>
      <c r="J477">
        <v>36</v>
      </c>
      <c r="K477">
        <v>0</v>
      </c>
      <c r="L477">
        <v>36</v>
      </c>
      <c r="M477">
        <v>7</v>
      </c>
      <c r="N477">
        <v>263</v>
      </c>
      <c r="O477" s="3">
        <f t="shared" si="23"/>
        <v>3.0434782608695654</v>
      </c>
      <c r="P477">
        <f t="shared" si="21"/>
        <v>0</v>
      </c>
      <c r="Q477">
        <f t="shared" si="22"/>
        <v>0</v>
      </c>
    </row>
    <row r="478" spans="1:17" x14ac:dyDescent="0.2">
      <c r="A478" t="s">
        <v>25</v>
      </c>
      <c r="B478" t="s">
        <v>486</v>
      </c>
      <c r="C478">
        <v>330</v>
      </c>
      <c r="D478">
        <v>50</v>
      </c>
      <c r="E478">
        <v>6</v>
      </c>
      <c r="F478">
        <v>3.5</v>
      </c>
      <c r="G478">
        <v>0</v>
      </c>
      <c r="H478">
        <v>10</v>
      </c>
      <c r="I478">
        <v>190</v>
      </c>
      <c r="J478">
        <v>58</v>
      </c>
      <c r="K478">
        <v>0</v>
      </c>
      <c r="L478">
        <v>50</v>
      </c>
      <c r="M478">
        <v>10</v>
      </c>
      <c r="N478">
        <v>373.5</v>
      </c>
      <c r="O478" s="3">
        <f t="shared" si="23"/>
        <v>3.0303030303030303</v>
      </c>
      <c r="P478">
        <f t="shared" si="21"/>
        <v>0</v>
      </c>
      <c r="Q478">
        <f t="shared" si="22"/>
        <v>0</v>
      </c>
    </row>
    <row r="479" spans="1:17" x14ac:dyDescent="0.2">
      <c r="A479" t="s">
        <v>17</v>
      </c>
      <c r="B479" t="s">
        <v>487</v>
      </c>
      <c r="C479">
        <v>330</v>
      </c>
      <c r="D479">
        <v>140</v>
      </c>
      <c r="E479">
        <v>15</v>
      </c>
      <c r="F479">
        <v>3</v>
      </c>
      <c r="G479">
        <v>0</v>
      </c>
      <c r="H479">
        <v>10</v>
      </c>
      <c r="I479">
        <v>430</v>
      </c>
      <c r="J479">
        <v>39</v>
      </c>
      <c r="K479">
        <v>5</v>
      </c>
      <c r="L479">
        <v>3</v>
      </c>
      <c r="M479">
        <v>10</v>
      </c>
      <c r="O479" s="3">
        <f t="shared" si="23"/>
        <v>3.0303030303030303</v>
      </c>
      <c r="P479">
        <f t="shared" si="21"/>
        <v>0</v>
      </c>
      <c r="Q479">
        <f t="shared" si="22"/>
        <v>0</v>
      </c>
    </row>
    <row r="480" spans="1:17" x14ac:dyDescent="0.2">
      <c r="A480" t="s">
        <v>17</v>
      </c>
      <c r="B480" t="s">
        <v>488</v>
      </c>
      <c r="C480">
        <v>330</v>
      </c>
      <c r="D480">
        <v>140</v>
      </c>
      <c r="E480">
        <v>15</v>
      </c>
      <c r="F480">
        <v>3</v>
      </c>
      <c r="G480">
        <v>0</v>
      </c>
      <c r="H480">
        <v>10</v>
      </c>
      <c r="I480">
        <v>430</v>
      </c>
      <c r="J480">
        <v>39</v>
      </c>
      <c r="K480">
        <v>5</v>
      </c>
      <c r="L480">
        <v>3</v>
      </c>
      <c r="M480">
        <v>10</v>
      </c>
      <c r="O480" s="3">
        <f t="shared" si="23"/>
        <v>3.0303030303030303</v>
      </c>
      <c r="P480">
        <f t="shared" si="21"/>
        <v>0</v>
      </c>
      <c r="Q480">
        <f t="shared" si="22"/>
        <v>0</v>
      </c>
    </row>
    <row r="481" spans="1:17" x14ac:dyDescent="0.2">
      <c r="A481" t="s">
        <v>17</v>
      </c>
      <c r="B481" t="s">
        <v>489</v>
      </c>
      <c r="C481">
        <v>330</v>
      </c>
      <c r="D481">
        <v>140</v>
      </c>
      <c r="E481">
        <v>15</v>
      </c>
      <c r="F481">
        <v>3</v>
      </c>
      <c r="G481">
        <v>0</v>
      </c>
      <c r="H481">
        <v>10</v>
      </c>
      <c r="I481">
        <v>430</v>
      </c>
      <c r="J481">
        <v>39</v>
      </c>
      <c r="K481">
        <v>5</v>
      </c>
      <c r="L481">
        <v>3</v>
      </c>
      <c r="M481">
        <v>10</v>
      </c>
      <c r="O481" s="3">
        <f t="shared" si="23"/>
        <v>3.0303030303030303</v>
      </c>
      <c r="P481">
        <f t="shared" si="21"/>
        <v>0</v>
      </c>
      <c r="Q481">
        <f t="shared" si="22"/>
        <v>0</v>
      </c>
    </row>
    <row r="482" spans="1:17" x14ac:dyDescent="0.2">
      <c r="A482" t="s">
        <v>17</v>
      </c>
      <c r="B482" t="s">
        <v>490</v>
      </c>
      <c r="C482">
        <v>530</v>
      </c>
      <c r="D482">
        <v>190</v>
      </c>
      <c r="E482">
        <v>21</v>
      </c>
      <c r="F482">
        <v>6</v>
      </c>
      <c r="G482">
        <v>0</v>
      </c>
      <c r="H482">
        <v>25</v>
      </c>
      <c r="I482">
        <v>1200</v>
      </c>
      <c r="J482">
        <v>71</v>
      </c>
      <c r="K482">
        <v>6</v>
      </c>
      <c r="L482">
        <v>6</v>
      </c>
      <c r="M482">
        <v>16</v>
      </c>
      <c r="O482" s="3">
        <f t="shared" si="23"/>
        <v>3.0188679245283021</v>
      </c>
      <c r="P482">
        <f t="shared" si="21"/>
        <v>1</v>
      </c>
      <c r="Q482">
        <f t="shared" si="22"/>
        <v>0</v>
      </c>
    </row>
    <row r="483" spans="1:17" x14ac:dyDescent="0.2">
      <c r="A483" t="s">
        <v>17</v>
      </c>
      <c r="B483" t="s">
        <v>491</v>
      </c>
      <c r="C483">
        <v>630</v>
      </c>
      <c r="D483">
        <v>270</v>
      </c>
      <c r="E483">
        <v>29</v>
      </c>
      <c r="F483">
        <v>10</v>
      </c>
      <c r="G483">
        <v>0</v>
      </c>
      <c r="H483">
        <v>35</v>
      </c>
      <c r="I483">
        <v>1260</v>
      </c>
      <c r="J483">
        <v>73</v>
      </c>
      <c r="K483">
        <v>7</v>
      </c>
      <c r="L483">
        <v>5</v>
      </c>
      <c r="M483">
        <v>19</v>
      </c>
      <c r="O483" s="3">
        <f t="shared" si="23"/>
        <v>3.0158730158730158</v>
      </c>
      <c r="P483">
        <f t="shared" si="21"/>
        <v>1</v>
      </c>
      <c r="Q483">
        <f t="shared" si="22"/>
        <v>0</v>
      </c>
    </row>
    <row r="484" spans="1:17" x14ac:dyDescent="0.2">
      <c r="A484" t="s">
        <v>17</v>
      </c>
      <c r="B484" t="s">
        <v>492</v>
      </c>
      <c r="C484">
        <v>630</v>
      </c>
      <c r="D484">
        <v>270</v>
      </c>
      <c r="E484">
        <v>29</v>
      </c>
      <c r="F484">
        <v>10</v>
      </c>
      <c r="G484">
        <v>0</v>
      </c>
      <c r="H484">
        <v>35</v>
      </c>
      <c r="I484">
        <v>1260</v>
      </c>
      <c r="J484">
        <v>73</v>
      </c>
      <c r="K484">
        <v>7</v>
      </c>
      <c r="L484">
        <v>5</v>
      </c>
      <c r="M484">
        <v>19</v>
      </c>
      <c r="O484" s="3">
        <f t="shared" si="23"/>
        <v>3.0158730158730158</v>
      </c>
      <c r="P484">
        <f t="shared" si="21"/>
        <v>1</v>
      </c>
      <c r="Q484">
        <f t="shared" si="22"/>
        <v>0</v>
      </c>
    </row>
    <row r="485" spans="1:17" x14ac:dyDescent="0.2">
      <c r="A485" t="s">
        <v>17</v>
      </c>
      <c r="B485" t="s">
        <v>493</v>
      </c>
      <c r="C485">
        <v>630</v>
      </c>
      <c r="D485">
        <v>270</v>
      </c>
      <c r="E485">
        <v>29</v>
      </c>
      <c r="F485">
        <v>10</v>
      </c>
      <c r="G485">
        <v>0</v>
      </c>
      <c r="H485">
        <v>35</v>
      </c>
      <c r="I485">
        <v>1260</v>
      </c>
      <c r="J485">
        <v>73</v>
      </c>
      <c r="K485">
        <v>7</v>
      </c>
      <c r="L485">
        <v>5</v>
      </c>
      <c r="M485">
        <v>19</v>
      </c>
      <c r="O485" s="3">
        <f t="shared" si="23"/>
        <v>3.0158730158730158</v>
      </c>
      <c r="P485">
        <f t="shared" si="21"/>
        <v>1</v>
      </c>
      <c r="Q485">
        <f t="shared" si="22"/>
        <v>0</v>
      </c>
    </row>
    <row r="486" spans="1:17" x14ac:dyDescent="0.2">
      <c r="A486" t="s">
        <v>17</v>
      </c>
      <c r="B486" t="s">
        <v>494</v>
      </c>
      <c r="C486">
        <v>630</v>
      </c>
      <c r="D486">
        <v>270</v>
      </c>
      <c r="E486">
        <v>29</v>
      </c>
      <c r="F486">
        <v>10</v>
      </c>
      <c r="G486">
        <v>0</v>
      </c>
      <c r="H486">
        <v>35</v>
      </c>
      <c r="I486">
        <v>1260</v>
      </c>
      <c r="J486">
        <v>73</v>
      </c>
      <c r="K486">
        <v>7</v>
      </c>
      <c r="L486">
        <v>5</v>
      </c>
      <c r="M486">
        <v>19</v>
      </c>
      <c r="O486" s="3">
        <f t="shared" si="23"/>
        <v>3.0158730158730158</v>
      </c>
      <c r="P486">
        <f t="shared" si="21"/>
        <v>1</v>
      </c>
      <c r="Q486">
        <f t="shared" si="22"/>
        <v>0</v>
      </c>
    </row>
    <row r="487" spans="1:17" x14ac:dyDescent="0.2">
      <c r="A487" t="s">
        <v>25</v>
      </c>
      <c r="B487" t="s">
        <v>495</v>
      </c>
      <c r="C487">
        <v>200</v>
      </c>
      <c r="D487">
        <v>50</v>
      </c>
      <c r="E487">
        <v>6</v>
      </c>
      <c r="F487">
        <v>4</v>
      </c>
      <c r="G487">
        <v>0</v>
      </c>
      <c r="H487">
        <v>10</v>
      </c>
      <c r="I487">
        <v>140</v>
      </c>
      <c r="J487">
        <v>29</v>
      </c>
      <c r="K487">
        <v>0</v>
      </c>
      <c r="L487">
        <v>26</v>
      </c>
      <c r="M487">
        <v>6</v>
      </c>
      <c r="N487">
        <v>224</v>
      </c>
      <c r="O487" s="3">
        <f t="shared" si="23"/>
        <v>3</v>
      </c>
      <c r="P487">
        <f t="shared" si="21"/>
        <v>0</v>
      </c>
      <c r="Q487">
        <f t="shared" si="22"/>
        <v>0</v>
      </c>
    </row>
    <row r="488" spans="1:17" x14ac:dyDescent="0.2">
      <c r="A488" t="s">
        <v>58</v>
      </c>
      <c r="B488" t="s">
        <v>496</v>
      </c>
      <c r="C488">
        <v>100</v>
      </c>
      <c r="D488" s="2">
        <v>0</v>
      </c>
      <c r="E488">
        <v>8</v>
      </c>
      <c r="F488">
        <v>5</v>
      </c>
      <c r="G488">
        <v>0</v>
      </c>
      <c r="H488">
        <v>25</v>
      </c>
      <c r="I488">
        <v>45</v>
      </c>
      <c r="J488">
        <v>14</v>
      </c>
      <c r="K488">
        <v>0</v>
      </c>
      <c r="L488">
        <v>0</v>
      </c>
      <c r="M488">
        <v>3</v>
      </c>
      <c r="N488">
        <v>102</v>
      </c>
      <c r="O488" s="3">
        <f t="shared" si="23"/>
        <v>3</v>
      </c>
      <c r="P488">
        <f t="shared" si="21"/>
        <v>0</v>
      </c>
      <c r="Q488">
        <f t="shared" si="22"/>
        <v>0</v>
      </c>
    </row>
    <row r="489" spans="1:17" x14ac:dyDescent="0.2">
      <c r="A489" t="s">
        <v>58</v>
      </c>
      <c r="B489" t="s">
        <v>497</v>
      </c>
      <c r="C489">
        <v>200</v>
      </c>
      <c r="D489" s="2">
        <v>0</v>
      </c>
      <c r="E489">
        <v>5</v>
      </c>
      <c r="F489">
        <v>3</v>
      </c>
      <c r="G489">
        <v>0</v>
      </c>
      <c r="H489">
        <v>20</v>
      </c>
      <c r="I489">
        <v>90</v>
      </c>
      <c r="J489">
        <v>33</v>
      </c>
      <c r="K489">
        <v>0</v>
      </c>
      <c r="L489">
        <v>27</v>
      </c>
      <c r="M489">
        <v>6</v>
      </c>
      <c r="N489">
        <v>224</v>
      </c>
      <c r="O489" s="3">
        <f t="shared" si="23"/>
        <v>3</v>
      </c>
      <c r="P489">
        <f t="shared" si="21"/>
        <v>0</v>
      </c>
      <c r="Q489">
        <f t="shared" si="22"/>
        <v>0</v>
      </c>
    </row>
    <row r="490" spans="1:17" x14ac:dyDescent="0.2">
      <c r="A490" t="s">
        <v>51</v>
      </c>
      <c r="B490" t="s">
        <v>498</v>
      </c>
      <c r="C490">
        <v>170</v>
      </c>
      <c r="D490">
        <v>80</v>
      </c>
      <c r="E490">
        <v>9</v>
      </c>
      <c r="F490">
        <v>3</v>
      </c>
      <c r="G490">
        <v>0</v>
      </c>
      <c r="H490">
        <v>10</v>
      </c>
      <c r="I490">
        <v>410</v>
      </c>
      <c r="J490">
        <v>19</v>
      </c>
      <c r="K490">
        <v>2</v>
      </c>
      <c r="L490">
        <v>1</v>
      </c>
      <c r="M490">
        <v>5</v>
      </c>
      <c r="N490">
        <v>169</v>
      </c>
      <c r="O490" s="3">
        <f t="shared" si="23"/>
        <v>2.9411764705882351</v>
      </c>
      <c r="P490">
        <f t="shared" si="21"/>
        <v>0</v>
      </c>
      <c r="Q490">
        <f t="shared" si="22"/>
        <v>0</v>
      </c>
    </row>
    <row r="491" spans="1:17" x14ac:dyDescent="0.2">
      <c r="A491" t="s">
        <v>51</v>
      </c>
      <c r="B491" t="s">
        <v>499</v>
      </c>
      <c r="C491">
        <v>170</v>
      </c>
      <c r="D491">
        <v>40</v>
      </c>
      <c r="E491">
        <v>4.5</v>
      </c>
      <c r="F491">
        <v>3</v>
      </c>
      <c r="G491">
        <v>0</v>
      </c>
      <c r="H491">
        <v>20</v>
      </c>
      <c r="I491">
        <v>150</v>
      </c>
      <c r="J491">
        <v>28</v>
      </c>
      <c r="K491">
        <v>0</v>
      </c>
      <c r="L491">
        <v>24</v>
      </c>
      <c r="M491">
        <v>5</v>
      </c>
      <c r="N491">
        <v>192</v>
      </c>
      <c r="O491" s="3">
        <f t="shared" si="23"/>
        <v>2.9411764705882351</v>
      </c>
      <c r="P491">
        <f t="shared" si="21"/>
        <v>0</v>
      </c>
      <c r="Q491">
        <f t="shared" si="22"/>
        <v>0</v>
      </c>
    </row>
    <row r="492" spans="1:17" x14ac:dyDescent="0.2">
      <c r="A492" t="s">
        <v>17</v>
      </c>
      <c r="B492" t="s">
        <v>500</v>
      </c>
      <c r="C492">
        <v>340</v>
      </c>
      <c r="D492">
        <v>130</v>
      </c>
      <c r="E492">
        <v>14</v>
      </c>
      <c r="F492">
        <v>3.5</v>
      </c>
      <c r="G492">
        <v>0</v>
      </c>
      <c r="H492">
        <v>100</v>
      </c>
      <c r="I492">
        <v>750</v>
      </c>
      <c r="J492">
        <v>43</v>
      </c>
      <c r="K492">
        <v>3</v>
      </c>
      <c r="L492">
        <v>3</v>
      </c>
      <c r="M492">
        <v>10</v>
      </c>
      <c r="O492" s="3">
        <f t="shared" si="23"/>
        <v>2.9411764705882351</v>
      </c>
      <c r="P492">
        <f t="shared" si="21"/>
        <v>1</v>
      </c>
      <c r="Q492">
        <f t="shared" si="22"/>
        <v>0</v>
      </c>
    </row>
    <row r="493" spans="1:17" x14ac:dyDescent="0.2">
      <c r="A493" t="s">
        <v>25</v>
      </c>
      <c r="B493" t="s">
        <v>501</v>
      </c>
      <c r="C493">
        <v>240</v>
      </c>
      <c r="D493">
        <v>45</v>
      </c>
      <c r="E493">
        <v>5</v>
      </c>
      <c r="F493">
        <v>3</v>
      </c>
      <c r="G493">
        <v>0</v>
      </c>
      <c r="H493">
        <v>5</v>
      </c>
      <c r="I493">
        <v>130</v>
      </c>
      <c r="J493">
        <v>41</v>
      </c>
      <c r="K493">
        <v>0</v>
      </c>
      <c r="L493">
        <v>34</v>
      </c>
      <c r="M493">
        <v>7</v>
      </c>
      <c r="N493">
        <v>270</v>
      </c>
      <c r="O493" s="3">
        <f t="shared" si="23"/>
        <v>2.9166666666666665</v>
      </c>
      <c r="P493">
        <f t="shared" si="21"/>
        <v>0</v>
      </c>
      <c r="Q493">
        <f t="shared" si="22"/>
        <v>0</v>
      </c>
    </row>
    <row r="494" spans="1:17" x14ac:dyDescent="0.2">
      <c r="A494" t="s">
        <v>17</v>
      </c>
      <c r="B494" t="s">
        <v>502</v>
      </c>
      <c r="C494">
        <v>720</v>
      </c>
      <c r="D494">
        <v>430</v>
      </c>
      <c r="E494">
        <v>47</v>
      </c>
      <c r="F494">
        <v>15</v>
      </c>
      <c r="G494">
        <v>0</v>
      </c>
      <c r="H494">
        <v>145</v>
      </c>
      <c r="I494">
        <v>1210</v>
      </c>
      <c r="J494">
        <v>51</v>
      </c>
      <c r="K494">
        <v>4</v>
      </c>
      <c r="L494">
        <v>3</v>
      </c>
      <c r="M494">
        <v>21</v>
      </c>
      <c r="O494" s="3">
        <f t="shared" si="23"/>
        <v>2.9166666666666665</v>
      </c>
      <c r="P494">
        <f t="shared" si="21"/>
        <v>1</v>
      </c>
      <c r="Q494">
        <f t="shared" si="22"/>
        <v>0</v>
      </c>
    </row>
    <row r="495" spans="1:17" x14ac:dyDescent="0.2">
      <c r="A495" t="s">
        <v>25</v>
      </c>
      <c r="B495" t="s">
        <v>503</v>
      </c>
      <c r="C495">
        <v>520</v>
      </c>
      <c r="D495">
        <v>210</v>
      </c>
      <c r="E495">
        <v>24</v>
      </c>
      <c r="F495">
        <v>7</v>
      </c>
      <c r="G495">
        <v>0</v>
      </c>
      <c r="H495">
        <v>50</v>
      </c>
      <c r="I495">
        <v>930</v>
      </c>
      <c r="J495">
        <v>61</v>
      </c>
      <c r="K495">
        <v>3</v>
      </c>
      <c r="L495">
        <v>14</v>
      </c>
      <c r="M495">
        <v>15</v>
      </c>
      <c r="N495">
        <v>526</v>
      </c>
      <c r="O495" s="3">
        <f t="shared" si="23"/>
        <v>2.8846153846153846</v>
      </c>
      <c r="P495">
        <f t="shared" si="21"/>
        <v>1</v>
      </c>
      <c r="Q495">
        <f t="shared" si="22"/>
        <v>0</v>
      </c>
    </row>
    <row r="496" spans="1:17" x14ac:dyDescent="0.2">
      <c r="A496" t="s">
        <v>58</v>
      </c>
      <c r="B496" t="s">
        <v>504</v>
      </c>
      <c r="C496">
        <v>590</v>
      </c>
      <c r="D496" s="2">
        <v>0</v>
      </c>
      <c r="E496">
        <v>15</v>
      </c>
      <c r="F496">
        <v>10</v>
      </c>
      <c r="G496">
        <v>0.5</v>
      </c>
      <c r="H496">
        <v>60</v>
      </c>
      <c r="I496">
        <v>260</v>
      </c>
      <c r="J496">
        <v>99</v>
      </c>
      <c r="K496">
        <v>0</v>
      </c>
      <c r="L496">
        <v>81</v>
      </c>
      <c r="M496">
        <v>17</v>
      </c>
      <c r="N496">
        <v>664</v>
      </c>
      <c r="O496" s="3">
        <f t="shared" si="23"/>
        <v>2.8813559322033897</v>
      </c>
      <c r="P496">
        <f t="shared" si="21"/>
        <v>0</v>
      </c>
      <c r="Q496">
        <f t="shared" si="22"/>
        <v>0</v>
      </c>
    </row>
    <row r="497" spans="1:17" x14ac:dyDescent="0.2">
      <c r="A497" t="s">
        <v>25</v>
      </c>
      <c r="B497" t="s">
        <v>505</v>
      </c>
      <c r="C497">
        <v>280</v>
      </c>
      <c r="D497">
        <v>50</v>
      </c>
      <c r="E497">
        <v>6</v>
      </c>
      <c r="F497">
        <v>3.5</v>
      </c>
      <c r="G497">
        <v>0</v>
      </c>
      <c r="H497">
        <v>10</v>
      </c>
      <c r="I497">
        <v>160</v>
      </c>
      <c r="J497">
        <v>50</v>
      </c>
      <c r="K497">
        <v>0</v>
      </c>
      <c r="L497">
        <v>42</v>
      </c>
      <c r="M497">
        <v>8</v>
      </c>
      <c r="N497">
        <v>317.5</v>
      </c>
      <c r="O497" s="3">
        <f t="shared" si="23"/>
        <v>2.8571428571428572</v>
      </c>
      <c r="P497">
        <f t="shared" si="21"/>
        <v>0</v>
      </c>
      <c r="Q497">
        <f t="shared" si="22"/>
        <v>0</v>
      </c>
    </row>
    <row r="498" spans="1:17" x14ac:dyDescent="0.2">
      <c r="A498" t="s">
        <v>25</v>
      </c>
      <c r="B498" t="s">
        <v>506</v>
      </c>
      <c r="C498">
        <v>280</v>
      </c>
      <c r="D498">
        <v>70</v>
      </c>
      <c r="E498">
        <v>8</v>
      </c>
      <c r="F498">
        <v>4.5</v>
      </c>
      <c r="G498">
        <v>0</v>
      </c>
      <c r="H498">
        <v>25</v>
      </c>
      <c r="I498">
        <v>170</v>
      </c>
      <c r="J498">
        <v>43</v>
      </c>
      <c r="K498">
        <v>0</v>
      </c>
      <c r="L498">
        <v>43</v>
      </c>
      <c r="M498">
        <v>8</v>
      </c>
      <c r="N498">
        <v>319.5</v>
      </c>
      <c r="O498" s="3">
        <f t="shared" si="23"/>
        <v>2.8571428571428572</v>
      </c>
      <c r="P498">
        <f t="shared" si="21"/>
        <v>0</v>
      </c>
      <c r="Q498">
        <f t="shared" si="22"/>
        <v>0</v>
      </c>
    </row>
    <row r="499" spans="1:17" x14ac:dyDescent="0.2">
      <c r="A499" t="s">
        <v>25</v>
      </c>
      <c r="B499" t="s">
        <v>507</v>
      </c>
      <c r="C499">
        <v>280</v>
      </c>
      <c r="D499">
        <v>70</v>
      </c>
      <c r="E499">
        <v>8</v>
      </c>
      <c r="F499">
        <v>4.5</v>
      </c>
      <c r="G499">
        <v>0</v>
      </c>
      <c r="H499">
        <v>25</v>
      </c>
      <c r="I499">
        <v>110</v>
      </c>
      <c r="J499">
        <v>45</v>
      </c>
      <c r="K499">
        <v>0</v>
      </c>
      <c r="L499">
        <v>45</v>
      </c>
      <c r="M499">
        <v>8</v>
      </c>
      <c r="N499">
        <v>321.5</v>
      </c>
      <c r="O499" s="3">
        <f t="shared" si="23"/>
        <v>2.8571428571428572</v>
      </c>
      <c r="P499">
        <f t="shared" si="21"/>
        <v>0</v>
      </c>
      <c r="Q499">
        <f t="shared" si="22"/>
        <v>0</v>
      </c>
    </row>
    <row r="500" spans="1:17" x14ac:dyDescent="0.2">
      <c r="A500" t="s">
        <v>25</v>
      </c>
      <c r="B500" t="s">
        <v>508</v>
      </c>
      <c r="C500">
        <v>280</v>
      </c>
      <c r="D500">
        <v>70</v>
      </c>
      <c r="E500">
        <v>8</v>
      </c>
      <c r="F500">
        <v>4.5</v>
      </c>
      <c r="G500">
        <v>0</v>
      </c>
      <c r="H500">
        <v>25</v>
      </c>
      <c r="I500">
        <v>110</v>
      </c>
      <c r="J500">
        <v>44</v>
      </c>
      <c r="K500">
        <v>0</v>
      </c>
      <c r="L500">
        <v>44</v>
      </c>
      <c r="M500">
        <v>8</v>
      </c>
      <c r="N500">
        <v>320.5</v>
      </c>
      <c r="O500" s="3">
        <f t="shared" si="23"/>
        <v>2.8571428571428572</v>
      </c>
      <c r="P500">
        <f t="shared" si="21"/>
        <v>0</v>
      </c>
      <c r="Q500">
        <f t="shared" si="22"/>
        <v>0</v>
      </c>
    </row>
    <row r="501" spans="1:17" x14ac:dyDescent="0.2">
      <c r="A501" t="s">
        <v>51</v>
      </c>
      <c r="B501" t="s">
        <v>509</v>
      </c>
      <c r="C501">
        <v>420</v>
      </c>
      <c r="D501">
        <v>250</v>
      </c>
      <c r="E501">
        <v>28</v>
      </c>
      <c r="F501">
        <v>6</v>
      </c>
      <c r="G501">
        <v>0</v>
      </c>
      <c r="H501">
        <v>35</v>
      </c>
      <c r="I501">
        <v>1050</v>
      </c>
      <c r="J501">
        <v>28</v>
      </c>
      <c r="K501">
        <v>1</v>
      </c>
      <c r="L501">
        <v>2</v>
      </c>
      <c r="M501">
        <v>12</v>
      </c>
      <c r="N501">
        <v>416</v>
      </c>
      <c r="O501" s="3">
        <f t="shared" si="23"/>
        <v>2.8571428571428572</v>
      </c>
      <c r="P501">
        <f t="shared" si="21"/>
        <v>1</v>
      </c>
      <c r="Q501">
        <f t="shared" si="22"/>
        <v>0</v>
      </c>
    </row>
    <row r="502" spans="1:17" x14ac:dyDescent="0.2">
      <c r="A502" t="s">
        <v>58</v>
      </c>
      <c r="B502" t="s">
        <v>510</v>
      </c>
      <c r="C502">
        <v>490</v>
      </c>
      <c r="D502" s="2">
        <v>0</v>
      </c>
      <c r="E502">
        <v>28</v>
      </c>
      <c r="F502">
        <v>9</v>
      </c>
      <c r="G502">
        <v>0</v>
      </c>
      <c r="H502">
        <v>35</v>
      </c>
      <c r="I502">
        <v>550</v>
      </c>
      <c r="J502">
        <v>45</v>
      </c>
      <c r="K502">
        <v>4</v>
      </c>
      <c r="L502">
        <v>2</v>
      </c>
      <c r="M502">
        <v>14</v>
      </c>
      <c r="N502">
        <v>487</v>
      </c>
      <c r="O502" s="3">
        <f t="shared" si="23"/>
        <v>2.8571428571428572</v>
      </c>
      <c r="P502">
        <f t="shared" si="21"/>
        <v>1</v>
      </c>
      <c r="Q502">
        <f t="shared" si="22"/>
        <v>0</v>
      </c>
    </row>
    <row r="503" spans="1:17" x14ac:dyDescent="0.2">
      <c r="A503" t="s">
        <v>58</v>
      </c>
      <c r="B503" t="s">
        <v>511</v>
      </c>
      <c r="C503">
        <v>70</v>
      </c>
      <c r="D503" s="2">
        <v>0</v>
      </c>
      <c r="E503">
        <v>5</v>
      </c>
      <c r="F503">
        <v>3.5</v>
      </c>
      <c r="G503">
        <v>0</v>
      </c>
      <c r="H503">
        <v>15</v>
      </c>
      <c r="I503">
        <v>30</v>
      </c>
      <c r="J503">
        <v>6</v>
      </c>
      <c r="K503">
        <v>0</v>
      </c>
      <c r="L503">
        <v>0</v>
      </c>
      <c r="M503">
        <v>2</v>
      </c>
      <c r="N503">
        <v>72</v>
      </c>
      <c r="O503" s="3">
        <f t="shared" si="23"/>
        <v>2.8571428571428572</v>
      </c>
      <c r="P503">
        <f t="shared" si="21"/>
        <v>0</v>
      </c>
      <c r="Q503">
        <f t="shared" si="22"/>
        <v>0</v>
      </c>
    </row>
    <row r="504" spans="1:17" x14ac:dyDescent="0.2">
      <c r="A504" t="s">
        <v>58</v>
      </c>
      <c r="B504" t="s">
        <v>512</v>
      </c>
      <c r="C504">
        <v>350</v>
      </c>
      <c r="D504" s="2">
        <v>0</v>
      </c>
      <c r="E504">
        <v>9</v>
      </c>
      <c r="F504">
        <v>6</v>
      </c>
      <c r="G504">
        <v>0</v>
      </c>
      <c r="H504">
        <v>35</v>
      </c>
      <c r="I504">
        <v>150</v>
      </c>
      <c r="J504">
        <v>58</v>
      </c>
      <c r="K504">
        <v>0</v>
      </c>
      <c r="L504">
        <v>47</v>
      </c>
      <c r="M504">
        <v>10</v>
      </c>
      <c r="N504">
        <v>393</v>
      </c>
      <c r="O504" s="3">
        <f t="shared" si="23"/>
        <v>2.8571428571428572</v>
      </c>
      <c r="P504">
        <f t="shared" si="21"/>
        <v>0</v>
      </c>
      <c r="Q504">
        <f t="shared" si="22"/>
        <v>0</v>
      </c>
    </row>
    <row r="505" spans="1:17" x14ac:dyDescent="0.2">
      <c r="A505" t="s">
        <v>21</v>
      </c>
      <c r="B505" t="s">
        <v>513</v>
      </c>
      <c r="C505">
        <v>70</v>
      </c>
      <c r="D505" s="2">
        <v>0</v>
      </c>
      <c r="E505">
        <v>0.5</v>
      </c>
      <c r="F505">
        <v>0</v>
      </c>
      <c r="G505">
        <v>0</v>
      </c>
      <c r="H505">
        <v>0</v>
      </c>
      <c r="I505">
        <v>0</v>
      </c>
      <c r="J505">
        <v>17</v>
      </c>
      <c r="K505">
        <v>2</v>
      </c>
      <c r="L505">
        <v>3</v>
      </c>
      <c r="M505">
        <v>2</v>
      </c>
      <c r="N505">
        <v>71</v>
      </c>
      <c r="O505" s="3">
        <f t="shared" si="23"/>
        <v>2.8571428571428572</v>
      </c>
      <c r="P505">
        <f t="shared" si="21"/>
        <v>0</v>
      </c>
      <c r="Q505">
        <f t="shared" si="22"/>
        <v>0</v>
      </c>
    </row>
    <row r="506" spans="1:17" x14ac:dyDescent="0.2">
      <c r="A506" t="s">
        <v>21</v>
      </c>
      <c r="B506" t="s">
        <v>514</v>
      </c>
      <c r="C506">
        <v>70</v>
      </c>
      <c r="D506" s="2">
        <v>0</v>
      </c>
      <c r="E506">
        <v>0.5</v>
      </c>
      <c r="F506">
        <v>0</v>
      </c>
      <c r="G506">
        <v>0</v>
      </c>
      <c r="H506">
        <v>0</v>
      </c>
      <c r="I506">
        <v>0</v>
      </c>
      <c r="J506">
        <v>16</v>
      </c>
      <c r="K506">
        <v>2</v>
      </c>
      <c r="L506">
        <v>2</v>
      </c>
      <c r="M506">
        <v>2</v>
      </c>
      <c r="N506">
        <v>70</v>
      </c>
      <c r="O506" s="3">
        <f t="shared" si="23"/>
        <v>2.8571428571428572</v>
      </c>
      <c r="P506">
        <f t="shared" si="21"/>
        <v>0</v>
      </c>
      <c r="Q506">
        <f t="shared" si="22"/>
        <v>0</v>
      </c>
    </row>
    <row r="507" spans="1:17" x14ac:dyDescent="0.2">
      <c r="A507" t="s">
        <v>21</v>
      </c>
      <c r="B507" t="s">
        <v>515</v>
      </c>
      <c r="C507">
        <v>35</v>
      </c>
      <c r="D507" s="2">
        <v>0</v>
      </c>
      <c r="E507">
        <v>0</v>
      </c>
      <c r="F507">
        <v>0</v>
      </c>
      <c r="G507">
        <v>0</v>
      </c>
      <c r="H507">
        <v>0</v>
      </c>
      <c r="I507">
        <v>410</v>
      </c>
      <c r="J507">
        <v>8</v>
      </c>
      <c r="K507">
        <v>0</v>
      </c>
      <c r="L507">
        <v>2</v>
      </c>
      <c r="M507">
        <v>1</v>
      </c>
      <c r="N507">
        <v>36</v>
      </c>
      <c r="O507" s="3">
        <f t="shared" si="23"/>
        <v>2.8571428571428572</v>
      </c>
      <c r="P507">
        <f t="shared" si="21"/>
        <v>0</v>
      </c>
      <c r="Q507">
        <f t="shared" si="22"/>
        <v>0</v>
      </c>
    </row>
    <row r="508" spans="1:17" x14ac:dyDescent="0.2">
      <c r="A508" t="s">
        <v>25</v>
      </c>
      <c r="B508" t="s">
        <v>516</v>
      </c>
      <c r="C508">
        <v>460</v>
      </c>
      <c r="D508">
        <v>160</v>
      </c>
      <c r="E508">
        <v>18</v>
      </c>
      <c r="F508">
        <v>10</v>
      </c>
      <c r="G508">
        <v>0.5</v>
      </c>
      <c r="H508">
        <v>40</v>
      </c>
      <c r="I508">
        <v>220</v>
      </c>
      <c r="J508">
        <v>63</v>
      </c>
      <c r="K508">
        <v>0</v>
      </c>
      <c r="L508">
        <v>54</v>
      </c>
      <c r="M508">
        <v>13</v>
      </c>
      <c r="N508">
        <v>511</v>
      </c>
      <c r="O508" s="3">
        <f t="shared" si="23"/>
        <v>2.8260869565217392</v>
      </c>
      <c r="P508">
        <f t="shared" si="21"/>
        <v>0</v>
      </c>
      <c r="Q508">
        <f t="shared" si="22"/>
        <v>0</v>
      </c>
    </row>
    <row r="509" spans="1:17" x14ac:dyDescent="0.2">
      <c r="A509" t="s">
        <v>25</v>
      </c>
      <c r="B509" t="s">
        <v>517</v>
      </c>
      <c r="C509">
        <v>250</v>
      </c>
      <c r="D509">
        <v>90</v>
      </c>
      <c r="E509">
        <v>11</v>
      </c>
      <c r="F509">
        <v>6</v>
      </c>
      <c r="G509">
        <v>0</v>
      </c>
      <c r="H509">
        <v>25</v>
      </c>
      <c r="I509">
        <v>150</v>
      </c>
      <c r="J509">
        <v>33</v>
      </c>
      <c r="K509">
        <v>0</v>
      </c>
      <c r="L509">
        <v>31</v>
      </c>
      <c r="M509">
        <v>7</v>
      </c>
      <c r="N509">
        <v>280</v>
      </c>
      <c r="O509" s="3">
        <f t="shared" si="23"/>
        <v>2.8000000000000003</v>
      </c>
      <c r="P509">
        <f t="shared" si="21"/>
        <v>0</v>
      </c>
      <c r="Q509">
        <f t="shared" si="22"/>
        <v>0</v>
      </c>
    </row>
    <row r="510" spans="1:17" x14ac:dyDescent="0.2">
      <c r="A510" t="s">
        <v>58</v>
      </c>
      <c r="B510" t="s">
        <v>518</v>
      </c>
      <c r="C510">
        <v>250</v>
      </c>
      <c r="D510" s="2">
        <v>0</v>
      </c>
      <c r="E510">
        <v>18</v>
      </c>
      <c r="F510">
        <v>4</v>
      </c>
      <c r="G510">
        <v>0</v>
      </c>
      <c r="H510">
        <v>20</v>
      </c>
      <c r="I510">
        <v>460</v>
      </c>
      <c r="J510">
        <v>18</v>
      </c>
      <c r="K510">
        <v>2</v>
      </c>
      <c r="L510">
        <v>4</v>
      </c>
      <c r="M510">
        <v>7</v>
      </c>
      <c r="N510">
        <v>251</v>
      </c>
      <c r="O510" s="3">
        <f t="shared" si="23"/>
        <v>2.8000000000000003</v>
      </c>
      <c r="P510">
        <f t="shared" si="21"/>
        <v>0</v>
      </c>
      <c r="Q510">
        <f t="shared" si="22"/>
        <v>0</v>
      </c>
    </row>
    <row r="511" spans="1:17" x14ac:dyDescent="0.2">
      <c r="A511" t="s">
        <v>17</v>
      </c>
      <c r="B511" t="s">
        <v>519</v>
      </c>
      <c r="C511">
        <v>430</v>
      </c>
      <c r="D511">
        <v>160</v>
      </c>
      <c r="E511">
        <v>17</v>
      </c>
      <c r="F511">
        <v>5</v>
      </c>
      <c r="G511">
        <v>0</v>
      </c>
      <c r="H511">
        <v>20</v>
      </c>
      <c r="I511">
        <v>810</v>
      </c>
      <c r="J511">
        <v>57</v>
      </c>
      <c r="K511">
        <v>10</v>
      </c>
      <c r="L511">
        <v>2</v>
      </c>
      <c r="M511">
        <v>12</v>
      </c>
      <c r="O511" s="3">
        <f t="shared" si="23"/>
        <v>2.7906976744186047</v>
      </c>
      <c r="P511">
        <f t="shared" si="21"/>
        <v>1</v>
      </c>
      <c r="Q511">
        <f t="shared" si="22"/>
        <v>0</v>
      </c>
    </row>
    <row r="512" spans="1:17" x14ac:dyDescent="0.2">
      <c r="A512" t="s">
        <v>17</v>
      </c>
      <c r="B512" t="s">
        <v>520</v>
      </c>
      <c r="C512">
        <v>430</v>
      </c>
      <c r="D512">
        <v>170</v>
      </c>
      <c r="E512">
        <v>19</v>
      </c>
      <c r="F512">
        <v>5</v>
      </c>
      <c r="G512">
        <v>0</v>
      </c>
      <c r="H512">
        <v>20</v>
      </c>
      <c r="I512">
        <v>970</v>
      </c>
      <c r="J512">
        <v>51</v>
      </c>
      <c r="K512">
        <v>4</v>
      </c>
      <c r="L512">
        <v>3</v>
      </c>
      <c r="M512">
        <v>12</v>
      </c>
      <c r="O512" s="3">
        <f t="shared" si="23"/>
        <v>2.7906976744186047</v>
      </c>
      <c r="P512">
        <f t="shared" si="21"/>
        <v>1</v>
      </c>
      <c r="Q512">
        <f t="shared" si="22"/>
        <v>0</v>
      </c>
    </row>
    <row r="513" spans="1:17" x14ac:dyDescent="0.2">
      <c r="A513" t="s">
        <v>17</v>
      </c>
      <c r="B513" t="s">
        <v>521</v>
      </c>
      <c r="C513">
        <v>430</v>
      </c>
      <c r="D513">
        <v>160</v>
      </c>
      <c r="E513">
        <v>17</v>
      </c>
      <c r="F513">
        <v>5</v>
      </c>
      <c r="G513">
        <v>0</v>
      </c>
      <c r="H513">
        <v>20</v>
      </c>
      <c r="I513">
        <v>810</v>
      </c>
      <c r="J513">
        <v>57</v>
      </c>
      <c r="K513">
        <v>10</v>
      </c>
      <c r="L513">
        <v>2</v>
      </c>
      <c r="M513">
        <v>12</v>
      </c>
      <c r="O513" s="3">
        <f t="shared" si="23"/>
        <v>2.7906976744186047</v>
      </c>
      <c r="P513">
        <f t="shared" si="21"/>
        <v>1</v>
      </c>
      <c r="Q513">
        <f t="shared" si="22"/>
        <v>0</v>
      </c>
    </row>
    <row r="514" spans="1:17" x14ac:dyDescent="0.2">
      <c r="A514" t="s">
        <v>17</v>
      </c>
      <c r="B514" t="s">
        <v>522</v>
      </c>
      <c r="C514">
        <v>430</v>
      </c>
      <c r="D514">
        <v>160</v>
      </c>
      <c r="E514">
        <v>17</v>
      </c>
      <c r="F514">
        <v>5</v>
      </c>
      <c r="G514">
        <v>0</v>
      </c>
      <c r="H514">
        <v>20</v>
      </c>
      <c r="I514">
        <v>810</v>
      </c>
      <c r="J514">
        <v>57</v>
      </c>
      <c r="K514">
        <v>10</v>
      </c>
      <c r="L514">
        <v>2</v>
      </c>
      <c r="M514">
        <v>12</v>
      </c>
      <c r="O514" s="3">
        <f t="shared" si="23"/>
        <v>2.7906976744186047</v>
      </c>
      <c r="P514">
        <f t="shared" ref="P514:P577" si="24">IF(I514&gt;2300*0.2,1,0)</f>
        <v>1</v>
      </c>
      <c r="Q514">
        <f t="shared" ref="Q514:Q577" si="25">IF(H514&gt;300,1,0)</f>
        <v>0</v>
      </c>
    </row>
    <row r="515" spans="1:17" x14ac:dyDescent="0.2">
      <c r="A515" t="s">
        <v>25</v>
      </c>
      <c r="B515" t="s">
        <v>523</v>
      </c>
      <c r="C515">
        <v>360</v>
      </c>
      <c r="D515">
        <v>130</v>
      </c>
      <c r="E515">
        <v>14</v>
      </c>
      <c r="F515">
        <v>8</v>
      </c>
      <c r="G515">
        <v>0.5</v>
      </c>
      <c r="H515">
        <v>35</v>
      </c>
      <c r="I515">
        <v>220</v>
      </c>
      <c r="J515">
        <v>47</v>
      </c>
      <c r="K515">
        <v>0</v>
      </c>
      <c r="L515">
        <v>46</v>
      </c>
      <c r="M515">
        <v>10</v>
      </c>
      <c r="N515">
        <v>404</v>
      </c>
      <c r="O515" s="3">
        <f t="shared" si="23"/>
        <v>2.7777777777777777</v>
      </c>
      <c r="P515">
        <f t="shared" si="24"/>
        <v>0</v>
      </c>
      <c r="Q515">
        <f t="shared" si="25"/>
        <v>0</v>
      </c>
    </row>
    <row r="516" spans="1:17" x14ac:dyDescent="0.2">
      <c r="A516" t="s">
        <v>51</v>
      </c>
      <c r="B516" t="s">
        <v>524</v>
      </c>
      <c r="C516">
        <v>900</v>
      </c>
      <c r="D516">
        <v>420</v>
      </c>
      <c r="E516">
        <v>46</v>
      </c>
      <c r="F516">
        <v>12</v>
      </c>
      <c r="G516">
        <v>0</v>
      </c>
      <c r="H516">
        <v>380</v>
      </c>
      <c r="I516">
        <v>1760</v>
      </c>
      <c r="J516">
        <v>95</v>
      </c>
      <c r="K516">
        <v>5</v>
      </c>
      <c r="L516">
        <v>31</v>
      </c>
      <c r="M516">
        <v>25</v>
      </c>
      <c r="N516">
        <v>918</v>
      </c>
      <c r="O516" s="3">
        <f t="shared" si="23"/>
        <v>2.7777777777777777</v>
      </c>
      <c r="P516">
        <f t="shared" si="24"/>
        <v>1</v>
      </c>
      <c r="Q516">
        <f t="shared" si="25"/>
        <v>1</v>
      </c>
    </row>
    <row r="517" spans="1:17" x14ac:dyDescent="0.2">
      <c r="A517" t="s">
        <v>17</v>
      </c>
      <c r="B517" t="s">
        <v>525</v>
      </c>
      <c r="C517">
        <v>720</v>
      </c>
      <c r="D517">
        <v>310</v>
      </c>
      <c r="E517">
        <v>35</v>
      </c>
      <c r="F517">
        <v>6</v>
      </c>
      <c r="G517">
        <v>0</v>
      </c>
      <c r="H517">
        <v>35</v>
      </c>
      <c r="I517">
        <v>1050</v>
      </c>
      <c r="J517">
        <v>81</v>
      </c>
      <c r="K517">
        <v>14</v>
      </c>
      <c r="L517">
        <v>5</v>
      </c>
      <c r="M517">
        <v>20</v>
      </c>
      <c r="O517" s="3">
        <f t="shared" si="23"/>
        <v>2.7777777777777777</v>
      </c>
      <c r="P517">
        <f t="shared" si="24"/>
        <v>1</v>
      </c>
      <c r="Q517">
        <f t="shared" si="25"/>
        <v>0</v>
      </c>
    </row>
    <row r="518" spans="1:17" x14ac:dyDescent="0.2">
      <c r="A518" t="s">
        <v>58</v>
      </c>
      <c r="B518" t="s">
        <v>526</v>
      </c>
      <c r="C518">
        <v>470</v>
      </c>
      <c r="D518" s="2">
        <v>0</v>
      </c>
      <c r="E518">
        <v>12</v>
      </c>
      <c r="F518">
        <v>8</v>
      </c>
      <c r="G518">
        <v>0.5</v>
      </c>
      <c r="H518">
        <v>50</v>
      </c>
      <c r="I518">
        <v>210</v>
      </c>
      <c r="J518">
        <v>79</v>
      </c>
      <c r="K518">
        <v>0</v>
      </c>
      <c r="L518">
        <v>65</v>
      </c>
      <c r="M518">
        <v>13</v>
      </c>
      <c r="N518">
        <v>530</v>
      </c>
      <c r="O518" s="3">
        <f t="shared" ref="O518:O581" si="26">M518/C518*100</f>
        <v>2.7659574468085104</v>
      </c>
      <c r="P518">
        <f t="shared" si="24"/>
        <v>0</v>
      </c>
      <c r="Q518">
        <f t="shared" si="25"/>
        <v>0</v>
      </c>
    </row>
    <row r="519" spans="1:17" x14ac:dyDescent="0.2">
      <c r="A519" t="s">
        <v>25</v>
      </c>
      <c r="B519" t="s">
        <v>527</v>
      </c>
      <c r="C519">
        <v>290</v>
      </c>
      <c r="D519">
        <v>70</v>
      </c>
      <c r="E519">
        <v>8</v>
      </c>
      <c r="F519">
        <v>4.5</v>
      </c>
      <c r="G519">
        <v>0</v>
      </c>
      <c r="H519">
        <v>25</v>
      </c>
      <c r="I519">
        <v>190</v>
      </c>
      <c r="J519">
        <v>49</v>
      </c>
      <c r="K519">
        <v>0</v>
      </c>
      <c r="L519">
        <v>49</v>
      </c>
      <c r="M519">
        <v>8</v>
      </c>
      <c r="N519">
        <v>335.5</v>
      </c>
      <c r="O519" s="3">
        <f t="shared" si="26"/>
        <v>2.7586206896551726</v>
      </c>
      <c r="P519">
        <f t="shared" si="24"/>
        <v>0</v>
      </c>
      <c r="Q519">
        <f t="shared" si="25"/>
        <v>0</v>
      </c>
    </row>
    <row r="520" spans="1:17" x14ac:dyDescent="0.2">
      <c r="A520" t="s">
        <v>25</v>
      </c>
      <c r="B520" t="s">
        <v>528</v>
      </c>
      <c r="C520">
        <v>290</v>
      </c>
      <c r="D520">
        <v>100</v>
      </c>
      <c r="E520">
        <v>12</v>
      </c>
      <c r="F520">
        <v>7</v>
      </c>
      <c r="G520">
        <v>0</v>
      </c>
      <c r="H520">
        <v>25</v>
      </c>
      <c r="I520">
        <v>180</v>
      </c>
      <c r="J520">
        <v>39</v>
      </c>
      <c r="K520">
        <v>0</v>
      </c>
      <c r="L520">
        <v>38</v>
      </c>
      <c r="M520">
        <v>8</v>
      </c>
      <c r="N520">
        <v>327</v>
      </c>
      <c r="O520" s="3">
        <f t="shared" si="26"/>
        <v>2.7586206896551726</v>
      </c>
      <c r="P520">
        <f t="shared" si="24"/>
        <v>0</v>
      </c>
      <c r="Q520">
        <f t="shared" si="25"/>
        <v>0</v>
      </c>
    </row>
    <row r="521" spans="1:17" x14ac:dyDescent="0.2">
      <c r="A521" t="s">
        <v>25</v>
      </c>
      <c r="B521" t="s">
        <v>529</v>
      </c>
      <c r="C521">
        <v>330</v>
      </c>
      <c r="D521">
        <v>80</v>
      </c>
      <c r="E521">
        <v>9</v>
      </c>
      <c r="F521">
        <v>5</v>
      </c>
      <c r="G521">
        <v>0</v>
      </c>
      <c r="H521">
        <v>30</v>
      </c>
      <c r="I521">
        <v>210</v>
      </c>
      <c r="J521">
        <v>52</v>
      </c>
      <c r="K521">
        <v>0</v>
      </c>
      <c r="L521">
        <v>51</v>
      </c>
      <c r="M521">
        <v>9</v>
      </c>
      <c r="N521">
        <v>377</v>
      </c>
      <c r="O521" s="3">
        <f t="shared" si="26"/>
        <v>2.7272727272727271</v>
      </c>
      <c r="P521">
        <f t="shared" si="24"/>
        <v>0</v>
      </c>
      <c r="Q521">
        <f t="shared" si="25"/>
        <v>0</v>
      </c>
    </row>
    <row r="522" spans="1:17" x14ac:dyDescent="0.2">
      <c r="A522" t="s">
        <v>25</v>
      </c>
      <c r="B522" t="s">
        <v>530</v>
      </c>
      <c r="C522">
        <v>330</v>
      </c>
      <c r="D522">
        <v>80</v>
      </c>
      <c r="E522">
        <v>9</v>
      </c>
      <c r="F522">
        <v>5</v>
      </c>
      <c r="G522">
        <v>0</v>
      </c>
      <c r="H522">
        <v>30</v>
      </c>
      <c r="I522">
        <v>130</v>
      </c>
      <c r="J522">
        <v>53</v>
      </c>
      <c r="K522">
        <v>0</v>
      </c>
      <c r="L522">
        <v>53</v>
      </c>
      <c r="M522">
        <v>9</v>
      </c>
      <c r="N522">
        <v>379</v>
      </c>
      <c r="O522" s="3">
        <f t="shared" si="26"/>
        <v>2.7272727272727271</v>
      </c>
      <c r="P522">
        <f t="shared" si="24"/>
        <v>0</v>
      </c>
      <c r="Q522">
        <f t="shared" si="25"/>
        <v>0</v>
      </c>
    </row>
    <row r="523" spans="1:17" x14ac:dyDescent="0.2">
      <c r="A523" t="s">
        <v>25</v>
      </c>
      <c r="B523" t="s">
        <v>531</v>
      </c>
      <c r="C523">
        <v>330</v>
      </c>
      <c r="D523">
        <v>80</v>
      </c>
      <c r="E523">
        <v>9</v>
      </c>
      <c r="F523">
        <v>5</v>
      </c>
      <c r="G523">
        <v>0</v>
      </c>
      <c r="H523">
        <v>30</v>
      </c>
      <c r="I523">
        <v>130</v>
      </c>
      <c r="J523">
        <v>53</v>
      </c>
      <c r="K523">
        <v>0</v>
      </c>
      <c r="L523">
        <v>53</v>
      </c>
      <c r="M523">
        <v>9</v>
      </c>
      <c r="N523">
        <v>379</v>
      </c>
      <c r="O523" s="3">
        <f t="shared" si="26"/>
        <v>2.7272727272727271</v>
      </c>
      <c r="P523">
        <f t="shared" si="24"/>
        <v>0</v>
      </c>
      <c r="Q523">
        <f t="shared" si="25"/>
        <v>0</v>
      </c>
    </row>
    <row r="524" spans="1:17" x14ac:dyDescent="0.2">
      <c r="A524" t="s">
        <v>25</v>
      </c>
      <c r="B524" t="s">
        <v>532</v>
      </c>
      <c r="C524">
        <v>150</v>
      </c>
      <c r="D524">
        <v>35</v>
      </c>
      <c r="E524">
        <v>3.5</v>
      </c>
      <c r="F524">
        <v>2</v>
      </c>
      <c r="G524">
        <v>0</v>
      </c>
      <c r="H524">
        <v>15</v>
      </c>
      <c r="I524">
        <v>60</v>
      </c>
      <c r="J524">
        <v>24</v>
      </c>
      <c r="K524">
        <v>0</v>
      </c>
      <c r="L524">
        <v>18</v>
      </c>
      <c r="M524">
        <v>4</v>
      </c>
      <c r="N524">
        <v>166</v>
      </c>
      <c r="O524" s="3">
        <f t="shared" si="26"/>
        <v>2.666666666666667</v>
      </c>
      <c r="P524">
        <f t="shared" si="24"/>
        <v>0</v>
      </c>
      <c r="Q524">
        <f t="shared" si="25"/>
        <v>0</v>
      </c>
    </row>
    <row r="525" spans="1:17" x14ac:dyDescent="0.2">
      <c r="A525" t="s">
        <v>25</v>
      </c>
      <c r="B525" t="s">
        <v>533</v>
      </c>
      <c r="C525">
        <v>300</v>
      </c>
      <c r="D525">
        <v>110</v>
      </c>
      <c r="E525">
        <v>12</v>
      </c>
      <c r="F525">
        <v>7</v>
      </c>
      <c r="G525">
        <v>0</v>
      </c>
      <c r="H525">
        <v>25</v>
      </c>
      <c r="I525">
        <v>135</v>
      </c>
      <c r="J525">
        <v>41</v>
      </c>
      <c r="K525">
        <v>0</v>
      </c>
      <c r="L525">
        <v>35</v>
      </c>
      <c r="M525">
        <v>8</v>
      </c>
      <c r="N525">
        <v>334</v>
      </c>
      <c r="O525" s="3">
        <f t="shared" si="26"/>
        <v>2.666666666666667</v>
      </c>
      <c r="P525">
        <f t="shared" si="24"/>
        <v>0</v>
      </c>
      <c r="Q525">
        <f t="shared" si="25"/>
        <v>0</v>
      </c>
    </row>
    <row r="526" spans="1:17" x14ac:dyDescent="0.2">
      <c r="A526" t="s">
        <v>25</v>
      </c>
      <c r="B526" t="s">
        <v>534</v>
      </c>
      <c r="C526">
        <v>300</v>
      </c>
      <c r="D526">
        <v>120</v>
      </c>
      <c r="E526">
        <v>14</v>
      </c>
      <c r="F526">
        <v>8</v>
      </c>
      <c r="G526">
        <v>0</v>
      </c>
      <c r="H526">
        <v>30</v>
      </c>
      <c r="I526">
        <v>160</v>
      </c>
      <c r="J526">
        <v>36</v>
      </c>
      <c r="K526">
        <v>0</v>
      </c>
      <c r="L526">
        <v>33</v>
      </c>
      <c r="M526">
        <v>8</v>
      </c>
      <c r="N526">
        <v>333</v>
      </c>
      <c r="O526" s="3">
        <f t="shared" si="26"/>
        <v>2.666666666666667</v>
      </c>
      <c r="P526">
        <f t="shared" si="24"/>
        <v>0</v>
      </c>
      <c r="Q526">
        <f t="shared" si="25"/>
        <v>0</v>
      </c>
    </row>
    <row r="527" spans="1:17" x14ac:dyDescent="0.2">
      <c r="A527" t="s">
        <v>51</v>
      </c>
      <c r="B527" t="s">
        <v>535</v>
      </c>
      <c r="C527">
        <v>450</v>
      </c>
      <c r="D527">
        <v>270</v>
      </c>
      <c r="E527">
        <v>30</v>
      </c>
      <c r="F527">
        <v>5</v>
      </c>
      <c r="G527">
        <v>0</v>
      </c>
      <c r="H527">
        <v>30</v>
      </c>
      <c r="I527">
        <v>780</v>
      </c>
      <c r="J527">
        <v>34</v>
      </c>
      <c r="K527">
        <v>2</v>
      </c>
      <c r="L527">
        <v>5</v>
      </c>
      <c r="M527">
        <v>12</v>
      </c>
      <c r="N527">
        <v>448</v>
      </c>
      <c r="O527" s="3">
        <f t="shared" si="26"/>
        <v>2.666666666666667</v>
      </c>
      <c r="P527">
        <f t="shared" si="24"/>
        <v>1</v>
      </c>
      <c r="Q527">
        <f t="shared" si="25"/>
        <v>0</v>
      </c>
    </row>
    <row r="528" spans="1:17" x14ac:dyDescent="0.2">
      <c r="A528" t="s">
        <v>58</v>
      </c>
      <c r="B528" t="s">
        <v>536</v>
      </c>
      <c r="C528">
        <v>450</v>
      </c>
      <c r="D528" s="2">
        <v>0</v>
      </c>
      <c r="E528">
        <v>12</v>
      </c>
      <c r="F528">
        <v>8</v>
      </c>
      <c r="G528">
        <v>0.5</v>
      </c>
      <c r="H528">
        <v>55</v>
      </c>
      <c r="I528">
        <v>210</v>
      </c>
      <c r="J528">
        <v>75</v>
      </c>
      <c r="K528">
        <v>0</v>
      </c>
      <c r="L528">
        <v>63</v>
      </c>
      <c r="M528">
        <v>12</v>
      </c>
      <c r="N528">
        <v>509</v>
      </c>
      <c r="O528" s="3">
        <f t="shared" si="26"/>
        <v>2.666666666666667</v>
      </c>
      <c r="P528">
        <f t="shared" si="24"/>
        <v>0</v>
      </c>
      <c r="Q528">
        <f t="shared" si="25"/>
        <v>0</v>
      </c>
    </row>
    <row r="529" spans="1:17" x14ac:dyDescent="0.2">
      <c r="A529" t="s">
        <v>58</v>
      </c>
      <c r="B529" t="s">
        <v>537</v>
      </c>
      <c r="C529">
        <v>450</v>
      </c>
      <c r="D529" s="2">
        <v>0</v>
      </c>
      <c r="E529">
        <v>22</v>
      </c>
      <c r="F529">
        <v>6</v>
      </c>
      <c r="G529">
        <v>0</v>
      </c>
      <c r="H529">
        <v>220</v>
      </c>
      <c r="I529">
        <v>1260</v>
      </c>
      <c r="J529">
        <v>50</v>
      </c>
      <c r="K529">
        <v>4</v>
      </c>
      <c r="L529">
        <v>2</v>
      </c>
      <c r="M529">
        <v>12</v>
      </c>
      <c r="N529">
        <v>446</v>
      </c>
      <c r="O529" s="3">
        <f t="shared" si="26"/>
        <v>2.666666666666667</v>
      </c>
      <c r="P529">
        <f t="shared" si="24"/>
        <v>1</v>
      </c>
      <c r="Q529">
        <f t="shared" si="25"/>
        <v>0</v>
      </c>
    </row>
    <row r="530" spans="1:17" x14ac:dyDescent="0.2">
      <c r="A530" t="s">
        <v>58</v>
      </c>
      <c r="B530" t="s">
        <v>538</v>
      </c>
      <c r="C530">
        <v>340</v>
      </c>
      <c r="D530" s="2">
        <v>0</v>
      </c>
      <c r="E530">
        <v>9</v>
      </c>
      <c r="F530">
        <v>6</v>
      </c>
      <c r="G530">
        <v>0</v>
      </c>
      <c r="H530">
        <v>45</v>
      </c>
      <c r="I530">
        <v>160</v>
      </c>
      <c r="J530">
        <v>56</v>
      </c>
      <c r="K530">
        <v>0</v>
      </c>
      <c r="L530">
        <v>47</v>
      </c>
      <c r="M530">
        <v>9</v>
      </c>
      <c r="N530">
        <v>384</v>
      </c>
      <c r="O530" s="3">
        <f t="shared" si="26"/>
        <v>2.6470588235294117</v>
      </c>
      <c r="P530">
        <f t="shared" si="24"/>
        <v>0</v>
      </c>
      <c r="Q530">
        <f t="shared" si="25"/>
        <v>0</v>
      </c>
    </row>
    <row r="531" spans="1:17" x14ac:dyDescent="0.2">
      <c r="A531" t="s">
        <v>17</v>
      </c>
      <c r="B531" t="s">
        <v>539</v>
      </c>
      <c r="C531">
        <v>720</v>
      </c>
      <c r="D531">
        <v>320</v>
      </c>
      <c r="E531">
        <v>36</v>
      </c>
      <c r="F531">
        <v>6</v>
      </c>
      <c r="G531">
        <v>0</v>
      </c>
      <c r="H531">
        <v>30</v>
      </c>
      <c r="I531">
        <v>1030</v>
      </c>
      <c r="J531">
        <v>81</v>
      </c>
      <c r="K531">
        <v>14</v>
      </c>
      <c r="L531">
        <v>5</v>
      </c>
      <c r="M531">
        <v>19</v>
      </c>
      <c r="O531" s="3">
        <f t="shared" si="26"/>
        <v>2.6388888888888888</v>
      </c>
      <c r="P531">
        <f t="shared" si="24"/>
        <v>1</v>
      </c>
      <c r="Q531">
        <f t="shared" si="25"/>
        <v>0</v>
      </c>
    </row>
    <row r="532" spans="1:17" x14ac:dyDescent="0.2">
      <c r="A532" t="s">
        <v>25</v>
      </c>
      <c r="B532" t="s">
        <v>540</v>
      </c>
      <c r="C532">
        <v>380</v>
      </c>
      <c r="D532">
        <v>130</v>
      </c>
      <c r="E532">
        <v>15</v>
      </c>
      <c r="F532">
        <v>9</v>
      </c>
      <c r="G532">
        <v>0.5</v>
      </c>
      <c r="H532">
        <v>30</v>
      </c>
      <c r="I532">
        <v>170</v>
      </c>
      <c r="J532">
        <v>53</v>
      </c>
      <c r="K532">
        <v>0</v>
      </c>
      <c r="L532">
        <v>45</v>
      </c>
      <c r="M532">
        <v>10</v>
      </c>
      <c r="N532">
        <v>424</v>
      </c>
      <c r="O532" s="3">
        <f t="shared" si="26"/>
        <v>2.6315789473684208</v>
      </c>
      <c r="P532">
        <f t="shared" si="24"/>
        <v>0</v>
      </c>
      <c r="Q532">
        <f t="shared" si="25"/>
        <v>0</v>
      </c>
    </row>
    <row r="533" spans="1:17" x14ac:dyDescent="0.2">
      <c r="A533" t="s">
        <v>25</v>
      </c>
      <c r="B533" t="s">
        <v>541</v>
      </c>
      <c r="C533">
        <v>190</v>
      </c>
      <c r="D533">
        <v>40</v>
      </c>
      <c r="E533">
        <v>4.5</v>
      </c>
      <c r="F533">
        <v>2.5</v>
      </c>
      <c r="G533">
        <v>0</v>
      </c>
      <c r="H533">
        <v>15</v>
      </c>
      <c r="I533">
        <v>70</v>
      </c>
      <c r="J533">
        <v>33</v>
      </c>
      <c r="K533">
        <v>0</v>
      </c>
      <c r="L533">
        <v>33</v>
      </c>
      <c r="M533">
        <v>5</v>
      </c>
      <c r="N533">
        <v>220.5</v>
      </c>
      <c r="O533" s="3">
        <f t="shared" si="26"/>
        <v>2.6315789473684208</v>
      </c>
      <c r="P533">
        <f t="shared" si="24"/>
        <v>0</v>
      </c>
      <c r="Q533">
        <f t="shared" si="25"/>
        <v>0</v>
      </c>
    </row>
    <row r="534" spans="1:17" x14ac:dyDescent="0.2">
      <c r="A534" t="s">
        <v>25</v>
      </c>
      <c r="B534" t="s">
        <v>542</v>
      </c>
      <c r="C534">
        <v>380</v>
      </c>
      <c r="D534">
        <v>140</v>
      </c>
      <c r="E534">
        <v>16</v>
      </c>
      <c r="F534">
        <v>9</v>
      </c>
      <c r="G534">
        <v>0.5</v>
      </c>
      <c r="H534">
        <v>35</v>
      </c>
      <c r="I534">
        <v>210</v>
      </c>
      <c r="J534">
        <v>48</v>
      </c>
      <c r="K534">
        <v>0</v>
      </c>
      <c r="L534">
        <v>46</v>
      </c>
      <c r="M534">
        <v>10</v>
      </c>
      <c r="N534">
        <v>425</v>
      </c>
      <c r="O534" s="3">
        <f t="shared" si="26"/>
        <v>2.6315789473684208</v>
      </c>
      <c r="P534">
        <f t="shared" si="24"/>
        <v>0</v>
      </c>
      <c r="Q534">
        <f t="shared" si="25"/>
        <v>0</v>
      </c>
    </row>
    <row r="535" spans="1:17" x14ac:dyDescent="0.2">
      <c r="A535" t="s">
        <v>51</v>
      </c>
      <c r="B535" t="s">
        <v>543</v>
      </c>
      <c r="C535">
        <v>190</v>
      </c>
      <c r="D535">
        <v>40</v>
      </c>
      <c r="E535">
        <v>4.5</v>
      </c>
      <c r="F535">
        <v>3</v>
      </c>
      <c r="G535">
        <v>0</v>
      </c>
      <c r="H535">
        <v>20</v>
      </c>
      <c r="I535">
        <v>150</v>
      </c>
      <c r="J535">
        <v>32</v>
      </c>
      <c r="K535">
        <v>0</v>
      </c>
      <c r="L535">
        <v>24</v>
      </c>
      <c r="M535">
        <v>5</v>
      </c>
      <c r="N535">
        <v>212</v>
      </c>
      <c r="O535" s="3">
        <f t="shared" si="26"/>
        <v>2.6315789473684208</v>
      </c>
      <c r="P535">
        <f t="shared" si="24"/>
        <v>0</v>
      </c>
      <c r="Q535">
        <f t="shared" si="25"/>
        <v>0</v>
      </c>
    </row>
    <row r="536" spans="1:17" x14ac:dyDescent="0.2">
      <c r="A536" t="s">
        <v>51</v>
      </c>
      <c r="B536" t="s">
        <v>543</v>
      </c>
      <c r="C536">
        <v>190</v>
      </c>
      <c r="D536">
        <v>40</v>
      </c>
      <c r="E536">
        <v>4.5</v>
      </c>
      <c r="F536">
        <v>3</v>
      </c>
      <c r="G536">
        <v>0</v>
      </c>
      <c r="H536">
        <v>20</v>
      </c>
      <c r="I536">
        <v>150</v>
      </c>
      <c r="J536">
        <v>32</v>
      </c>
      <c r="K536">
        <v>0</v>
      </c>
      <c r="L536">
        <v>24</v>
      </c>
      <c r="M536">
        <v>5</v>
      </c>
      <c r="N536">
        <v>212</v>
      </c>
      <c r="O536" s="3">
        <f t="shared" si="26"/>
        <v>2.6315789473684208</v>
      </c>
      <c r="P536">
        <f t="shared" si="24"/>
        <v>0</v>
      </c>
      <c r="Q536">
        <f t="shared" si="25"/>
        <v>0</v>
      </c>
    </row>
    <row r="537" spans="1:17" x14ac:dyDescent="0.2">
      <c r="A537" t="s">
        <v>58</v>
      </c>
      <c r="B537" t="s">
        <v>544</v>
      </c>
      <c r="C537">
        <v>190</v>
      </c>
      <c r="D537" s="2">
        <v>0</v>
      </c>
      <c r="E537">
        <v>5</v>
      </c>
      <c r="F537">
        <v>3.5</v>
      </c>
      <c r="G537">
        <v>0</v>
      </c>
      <c r="H537">
        <v>25</v>
      </c>
      <c r="I537">
        <v>90</v>
      </c>
      <c r="J537">
        <v>32</v>
      </c>
      <c r="K537">
        <v>0</v>
      </c>
      <c r="L537">
        <v>27</v>
      </c>
      <c r="M537">
        <v>5</v>
      </c>
      <c r="N537">
        <v>216</v>
      </c>
      <c r="O537" s="3">
        <f t="shared" si="26"/>
        <v>2.6315789473684208</v>
      </c>
      <c r="P537">
        <f t="shared" si="24"/>
        <v>0</v>
      </c>
      <c r="Q537">
        <f t="shared" si="25"/>
        <v>0</v>
      </c>
    </row>
    <row r="538" spans="1:17" x14ac:dyDescent="0.2">
      <c r="A538" t="s">
        <v>58</v>
      </c>
      <c r="B538" t="s">
        <v>545</v>
      </c>
      <c r="C538">
        <v>570</v>
      </c>
      <c r="D538" s="2">
        <v>0</v>
      </c>
      <c r="E538">
        <v>15</v>
      </c>
      <c r="F538">
        <v>10</v>
      </c>
      <c r="G538">
        <v>0.5</v>
      </c>
      <c r="H538">
        <v>70</v>
      </c>
      <c r="I538">
        <v>260</v>
      </c>
      <c r="J538">
        <v>94</v>
      </c>
      <c r="K538">
        <v>0</v>
      </c>
      <c r="L538">
        <v>78</v>
      </c>
      <c r="M538">
        <v>15</v>
      </c>
      <c r="N538">
        <v>643</v>
      </c>
      <c r="O538" s="3">
        <f t="shared" si="26"/>
        <v>2.6315789473684208</v>
      </c>
      <c r="P538">
        <f t="shared" si="24"/>
        <v>0</v>
      </c>
      <c r="Q538">
        <f t="shared" si="25"/>
        <v>0</v>
      </c>
    </row>
    <row r="539" spans="1:17" x14ac:dyDescent="0.2">
      <c r="A539" t="s">
        <v>25</v>
      </c>
      <c r="B539" t="s">
        <v>546</v>
      </c>
      <c r="C539">
        <v>420</v>
      </c>
      <c r="D539">
        <v>200</v>
      </c>
      <c r="E539">
        <v>22</v>
      </c>
      <c r="F539">
        <v>8</v>
      </c>
      <c r="G539">
        <v>0</v>
      </c>
      <c r="H539">
        <v>35</v>
      </c>
      <c r="I539">
        <v>1030</v>
      </c>
      <c r="J539">
        <v>44</v>
      </c>
      <c r="K539">
        <v>2</v>
      </c>
      <c r="L539">
        <v>15</v>
      </c>
      <c r="M539">
        <v>11</v>
      </c>
      <c r="N539">
        <v>432</v>
      </c>
      <c r="O539" s="3">
        <f t="shared" si="26"/>
        <v>2.6190476190476191</v>
      </c>
      <c r="P539">
        <f t="shared" si="24"/>
        <v>1</v>
      </c>
      <c r="Q539">
        <f t="shared" si="25"/>
        <v>0</v>
      </c>
    </row>
    <row r="540" spans="1:17" x14ac:dyDescent="0.2">
      <c r="A540" t="s">
        <v>25</v>
      </c>
      <c r="B540" t="s">
        <v>547</v>
      </c>
      <c r="C540">
        <v>230</v>
      </c>
      <c r="D540">
        <v>50</v>
      </c>
      <c r="E540">
        <v>6</v>
      </c>
      <c r="F540">
        <v>3.5</v>
      </c>
      <c r="G540">
        <v>0</v>
      </c>
      <c r="H540">
        <v>15</v>
      </c>
      <c r="I540">
        <v>150</v>
      </c>
      <c r="J540">
        <v>40</v>
      </c>
      <c r="K540">
        <v>0</v>
      </c>
      <c r="L540">
        <v>40</v>
      </c>
      <c r="M540">
        <v>6</v>
      </c>
      <c r="N540">
        <v>267.5</v>
      </c>
      <c r="O540" s="3">
        <f t="shared" si="26"/>
        <v>2.6086956521739131</v>
      </c>
      <c r="P540">
        <f t="shared" si="24"/>
        <v>0</v>
      </c>
      <c r="Q540">
        <f t="shared" si="25"/>
        <v>0</v>
      </c>
    </row>
    <row r="541" spans="1:17" x14ac:dyDescent="0.2">
      <c r="A541" t="s">
        <v>25</v>
      </c>
      <c r="B541" t="s">
        <v>548</v>
      </c>
      <c r="C541">
        <v>230</v>
      </c>
      <c r="D541">
        <v>50</v>
      </c>
      <c r="E541">
        <v>6</v>
      </c>
      <c r="F541">
        <v>3.5</v>
      </c>
      <c r="G541">
        <v>0</v>
      </c>
      <c r="H541">
        <v>15</v>
      </c>
      <c r="I541">
        <v>85</v>
      </c>
      <c r="J541">
        <v>41</v>
      </c>
      <c r="K541">
        <v>0</v>
      </c>
      <c r="L541">
        <v>41</v>
      </c>
      <c r="M541">
        <v>6</v>
      </c>
      <c r="N541">
        <v>268.5</v>
      </c>
      <c r="O541" s="3">
        <f t="shared" si="26"/>
        <v>2.6086956521739131</v>
      </c>
      <c r="P541">
        <f t="shared" si="24"/>
        <v>0</v>
      </c>
      <c r="Q541">
        <f t="shared" si="25"/>
        <v>0</v>
      </c>
    </row>
    <row r="542" spans="1:17" x14ac:dyDescent="0.2">
      <c r="A542" t="s">
        <v>25</v>
      </c>
      <c r="B542" t="s">
        <v>549</v>
      </c>
      <c r="C542">
        <v>230</v>
      </c>
      <c r="D542">
        <v>50</v>
      </c>
      <c r="E542">
        <v>6</v>
      </c>
      <c r="F542">
        <v>3.5</v>
      </c>
      <c r="G542">
        <v>0</v>
      </c>
      <c r="H542">
        <v>15</v>
      </c>
      <c r="I542">
        <v>85</v>
      </c>
      <c r="J542">
        <v>41</v>
      </c>
      <c r="K542">
        <v>0</v>
      </c>
      <c r="L542">
        <v>41</v>
      </c>
      <c r="M542">
        <v>6</v>
      </c>
      <c r="N542">
        <v>268.5</v>
      </c>
      <c r="O542" s="3">
        <f t="shared" si="26"/>
        <v>2.6086956521739131</v>
      </c>
      <c r="P542">
        <f t="shared" si="24"/>
        <v>0</v>
      </c>
      <c r="Q542">
        <f t="shared" si="25"/>
        <v>0</v>
      </c>
    </row>
    <row r="543" spans="1:17" x14ac:dyDescent="0.2">
      <c r="A543" t="s">
        <v>25</v>
      </c>
      <c r="B543" t="s">
        <v>550</v>
      </c>
      <c r="C543">
        <v>270</v>
      </c>
      <c r="D543">
        <v>70</v>
      </c>
      <c r="E543">
        <v>8</v>
      </c>
      <c r="F543">
        <v>4.5</v>
      </c>
      <c r="G543">
        <v>0</v>
      </c>
      <c r="H543">
        <v>10</v>
      </c>
      <c r="I543">
        <v>140</v>
      </c>
      <c r="J543">
        <v>43</v>
      </c>
      <c r="K543">
        <v>0</v>
      </c>
      <c r="L543">
        <v>35</v>
      </c>
      <c r="M543">
        <v>7</v>
      </c>
      <c r="N543">
        <v>302.5</v>
      </c>
      <c r="O543" s="3">
        <f t="shared" si="26"/>
        <v>2.5925925925925926</v>
      </c>
      <c r="P543">
        <f t="shared" si="24"/>
        <v>0</v>
      </c>
      <c r="Q543">
        <f t="shared" si="25"/>
        <v>0</v>
      </c>
    </row>
    <row r="544" spans="1:17" x14ac:dyDescent="0.2">
      <c r="A544" t="s">
        <v>58</v>
      </c>
      <c r="B544" t="s">
        <v>551</v>
      </c>
      <c r="C544">
        <v>270</v>
      </c>
      <c r="D544" s="2">
        <v>0</v>
      </c>
      <c r="E544">
        <v>0</v>
      </c>
      <c r="F544">
        <v>0</v>
      </c>
      <c r="G544">
        <v>0</v>
      </c>
      <c r="H544">
        <v>0</v>
      </c>
      <c r="I544">
        <v>25</v>
      </c>
      <c r="J544">
        <v>61</v>
      </c>
      <c r="K544">
        <v>7</v>
      </c>
      <c r="L544">
        <v>3</v>
      </c>
      <c r="M544">
        <v>7</v>
      </c>
      <c r="N544">
        <v>266</v>
      </c>
      <c r="O544" s="3">
        <f t="shared" si="26"/>
        <v>2.5925925925925926</v>
      </c>
      <c r="P544">
        <f t="shared" si="24"/>
        <v>0</v>
      </c>
      <c r="Q544">
        <f t="shared" si="25"/>
        <v>0</v>
      </c>
    </row>
    <row r="545" spans="1:17" x14ac:dyDescent="0.2">
      <c r="A545" t="s">
        <v>51</v>
      </c>
      <c r="B545" t="s">
        <v>552</v>
      </c>
      <c r="C545">
        <v>930</v>
      </c>
      <c r="D545">
        <v>390</v>
      </c>
      <c r="E545">
        <v>44</v>
      </c>
      <c r="F545">
        <v>11</v>
      </c>
      <c r="G545">
        <v>0</v>
      </c>
      <c r="H545">
        <v>390</v>
      </c>
      <c r="I545">
        <v>2230</v>
      </c>
      <c r="J545">
        <v>110</v>
      </c>
      <c r="K545">
        <v>4</v>
      </c>
      <c r="L545">
        <v>40</v>
      </c>
      <c r="M545">
        <v>24</v>
      </c>
      <c r="N545">
        <v>957</v>
      </c>
      <c r="O545" s="3">
        <f t="shared" si="26"/>
        <v>2.5806451612903225</v>
      </c>
      <c r="P545">
        <f t="shared" si="24"/>
        <v>1</v>
      </c>
      <c r="Q545">
        <f t="shared" si="25"/>
        <v>1</v>
      </c>
    </row>
    <row r="546" spans="1:17" x14ac:dyDescent="0.2">
      <c r="A546" t="s">
        <v>58</v>
      </c>
      <c r="B546" t="s">
        <v>553</v>
      </c>
      <c r="C546">
        <v>310</v>
      </c>
      <c r="D546" s="2">
        <v>0</v>
      </c>
      <c r="E546">
        <v>2.5</v>
      </c>
      <c r="F546">
        <v>2.5</v>
      </c>
      <c r="G546">
        <v>0</v>
      </c>
      <c r="H546">
        <v>10</v>
      </c>
      <c r="I546">
        <v>35</v>
      </c>
      <c r="J546">
        <v>63</v>
      </c>
      <c r="K546">
        <v>7</v>
      </c>
      <c r="L546">
        <v>4</v>
      </c>
      <c r="M546">
        <v>8</v>
      </c>
      <c r="N546">
        <v>309</v>
      </c>
      <c r="O546" s="3">
        <f t="shared" si="26"/>
        <v>2.5806451612903225</v>
      </c>
      <c r="P546">
        <f t="shared" si="24"/>
        <v>0</v>
      </c>
      <c r="Q546">
        <f t="shared" si="25"/>
        <v>0</v>
      </c>
    </row>
    <row r="547" spans="1:17" x14ac:dyDescent="0.2">
      <c r="A547" t="s">
        <v>25</v>
      </c>
      <c r="B547" t="s">
        <v>554</v>
      </c>
      <c r="C547">
        <v>430</v>
      </c>
      <c r="D547">
        <v>240</v>
      </c>
      <c r="E547">
        <v>27</v>
      </c>
      <c r="F547">
        <v>12</v>
      </c>
      <c r="G547">
        <v>0</v>
      </c>
      <c r="H547">
        <v>30</v>
      </c>
      <c r="I547">
        <v>1080</v>
      </c>
      <c r="J547">
        <v>34</v>
      </c>
      <c r="K547">
        <v>2</v>
      </c>
      <c r="L547">
        <v>2</v>
      </c>
      <c r="M547">
        <v>11</v>
      </c>
      <c r="N547">
        <v>433</v>
      </c>
      <c r="O547" s="3">
        <f t="shared" si="26"/>
        <v>2.558139534883721</v>
      </c>
      <c r="P547">
        <f t="shared" si="24"/>
        <v>1</v>
      </c>
      <c r="Q547">
        <f t="shared" si="25"/>
        <v>0</v>
      </c>
    </row>
    <row r="548" spans="1:17" x14ac:dyDescent="0.2">
      <c r="A548" t="s">
        <v>17</v>
      </c>
      <c r="B548" t="s">
        <v>555</v>
      </c>
      <c r="C548">
        <v>510</v>
      </c>
      <c r="D548">
        <v>160</v>
      </c>
      <c r="E548">
        <v>17</v>
      </c>
      <c r="F548">
        <v>4.5</v>
      </c>
      <c r="G548">
        <v>0</v>
      </c>
      <c r="H548">
        <v>5</v>
      </c>
      <c r="I548">
        <v>1080</v>
      </c>
      <c r="J548">
        <v>77</v>
      </c>
      <c r="K548">
        <v>8</v>
      </c>
      <c r="L548">
        <v>6</v>
      </c>
      <c r="M548">
        <v>13</v>
      </c>
      <c r="O548" s="3">
        <f t="shared" si="26"/>
        <v>2.5490196078431371</v>
      </c>
      <c r="P548">
        <f t="shared" si="24"/>
        <v>1</v>
      </c>
      <c r="Q548">
        <f t="shared" si="25"/>
        <v>0</v>
      </c>
    </row>
    <row r="549" spans="1:17" x14ac:dyDescent="0.2">
      <c r="A549" t="s">
        <v>17</v>
      </c>
      <c r="B549" t="s">
        <v>556</v>
      </c>
      <c r="C549">
        <v>510</v>
      </c>
      <c r="D549">
        <v>160</v>
      </c>
      <c r="E549">
        <v>17</v>
      </c>
      <c r="F549">
        <v>4.5</v>
      </c>
      <c r="G549">
        <v>0</v>
      </c>
      <c r="H549">
        <v>5</v>
      </c>
      <c r="I549">
        <v>1080</v>
      </c>
      <c r="J549">
        <v>77</v>
      </c>
      <c r="K549">
        <v>8</v>
      </c>
      <c r="L549">
        <v>6</v>
      </c>
      <c r="M549">
        <v>13</v>
      </c>
      <c r="O549" s="3">
        <f t="shared" si="26"/>
        <v>2.5490196078431371</v>
      </c>
      <c r="P549">
        <f t="shared" si="24"/>
        <v>1</v>
      </c>
      <c r="Q549">
        <f t="shared" si="25"/>
        <v>0</v>
      </c>
    </row>
    <row r="550" spans="1:17" x14ac:dyDescent="0.2">
      <c r="A550" t="s">
        <v>25</v>
      </c>
      <c r="B550" t="s">
        <v>557</v>
      </c>
      <c r="C550">
        <v>160</v>
      </c>
      <c r="D550">
        <v>20</v>
      </c>
      <c r="E550">
        <v>2</v>
      </c>
      <c r="F550">
        <v>1</v>
      </c>
      <c r="G550">
        <v>0</v>
      </c>
      <c r="H550">
        <v>5</v>
      </c>
      <c r="I550">
        <v>85</v>
      </c>
      <c r="J550">
        <v>31</v>
      </c>
      <c r="K550">
        <v>1</v>
      </c>
      <c r="L550">
        <v>21</v>
      </c>
      <c r="M550">
        <v>4</v>
      </c>
      <c r="N550">
        <v>178</v>
      </c>
      <c r="O550" s="3">
        <f t="shared" si="26"/>
        <v>2.5</v>
      </c>
      <c r="P550">
        <f t="shared" si="24"/>
        <v>0</v>
      </c>
      <c r="Q550">
        <f t="shared" si="25"/>
        <v>0</v>
      </c>
    </row>
    <row r="551" spans="1:17" x14ac:dyDescent="0.2">
      <c r="A551" t="s">
        <v>25</v>
      </c>
      <c r="B551" t="s">
        <v>558</v>
      </c>
      <c r="C551">
        <v>200</v>
      </c>
      <c r="D551">
        <v>45</v>
      </c>
      <c r="E551">
        <v>5</v>
      </c>
      <c r="F551">
        <v>3</v>
      </c>
      <c r="G551">
        <v>0</v>
      </c>
      <c r="H551">
        <v>15</v>
      </c>
      <c r="I551">
        <v>125</v>
      </c>
      <c r="J551">
        <v>32</v>
      </c>
      <c r="K551">
        <v>0</v>
      </c>
      <c r="L551">
        <v>32</v>
      </c>
      <c r="M551">
        <v>5</v>
      </c>
      <c r="N551">
        <v>230</v>
      </c>
      <c r="O551" s="3">
        <f t="shared" si="26"/>
        <v>2.5</v>
      </c>
      <c r="P551">
        <f t="shared" si="24"/>
        <v>0</v>
      </c>
      <c r="Q551">
        <f t="shared" si="25"/>
        <v>0</v>
      </c>
    </row>
    <row r="552" spans="1:17" x14ac:dyDescent="0.2">
      <c r="A552" t="s">
        <v>25</v>
      </c>
      <c r="B552" t="s">
        <v>559</v>
      </c>
      <c r="C552">
        <v>240</v>
      </c>
      <c r="D552">
        <v>50</v>
      </c>
      <c r="E552">
        <v>6</v>
      </c>
      <c r="F552">
        <v>3.5</v>
      </c>
      <c r="G552">
        <v>0</v>
      </c>
      <c r="H552">
        <v>20</v>
      </c>
      <c r="I552">
        <v>150</v>
      </c>
      <c r="J552">
        <v>41</v>
      </c>
      <c r="K552">
        <v>0</v>
      </c>
      <c r="L552">
        <v>40</v>
      </c>
      <c r="M552">
        <v>6</v>
      </c>
      <c r="N552">
        <v>277.5</v>
      </c>
      <c r="O552" s="3">
        <f t="shared" si="26"/>
        <v>2.5</v>
      </c>
      <c r="P552">
        <f t="shared" si="24"/>
        <v>0</v>
      </c>
      <c r="Q552">
        <f t="shared" si="25"/>
        <v>0</v>
      </c>
    </row>
    <row r="553" spans="1:17" x14ac:dyDescent="0.2">
      <c r="A553" t="s">
        <v>25</v>
      </c>
      <c r="B553" t="s">
        <v>560</v>
      </c>
      <c r="C553">
        <v>200</v>
      </c>
      <c r="D553">
        <v>45</v>
      </c>
      <c r="E553">
        <v>5</v>
      </c>
      <c r="F553">
        <v>3</v>
      </c>
      <c r="G553">
        <v>0</v>
      </c>
      <c r="H553">
        <v>15</v>
      </c>
      <c r="I553">
        <v>70</v>
      </c>
      <c r="J553">
        <v>34</v>
      </c>
      <c r="K553">
        <v>0</v>
      </c>
      <c r="L553">
        <v>34</v>
      </c>
      <c r="M553">
        <v>5</v>
      </c>
      <c r="N553">
        <v>232</v>
      </c>
      <c r="O553" s="3">
        <f t="shared" si="26"/>
        <v>2.5</v>
      </c>
      <c r="P553">
        <f t="shared" si="24"/>
        <v>0</v>
      </c>
      <c r="Q553">
        <f t="shared" si="25"/>
        <v>0</v>
      </c>
    </row>
    <row r="554" spans="1:17" x14ac:dyDescent="0.2">
      <c r="A554" t="s">
        <v>25</v>
      </c>
      <c r="B554" t="s">
        <v>561</v>
      </c>
      <c r="C554">
        <v>240</v>
      </c>
      <c r="D554">
        <v>50</v>
      </c>
      <c r="E554">
        <v>6</v>
      </c>
      <c r="F554">
        <v>3.5</v>
      </c>
      <c r="G554">
        <v>0</v>
      </c>
      <c r="H554">
        <v>20</v>
      </c>
      <c r="I554">
        <v>85</v>
      </c>
      <c r="J554">
        <v>42</v>
      </c>
      <c r="K554">
        <v>0</v>
      </c>
      <c r="L554">
        <v>42</v>
      </c>
      <c r="M554">
        <v>6</v>
      </c>
      <c r="N554">
        <v>279.5</v>
      </c>
      <c r="O554" s="3">
        <f t="shared" si="26"/>
        <v>2.5</v>
      </c>
      <c r="P554">
        <f t="shared" si="24"/>
        <v>0</v>
      </c>
      <c r="Q554">
        <f t="shared" si="25"/>
        <v>0</v>
      </c>
    </row>
    <row r="555" spans="1:17" x14ac:dyDescent="0.2">
      <c r="A555" t="s">
        <v>25</v>
      </c>
      <c r="B555" t="s">
        <v>562</v>
      </c>
      <c r="C555">
        <v>200</v>
      </c>
      <c r="D555">
        <v>45</v>
      </c>
      <c r="E555">
        <v>5</v>
      </c>
      <c r="F555">
        <v>3</v>
      </c>
      <c r="G555">
        <v>0</v>
      </c>
      <c r="H555">
        <v>15</v>
      </c>
      <c r="I555">
        <v>70</v>
      </c>
      <c r="J555">
        <v>34</v>
      </c>
      <c r="K555">
        <v>0</v>
      </c>
      <c r="L555">
        <v>34</v>
      </c>
      <c r="M555">
        <v>5</v>
      </c>
      <c r="N555">
        <v>232</v>
      </c>
      <c r="O555" s="3">
        <f t="shared" si="26"/>
        <v>2.5</v>
      </c>
      <c r="P555">
        <f t="shared" si="24"/>
        <v>0</v>
      </c>
      <c r="Q555">
        <f t="shared" si="25"/>
        <v>0</v>
      </c>
    </row>
    <row r="556" spans="1:17" x14ac:dyDescent="0.2">
      <c r="A556" t="s">
        <v>25</v>
      </c>
      <c r="B556" t="s">
        <v>563</v>
      </c>
      <c r="C556">
        <v>240</v>
      </c>
      <c r="D556">
        <v>50</v>
      </c>
      <c r="E556">
        <v>6</v>
      </c>
      <c r="F556">
        <v>3.5</v>
      </c>
      <c r="G556">
        <v>0</v>
      </c>
      <c r="H556">
        <v>20</v>
      </c>
      <c r="I556">
        <v>85</v>
      </c>
      <c r="J556">
        <v>42</v>
      </c>
      <c r="K556">
        <v>0</v>
      </c>
      <c r="L556">
        <v>42</v>
      </c>
      <c r="M556">
        <v>6</v>
      </c>
      <c r="N556">
        <v>279.5</v>
      </c>
      <c r="O556" s="3">
        <f t="shared" si="26"/>
        <v>2.5</v>
      </c>
      <c r="P556">
        <f t="shared" si="24"/>
        <v>0</v>
      </c>
      <c r="Q556">
        <f t="shared" si="25"/>
        <v>0</v>
      </c>
    </row>
    <row r="557" spans="1:17" x14ac:dyDescent="0.2">
      <c r="A557" t="s">
        <v>25</v>
      </c>
      <c r="B557" t="s">
        <v>564</v>
      </c>
      <c r="C557">
        <v>400</v>
      </c>
      <c r="D557">
        <v>130</v>
      </c>
      <c r="E557">
        <v>14</v>
      </c>
      <c r="F557">
        <v>8</v>
      </c>
      <c r="G557">
        <v>0.5</v>
      </c>
      <c r="H557">
        <v>30</v>
      </c>
      <c r="I557">
        <v>190</v>
      </c>
      <c r="J557">
        <v>58</v>
      </c>
      <c r="K557">
        <v>0</v>
      </c>
      <c r="L557">
        <v>49</v>
      </c>
      <c r="M557">
        <v>10</v>
      </c>
      <c r="N557">
        <v>447</v>
      </c>
      <c r="O557" s="3">
        <f t="shared" si="26"/>
        <v>2.5</v>
      </c>
      <c r="P557">
        <f t="shared" si="24"/>
        <v>0</v>
      </c>
      <c r="Q557">
        <f t="shared" si="25"/>
        <v>0</v>
      </c>
    </row>
    <row r="558" spans="1:17" x14ac:dyDescent="0.2">
      <c r="A558" t="s">
        <v>25</v>
      </c>
      <c r="B558" t="s">
        <v>565</v>
      </c>
      <c r="C558">
        <v>240</v>
      </c>
      <c r="D558">
        <v>100</v>
      </c>
      <c r="E558">
        <v>12</v>
      </c>
      <c r="F558">
        <v>7</v>
      </c>
      <c r="G558">
        <v>0</v>
      </c>
      <c r="H558">
        <v>25</v>
      </c>
      <c r="I558">
        <v>130</v>
      </c>
      <c r="J558">
        <v>29</v>
      </c>
      <c r="K558">
        <v>0</v>
      </c>
      <c r="L558">
        <v>26</v>
      </c>
      <c r="M558">
        <v>6</v>
      </c>
      <c r="N558">
        <v>267</v>
      </c>
      <c r="O558" s="3">
        <f t="shared" si="26"/>
        <v>2.5</v>
      </c>
      <c r="P558">
        <f t="shared" si="24"/>
        <v>0</v>
      </c>
      <c r="Q558">
        <f t="shared" si="25"/>
        <v>0</v>
      </c>
    </row>
    <row r="559" spans="1:17" x14ac:dyDescent="0.2">
      <c r="A559" t="s">
        <v>58</v>
      </c>
      <c r="B559" t="s">
        <v>509</v>
      </c>
      <c r="C559">
        <v>480</v>
      </c>
      <c r="D559" s="2">
        <v>0</v>
      </c>
      <c r="E559">
        <v>33</v>
      </c>
      <c r="F559">
        <v>15</v>
      </c>
      <c r="G559">
        <v>0</v>
      </c>
      <c r="H559">
        <v>50</v>
      </c>
      <c r="I559">
        <v>1010</v>
      </c>
      <c r="J559">
        <v>35</v>
      </c>
      <c r="K559">
        <v>1</v>
      </c>
      <c r="L559">
        <v>5</v>
      </c>
      <c r="M559">
        <v>12</v>
      </c>
      <c r="N559">
        <v>488</v>
      </c>
      <c r="O559" s="3">
        <f t="shared" si="26"/>
        <v>2.5</v>
      </c>
      <c r="P559">
        <f t="shared" si="24"/>
        <v>1</v>
      </c>
      <c r="Q559">
        <f t="shared" si="25"/>
        <v>0</v>
      </c>
    </row>
    <row r="560" spans="1:17" x14ac:dyDescent="0.2">
      <c r="A560" t="s">
        <v>25</v>
      </c>
      <c r="B560" t="s">
        <v>566</v>
      </c>
      <c r="C560">
        <v>330</v>
      </c>
      <c r="D560">
        <v>90</v>
      </c>
      <c r="E560">
        <v>10</v>
      </c>
      <c r="F560">
        <v>7</v>
      </c>
      <c r="G560">
        <v>0</v>
      </c>
      <c r="H560">
        <v>25</v>
      </c>
      <c r="I560">
        <v>180</v>
      </c>
      <c r="J560">
        <v>54</v>
      </c>
      <c r="K560">
        <v>2</v>
      </c>
      <c r="L560">
        <v>48</v>
      </c>
      <c r="M560">
        <v>8</v>
      </c>
      <c r="N560">
        <v>377</v>
      </c>
      <c r="O560" s="3">
        <f t="shared" si="26"/>
        <v>2.4242424242424243</v>
      </c>
      <c r="P560">
        <f t="shared" si="24"/>
        <v>0</v>
      </c>
      <c r="Q560">
        <f t="shared" si="25"/>
        <v>0</v>
      </c>
    </row>
    <row r="561" spans="1:17" x14ac:dyDescent="0.2">
      <c r="A561" t="s">
        <v>25</v>
      </c>
      <c r="B561" t="s">
        <v>567</v>
      </c>
      <c r="C561">
        <v>290</v>
      </c>
      <c r="D561">
        <v>70</v>
      </c>
      <c r="E561">
        <v>8</v>
      </c>
      <c r="F561">
        <v>4.5</v>
      </c>
      <c r="G561">
        <v>0</v>
      </c>
      <c r="H561">
        <v>25</v>
      </c>
      <c r="I561">
        <v>105</v>
      </c>
      <c r="J561">
        <v>51</v>
      </c>
      <c r="K561">
        <v>0</v>
      </c>
      <c r="L561">
        <v>51</v>
      </c>
      <c r="M561">
        <v>7</v>
      </c>
      <c r="N561">
        <v>338.5</v>
      </c>
      <c r="O561" s="3">
        <f t="shared" si="26"/>
        <v>2.4137931034482758</v>
      </c>
      <c r="P561">
        <f t="shared" si="24"/>
        <v>0</v>
      </c>
      <c r="Q561">
        <f t="shared" si="25"/>
        <v>0</v>
      </c>
    </row>
    <row r="562" spans="1:17" x14ac:dyDescent="0.2">
      <c r="A562" t="s">
        <v>25</v>
      </c>
      <c r="B562" t="s">
        <v>568</v>
      </c>
      <c r="C562">
        <v>290</v>
      </c>
      <c r="D562">
        <v>70</v>
      </c>
      <c r="E562">
        <v>8</v>
      </c>
      <c r="F562">
        <v>4.5</v>
      </c>
      <c r="G562">
        <v>0</v>
      </c>
      <c r="H562">
        <v>25</v>
      </c>
      <c r="I562">
        <v>105</v>
      </c>
      <c r="J562">
        <v>51</v>
      </c>
      <c r="K562">
        <v>0</v>
      </c>
      <c r="L562">
        <v>51</v>
      </c>
      <c r="M562">
        <v>7</v>
      </c>
      <c r="N562">
        <v>338.5</v>
      </c>
      <c r="O562" s="3">
        <f t="shared" si="26"/>
        <v>2.4137931034482758</v>
      </c>
      <c r="P562">
        <f t="shared" si="24"/>
        <v>0</v>
      </c>
      <c r="Q562">
        <f t="shared" si="25"/>
        <v>0</v>
      </c>
    </row>
    <row r="563" spans="1:17" x14ac:dyDescent="0.2">
      <c r="A563" t="s">
        <v>51</v>
      </c>
      <c r="B563" t="s">
        <v>569</v>
      </c>
      <c r="C563">
        <v>580</v>
      </c>
      <c r="D563">
        <v>140</v>
      </c>
      <c r="E563">
        <v>15</v>
      </c>
      <c r="F563">
        <v>10</v>
      </c>
      <c r="G563">
        <v>0</v>
      </c>
      <c r="H563">
        <v>60</v>
      </c>
      <c r="I563">
        <v>420</v>
      </c>
      <c r="J563">
        <v>98</v>
      </c>
      <c r="K563">
        <v>0</v>
      </c>
      <c r="L563">
        <v>85</v>
      </c>
      <c r="M563">
        <v>14</v>
      </c>
      <c r="N563">
        <v>661</v>
      </c>
      <c r="O563" s="3">
        <f t="shared" si="26"/>
        <v>2.4137931034482758</v>
      </c>
      <c r="P563">
        <f t="shared" si="24"/>
        <v>0</v>
      </c>
      <c r="Q563">
        <f t="shared" si="25"/>
        <v>0</v>
      </c>
    </row>
    <row r="564" spans="1:17" x14ac:dyDescent="0.2">
      <c r="A564" t="s">
        <v>58</v>
      </c>
      <c r="B564" t="s">
        <v>570</v>
      </c>
      <c r="C564">
        <v>960</v>
      </c>
      <c r="D564" s="2">
        <v>0</v>
      </c>
      <c r="E564">
        <v>65</v>
      </c>
      <c r="F564">
        <v>31</v>
      </c>
      <c r="G564">
        <v>0</v>
      </c>
      <c r="H564">
        <v>95</v>
      </c>
      <c r="I564">
        <v>2020</v>
      </c>
      <c r="J564">
        <v>70</v>
      </c>
      <c r="K564">
        <v>3</v>
      </c>
      <c r="L564">
        <v>10</v>
      </c>
      <c r="M564">
        <v>23</v>
      </c>
      <c r="N564">
        <v>978</v>
      </c>
      <c r="O564" s="3">
        <f t="shared" si="26"/>
        <v>2.3958333333333335</v>
      </c>
      <c r="P564">
        <f t="shared" si="24"/>
        <v>1</v>
      </c>
      <c r="Q564">
        <f t="shared" si="25"/>
        <v>0</v>
      </c>
    </row>
    <row r="565" spans="1:17" x14ac:dyDescent="0.2">
      <c r="A565" t="s">
        <v>25</v>
      </c>
      <c r="B565" t="s">
        <v>571</v>
      </c>
      <c r="C565">
        <v>420</v>
      </c>
      <c r="D565">
        <v>90</v>
      </c>
      <c r="E565">
        <v>10</v>
      </c>
      <c r="F565">
        <v>6</v>
      </c>
      <c r="G565">
        <v>0.5</v>
      </c>
      <c r="H565">
        <v>40</v>
      </c>
      <c r="I565">
        <v>130</v>
      </c>
      <c r="J565">
        <v>73</v>
      </c>
      <c r="K565">
        <v>0</v>
      </c>
      <c r="L565">
        <v>63</v>
      </c>
      <c r="M565">
        <v>10</v>
      </c>
      <c r="N565">
        <v>479</v>
      </c>
      <c r="O565" s="3">
        <f t="shared" si="26"/>
        <v>2.3809523809523809</v>
      </c>
      <c r="P565">
        <f t="shared" si="24"/>
        <v>0</v>
      </c>
      <c r="Q565">
        <f t="shared" si="25"/>
        <v>0</v>
      </c>
    </row>
    <row r="566" spans="1:17" x14ac:dyDescent="0.2">
      <c r="A566" t="s">
        <v>17</v>
      </c>
      <c r="B566" t="s">
        <v>572</v>
      </c>
      <c r="C566">
        <v>420</v>
      </c>
      <c r="D566">
        <v>140</v>
      </c>
      <c r="E566">
        <v>16</v>
      </c>
      <c r="F566">
        <v>4</v>
      </c>
      <c r="G566">
        <v>0</v>
      </c>
      <c r="H566">
        <v>0</v>
      </c>
      <c r="I566">
        <v>880</v>
      </c>
      <c r="J566">
        <v>56</v>
      </c>
      <c r="K566">
        <v>7</v>
      </c>
      <c r="L566">
        <v>3</v>
      </c>
      <c r="M566">
        <v>10</v>
      </c>
      <c r="O566" s="3">
        <f t="shared" si="26"/>
        <v>2.3809523809523809</v>
      </c>
      <c r="P566">
        <f t="shared" si="24"/>
        <v>1</v>
      </c>
      <c r="Q566">
        <f t="shared" si="25"/>
        <v>0</v>
      </c>
    </row>
    <row r="567" spans="1:17" x14ac:dyDescent="0.2">
      <c r="A567" t="s">
        <v>17</v>
      </c>
      <c r="B567" t="s">
        <v>573</v>
      </c>
      <c r="C567">
        <v>420</v>
      </c>
      <c r="D567">
        <v>140</v>
      </c>
      <c r="E567">
        <v>16</v>
      </c>
      <c r="F567">
        <v>4</v>
      </c>
      <c r="G567">
        <v>0</v>
      </c>
      <c r="H567">
        <v>0</v>
      </c>
      <c r="I567">
        <v>880</v>
      </c>
      <c r="J567">
        <v>56</v>
      </c>
      <c r="K567">
        <v>7</v>
      </c>
      <c r="L567">
        <v>3</v>
      </c>
      <c r="M567">
        <v>10</v>
      </c>
      <c r="O567" s="3">
        <f t="shared" si="26"/>
        <v>2.3809523809523809</v>
      </c>
      <c r="P567">
        <f t="shared" si="24"/>
        <v>1</v>
      </c>
      <c r="Q567">
        <f t="shared" si="25"/>
        <v>0</v>
      </c>
    </row>
    <row r="568" spans="1:17" x14ac:dyDescent="0.2">
      <c r="A568" t="s">
        <v>25</v>
      </c>
      <c r="B568" t="s">
        <v>574</v>
      </c>
      <c r="C568">
        <v>550</v>
      </c>
      <c r="D568">
        <v>120</v>
      </c>
      <c r="E568">
        <v>13</v>
      </c>
      <c r="F568">
        <v>8</v>
      </c>
      <c r="G568">
        <v>1</v>
      </c>
      <c r="H568">
        <v>50</v>
      </c>
      <c r="I568">
        <v>190</v>
      </c>
      <c r="J568">
        <v>96</v>
      </c>
      <c r="K568">
        <v>0</v>
      </c>
      <c r="L568">
        <v>72</v>
      </c>
      <c r="M568">
        <v>13</v>
      </c>
      <c r="N568">
        <v>617</v>
      </c>
      <c r="O568" s="3">
        <f t="shared" si="26"/>
        <v>2.3636363636363638</v>
      </c>
      <c r="P568">
        <f t="shared" si="24"/>
        <v>0</v>
      </c>
      <c r="Q568">
        <f t="shared" si="25"/>
        <v>0</v>
      </c>
    </row>
    <row r="569" spans="1:17" x14ac:dyDescent="0.2">
      <c r="A569" t="s">
        <v>25</v>
      </c>
      <c r="B569" t="s">
        <v>575</v>
      </c>
      <c r="C569">
        <v>340</v>
      </c>
      <c r="D569">
        <v>100</v>
      </c>
      <c r="E569">
        <v>12</v>
      </c>
      <c r="F569">
        <v>6</v>
      </c>
      <c r="G569">
        <v>0</v>
      </c>
      <c r="H569">
        <v>30</v>
      </c>
      <c r="I569">
        <v>200</v>
      </c>
      <c r="J569">
        <v>53</v>
      </c>
      <c r="K569">
        <v>2</v>
      </c>
      <c r="L569">
        <v>43</v>
      </c>
      <c r="M569">
        <v>8</v>
      </c>
      <c r="N569">
        <v>381</v>
      </c>
      <c r="O569" s="3">
        <f t="shared" si="26"/>
        <v>2.3529411764705883</v>
      </c>
      <c r="P569">
        <f t="shared" si="24"/>
        <v>0</v>
      </c>
      <c r="Q569">
        <f t="shared" si="25"/>
        <v>0</v>
      </c>
    </row>
    <row r="570" spans="1:17" x14ac:dyDescent="0.2">
      <c r="A570" t="s">
        <v>51</v>
      </c>
      <c r="B570" t="s">
        <v>576</v>
      </c>
      <c r="C570">
        <v>170</v>
      </c>
      <c r="D570">
        <v>30</v>
      </c>
      <c r="E570">
        <v>3</v>
      </c>
      <c r="F570">
        <v>1.5</v>
      </c>
      <c r="G570">
        <v>0</v>
      </c>
      <c r="H570">
        <v>5</v>
      </c>
      <c r="I570">
        <v>260</v>
      </c>
      <c r="J570">
        <v>32</v>
      </c>
      <c r="K570">
        <v>3</v>
      </c>
      <c r="L570">
        <v>12</v>
      </c>
      <c r="M570">
        <v>4</v>
      </c>
      <c r="N570">
        <v>180</v>
      </c>
      <c r="O570" s="3">
        <f t="shared" si="26"/>
        <v>2.3529411764705883</v>
      </c>
      <c r="P570">
        <f t="shared" si="24"/>
        <v>0</v>
      </c>
      <c r="Q570">
        <f t="shared" si="25"/>
        <v>0</v>
      </c>
    </row>
    <row r="571" spans="1:17" x14ac:dyDescent="0.2">
      <c r="A571" t="s">
        <v>51</v>
      </c>
      <c r="B571" t="s">
        <v>577</v>
      </c>
      <c r="C571">
        <v>510</v>
      </c>
      <c r="D571">
        <v>110</v>
      </c>
      <c r="E571">
        <v>13</v>
      </c>
      <c r="F571">
        <v>8</v>
      </c>
      <c r="G571">
        <v>0</v>
      </c>
      <c r="H571">
        <v>50</v>
      </c>
      <c r="I571">
        <v>350</v>
      </c>
      <c r="J571">
        <v>87</v>
      </c>
      <c r="K571">
        <v>1</v>
      </c>
      <c r="L571">
        <v>71</v>
      </c>
      <c r="M571">
        <v>12</v>
      </c>
      <c r="N571">
        <v>577</v>
      </c>
      <c r="O571" s="3">
        <f t="shared" si="26"/>
        <v>2.3529411764705883</v>
      </c>
      <c r="P571">
        <f t="shared" si="24"/>
        <v>0</v>
      </c>
      <c r="Q571">
        <f t="shared" si="25"/>
        <v>0</v>
      </c>
    </row>
    <row r="572" spans="1:17" x14ac:dyDescent="0.2">
      <c r="A572" t="s">
        <v>17</v>
      </c>
      <c r="B572" t="s">
        <v>578</v>
      </c>
      <c r="C572">
        <v>170</v>
      </c>
      <c r="D572">
        <v>30</v>
      </c>
      <c r="E572">
        <v>3.5</v>
      </c>
      <c r="F572">
        <v>0</v>
      </c>
      <c r="G572">
        <v>0</v>
      </c>
      <c r="H572">
        <v>0</v>
      </c>
      <c r="I572">
        <v>320</v>
      </c>
      <c r="J572">
        <v>31</v>
      </c>
      <c r="K572">
        <v>4</v>
      </c>
      <c r="L572">
        <v>0</v>
      </c>
      <c r="M572">
        <v>4</v>
      </c>
      <c r="O572" s="3">
        <f t="shared" si="26"/>
        <v>2.3529411764705883</v>
      </c>
      <c r="P572">
        <f t="shared" si="24"/>
        <v>0</v>
      </c>
      <c r="Q572">
        <f t="shared" si="25"/>
        <v>0</v>
      </c>
    </row>
    <row r="573" spans="1:17" x14ac:dyDescent="0.2">
      <c r="A573" t="s">
        <v>17</v>
      </c>
      <c r="B573" t="s">
        <v>579</v>
      </c>
      <c r="C573">
        <v>170</v>
      </c>
      <c r="D573">
        <v>30</v>
      </c>
      <c r="E573">
        <v>3.5</v>
      </c>
      <c r="F573">
        <v>0</v>
      </c>
      <c r="G573">
        <v>0</v>
      </c>
      <c r="H573">
        <v>0</v>
      </c>
      <c r="I573">
        <v>320</v>
      </c>
      <c r="J573">
        <v>31</v>
      </c>
      <c r="K573">
        <v>4</v>
      </c>
      <c r="L573">
        <v>0</v>
      </c>
      <c r="M573">
        <v>4</v>
      </c>
      <c r="O573" s="3">
        <f t="shared" si="26"/>
        <v>2.3529411764705883</v>
      </c>
      <c r="P573">
        <f t="shared" si="24"/>
        <v>0</v>
      </c>
      <c r="Q573">
        <f t="shared" si="25"/>
        <v>0</v>
      </c>
    </row>
    <row r="574" spans="1:17" x14ac:dyDescent="0.2">
      <c r="A574" t="s">
        <v>25</v>
      </c>
      <c r="B574" t="s">
        <v>580</v>
      </c>
      <c r="C574">
        <v>770</v>
      </c>
      <c r="D574">
        <v>160</v>
      </c>
      <c r="E574">
        <v>18</v>
      </c>
      <c r="F574">
        <v>11</v>
      </c>
      <c r="G574">
        <v>1</v>
      </c>
      <c r="H574">
        <v>70</v>
      </c>
      <c r="I574">
        <v>330</v>
      </c>
      <c r="J574">
        <v>134</v>
      </c>
      <c r="K574">
        <v>1</v>
      </c>
      <c r="L574">
        <v>111</v>
      </c>
      <c r="M574">
        <v>18</v>
      </c>
      <c r="N574">
        <v>874</v>
      </c>
      <c r="O574" s="3">
        <f t="shared" si="26"/>
        <v>2.3376623376623376</v>
      </c>
      <c r="P574">
        <f t="shared" si="24"/>
        <v>0</v>
      </c>
      <c r="Q574">
        <f t="shared" si="25"/>
        <v>0</v>
      </c>
    </row>
    <row r="575" spans="1:17" x14ac:dyDescent="0.2">
      <c r="A575" t="s">
        <v>51</v>
      </c>
      <c r="B575" t="s">
        <v>581</v>
      </c>
      <c r="C575">
        <v>300</v>
      </c>
      <c r="D575">
        <v>80</v>
      </c>
      <c r="E575">
        <v>8</v>
      </c>
      <c r="F575">
        <v>5</v>
      </c>
      <c r="G575">
        <v>0</v>
      </c>
      <c r="H575">
        <v>30</v>
      </c>
      <c r="I575">
        <v>200</v>
      </c>
      <c r="J575">
        <v>50</v>
      </c>
      <c r="K575">
        <v>1</v>
      </c>
      <c r="L575">
        <v>41</v>
      </c>
      <c r="M575">
        <v>7</v>
      </c>
      <c r="N575">
        <v>339</v>
      </c>
      <c r="O575" s="3">
        <f t="shared" si="26"/>
        <v>2.3333333333333335</v>
      </c>
      <c r="P575">
        <f t="shared" si="24"/>
        <v>0</v>
      </c>
      <c r="Q575">
        <f t="shared" si="25"/>
        <v>0</v>
      </c>
    </row>
    <row r="576" spans="1:17" x14ac:dyDescent="0.2">
      <c r="A576" t="s">
        <v>51</v>
      </c>
      <c r="B576" t="s">
        <v>582</v>
      </c>
      <c r="C576">
        <v>300</v>
      </c>
      <c r="D576">
        <v>80</v>
      </c>
      <c r="E576">
        <v>8</v>
      </c>
      <c r="F576">
        <v>5</v>
      </c>
      <c r="G576">
        <v>0</v>
      </c>
      <c r="H576">
        <v>35</v>
      </c>
      <c r="I576">
        <v>210</v>
      </c>
      <c r="J576">
        <v>50</v>
      </c>
      <c r="K576">
        <v>0</v>
      </c>
      <c r="L576">
        <v>41</v>
      </c>
      <c r="M576">
        <v>7</v>
      </c>
      <c r="N576">
        <v>339</v>
      </c>
      <c r="O576" s="3">
        <f t="shared" si="26"/>
        <v>2.3333333333333335</v>
      </c>
      <c r="P576">
        <f t="shared" si="24"/>
        <v>0</v>
      </c>
      <c r="Q576">
        <f t="shared" si="25"/>
        <v>0</v>
      </c>
    </row>
    <row r="577" spans="1:17" x14ac:dyDescent="0.2">
      <c r="A577" t="s">
        <v>25</v>
      </c>
      <c r="B577" t="s">
        <v>583</v>
      </c>
      <c r="C577">
        <v>1160</v>
      </c>
      <c r="D577">
        <v>240</v>
      </c>
      <c r="E577">
        <v>27</v>
      </c>
      <c r="F577">
        <v>16</v>
      </c>
      <c r="G577">
        <v>2</v>
      </c>
      <c r="H577">
        <v>100</v>
      </c>
      <c r="I577">
        <v>510</v>
      </c>
      <c r="J577">
        <v>203</v>
      </c>
      <c r="K577">
        <v>2</v>
      </c>
      <c r="L577">
        <v>168</v>
      </c>
      <c r="M577">
        <v>27</v>
      </c>
      <c r="N577">
        <v>1317</v>
      </c>
      <c r="O577" s="3">
        <f t="shared" si="26"/>
        <v>2.327586206896552</v>
      </c>
      <c r="P577">
        <f t="shared" si="24"/>
        <v>1</v>
      </c>
      <c r="Q577">
        <f t="shared" si="25"/>
        <v>0</v>
      </c>
    </row>
    <row r="578" spans="1:17" x14ac:dyDescent="0.2">
      <c r="A578" t="s">
        <v>25</v>
      </c>
      <c r="B578" t="s">
        <v>584</v>
      </c>
      <c r="C578">
        <v>560</v>
      </c>
      <c r="D578">
        <v>120</v>
      </c>
      <c r="E578">
        <v>13</v>
      </c>
      <c r="F578">
        <v>8</v>
      </c>
      <c r="G578">
        <v>1</v>
      </c>
      <c r="H578">
        <v>50</v>
      </c>
      <c r="I578">
        <v>170</v>
      </c>
      <c r="J578">
        <v>97</v>
      </c>
      <c r="K578">
        <v>0</v>
      </c>
      <c r="L578">
        <v>84</v>
      </c>
      <c r="M578">
        <v>13</v>
      </c>
      <c r="N578">
        <v>639</v>
      </c>
      <c r="O578" s="3">
        <f t="shared" si="26"/>
        <v>2.3214285714285716</v>
      </c>
      <c r="P578">
        <f t="shared" ref="P578:P641" si="27">IF(I578&gt;2300*0.2,1,0)</f>
        <v>0</v>
      </c>
      <c r="Q578">
        <f t="shared" ref="Q578:Q641" si="28">IF(H578&gt;300,1,0)</f>
        <v>0</v>
      </c>
    </row>
    <row r="579" spans="1:17" x14ac:dyDescent="0.2">
      <c r="A579" t="s">
        <v>21</v>
      </c>
      <c r="B579" t="s">
        <v>585</v>
      </c>
      <c r="C579">
        <v>130</v>
      </c>
      <c r="D579" s="2">
        <v>0</v>
      </c>
      <c r="E579">
        <v>4.5</v>
      </c>
      <c r="F579">
        <v>1</v>
      </c>
      <c r="G579">
        <v>0</v>
      </c>
      <c r="H579">
        <v>0</v>
      </c>
      <c r="I579">
        <v>520</v>
      </c>
      <c r="J579">
        <v>20</v>
      </c>
      <c r="K579">
        <v>1</v>
      </c>
      <c r="L579">
        <v>0</v>
      </c>
      <c r="M579">
        <v>3</v>
      </c>
      <c r="N579">
        <v>128</v>
      </c>
      <c r="O579" s="3">
        <f t="shared" si="26"/>
        <v>2.3076923076923079</v>
      </c>
      <c r="P579">
        <f t="shared" si="27"/>
        <v>1</v>
      </c>
      <c r="Q579">
        <f t="shared" si="28"/>
        <v>0</v>
      </c>
    </row>
    <row r="580" spans="1:17" x14ac:dyDescent="0.2">
      <c r="A580" t="s">
        <v>25</v>
      </c>
      <c r="B580" t="s">
        <v>586</v>
      </c>
      <c r="C580">
        <v>740</v>
      </c>
      <c r="D580">
        <v>160</v>
      </c>
      <c r="E580">
        <v>18</v>
      </c>
      <c r="F580">
        <v>11</v>
      </c>
      <c r="G580">
        <v>1</v>
      </c>
      <c r="H580">
        <v>70</v>
      </c>
      <c r="I580">
        <v>230</v>
      </c>
      <c r="J580">
        <v>128</v>
      </c>
      <c r="K580">
        <v>0</v>
      </c>
      <c r="L580">
        <v>111</v>
      </c>
      <c r="M580">
        <v>17</v>
      </c>
      <c r="N580">
        <v>845</v>
      </c>
      <c r="O580" s="3">
        <f t="shared" si="26"/>
        <v>2.2972972972972974</v>
      </c>
      <c r="P580">
        <f t="shared" si="27"/>
        <v>0</v>
      </c>
      <c r="Q580">
        <f t="shared" si="28"/>
        <v>0</v>
      </c>
    </row>
    <row r="581" spans="1:17" x14ac:dyDescent="0.2">
      <c r="A581" t="s">
        <v>25</v>
      </c>
      <c r="B581" t="s">
        <v>587</v>
      </c>
      <c r="C581">
        <v>740</v>
      </c>
      <c r="D581">
        <v>160</v>
      </c>
      <c r="E581">
        <v>18</v>
      </c>
      <c r="F581">
        <v>11</v>
      </c>
      <c r="G581">
        <v>1</v>
      </c>
      <c r="H581">
        <v>70</v>
      </c>
      <c r="I581">
        <v>250</v>
      </c>
      <c r="J581">
        <v>128</v>
      </c>
      <c r="K581">
        <v>0</v>
      </c>
      <c r="L581">
        <v>96</v>
      </c>
      <c r="M581">
        <v>17</v>
      </c>
      <c r="N581">
        <v>830</v>
      </c>
      <c r="O581" s="3">
        <f t="shared" si="26"/>
        <v>2.2972972972972974</v>
      </c>
      <c r="P581">
        <f t="shared" si="27"/>
        <v>0</v>
      </c>
      <c r="Q581">
        <f t="shared" si="28"/>
        <v>0</v>
      </c>
    </row>
    <row r="582" spans="1:17" x14ac:dyDescent="0.2">
      <c r="A582" t="s">
        <v>51</v>
      </c>
      <c r="B582" t="s">
        <v>588</v>
      </c>
      <c r="C582">
        <v>740</v>
      </c>
      <c r="D582">
        <v>190</v>
      </c>
      <c r="E582">
        <v>22</v>
      </c>
      <c r="F582">
        <v>13</v>
      </c>
      <c r="G582">
        <v>0.5</v>
      </c>
      <c r="H582">
        <v>70</v>
      </c>
      <c r="I582">
        <v>680</v>
      </c>
      <c r="J582">
        <v>121</v>
      </c>
      <c r="K582">
        <v>1</v>
      </c>
      <c r="L582">
        <v>101</v>
      </c>
      <c r="M582">
        <v>17</v>
      </c>
      <c r="N582">
        <v>837</v>
      </c>
      <c r="O582" s="3">
        <f t="shared" ref="O582:O645" si="29">M582/C582*100</f>
        <v>2.2972972972972974</v>
      </c>
      <c r="P582">
        <f t="shared" si="27"/>
        <v>1</v>
      </c>
      <c r="Q582">
        <f t="shared" si="28"/>
        <v>0</v>
      </c>
    </row>
    <row r="583" spans="1:17" x14ac:dyDescent="0.2">
      <c r="A583" t="s">
        <v>51</v>
      </c>
      <c r="B583" t="s">
        <v>589</v>
      </c>
      <c r="C583">
        <v>610</v>
      </c>
      <c r="D583">
        <v>140</v>
      </c>
      <c r="E583">
        <v>16</v>
      </c>
      <c r="F583">
        <v>10</v>
      </c>
      <c r="G583">
        <v>0</v>
      </c>
      <c r="H583">
        <v>60</v>
      </c>
      <c r="I583">
        <v>500</v>
      </c>
      <c r="J583">
        <v>103</v>
      </c>
      <c r="K583">
        <v>1</v>
      </c>
      <c r="L583">
        <v>88</v>
      </c>
      <c r="M583">
        <v>14</v>
      </c>
      <c r="N583">
        <v>694</v>
      </c>
      <c r="O583" s="3">
        <f t="shared" si="29"/>
        <v>2.2950819672131146</v>
      </c>
      <c r="P583">
        <f t="shared" si="27"/>
        <v>1</v>
      </c>
      <c r="Q583">
        <f t="shared" si="28"/>
        <v>0</v>
      </c>
    </row>
    <row r="584" spans="1:17" x14ac:dyDescent="0.2">
      <c r="A584" t="s">
        <v>25</v>
      </c>
      <c r="B584" t="s">
        <v>590</v>
      </c>
      <c r="C584">
        <v>480</v>
      </c>
      <c r="D584">
        <v>280</v>
      </c>
      <c r="E584">
        <v>31</v>
      </c>
      <c r="F584">
        <v>13</v>
      </c>
      <c r="G584">
        <v>0</v>
      </c>
      <c r="H584">
        <v>30</v>
      </c>
      <c r="I584">
        <v>1190</v>
      </c>
      <c r="J584">
        <v>39</v>
      </c>
      <c r="K584">
        <v>3</v>
      </c>
      <c r="L584">
        <v>3</v>
      </c>
      <c r="M584">
        <v>11</v>
      </c>
      <c r="N584">
        <v>485</v>
      </c>
      <c r="O584" s="3">
        <f t="shared" si="29"/>
        <v>2.2916666666666665</v>
      </c>
      <c r="P584">
        <f t="shared" si="27"/>
        <v>1</v>
      </c>
      <c r="Q584">
        <f t="shared" si="28"/>
        <v>0</v>
      </c>
    </row>
    <row r="585" spans="1:17" x14ac:dyDescent="0.2">
      <c r="A585" t="s">
        <v>25</v>
      </c>
      <c r="B585" t="s">
        <v>591</v>
      </c>
      <c r="C585">
        <v>350</v>
      </c>
      <c r="D585">
        <v>80</v>
      </c>
      <c r="E585">
        <v>9</v>
      </c>
      <c r="F585">
        <v>2</v>
      </c>
      <c r="G585">
        <v>0</v>
      </c>
      <c r="H585">
        <v>20</v>
      </c>
      <c r="I585">
        <v>590</v>
      </c>
      <c r="J585">
        <v>60</v>
      </c>
      <c r="K585">
        <v>3</v>
      </c>
      <c r="L585">
        <v>14</v>
      </c>
      <c r="M585">
        <v>8</v>
      </c>
      <c r="N585">
        <v>358</v>
      </c>
      <c r="O585" s="3">
        <f t="shared" si="29"/>
        <v>2.2857142857142856</v>
      </c>
      <c r="P585">
        <f t="shared" si="27"/>
        <v>1</v>
      </c>
      <c r="Q585">
        <f t="shared" si="28"/>
        <v>0</v>
      </c>
    </row>
    <row r="586" spans="1:17" x14ac:dyDescent="0.2">
      <c r="A586" t="s">
        <v>25</v>
      </c>
      <c r="B586" t="s">
        <v>592</v>
      </c>
      <c r="C586">
        <v>440</v>
      </c>
      <c r="D586">
        <v>90</v>
      </c>
      <c r="E586">
        <v>10</v>
      </c>
      <c r="F586">
        <v>6</v>
      </c>
      <c r="G586">
        <v>0.5</v>
      </c>
      <c r="H586">
        <v>40</v>
      </c>
      <c r="I586">
        <v>190</v>
      </c>
      <c r="J586">
        <v>76</v>
      </c>
      <c r="K586">
        <v>1</v>
      </c>
      <c r="L586">
        <v>63</v>
      </c>
      <c r="M586">
        <v>10</v>
      </c>
      <c r="N586">
        <v>499</v>
      </c>
      <c r="O586" s="3">
        <f t="shared" si="29"/>
        <v>2.2727272727272729</v>
      </c>
      <c r="P586">
        <f t="shared" si="27"/>
        <v>0</v>
      </c>
      <c r="Q586">
        <f t="shared" si="28"/>
        <v>0</v>
      </c>
    </row>
    <row r="587" spans="1:17" x14ac:dyDescent="0.2">
      <c r="A587" t="s">
        <v>25</v>
      </c>
      <c r="B587" t="s">
        <v>593</v>
      </c>
      <c r="C587">
        <v>310</v>
      </c>
      <c r="D587">
        <v>120</v>
      </c>
      <c r="E587">
        <v>13</v>
      </c>
      <c r="F587">
        <v>8</v>
      </c>
      <c r="G587">
        <v>0</v>
      </c>
      <c r="H587">
        <v>25</v>
      </c>
      <c r="I587">
        <v>140</v>
      </c>
      <c r="J587">
        <v>42</v>
      </c>
      <c r="K587">
        <v>0</v>
      </c>
      <c r="L587">
        <v>35</v>
      </c>
      <c r="M587">
        <v>7</v>
      </c>
      <c r="N587">
        <v>346</v>
      </c>
      <c r="O587" s="3">
        <f t="shared" si="29"/>
        <v>2.258064516129032</v>
      </c>
      <c r="P587">
        <f t="shared" si="27"/>
        <v>0</v>
      </c>
      <c r="Q587">
        <f t="shared" si="28"/>
        <v>0</v>
      </c>
    </row>
    <row r="588" spans="1:17" x14ac:dyDescent="0.2">
      <c r="A588" t="s">
        <v>25</v>
      </c>
      <c r="B588" t="s">
        <v>594</v>
      </c>
      <c r="C588">
        <v>1110</v>
      </c>
      <c r="D588">
        <v>240</v>
      </c>
      <c r="E588">
        <v>26</v>
      </c>
      <c r="F588">
        <v>16</v>
      </c>
      <c r="G588">
        <v>2</v>
      </c>
      <c r="H588">
        <v>100</v>
      </c>
      <c r="I588">
        <v>350</v>
      </c>
      <c r="J588">
        <v>194</v>
      </c>
      <c r="K588">
        <v>0</v>
      </c>
      <c r="L588">
        <v>168</v>
      </c>
      <c r="M588">
        <v>25</v>
      </c>
      <c r="N588">
        <v>1269</v>
      </c>
      <c r="O588" s="3">
        <f t="shared" si="29"/>
        <v>2.2522522522522523</v>
      </c>
      <c r="P588">
        <f t="shared" si="27"/>
        <v>0</v>
      </c>
      <c r="Q588">
        <f t="shared" si="28"/>
        <v>0</v>
      </c>
    </row>
    <row r="589" spans="1:17" x14ac:dyDescent="0.2">
      <c r="A589" t="s">
        <v>25</v>
      </c>
      <c r="B589" t="s">
        <v>595</v>
      </c>
      <c r="C589">
        <v>1110</v>
      </c>
      <c r="D589">
        <v>240</v>
      </c>
      <c r="E589">
        <v>26</v>
      </c>
      <c r="F589">
        <v>16</v>
      </c>
      <c r="G589">
        <v>2</v>
      </c>
      <c r="H589">
        <v>100</v>
      </c>
      <c r="I589">
        <v>370</v>
      </c>
      <c r="J589">
        <v>193</v>
      </c>
      <c r="K589">
        <v>0</v>
      </c>
      <c r="L589">
        <v>145</v>
      </c>
      <c r="M589">
        <v>25</v>
      </c>
      <c r="N589">
        <v>1246</v>
      </c>
      <c r="O589" s="3">
        <f t="shared" si="29"/>
        <v>2.2522522522522523</v>
      </c>
      <c r="P589">
        <f t="shared" si="27"/>
        <v>0</v>
      </c>
      <c r="Q589">
        <f t="shared" si="28"/>
        <v>0</v>
      </c>
    </row>
    <row r="590" spans="1:17" x14ac:dyDescent="0.2">
      <c r="A590" t="s">
        <v>51</v>
      </c>
      <c r="B590" t="s">
        <v>596</v>
      </c>
      <c r="C590">
        <v>400</v>
      </c>
      <c r="D590">
        <v>90</v>
      </c>
      <c r="E590">
        <v>10</v>
      </c>
      <c r="F590">
        <v>7</v>
      </c>
      <c r="G590">
        <v>0</v>
      </c>
      <c r="H590">
        <v>40</v>
      </c>
      <c r="I590">
        <v>270</v>
      </c>
      <c r="J590">
        <v>68</v>
      </c>
      <c r="K590">
        <v>1</v>
      </c>
      <c r="L590">
        <v>58</v>
      </c>
      <c r="M590">
        <v>9</v>
      </c>
      <c r="N590">
        <v>456</v>
      </c>
      <c r="O590" s="3">
        <f t="shared" si="29"/>
        <v>2.25</v>
      </c>
      <c r="P590">
        <f t="shared" si="27"/>
        <v>0</v>
      </c>
      <c r="Q590">
        <f t="shared" si="28"/>
        <v>0</v>
      </c>
    </row>
    <row r="591" spans="1:17" x14ac:dyDescent="0.2">
      <c r="A591" t="s">
        <v>51</v>
      </c>
      <c r="B591" t="s">
        <v>597</v>
      </c>
      <c r="C591">
        <v>400</v>
      </c>
      <c r="D591">
        <v>90</v>
      </c>
      <c r="E591">
        <v>10</v>
      </c>
      <c r="F591">
        <v>7</v>
      </c>
      <c r="G591">
        <v>0</v>
      </c>
      <c r="H591">
        <v>40</v>
      </c>
      <c r="I591">
        <v>280</v>
      </c>
      <c r="J591">
        <v>68</v>
      </c>
      <c r="K591">
        <v>0</v>
      </c>
      <c r="L591">
        <v>56</v>
      </c>
      <c r="M591">
        <v>9</v>
      </c>
      <c r="N591">
        <v>454</v>
      </c>
      <c r="O591" s="3">
        <f t="shared" si="29"/>
        <v>2.25</v>
      </c>
      <c r="P591">
        <f t="shared" si="27"/>
        <v>0</v>
      </c>
      <c r="Q591">
        <f t="shared" si="28"/>
        <v>0</v>
      </c>
    </row>
    <row r="592" spans="1:17" x14ac:dyDescent="0.2">
      <c r="A592" t="s">
        <v>25</v>
      </c>
      <c r="B592" t="s">
        <v>598</v>
      </c>
      <c r="C592">
        <v>580</v>
      </c>
      <c r="D592">
        <v>170</v>
      </c>
      <c r="E592">
        <v>19</v>
      </c>
      <c r="F592">
        <v>10</v>
      </c>
      <c r="G592">
        <v>1</v>
      </c>
      <c r="H592">
        <v>50</v>
      </c>
      <c r="I592">
        <v>320</v>
      </c>
      <c r="J592">
        <v>89</v>
      </c>
      <c r="K592">
        <v>3</v>
      </c>
      <c r="L592">
        <v>73</v>
      </c>
      <c r="M592">
        <v>13</v>
      </c>
      <c r="N592">
        <v>650</v>
      </c>
      <c r="O592" s="3">
        <f t="shared" si="29"/>
        <v>2.2413793103448274</v>
      </c>
      <c r="P592">
        <f t="shared" si="27"/>
        <v>0</v>
      </c>
      <c r="Q592">
        <f t="shared" si="28"/>
        <v>0</v>
      </c>
    </row>
    <row r="593" spans="1:17" x14ac:dyDescent="0.2">
      <c r="A593" t="s">
        <v>25</v>
      </c>
      <c r="B593" t="s">
        <v>599</v>
      </c>
      <c r="C593">
        <v>580</v>
      </c>
      <c r="D593">
        <v>120</v>
      </c>
      <c r="E593">
        <v>14</v>
      </c>
      <c r="F593">
        <v>8</v>
      </c>
      <c r="G593">
        <v>1</v>
      </c>
      <c r="H593">
        <v>50</v>
      </c>
      <c r="I593">
        <v>250</v>
      </c>
      <c r="J593">
        <v>102</v>
      </c>
      <c r="K593">
        <v>1</v>
      </c>
      <c r="L593">
        <v>84</v>
      </c>
      <c r="M593">
        <v>13</v>
      </c>
      <c r="N593">
        <v>659</v>
      </c>
      <c r="O593" s="3">
        <f t="shared" si="29"/>
        <v>2.2413793103448274</v>
      </c>
      <c r="P593">
        <f t="shared" si="27"/>
        <v>0</v>
      </c>
      <c r="Q593">
        <f t="shared" si="28"/>
        <v>0</v>
      </c>
    </row>
    <row r="594" spans="1:17" x14ac:dyDescent="0.2">
      <c r="A594" t="s">
        <v>25</v>
      </c>
      <c r="B594" t="s">
        <v>600</v>
      </c>
      <c r="C594">
        <v>45</v>
      </c>
      <c r="D594">
        <v>10</v>
      </c>
      <c r="E594">
        <v>1</v>
      </c>
      <c r="F594">
        <v>0.5</v>
      </c>
      <c r="G594">
        <v>0</v>
      </c>
      <c r="H594">
        <v>5</v>
      </c>
      <c r="I594">
        <v>20</v>
      </c>
      <c r="J594">
        <v>8</v>
      </c>
      <c r="K594">
        <v>0</v>
      </c>
      <c r="L594">
        <v>6</v>
      </c>
      <c r="M594">
        <v>1</v>
      </c>
      <c r="N594">
        <v>50.5</v>
      </c>
      <c r="O594" s="3">
        <f t="shared" si="29"/>
        <v>2.2222222222222223</v>
      </c>
      <c r="P594">
        <f t="shared" si="27"/>
        <v>0</v>
      </c>
      <c r="Q594">
        <f t="shared" si="28"/>
        <v>0</v>
      </c>
    </row>
    <row r="595" spans="1:17" x14ac:dyDescent="0.2">
      <c r="A595" t="s">
        <v>25</v>
      </c>
      <c r="B595" t="s">
        <v>601</v>
      </c>
      <c r="C595">
        <v>90</v>
      </c>
      <c r="D595">
        <v>70</v>
      </c>
      <c r="E595">
        <v>8</v>
      </c>
      <c r="F595">
        <v>5</v>
      </c>
      <c r="G595">
        <v>0</v>
      </c>
      <c r="H595">
        <v>30</v>
      </c>
      <c r="I595">
        <v>100</v>
      </c>
      <c r="J595">
        <v>11</v>
      </c>
      <c r="K595">
        <v>0</v>
      </c>
      <c r="L595">
        <v>2</v>
      </c>
      <c r="M595">
        <v>2</v>
      </c>
      <c r="N595">
        <v>95</v>
      </c>
      <c r="O595" s="3">
        <f t="shared" si="29"/>
        <v>2.2222222222222223</v>
      </c>
      <c r="P595">
        <f t="shared" si="27"/>
        <v>0</v>
      </c>
      <c r="Q595">
        <f t="shared" si="28"/>
        <v>0</v>
      </c>
    </row>
    <row r="596" spans="1:17" x14ac:dyDescent="0.2">
      <c r="A596" t="s">
        <v>25</v>
      </c>
      <c r="B596" t="s">
        <v>602</v>
      </c>
      <c r="C596">
        <v>180</v>
      </c>
      <c r="D596">
        <v>40</v>
      </c>
      <c r="E596">
        <v>4.5</v>
      </c>
      <c r="F596">
        <v>2.5</v>
      </c>
      <c r="G596">
        <v>0</v>
      </c>
      <c r="H596">
        <v>15</v>
      </c>
      <c r="I596">
        <v>120</v>
      </c>
      <c r="J596">
        <v>31</v>
      </c>
      <c r="K596">
        <v>0</v>
      </c>
      <c r="L596">
        <v>31</v>
      </c>
      <c r="M596">
        <v>4</v>
      </c>
      <c r="N596">
        <v>209.5</v>
      </c>
      <c r="O596" s="3">
        <f t="shared" si="29"/>
        <v>2.2222222222222223</v>
      </c>
      <c r="P596">
        <f t="shared" si="27"/>
        <v>0</v>
      </c>
      <c r="Q596">
        <f t="shared" si="28"/>
        <v>0</v>
      </c>
    </row>
    <row r="597" spans="1:17" x14ac:dyDescent="0.2">
      <c r="A597" t="s">
        <v>25</v>
      </c>
      <c r="B597" t="s">
        <v>603</v>
      </c>
      <c r="C597">
        <v>180</v>
      </c>
      <c r="D597">
        <v>40</v>
      </c>
      <c r="E597">
        <v>4.5</v>
      </c>
      <c r="F597">
        <v>2.5</v>
      </c>
      <c r="G597">
        <v>0</v>
      </c>
      <c r="H597">
        <v>15</v>
      </c>
      <c r="I597">
        <v>65</v>
      </c>
      <c r="J597">
        <v>33</v>
      </c>
      <c r="K597">
        <v>0</v>
      </c>
      <c r="L597">
        <v>33</v>
      </c>
      <c r="M597">
        <v>4</v>
      </c>
      <c r="N597">
        <v>211.5</v>
      </c>
      <c r="O597" s="3">
        <f t="shared" si="29"/>
        <v>2.2222222222222223</v>
      </c>
      <c r="P597">
        <f t="shared" si="27"/>
        <v>0</v>
      </c>
      <c r="Q597">
        <f t="shared" si="28"/>
        <v>0</v>
      </c>
    </row>
    <row r="598" spans="1:17" x14ac:dyDescent="0.2">
      <c r="A598" t="s">
        <v>51</v>
      </c>
      <c r="B598" t="s">
        <v>604</v>
      </c>
      <c r="C598">
        <v>720</v>
      </c>
      <c r="D598">
        <v>180</v>
      </c>
      <c r="E598">
        <v>20</v>
      </c>
      <c r="F598">
        <v>12</v>
      </c>
      <c r="G598">
        <v>0.5</v>
      </c>
      <c r="H598">
        <v>65</v>
      </c>
      <c r="I598">
        <v>540</v>
      </c>
      <c r="J598">
        <v>118</v>
      </c>
      <c r="K598">
        <v>1</v>
      </c>
      <c r="L598">
        <v>98</v>
      </c>
      <c r="M598">
        <v>16</v>
      </c>
      <c r="N598">
        <v>814</v>
      </c>
      <c r="O598" s="3">
        <f t="shared" si="29"/>
        <v>2.2222222222222223</v>
      </c>
      <c r="P598">
        <f t="shared" si="27"/>
        <v>1</v>
      </c>
      <c r="Q598">
        <f t="shared" si="28"/>
        <v>0</v>
      </c>
    </row>
    <row r="599" spans="1:17" x14ac:dyDescent="0.2">
      <c r="A599" t="s">
        <v>21</v>
      </c>
      <c r="B599" t="s">
        <v>605</v>
      </c>
      <c r="C599">
        <v>180</v>
      </c>
      <c r="D599" s="2">
        <v>0</v>
      </c>
      <c r="E599">
        <v>8</v>
      </c>
      <c r="F599">
        <v>4.5</v>
      </c>
      <c r="G599">
        <v>0</v>
      </c>
      <c r="H599">
        <v>0</v>
      </c>
      <c r="I599">
        <v>520</v>
      </c>
      <c r="J599">
        <v>22</v>
      </c>
      <c r="K599">
        <v>1</v>
      </c>
      <c r="L599">
        <v>1</v>
      </c>
      <c r="M599">
        <v>4</v>
      </c>
      <c r="N599">
        <v>181.5</v>
      </c>
      <c r="O599" s="3">
        <f t="shared" si="29"/>
        <v>2.2222222222222223</v>
      </c>
      <c r="P599">
        <f t="shared" si="27"/>
        <v>1</v>
      </c>
      <c r="Q599">
        <f t="shared" si="28"/>
        <v>0</v>
      </c>
    </row>
    <row r="600" spans="1:17" x14ac:dyDescent="0.2">
      <c r="A600" t="s">
        <v>51</v>
      </c>
      <c r="B600" t="s">
        <v>606</v>
      </c>
      <c r="C600">
        <v>500</v>
      </c>
      <c r="D600">
        <v>110</v>
      </c>
      <c r="E600">
        <v>12</v>
      </c>
      <c r="F600">
        <v>8</v>
      </c>
      <c r="G600">
        <v>0</v>
      </c>
      <c r="H600">
        <v>50</v>
      </c>
      <c r="I600">
        <v>350</v>
      </c>
      <c r="J600">
        <v>86</v>
      </c>
      <c r="K600">
        <v>0</v>
      </c>
      <c r="L600">
        <v>71</v>
      </c>
      <c r="M600">
        <v>11</v>
      </c>
      <c r="N600">
        <v>568</v>
      </c>
      <c r="O600" s="3">
        <f t="shared" si="29"/>
        <v>2.1999999999999997</v>
      </c>
      <c r="P600">
        <f t="shared" si="27"/>
        <v>0</v>
      </c>
      <c r="Q600">
        <f t="shared" si="28"/>
        <v>0</v>
      </c>
    </row>
    <row r="601" spans="1:17" x14ac:dyDescent="0.2">
      <c r="A601" t="s">
        <v>51</v>
      </c>
      <c r="B601" t="s">
        <v>607</v>
      </c>
      <c r="C601">
        <v>640</v>
      </c>
      <c r="D601">
        <v>140</v>
      </c>
      <c r="E601">
        <v>15</v>
      </c>
      <c r="F601">
        <v>10</v>
      </c>
      <c r="G601">
        <v>0</v>
      </c>
      <c r="H601">
        <v>60</v>
      </c>
      <c r="I601">
        <v>440</v>
      </c>
      <c r="J601">
        <v>113</v>
      </c>
      <c r="K601">
        <v>0</v>
      </c>
      <c r="L601">
        <v>99</v>
      </c>
      <c r="M601">
        <v>14</v>
      </c>
      <c r="N601">
        <v>735</v>
      </c>
      <c r="O601" s="3">
        <f t="shared" si="29"/>
        <v>2.1875</v>
      </c>
      <c r="P601">
        <f t="shared" si="27"/>
        <v>0</v>
      </c>
      <c r="Q601">
        <f t="shared" si="28"/>
        <v>0</v>
      </c>
    </row>
    <row r="602" spans="1:17" x14ac:dyDescent="0.2">
      <c r="A602" t="s">
        <v>17</v>
      </c>
      <c r="B602" t="s">
        <v>608</v>
      </c>
      <c r="C602">
        <v>740</v>
      </c>
      <c r="D602">
        <v>340</v>
      </c>
      <c r="E602">
        <v>38</v>
      </c>
      <c r="F602">
        <v>7</v>
      </c>
      <c r="G602">
        <v>0</v>
      </c>
      <c r="H602">
        <v>25</v>
      </c>
      <c r="I602">
        <v>1050</v>
      </c>
      <c r="J602">
        <v>82</v>
      </c>
      <c r="K602">
        <v>15</v>
      </c>
      <c r="L602">
        <v>5</v>
      </c>
      <c r="M602">
        <v>16</v>
      </c>
      <c r="O602" s="3">
        <f t="shared" si="29"/>
        <v>2.1621621621621623</v>
      </c>
      <c r="P602">
        <f t="shared" si="27"/>
        <v>1</v>
      </c>
      <c r="Q602">
        <f t="shared" si="28"/>
        <v>0</v>
      </c>
    </row>
    <row r="603" spans="1:17" x14ac:dyDescent="0.2">
      <c r="A603" t="s">
        <v>17</v>
      </c>
      <c r="B603" t="s">
        <v>609</v>
      </c>
      <c r="C603">
        <v>740</v>
      </c>
      <c r="D603">
        <v>340</v>
      </c>
      <c r="E603">
        <v>38</v>
      </c>
      <c r="F603">
        <v>7</v>
      </c>
      <c r="G603">
        <v>0</v>
      </c>
      <c r="H603">
        <v>25</v>
      </c>
      <c r="I603">
        <v>1050</v>
      </c>
      <c r="J603">
        <v>82</v>
      </c>
      <c r="K603">
        <v>15</v>
      </c>
      <c r="L603">
        <v>5</v>
      </c>
      <c r="M603">
        <v>16</v>
      </c>
      <c r="O603" s="3">
        <f t="shared" si="29"/>
        <v>2.1621621621621623</v>
      </c>
      <c r="P603">
        <f t="shared" si="27"/>
        <v>1</v>
      </c>
      <c r="Q603">
        <f t="shared" si="28"/>
        <v>0</v>
      </c>
    </row>
    <row r="604" spans="1:17" x14ac:dyDescent="0.2">
      <c r="A604" t="s">
        <v>25</v>
      </c>
      <c r="B604" t="s">
        <v>610</v>
      </c>
      <c r="C604">
        <v>280</v>
      </c>
      <c r="D604">
        <v>60</v>
      </c>
      <c r="E604">
        <v>6</v>
      </c>
      <c r="F604">
        <v>4</v>
      </c>
      <c r="G604">
        <v>0</v>
      </c>
      <c r="H604">
        <v>25</v>
      </c>
      <c r="I604">
        <v>95</v>
      </c>
      <c r="J604">
        <v>49</v>
      </c>
      <c r="K604">
        <v>1</v>
      </c>
      <c r="L604">
        <v>45</v>
      </c>
      <c r="M604">
        <v>6</v>
      </c>
      <c r="N604">
        <v>323</v>
      </c>
      <c r="O604" s="3">
        <f t="shared" si="29"/>
        <v>2.1428571428571428</v>
      </c>
      <c r="P604">
        <f t="shared" si="27"/>
        <v>0</v>
      </c>
      <c r="Q604">
        <f t="shared" si="28"/>
        <v>0</v>
      </c>
    </row>
    <row r="605" spans="1:17" x14ac:dyDescent="0.2">
      <c r="A605" t="s">
        <v>25</v>
      </c>
      <c r="B605" t="s">
        <v>611</v>
      </c>
      <c r="C605">
        <v>420</v>
      </c>
      <c r="D605">
        <v>90</v>
      </c>
      <c r="E605">
        <v>10</v>
      </c>
      <c r="F605">
        <v>6</v>
      </c>
      <c r="G605">
        <v>0.5</v>
      </c>
      <c r="H605">
        <v>40</v>
      </c>
      <c r="I605">
        <v>140</v>
      </c>
      <c r="J605">
        <v>72</v>
      </c>
      <c r="K605">
        <v>0</v>
      </c>
      <c r="L605">
        <v>54</v>
      </c>
      <c r="M605">
        <v>9</v>
      </c>
      <c r="N605">
        <v>471</v>
      </c>
      <c r="O605" s="3">
        <f t="shared" si="29"/>
        <v>2.1428571428571428</v>
      </c>
      <c r="P605">
        <f t="shared" si="27"/>
        <v>0</v>
      </c>
      <c r="Q605">
        <f t="shared" si="28"/>
        <v>0</v>
      </c>
    </row>
    <row r="606" spans="1:17" x14ac:dyDescent="0.2">
      <c r="A606" t="s">
        <v>25</v>
      </c>
      <c r="B606" t="s">
        <v>612</v>
      </c>
      <c r="C606">
        <v>140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105</v>
      </c>
      <c r="J606">
        <v>30</v>
      </c>
      <c r="K606">
        <v>0</v>
      </c>
      <c r="L606">
        <v>30</v>
      </c>
      <c r="M606">
        <v>3</v>
      </c>
      <c r="N606">
        <v>167</v>
      </c>
      <c r="O606" s="3">
        <f t="shared" si="29"/>
        <v>2.1428571428571428</v>
      </c>
      <c r="P606">
        <f t="shared" si="27"/>
        <v>0</v>
      </c>
      <c r="Q606">
        <f t="shared" si="28"/>
        <v>0</v>
      </c>
    </row>
    <row r="607" spans="1:17" x14ac:dyDescent="0.2">
      <c r="A607" t="s">
        <v>25</v>
      </c>
      <c r="B607" t="s">
        <v>613</v>
      </c>
      <c r="C607">
        <v>140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50</v>
      </c>
      <c r="J607">
        <v>32</v>
      </c>
      <c r="K607">
        <v>0</v>
      </c>
      <c r="L607">
        <v>32</v>
      </c>
      <c r="M607">
        <v>3</v>
      </c>
      <c r="N607">
        <v>169</v>
      </c>
      <c r="O607" s="3">
        <f t="shared" si="29"/>
        <v>2.1428571428571428</v>
      </c>
      <c r="P607">
        <f t="shared" si="27"/>
        <v>0</v>
      </c>
      <c r="Q607">
        <f t="shared" si="28"/>
        <v>0</v>
      </c>
    </row>
    <row r="608" spans="1:17" x14ac:dyDescent="0.2">
      <c r="A608" t="s">
        <v>25</v>
      </c>
      <c r="B608" t="s">
        <v>614</v>
      </c>
      <c r="C608">
        <v>140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50</v>
      </c>
      <c r="J608">
        <v>31</v>
      </c>
      <c r="K608">
        <v>0</v>
      </c>
      <c r="L608">
        <v>31</v>
      </c>
      <c r="M608">
        <v>3</v>
      </c>
      <c r="N608">
        <v>168</v>
      </c>
      <c r="O608" s="3">
        <f t="shared" si="29"/>
        <v>2.1428571428571428</v>
      </c>
      <c r="P608">
        <f t="shared" si="27"/>
        <v>0</v>
      </c>
      <c r="Q608">
        <f t="shared" si="28"/>
        <v>0</v>
      </c>
    </row>
    <row r="609" spans="1:17" x14ac:dyDescent="0.2">
      <c r="A609" t="s">
        <v>25</v>
      </c>
      <c r="B609" t="s">
        <v>615</v>
      </c>
      <c r="C609">
        <v>280</v>
      </c>
      <c r="D609">
        <v>100</v>
      </c>
      <c r="E609">
        <v>11</v>
      </c>
      <c r="F609">
        <v>6</v>
      </c>
      <c r="G609">
        <v>0</v>
      </c>
      <c r="H609">
        <v>20</v>
      </c>
      <c r="I609">
        <v>125</v>
      </c>
      <c r="J609">
        <v>40</v>
      </c>
      <c r="K609">
        <v>0</v>
      </c>
      <c r="L609">
        <v>33</v>
      </c>
      <c r="M609">
        <v>6</v>
      </c>
      <c r="N609">
        <v>313</v>
      </c>
      <c r="O609" s="3">
        <f t="shared" si="29"/>
        <v>2.1428571428571428</v>
      </c>
      <c r="P609">
        <f t="shared" si="27"/>
        <v>0</v>
      </c>
      <c r="Q609">
        <f t="shared" si="28"/>
        <v>0</v>
      </c>
    </row>
    <row r="610" spans="1:17" x14ac:dyDescent="0.2">
      <c r="A610" t="s">
        <v>25</v>
      </c>
      <c r="B610" t="s">
        <v>616</v>
      </c>
      <c r="C610">
        <v>330</v>
      </c>
      <c r="D610">
        <v>110</v>
      </c>
      <c r="E610">
        <v>12</v>
      </c>
      <c r="F610">
        <v>7</v>
      </c>
      <c r="G610">
        <v>0</v>
      </c>
      <c r="H610">
        <v>25</v>
      </c>
      <c r="I610">
        <v>150</v>
      </c>
      <c r="J610">
        <v>48</v>
      </c>
      <c r="K610">
        <v>0</v>
      </c>
      <c r="L610">
        <v>41</v>
      </c>
      <c r="M610">
        <v>7</v>
      </c>
      <c r="N610">
        <v>371</v>
      </c>
      <c r="O610" s="3">
        <f t="shared" si="29"/>
        <v>2.1212121212121215</v>
      </c>
      <c r="P610">
        <f t="shared" si="27"/>
        <v>0</v>
      </c>
      <c r="Q610">
        <f t="shared" si="28"/>
        <v>0</v>
      </c>
    </row>
    <row r="611" spans="1:17" x14ac:dyDescent="0.2">
      <c r="A611" t="s">
        <v>25</v>
      </c>
      <c r="B611" t="s">
        <v>617</v>
      </c>
      <c r="C611">
        <v>710</v>
      </c>
      <c r="D611">
        <v>230</v>
      </c>
      <c r="E611">
        <v>25</v>
      </c>
      <c r="F611">
        <v>16</v>
      </c>
      <c r="G611">
        <v>1</v>
      </c>
      <c r="H611">
        <v>60</v>
      </c>
      <c r="I611">
        <v>220</v>
      </c>
      <c r="J611">
        <v>105</v>
      </c>
      <c r="K611">
        <v>4</v>
      </c>
      <c r="L611">
        <v>97</v>
      </c>
      <c r="M611">
        <v>15</v>
      </c>
      <c r="N611">
        <v>808</v>
      </c>
      <c r="O611" s="3">
        <f t="shared" si="29"/>
        <v>2.112676056338028</v>
      </c>
      <c r="P611">
        <f t="shared" si="27"/>
        <v>0</v>
      </c>
      <c r="Q611">
        <f t="shared" si="28"/>
        <v>0</v>
      </c>
    </row>
    <row r="612" spans="1:17" x14ac:dyDescent="0.2">
      <c r="A612" t="s">
        <v>25</v>
      </c>
      <c r="B612" t="s">
        <v>618</v>
      </c>
      <c r="C612">
        <v>430</v>
      </c>
      <c r="D612">
        <v>140</v>
      </c>
      <c r="E612">
        <v>16</v>
      </c>
      <c r="F612">
        <v>10</v>
      </c>
      <c r="G612">
        <v>0.5</v>
      </c>
      <c r="H612">
        <v>35</v>
      </c>
      <c r="I612">
        <v>130</v>
      </c>
      <c r="J612">
        <v>64</v>
      </c>
      <c r="K612">
        <v>2</v>
      </c>
      <c r="L612">
        <v>59</v>
      </c>
      <c r="M612">
        <v>9</v>
      </c>
      <c r="N612">
        <v>490</v>
      </c>
      <c r="O612" s="3">
        <f t="shared" si="29"/>
        <v>2.0930232558139537</v>
      </c>
      <c r="P612">
        <f t="shared" si="27"/>
        <v>0</v>
      </c>
      <c r="Q612">
        <f t="shared" si="28"/>
        <v>0</v>
      </c>
    </row>
    <row r="613" spans="1:17" x14ac:dyDescent="0.2">
      <c r="A613" t="s">
        <v>25</v>
      </c>
      <c r="B613" t="s">
        <v>619</v>
      </c>
      <c r="C613">
        <v>860</v>
      </c>
      <c r="D613">
        <v>220</v>
      </c>
      <c r="E613">
        <v>24</v>
      </c>
      <c r="F613">
        <v>15</v>
      </c>
      <c r="G613">
        <v>1.5</v>
      </c>
      <c r="H613">
        <v>75</v>
      </c>
      <c r="I613">
        <v>260</v>
      </c>
      <c r="J613">
        <v>144</v>
      </c>
      <c r="K613">
        <v>0</v>
      </c>
      <c r="L613">
        <v>124</v>
      </c>
      <c r="M613">
        <v>18</v>
      </c>
      <c r="N613">
        <v>981</v>
      </c>
      <c r="O613" s="3">
        <f t="shared" si="29"/>
        <v>2.0930232558139537</v>
      </c>
      <c r="P613">
        <f t="shared" si="27"/>
        <v>0</v>
      </c>
      <c r="Q613">
        <f t="shared" si="28"/>
        <v>0</v>
      </c>
    </row>
    <row r="614" spans="1:17" x14ac:dyDescent="0.2">
      <c r="A614" t="s">
        <v>25</v>
      </c>
      <c r="B614" t="s">
        <v>620</v>
      </c>
      <c r="C614">
        <v>720</v>
      </c>
      <c r="D614">
        <v>180</v>
      </c>
      <c r="E614">
        <v>20</v>
      </c>
      <c r="F614">
        <v>12</v>
      </c>
      <c r="G614">
        <v>1</v>
      </c>
      <c r="H614">
        <v>60</v>
      </c>
      <c r="I614">
        <v>300</v>
      </c>
      <c r="J614">
        <v>119</v>
      </c>
      <c r="K614">
        <v>1</v>
      </c>
      <c r="L614">
        <v>98</v>
      </c>
      <c r="M614">
        <v>15</v>
      </c>
      <c r="N614">
        <v>815</v>
      </c>
      <c r="O614" s="3">
        <f t="shared" si="29"/>
        <v>2.083333333333333</v>
      </c>
      <c r="P614">
        <f t="shared" si="27"/>
        <v>0</v>
      </c>
      <c r="Q614">
        <f t="shared" si="28"/>
        <v>0</v>
      </c>
    </row>
    <row r="615" spans="1:17" x14ac:dyDescent="0.2">
      <c r="A615" t="s">
        <v>51</v>
      </c>
      <c r="B615" t="s">
        <v>621</v>
      </c>
      <c r="C615">
        <v>240</v>
      </c>
      <c r="D615">
        <v>50</v>
      </c>
      <c r="E615">
        <v>5</v>
      </c>
      <c r="F615">
        <v>3.5</v>
      </c>
      <c r="G615">
        <v>0</v>
      </c>
      <c r="H615">
        <v>20</v>
      </c>
      <c r="I615">
        <v>210</v>
      </c>
      <c r="J615">
        <v>42</v>
      </c>
      <c r="K615">
        <v>0</v>
      </c>
      <c r="L615">
        <v>33</v>
      </c>
      <c r="M615">
        <v>5</v>
      </c>
      <c r="N615">
        <v>272</v>
      </c>
      <c r="O615" s="3">
        <f t="shared" si="29"/>
        <v>2.083333333333333</v>
      </c>
      <c r="P615">
        <f t="shared" si="27"/>
        <v>0</v>
      </c>
      <c r="Q615">
        <f t="shared" si="28"/>
        <v>0</v>
      </c>
    </row>
    <row r="616" spans="1:17" x14ac:dyDescent="0.2">
      <c r="A616" t="s">
        <v>25</v>
      </c>
      <c r="B616" t="s">
        <v>622</v>
      </c>
      <c r="C616">
        <v>340</v>
      </c>
      <c r="D616">
        <v>70</v>
      </c>
      <c r="E616">
        <v>8</v>
      </c>
      <c r="F616">
        <v>5</v>
      </c>
      <c r="G616">
        <v>0</v>
      </c>
      <c r="H616">
        <v>30</v>
      </c>
      <c r="I616">
        <v>160</v>
      </c>
      <c r="J616">
        <v>60</v>
      </c>
      <c r="K616">
        <v>1</v>
      </c>
      <c r="L616">
        <v>44</v>
      </c>
      <c r="M616">
        <v>7</v>
      </c>
      <c r="N616">
        <v>382</v>
      </c>
      <c r="O616" s="3">
        <f t="shared" si="29"/>
        <v>2.0588235294117645</v>
      </c>
      <c r="P616">
        <f t="shared" si="27"/>
        <v>0</v>
      </c>
      <c r="Q616">
        <f t="shared" si="28"/>
        <v>0</v>
      </c>
    </row>
    <row r="617" spans="1:17" x14ac:dyDescent="0.2">
      <c r="A617" t="s">
        <v>25</v>
      </c>
      <c r="B617" t="s">
        <v>623</v>
      </c>
      <c r="C617">
        <v>680</v>
      </c>
      <c r="D617">
        <v>180</v>
      </c>
      <c r="E617">
        <v>20</v>
      </c>
      <c r="F617">
        <v>12</v>
      </c>
      <c r="G617">
        <v>1</v>
      </c>
      <c r="H617">
        <v>60</v>
      </c>
      <c r="I617">
        <v>220</v>
      </c>
      <c r="J617">
        <v>111</v>
      </c>
      <c r="K617">
        <v>0</v>
      </c>
      <c r="L617">
        <v>82</v>
      </c>
      <c r="M617">
        <v>14</v>
      </c>
      <c r="N617">
        <v>760</v>
      </c>
      <c r="O617" s="3">
        <f t="shared" si="29"/>
        <v>2.0588235294117645</v>
      </c>
      <c r="P617">
        <f t="shared" si="27"/>
        <v>0</v>
      </c>
      <c r="Q617">
        <f t="shared" si="28"/>
        <v>0</v>
      </c>
    </row>
    <row r="618" spans="1:17" x14ac:dyDescent="0.2">
      <c r="A618" t="s">
        <v>25</v>
      </c>
      <c r="B618" t="s">
        <v>624</v>
      </c>
      <c r="C618">
        <v>830</v>
      </c>
      <c r="D618">
        <v>210</v>
      </c>
      <c r="E618">
        <v>24</v>
      </c>
      <c r="F618">
        <v>14</v>
      </c>
      <c r="G618">
        <v>1.5</v>
      </c>
      <c r="H618">
        <v>75</v>
      </c>
      <c r="I618">
        <v>270</v>
      </c>
      <c r="J618">
        <v>138</v>
      </c>
      <c r="K618">
        <v>0</v>
      </c>
      <c r="L618">
        <v>103</v>
      </c>
      <c r="M618">
        <v>17</v>
      </c>
      <c r="N618">
        <v>930</v>
      </c>
      <c r="O618" s="3">
        <f t="shared" si="29"/>
        <v>2.0481927710843375</v>
      </c>
      <c r="P618">
        <f t="shared" si="27"/>
        <v>0</v>
      </c>
      <c r="Q618">
        <f t="shared" si="28"/>
        <v>0</v>
      </c>
    </row>
    <row r="619" spans="1:17" x14ac:dyDescent="0.2">
      <c r="A619" t="s">
        <v>25</v>
      </c>
      <c r="B619" t="s">
        <v>625</v>
      </c>
      <c r="C619">
        <v>880</v>
      </c>
      <c r="D619">
        <v>220</v>
      </c>
      <c r="E619">
        <v>24</v>
      </c>
      <c r="F619">
        <v>15</v>
      </c>
      <c r="G619">
        <v>1.5</v>
      </c>
      <c r="H619">
        <v>75</v>
      </c>
      <c r="I619">
        <v>370</v>
      </c>
      <c r="J619">
        <v>147</v>
      </c>
      <c r="K619">
        <v>1</v>
      </c>
      <c r="L619">
        <v>121</v>
      </c>
      <c r="M619">
        <v>18</v>
      </c>
      <c r="N619">
        <v>998</v>
      </c>
      <c r="O619" s="3">
        <f t="shared" si="29"/>
        <v>2.0454545454545454</v>
      </c>
      <c r="P619">
        <f t="shared" si="27"/>
        <v>0</v>
      </c>
      <c r="Q619">
        <f t="shared" si="28"/>
        <v>0</v>
      </c>
    </row>
    <row r="620" spans="1:17" x14ac:dyDescent="0.2">
      <c r="A620" t="s">
        <v>21</v>
      </c>
      <c r="B620" t="s">
        <v>626</v>
      </c>
      <c r="C620">
        <v>590</v>
      </c>
      <c r="D620" s="2">
        <v>0</v>
      </c>
      <c r="E620">
        <v>21</v>
      </c>
      <c r="F620">
        <v>5</v>
      </c>
      <c r="G620">
        <v>0</v>
      </c>
      <c r="H620">
        <v>0</v>
      </c>
      <c r="I620">
        <v>2590</v>
      </c>
      <c r="J620">
        <v>88</v>
      </c>
      <c r="K620">
        <v>6</v>
      </c>
      <c r="L620">
        <v>1</v>
      </c>
      <c r="M620">
        <v>12</v>
      </c>
      <c r="N620">
        <v>584</v>
      </c>
      <c r="O620" s="3">
        <f t="shared" si="29"/>
        <v>2.0338983050847457</v>
      </c>
      <c r="P620">
        <f t="shared" si="27"/>
        <v>1</v>
      </c>
      <c r="Q620">
        <f t="shared" si="28"/>
        <v>0</v>
      </c>
    </row>
    <row r="621" spans="1:17" x14ac:dyDescent="0.2">
      <c r="A621" t="s">
        <v>25</v>
      </c>
      <c r="B621" t="s">
        <v>627</v>
      </c>
      <c r="C621">
        <v>710</v>
      </c>
      <c r="D621">
        <v>180</v>
      </c>
      <c r="E621">
        <v>20</v>
      </c>
      <c r="F621">
        <v>12</v>
      </c>
      <c r="G621">
        <v>1</v>
      </c>
      <c r="H621">
        <v>65</v>
      </c>
      <c r="I621">
        <v>210</v>
      </c>
      <c r="J621">
        <v>116</v>
      </c>
      <c r="K621">
        <v>0</v>
      </c>
      <c r="L621">
        <v>100</v>
      </c>
      <c r="M621">
        <v>14</v>
      </c>
      <c r="N621">
        <v>808</v>
      </c>
      <c r="O621" s="3">
        <f t="shared" si="29"/>
        <v>1.971830985915493</v>
      </c>
      <c r="P621">
        <f t="shared" si="27"/>
        <v>0</v>
      </c>
      <c r="Q621">
        <f t="shared" si="28"/>
        <v>0</v>
      </c>
    </row>
    <row r="622" spans="1:17" x14ac:dyDescent="0.2">
      <c r="A622" t="s">
        <v>51</v>
      </c>
      <c r="B622" t="s">
        <v>628</v>
      </c>
      <c r="C622">
        <v>610</v>
      </c>
      <c r="D622">
        <v>280</v>
      </c>
      <c r="E622">
        <v>31</v>
      </c>
      <c r="F622">
        <v>9</v>
      </c>
      <c r="G622">
        <v>0</v>
      </c>
      <c r="H622">
        <v>80</v>
      </c>
      <c r="I622">
        <v>1010</v>
      </c>
      <c r="J622">
        <v>72</v>
      </c>
      <c r="K622">
        <v>1</v>
      </c>
      <c r="L622">
        <v>30</v>
      </c>
      <c r="M622">
        <v>12</v>
      </c>
      <c r="N622">
        <v>637</v>
      </c>
      <c r="O622" s="3">
        <f t="shared" si="29"/>
        <v>1.9672131147540985</v>
      </c>
      <c r="P622">
        <f t="shared" si="27"/>
        <v>1</v>
      </c>
      <c r="Q622">
        <f t="shared" si="28"/>
        <v>0</v>
      </c>
    </row>
    <row r="623" spans="1:17" x14ac:dyDescent="0.2">
      <c r="A623" t="s">
        <v>21</v>
      </c>
      <c r="B623" t="s">
        <v>629</v>
      </c>
      <c r="C623">
        <v>460</v>
      </c>
      <c r="D623" s="2">
        <v>0</v>
      </c>
      <c r="E623">
        <v>15</v>
      </c>
      <c r="F623">
        <v>3</v>
      </c>
      <c r="G623">
        <v>0</v>
      </c>
      <c r="H623">
        <v>0</v>
      </c>
      <c r="I623">
        <v>1410</v>
      </c>
      <c r="J623">
        <v>72</v>
      </c>
      <c r="K623">
        <v>6</v>
      </c>
      <c r="L623">
        <v>0</v>
      </c>
      <c r="M623">
        <v>9</v>
      </c>
      <c r="N623">
        <v>454</v>
      </c>
      <c r="O623" s="3">
        <f t="shared" si="29"/>
        <v>1.956521739130435</v>
      </c>
      <c r="P623">
        <f t="shared" si="27"/>
        <v>1</v>
      </c>
      <c r="Q623">
        <f t="shared" si="28"/>
        <v>0</v>
      </c>
    </row>
    <row r="624" spans="1:17" x14ac:dyDescent="0.2">
      <c r="A624" t="s">
        <v>25</v>
      </c>
      <c r="B624" t="s">
        <v>630</v>
      </c>
      <c r="C624">
        <v>570</v>
      </c>
      <c r="D624">
        <v>150</v>
      </c>
      <c r="E624">
        <v>17</v>
      </c>
      <c r="F624">
        <v>10</v>
      </c>
      <c r="G624">
        <v>1</v>
      </c>
      <c r="H624">
        <v>50</v>
      </c>
      <c r="I624">
        <v>170</v>
      </c>
      <c r="J624">
        <v>92</v>
      </c>
      <c r="K624">
        <v>0</v>
      </c>
      <c r="L624">
        <v>79</v>
      </c>
      <c r="M624">
        <v>11</v>
      </c>
      <c r="N624">
        <v>648</v>
      </c>
      <c r="O624" s="3">
        <f t="shared" si="29"/>
        <v>1.9298245614035088</v>
      </c>
      <c r="P624">
        <f t="shared" si="27"/>
        <v>0</v>
      </c>
      <c r="Q624">
        <f t="shared" si="28"/>
        <v>0</v>
      </c>
    </row>
    <row r="625" spans="1:17" x14ac:dyDescent="0.2">
      <c r="A625" t="s">
        <v>25</v>
      </c>
      <c r="B625" t="s">
        <v>631</v>
      </c>
      <c r="C625">
        <v>260</v>
      </c>
      <c r="D625">
        <v>40</v>
      </c>
      <c r="E625">
        <v>4.5</v>
      </c>
      <c r="F625">
        <v>2</v>
      </c>
      <c r="G625">
        <v>0</v>
      </c>
      <c r="H625">
        <v>10</v>
      </c>
      <c r="I625">
        <v>115</v>
      </c>
      <c r="J625">
        <v>48</v>
      </c>
      <c r="K625">
        <v>5</v>
      </c>
      <c r="L625">
        <v>18</v>
      </c>
      <c r="M625">
        <v>5</v>
      </c>
      <c r="N625">
        <v>275</v>
      </c>
      <c r="O625" s="3">
        <f t="shared" si="29"/>
        <v>1.9230769230769231</v>
      </c>
      <c r="P625">
        <f t="shared" si="27"/>
        <v>0</v>
      </c>
      <c r="Q625">
        <f t="shared" si="28"/>
        <v>0</v>
      </c>
    </row>
    <row r="626" spans="1:17" x14ac:dyDescent="0.2">
      <c r="A626" t="s">
        <v>51</v>
      </c>
      <c r="B626" t="s">
        <v>632</v>
      </c>
      <c r="C626">
        <v>260</v>
      </c>
      <c r="D626">
        <v>45</v>
      </c>
      <c r="E626">
        <v>5</v>
      </c>
      <c r="F626">
        <v>3</v>
      </c>
      <c r="G626">
        <v>0</v>
      </c>
      <c r="H626">
        <v>20</v>
      </c>
      <c r="I626">
        <v>160</v>
      </c>
      <c r="J626">
        <v>49</v>
      </c>
      <c r="K626">
        <v>1</v>
      </c>
      <c r="L626">
        <v>43</v>
      </c>
      <c r="M626">
        <v>5</v>
      </c>
      <c r="N626">
        <v>301</v>
      </c>
      <c r="O626" s="3">
        <f t="shared" si="29"/>
        <v>1.9230769230769231</v>
      </c>
      <c r="P626">
        <f t="shared" si="27"/>
        <v>0</v>
      </c>
      <c r="Q626">
        <f t="shared" si="28"/>
        <v>0</v>
      </c>
    </row>
    <row r="627" spans="1:17" x14ac:dyDescent="0.2">
      <c r="A627" t="s">
        <v>25</v>
      </c>
      <c r="B627" t="s">
        <v>633</v>
      </c>
      <c r="C627">
        <v>210</v>
      </c>
      <c r="D627">
        <v>70</v>
      </c>
      <c r="E627">
        <v>8</v>
      </c>
      <c r="F627">
        <v>1.5</v>
      </c>
      <c r="G627">
        <v>0</v>
      </c>
      <c r="H627">
        <v>5</v>
      </c>
      <c r="I627">
        <v>60</v>
      </c>
      <c r="J627">
        <v>31</v>
      </c>
      <c r="K627">
        <v>2</v>
      </c>
      <c r="L627">
        <v>25</v>
      </c>
      <c r="M627">
        <v>4</v>
      </c>
      <c r="N627">
        <v>232.5</v>
      </c>
      <c r="O627" s="3">
        <f t="shared" si="29"/>
        <v>1.9047619047619049</v>
      </c>
      <c r="P627">
        <f t="shared" si="27"/>
        <v>0</v>
      </c>
      <c r="Q627">
        <f t="shared" si="28"/>
        <v>0</v>
      </c>
    </row>
    <row r="628" spans="1:17" x14ac:dyDescent="0.2">
      <c r="A628" t="s">
        <v>25</v>
      </c>
      <c r="B628" t="s">
        <v>634</v>
      </c>
      <c r="C628">
        <v>580</v>
      </c>
      <c r="D628">
        <v>150</v>
      </c>
      <c r="E628">
        <v>17</v>
      </c>
      <c r="F628">
        <v>10</v>
      </c>
      <c r="G628">
        <v>1</v>
      </c>
      <c r="H628">
        <v>50</v>
      </c>
      <c r="I628">
        <v>240</v>
      </c>
      <c r="J628">
        <v>94</v>
      </c>
      <c r="K628">
        <v>1</v>
      </c>
      <c r="L628">
        <v>77</v>
      </c>
      <c r="M628">
        <v>11</v>
      </c>
      <c r="N628">
        <v>656</v>
      </c>
      <c r="O628" s="3">
        <f t="shared" si="29"/>
        <v>1.896551724137931</v>
      </c>
      <c r="P628">
        <f t="shared" si="27"/>
        <v>0</v>
      </c>
      <c r="Q628">
        <f t="shared" si="28"/>
        <v>0</v>
      </c>
    </row>
    <row r="629" spans="1:17" x14ac:dyDescent="0.2">
      <c r="A629" t="s">
        <v>25</v>
      </c>
      <c r="B629" t="s">
        <v>635</v>
      </c>
      <c r="C629">
        <v>160</v>
      </c>
      <c r="D629">
        <v>25</v>
      </c>
      <c r="E629">
        <v>3</v>
      </c>
      <c r="F629">
        <v>1.5</v>
      </c>
      <c r="G629">
        <v>0</v>
      </c>
      <c r="H629">
        <v>10</v>
      </c>
      <c r="I629">
        <v>100</v>
      </c>
      <c r="J629">
        <v>29</v>
      </c>
      <c r="K629">
        <v>0</v>
      </c>
      <c r="L629">
        <v>29</v>
      </c>
      <c r="M629">
        <v>3</v>
      </c>
      <c r="N629">
        <v>187.5</v>
      </c>
      <c r="O629" s="3">
        <f t="shared" si="29"/>
        <v>1.875</v>
      </c>
      <c r="P629">
        <f t="shared" si="27"/>
        <v>0</v>
      </c>
      <c r="Q629">
        <f t="shared" si="28"/>
        <v>0</v>
      </c>
    </row>
    <row r="630" spans="1:17" x14ac:dyDescent="0.2">
      <c r="A630" t="s">
        <v>25</v>
      </c>
      <c r="B630" t="s">
        <v>636</v>
      </c>
      <c r="C630">
        <v>160</v>
      </c>
      <c r="D630">
        <v>25</v>
      </c>
      <c r="E630">
        <v>3</v>
      </c>
      <c r="F630">
        <v>1.5</v>
      </c>
      <c r="G630">
        <v>0</v>
      </c>
      <c r="H630">
        <v>10</v>
      </c>
      <c r="I630">
        <v>45</v>
      </c>
      <c r="J630">
        <v>31</v>
      </c>
      <c r="K630">
        <v>0</v>
      </c>
      <c r="L630">
        <v>31</v>
      </c>
      <c r="M630">
        <v>3</v>
      </c>
      <c r="N630">
        <v>189.5</v>
      </c>
      <c r="O630" s="3">
        <f t="shared" si="29"/>
        <v>1.875</v>
      </c>
      <c r="P630">
        <f t="shared" si="27"/>
        <v>0</v>
      </c>
      <c r="Q630">
        <f t="shared" si="28"/>
        <v>0</v>
      </c>
    </row>
    <row r="631" spans="1:17" x14ac:dyDescent="0.2">
      <c r="A631" t="s">
        <v>25</v>
      </c>
      <c r="B631" t="s">
        <v>637</v>
      </c>
      <c r="C631">
        <v>160</v>
      </c>
      <c r="D631">
        <v>25</v>
      </c>
      <c r="E631">
        <v>3</v>
      </c>
      <c r="F631">
        <v>1.5</v>
      </c>
      <c r="G631">
        <v>0</v>
      </c>
      <c r="H631">
        <v>10</v>
      </c>
      <c r="I631">
        <v>45</v>
      </c>
      <c r="J631">
        <v>31</v>
      </c>
      <c r="K631">
        <v>0</v>
      </c>
      <c r="L631">
        <v>31</v>
      </c>
      <c r="M631">
        <v>3</v>
      </c>
      <c r="N631">
        <v>189.5</v>
      </c>
      <c r="O631" s="3">
        <f t="shared" si="29"/>
        <v>1.875</v>
      </c>
      <c r="P631">
        <f t="shared" si="27"/>
        <v>0</v>
      </c>
      <c r="Q631">
        <f t="shared" si="28"/>
        <v>0</v>
      </c>
    </row>
    <row r="632" spans="1:17" x14ac:dyDescent="0.2">
      <c r="A632" t="s">
        <v>25</v>
      </c>
      <c r="B632" t="s">
        <v>638</v>
      </c>
      <c r="C632">
        <v>540</v>
      </c>
      <c r="D632">
        <v>150</v>
      </c>
      <c r="E632">
        <v>16</v>
      </c>
      <c r="F632">
        <v>10</v>
      </c>
      <c r="G632">
        <v>1</v>
      </c>
      <c r="H632">
        <v>45</v>
      </c>
      <c r="I632">
        <v>170</v>
      </c>
      <c r="J632">
        <v>88</v>
      </c>
      <c r="K632">
        <v>0</v>
      </c>
      <c r="L632">
        <v>64</v>
      </c>
      <c r="M632">
        <v>10</v>
      </c>
      <c r="N632">
        <v>604</v>
      </c>
      <c r="O632" s="3">
        <f t="shared" si="29"/>
        <v>1.8518518518518516</v>
      </c>
      <c r="P632">
        <f t="shared" si="27"/>
        <v>0</v>
      </c>
      <c r="Q632">
        <f t="shared" si="28"/>
        <v>0</v>
      </c>
    </row>
    <row r="633" spans="1:17" x14ac:dyDescent="0.2">
      <c r="A633" t="s">
        <v>17</v>
      </c>
      <c r="B633" t="s">
        <v>639</v>
      </c>
      <c r="C633">
        <v>710</v>
      </c>
      <c r="D633">
        <v>360</v>
      </c>
      <c r="E633">
        <v>40</v>
      </c>
      <c r="F633">
        <v>6</v>
      </c>
      <c r="G633">
        <v>0</v>
      </c>
      <c r="H633">
        <v>30</v>
      </c>
      <c r="I633">
        <v>1440</v>
      </c>
      <c r="J633">
        <v>73</v>
      </c>
      <c r="K633">
        <v>10</v>
      </c>
      <c r="L633">
        <v>4</v>
      </c>
      <c r="M633">
        <v>13</v>
      </c>
      <c r="O633" s="3">
        <f t="shared" si="29"/>
        <v>1.8309859154929577</v>
      </c>
      <c r="P633">
        <f t="shared" si="27"/>
        <v>1</v>
      </c>
      <c r="Q633">
        <f t="shared" si="28"/>
        <v>0</v>
      </c>
    </row>
    <row r="634" spans="1:17" x14ac:dyDescent="0.2">
      <c r="A634" t="s">
        <v>17</v>
      </c>
      <c r="B634" t="s">
        <v>640</v>
      </c>
      <c r="C634">
        <v>710</v>
      </c>
      <c r="D634">
        <v>360</v>
      </c>
      <c r="E634">
        <v>40</v>
      </c>
      <c r="F634">
        <v>6</v>
      </c>
      <c r="G634">
        <v>0</v>
      </c>
      <c r="H634">
        <v>30</v>
      </c>
      <c r="I634">
        <v>1440</v>
      </c>
      <c r="J634">
        <v>73</v>
      </c>
      <c r="K634">
        <v>10</v>
      </c>
      <c r="L634">
        <v>4</v>
      </c>
      <c r="M634">
        <v>13</v>
      </c>
      <c r="O634" s="3">
        <f t="shared" si="29"/>
        <v>1.8309859154929577</v>
      </c>
      <c r="P634">
        <f t="shared" si="27"/>
        <v>1</v>
      </c>
      <c r="Q634">
        <f t="shared" si="28"/>
        <v>0</v>
      </c>
    </row>
    <row r="635" spans="1:17" x14ac:dyDescent="0.2">
      <c r="A635" t="s">
        <v>21</v>
      </c>
      <c r="B635" t="s">
        <v>641</v>
      </c>
      <c r="C635">
        <v>110</v>
      </c>
      <c r="D635" s="2">
        <v>0</v>
      </c>
      <c r="E635">
        <v>3.5</v>
      </c>
      <c r="F635">
        <v>0.5</v>
      </c>
      <c r="G635">
        <v>0</v>
      </c>
      <c r="H635">
        <v>0</v>
      </c>
      <c r="I635">
        <v>330</v>
      </c>
      <c r="J635">
        <v>17</v>
      </c>
      <c r="K635">
        <v>1</v>
      </c>
      <c r="L635">
        <v>0</v>
      </c>
      <c r="M635">
        <v>2</v>
      </c>
      <c r="N635">
        <v>108.5</v>
      </c>
      <c r="O635" s="3">
        <f t="shared" si="29"/>
        <v>1.8181818181818181</v>
      </c>
      <c r="P635">
        <f t="shared" si="27"/>
        <v>0</v>
      </c>
      <c r="Q635">
        <f t="shared" si="28"/>
        <v>0</v>
      </c>
    </row>
    <row r="636" spans="1:17" x14ac:dyDescent="0.2">
      <c r="A636" t="s">
        <v>25</v>
      </c>
      <c r="B636" t="s">
        <v>642</v>
      </c>
      <c r="C636">
        <v>290</v>
      </c>
      <c r="D636">
        <v>40</v>
      </c>
      <c r="E636">
        <v>4.5</v>
      </c>
      <c r="F636">
        <v>2</v>
      </c>
      <c r="G636">
        <v>0</v>
      </c>
      <c r="H636">
        <v>10</v>
      </c>
      <c r="I636">
        <v>160</v>
      </c>
      <c r="J636">
        <v>57</v>
      </c>
      <c r="K636">
        <v>5</v>
      </c>
      <c r="L636">
        <v>32</v>
      </c>
      <c r="M636">
        <v>5</v>
      </c>
      <c r="N636">
        <v>319</v>
      </c>
      <c r="O636" s="3">
        <f t="shared" si="29"/>
        <v>1.7241379310344827</v>
      </c>
      <c r="P636">
        <f t="shared" si="27"/>
        <v>0</v>
      </c>
      <c r="Q636">
        <f t="shared" si="28"/>
        <v>0</v>
      </c>
    </row>
    <row r="637" spans="1:17" x14ac:dyDescent="0.2">
      <c r="A637" t="s">
        <v>51</v>
      </c>
      <c r="B637" t="s">
        <v>643</v>
      </c>
      <c r="C637">
        <v>350</v>
      </c>
      <c r="D637">
        <v>170</v>
      </c>
      <c r="E637">
        <v>18</v>
      </c>
      <c r="F637">
        <v>8</v>
      </c>
      <c r="G637">
        <v>0</v>
      </c>
      <c r="H637">
        <v>35</v>
      </c>
      <c r="I637">
        <v>310</v>
      </c>
      <c r="J637">
        <v>41</v>
      </c>
      <c r="K637">
        <v>1</v>
      </c>
      <c r="L637">
        <v>25</v>
      </c>
      <c r="M637">
        <v>6</v>
      </c>
      <c r="N637">
        <v>377</v>
      </c>
      <c r="O637" s="3">
        <f t="shared" si="29"/>
        <v>1.7142857142857144</v>
      </c>
      <c r="P637">
        <f t="shared" si="27"/>
        <v>0</v>
      </c>
      <c r="Q637">
        <f t="shared" si="28"/>
        <v>0</v>
      </c>
    </row>
    <row r="638" spans="1:17" x14ac:dyDescent="0.2">
      <c r="A638" t="s">
        <v>25</v>
      </c>
      <c r="B638" t="s">
        <v>644</v>
      </c>
      <c r="C638">
        <v>60</v>
      </c>
      <c r="D638">
        <v>20</v>
      </c>
      <c r="E638">
        <v>2.5</v>
      </c>
      <c r="F638">
        <v>0</v>
      </c>
      <c r="G638">
        <v>0</v>
      </c>
      <c r="H638">
        <v>5</v>
      </c>
      <c r="I638">
        <v>250</v>
      </c>
      <c r="J638">
        <v>9</v>
      </c>
      <c r="K638">
        <v>2</v>
      </c>
      <c r="L638">
        <v>6</v>
      </c>
      <c r="M638">
        <v>1</v>
      </c>
      <c r="N638">
        <v>65</v>
      </c>
      <c r="O638" s="3">
        <f t="shared" si="29"/>
        <v>1.6666666666666667</v>
      </c>
      <c r="P638">
        <f t="shared" si="27"/>
        <v>0</v>
      </c>
      <c r="Q638">
        <f t="shared" si="28"/>
        <v>0</v>
      </c>
    </row>
    <row r="639" spans="1:17" x14ac:dyDescent="0.2">
      <c r="A639" t="s">
        <v>25</v>
      </c>
      <c r="B639" t="s">
        <v>645</v>
      </c>
      <c r="C639">
        <v>60</v>
      </c>
      <c r="D639">
        <v>20</v>
      </c>
      <c r="E639">
        <v>2.5</v>
      </c>
      <c r="F639">
        <v>0</v>
      </c>
      <c r="G639">
        <v>0</v>
      </c>
      <c r="H639">
        <v>0</v>
      </c>
      <c r="I639">
        <v>730</v>
      </c>
      <c r="J639">
        <v>8</v>
      </c>
      <c r="K639">
        <v>0</v>
      </c>
      <c r="L639">
        <v>1</v>
      </c>
      <c r="M639">
        <v>1</v>
      </c>
      <c r="N639">
        <v>60</v>
      </c>
      <c r="O639" s="3">
        <f t="shared" si="29"/>
        <v>1.6666666666666667</v>
      </c>
      <c r="P639">
        <f t="shared" si="27"/>
        <v>1</v>
      </c>
      <c r="Q639">
        <f t="shared" si="28"/>
        <v>0</v>
      </c>
    </row>
    <row r="640" spans="1:17" x14ac:dyDescent="0.2">
      <c r="A640" t="s">
        <v>25</v>
      </c>
      <c r="B640" t="s">
        <v>646</v>
      </c>
      <c r="C640">
        <v>60</v>
      </c>
      <c r="D640">
        <v>50</v>
      </c>
      <c r="E640">
        <v>5</v>
      </c>
      <c r="F640">
        <v>3.5</v>
      </c>
      <c r="G640">
        <v>0</v>
      </c>
      <c r="H640">
        <v>20</v>
      </c>
      <c r="I640">
        <v>70</v>
      </c>
      <c r="J640">
        <v>8</v>
      </c>
      <c r="K640">
        <v>0</v>
      </c>
      <c r="L640">
        <v>1</v>
      </c>
      <c r="M640">
        <v>1</v>
      </c>
      <c r="N640">
        <v>63.5</v>
      </c>
      <c r="O640" s="3">
        <f t="shared" si="29"/>
        <v>1.6666666666666667</v>
      </c>
      <c r="P640">
        <f t="shared" si="27"/>
        <v>0</v>
      </c>
      <c r="Q640">
        <f t="shared" si="28"/>
        <v>0</v>
      </c>
    </row>
    <row r="641" spans="1:17" x14ac:dyDescent="0.2">
      <c r="A641" t="s">
        <v>25</v>
      </c>
      <c r="B641" t="s">
        <v>647</v>
      </c>
      <c r="C641">
        <v>120</v>
      </c>
      <c r="D641">
        <v>100</v>
      </c>
      <c r="E641">
        <v>11</v>
      </c>
      <c r="F641">
        <v>7</v>
      </c>
      <c r="G641">
        <v>0</v>
      </c>
      <c r="H641">
        <v>40</v>
      </c>
      <c r="I641">
        <v>140</v>
      </c>
      <c r="J641">
        <v>16</v>
      </c>
      <c r="K641">
        <v>0</v>
      </c>
      <c r="L641">
        <v>2</v>
      </c>
      <c r="M641">
        <v>2</v>
      </c>
      <c r="N641">
        <v>127</v>
      </c>
      <c r="O641" s="3">
        <f t="shared" si="29"/>
        <v>1.6666666666666667</v>
      </c>
      <c r="P641">
        <f t="shared" si="27"/>
        <v>0</v>
      </c>
      <c r="Q641">
        <f t="shared" si="28"/>
        <v>0</v>
      </c>
    </row>
    <row r="642" spans="1:17" x14ac:dyDescent="0.2">
      <c r="A642" t="s">
        <v>51</v>
      </c>
      <c r="B642" t="s">
        <v>648</v>
      </c>
      <c r="C642">
        <v>60</v>
      </c>
      <c r="D642">
        <v>20</v>
      </c>
      <c r="E642">
        <v>2.5</v>
      </c>
      <c r="F642">
        <v>0</v>
      </c>
      <c r="G642">
        <v>0</v>
      </c>
      <c r="H642">
        <v>10</v>
      </c>
      <c r="I642">
        <v>180</v>
      </c>
      <c r="J642">
        <v>9</v>
      </c>
      <c r="K642">
        <v>0</v>
      </c>
      <c r="L642">
        <v>1</v>
      </c>
      <c r="M642">
        <v>1</v>
      </c>
      <c r="N642">
        <v>60</v>
      </c>
      <c r="O642" s="3">
        <f t="shared" si="29"/>
        <v>1.6666666666666667</v>
      </c>
      <c r="P642">
        <f t="shared" ref="P642:P705" si="30">IF(I642&gt;2300*0.2,1,0)</f>
        <v>0</v>
      </c>
      <c r="Q642">
        <f t="shared" ref="Q642:Q705" si="31">IF(H642&gt;300,1,0)</f>
        <v>0</v>
      </c>
    </row>
    <row r="643" spans="1:17" x14ac:dyDescent="0.2">
      <c r="A643" t="s">
        <v>21</v>
      </c>
      <c r="B643" t="s">
        <v>649</v>
      </c>
      <c r="C643">
        <v>300</v>
      </c>
      <c r="D643" s="2">
        <v>0</v>
      </c>
      <c r="E643">
        <v>17</v>
      </c>
      <c r="F643">
        <v>9</v>
      </c>
      <c r="G643">
        <v>0</v>
      </c>
      <c r="H643">
        <v>0</v>
      </c>
      <c r="I643">
        <v>270</v>
      </c>
      <c r="J643">
        <v>33</v>
      </c>
      <c r="K643">
        <v>1</v>
      </c>
      <c r="L643">
        <v>22</v>
      </c>
      <c r="M643">
        <v>5</v>
      </c>
      <c r="N643">
        <v>326</v>
      </c>
      <c r="O643" s="3">
        <f t="shared" si="29"/>
        <v>1.6666666666666667</v>
      </c>
      <c r="P643">
        <f t="shared" si="30"/>
        <v>0</v>
      </c>
      <c r="Q643">
        <f t="shared" si="31"/>
        <v>0</v>
      </c>
    </row>
    <row r="644" spans="1:17" x14ac:dyDescent="0.2">
      <c r="A644" t="s">
        <v>58</v>
      </c>
      <c r="B644" t="s">
        <v>650</v>
      </c>
      <c r="C644">
        <v>490</v>
      </c>
      <c r="D644" s="2">
        <v>0</v>
      </c>
      <c r="E644">
        <v>29</v>
      </c>
      <c r="F644">
        <v>14</v>
      </c>
      <c r="G644">
        <v>0</v>
      </c>
      <c r="H644">
        <v>20</v>
      </c>
      <c r="I644">
        <v>1400</v>
      </c>
      <c r="J644">
        <v>49</v>
      </c>
      <c r="K644">
        <v>2</v>
      </c>
      <c r="L644">
        <v>6</v>
      </c>
      <c r="M644">
        <v>8</v>
      </c>
      <c r="N644">
        <v>502</v>
      </c>
      <c r="O644" s="3">
        <f t="shared" si="29"/>
        <v>1.6326530612244898</v>
      </c>
      <c r="P644">
        <f t="shared" si="30"/>
        <v>1</v>
      </c>
      <c r="Q644">
        <f t="shared" si="31"/>
        <v>0</v>
      </c>
    </row>
    <row r="645" spans="1:17" x14ac:dyDescent="0.2">
      <c r="A645" t="s">
        <v>58</v>
      </c>
      <c r="B645" t="s">
        <v>651</v>
      </c>
      <c r="C645">
        <v>250</v>
      </c>
      <c r="D645" s="2">
        <v>0</v>
      </c>
      <c r="E645">
        <v>9</v>
      </c>
      <c r="F645">
        <v>1.5</v>
      </c>
      <c r="G645">
        <v>0</v>
      </c>
      <c r="H645">
        <v>0</v>
      </c>
      <c r="I645">
        <v>750</v>
      </c>
      <c r="J645">
        <v>39</v>
      </c>
      <c r="K645">
        <v>4</v>
      </c>
      <c r="L645">
        <v>1</v>
      </c>
      <c r="M645">
        <v>4</v>
      </c>
      <c r="N645">
        <v>249</v>
      </c>
      <c r="O645" s="3">
        <f t="shared" si="29"/>
        <v>1.6</v>
      </c>
      <c r="P645">
        <f t="shared" si="30"/>
        <v>1</v>
      </c>
      <c r="Q645">
        <f t="shared" si="31"/>
        <v>0</v>
      </c>
    </row>
    <row r="646" spans="1:17" x14ac:dyDescent="0.2">
      <c r="A646" t="s">
        <v>25</v>
      </c>
      <c r="B646" t="s">
        <v>652</v>
      </c>
      <c r="C646">
        <v>190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39</v>
      </c>
      <c r="K646">
        <v>0</v>
      </c>
      <c r="L646">
        <v>39</v>
      </c>
      <c r="M646">
        <v>3</v>
      </c>
      <c r="N646">
        <v>226</v>
      </c>
      <c r="O646" s="3">
        <f t="shared" ref="O646:O709" si="32">M646/C646*100</f>
        <v>1.5789473684210527</v>
      </c>
      <c r="P646">
        <f t="shared" si="30"/>
        <v>0</v>
      </c>
      <c r="Q646">
        <f t="shared" si="31"/>
        <v>0</v>
      </c>
    </row>
    <row r="647" spans="1:17" x14ac:dyDescent="0.2">
      <c r="A647" t="s">
        <v>58</v>
      </c>
      <c r="B647" t="s">
        <v>653</v>
      </c>
      <c r="C647">
        <v>320</v>
      </c>
      <c r="D647" s="2">
        <v>0</v>
      </c>
      <c r="E647">
        <v>15</v>
      </c>
      <c r="F647">
        <v>2.5</v>
      </c>
      <c r="G647">
        <v>0</v>
      </c>
      <c r="H647">
        <v>0</v>
      </c>
      <c r="I647">
        <v>320</v>
      </c>
      <c r="J647">
        <v>43</v>
      </c>
      <c r="K647">
        <v>4</v>
      </c>
      <c r="L647">
        <v>0</v>
      </c>
      <c r="M647">
        <v>5</v>
      </c>
      <c r="N647">
        <v>318</v>
      </c>
      <c r="O647" s="3">
        <f t="shared" si="32"/>
        <v>1.5625</v>
      </c>
      <c r="P647">
        <f t="shared" si="30"/>
        <v>0</v>
      </c>
      <c r="Q647">
        <f t="shared" si="31"/>
        <v>0</v>
      </c>
    </row>
    <row r="648" spans="1:17" x14ac:dyDescent="0.2">
      <c r="A648" t="s">
        <v>21</v>
      </c>
      <c r="B648" t="s">
        <v>654</v>
      </c>
      <c r="C648">
        <v>320</v>
      </c>
      <c r="D648" s="2">
        <v>0</v>
      </c>
      <c r="E648">
        <v>15</v>
      </c>
      <c r="F648">
        <v>2</v>
      </c>
      <c r="G648">
        <v>0</v>
      </c>
      <c r="H648">
        <v>0</v>
      </c>
      <c r="I648">
        <v>1100</v>
      </c>
      <c r="J648">
        <v>41</v>
      </c>
      <c r="K648">
        <v>3</v>
      </c>
      <c r="L648">
        <v>0</v>
      </c>
      <c r="M648">
        <v>5</v>
      </c>
      <c r="N648">
        <v>317</v>
      </c>
      <c r="O648" s="3">
        <f t="shared" si="32"/>
        <v>1.5625</v>
      </c>
      <c r="P648">
        <f t="shared" si="30"/>
        <v>1</v>
      </c>
      <c r="Q648">
        <f t="shared" si="31"/>
        <v>0</v>
      </c>
    </row>
    <row r="649" spans="1:17" x14ac:dyDescent="0.2">
      <c r="A649" t="s">
        <v>25</v>
      </c>
      <c r="B649" t="s">
        <v>655</v>
      </c>
      <c r="C649">
        <v>450</v>
      </c>
      <c r="D649">
        <v>180</v>
      </c>
      <c r="E649">
        <v>20</v>
      </c>
      <c r="F649">
        <v>13</v>
      </c>
      <c r="G649">
        <v>1</v>
      </c>
      <c r="H649">
        <v>55</v>
      </c>
      <c r="I649">
        <v>130</v>
      </c>
      <c r="J649">
        <v>62</v>
      </c>
      <c r="K649">
        <v>1</v>
      </c>
      <c r="L649">
        <v>56</v>
      </c>
      <c r="M649">
        <v>7</v>
      </c>
      <c r="N649">
        <v>512</v>
      </c>
      <c r="O649" s="3">
        <f t="shared" si="32"/>
        <v>1.5555555555555556</v>
      </c>
      <c r="P649">
        <f t="shared" si="30"/>
        <v>0</v>
      </c>
      <c r="Q649">
        <f t="shared" si="31"/>
        <v>0</v>
      </c>
    </row>
    <row r="650" spans="1:17" x14ac:dyDescent="0.2">
      <c r="A650" t="s">
        <v>21</v>
      </c>
      <c r="B650" t="s">
        <v>656</v>
      </c>
      <c r="C650">
        <v>840</v>
      </c>
      <c r="D650" s="2">
        <v>0</v>
      </c>
      <c r="E650">
        <v>40</v>
      </c>
      <c r="F650">
        <v>5</v>
      </c>
      <c r="G650">
        <v>0</v>
      </c>
      <c r="H650">
        <v>0</v>
      </c>
      <c r="I650">
        <v>2890</v>
      </c>
      <c r="J650">
        <v>108</v>
      </c>
      <c r="K650">
        <v>9</v>
      </c>
      <c r="L650">
        <v>0</v>
      </c>
      <c r="M650">
        <v>13</v>
      </c>
      <c r="N650">
        <v>832</v>
      </c>
      <c r="O650" s="3">
        <f t="shared" si="32"/>
        <v>1.5476190476190477</v>
      </c>
      <c r="P650">
        <f t="shared" si="30"/>
        <v>1</v>
      </c>
      <c r="Q650">
        <f t="shared" si="31"/>
        <v>0</v>
      </c>
    </row>
    <row r="651" spans="1:17" x14ac:dyDescent="0.2">
      <c r="A651" t="s">
        <v>25</v>
      </c>
      <c r="B651" t="s">
        <v>657</v>
      </c>
      <c r="C651">
        <v>260</v>
      </c>
      <c r="D651">
        <v>70</v>
      </c>
      <c r="E651">
        <v>8</v>
      </c>
      <c r="F651">
        <v>2.5</v>
      </c>
      <c r="G651">
        <v>0</v>
      </c>
      <c r="H651">
        <v>0</v>
      </c>
      <c r="I651">
        <v>300</v>
      </c>
      <c r="J651">
        <v>43</v>
      </c>
      <c r="K651">
        <v>1</v>
      </c>
      <c r="L651">
        <v>13</v>
      </c>
      <c r="M651">
        <v>4</v>
      </c>
      <c r="N651">
        <v>271.5</v>
      </c>
      <c r="O651" s="3">
        <f t="shared" si="32"/>
        <v>1.5384615384615385</v>
      </c>
      <c r="P651">
        <f t="shared" si="30"/>
        <v>0</v>
      </c>
      <c r="Q651">
        <f t="shared" si="31"/>
        <v>0</v>
      </c>
    </row>
    <row r="652" spans="1:17" x14ac:dyDescent="0.2">
      <c r="A652" t="s">
        <v>25</v>
      </c>
      <c r="B652" t="s">
        <v>658</v>
      </c>
      <c r="C652">
        <v>680</v>
      </c>
      <c r="D652">
        <v>260</v>
      </c>
      <c r="E652">
        <v>29</v>
      </c>
      <c r="F652">
        <v>18</v>
      </c>
      <c r="G652">
        <v>1.5</v>
      </c>
      <c r="H652">
        <v>85</v>
      </c>
      <c r="I652">
        <v>200</v>
      </c>
      <c r="J652">
        <v>94</v>
      </c>
      <c r="K652">
        <v>0</v>
      </c>
      <c r="L652">
        <v>88</v>
      </c>
      <c r="M652">
        <v>10</v>
      </c>
      <c r="N652">
        <v>776</v>
      </c>
      <c r="O652" s="3">
        <f t="shared" si="32"/>
        <v>1.4705882352941175</v>
      </c>
      <c r="P652">
        <f t="shared" si="30"/>
        <v>0</v>
      </c>
      <c r="Q652">
        <f t="shared" si="31"/>
        <v>0</v>
      </c>
    </row>
    <row r="653" spans="1:17" x14ac:dyDescent="0.2">
      <c r="A653" t="s">
        <v>25</v>
      </c>
      <c r="B653" t="s">
        <v>659</v>
      </c>
      <c r="C653">
        <v>680</v>
      </c>
      <c r="D653">
        <v>250</v>
      </c>
      <c r="E653">
        <v>28</v>
      </c>
      <c r="F653">
        <v>18</v>
      </c>
      <c r="G653">
        <v>1</v>
      </c>
      <c r="H653">
        <v>80</v>
      </c>
      <c r="I653">
        <v>200</v>
      </c>
      <c r="J653">
        <v>96</v>
      </c>
      <c r="K653">
        <v>1</v>
      </c>
      <c r="L653">
        <v>87</v>
      </c>
      <c r="M653">
        <v>10</v>
      </c>
      <c r="N653">
        <v>775</v>
      </c>
      <c r="O653" s="3">
        <f t="shared" si="32"/>
        <v>1.4705882352941175</v>
      </c>
      <c r="P653">
        <f t="shared" si="30"/>
        <v>0</v>
      </c>
      <c r="Q653">
        <f t="shared" si="31"/>
        <v>0</v>
      </c>
    </row>
    <row r="654" spans="1:17" x14ac:dyDescent="0.2">
      <c r="A654" t="s">
        <v>25</v>
      </c>
      <c r="B654" t="s">
        <v>660</v>
      </c>
      <c r="C654">
        <v>550</v>
      </c>
      <c r="D654">
        <v>220</v>
      </c>
      <c r="E654">
        <v>24</v>
      </c>
      <c r="F654">
        <v>15</v>
      </c>
      <c r="G654">
        <v>1</v>
      </c>
      <c r="H654">
        <v>70</v>
      </c>
      <c r="I654">
        <v>160</v>
      </c>
      <c r="J654">
        <v>76</v>
      </c>
      <c r="K654">
        <v>0</v>
      </c>
      <c r="L654">
        <v>71</v>
      </c>
      <c r="M654">
        <v>8</v>
      </c>
      <c r="N654">
        <v>628</v>
      </c>
      <c r="O654" s="3">
        <f t="shared" si="32"/>
        <v>1.4545454545454546</v>
      </c>
      <c r="P654">
        <f t="shared" si="30"/>
        <v>0</v>
      </c>
      <c r="Q654">
        <f t="shared" si="31"/>
        <v>0</v>
      </c>
    </row>
    <row r="655" spans="1:17" x14ac:dyDescent="0.2">
      <c r="A655" t="s">
        <v>25</v>
      </c>
      <c r="B655" t="s">
        <v>661</v>
      </c>
      <c r="C655">
        <v>280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58</v>
      </c>
      <c r="K655">
        <v>0</v>
      </c>
      <c r="L655">
        <v>58</v>
      </c>
      <c r="M655">
        <v>4</v>
      </c>
      <c r="N655">
        <v>334</v>
      </c>
      <c r="O655" s="3">
        <f t="shared" si="32"/>
        <v>1.4285714285714286</v>
      </c>
      <c r="P655">
        <f t="shared" si="30"/>
        <v>0</v>
      </c>
      <c r="Q655">
        <f t="shared" si="31"/>
        <v>0</v>
      </c>
    </row>
    <row r="656" spans="1:17" x14ac:dyDescent="0.2">
      <c r="A656" t="s">
        <v>25</v>
      </c>
      <c r="B656" t="s">
        <v>662</v>
      </c>
      <c r="C656">
        <v>560</v>
      </c>
      <c r="D656">
        <v>210</v>
      </c>
      <c r="E656">
        <v>24</v>
      </c>
      <c r="F656">
        <v>15</v>
      </c>
      <c r="G656">
        <v>1</v>
      </c>
      <c r="H656">
        <v>65</v>
      </c>
      <c r="I656">
        <v>160</v>
      </c>
      <c r="J656">
        <v>78</v>
      </c>
      <c r="K656">
        <v>1</v>
      </c>
      <c r="L656">
        <v>70</v>
      </c>
      <c r="M656">
        <v>8</v>
      </c>
      <c r="N656">
        <v>637</v>
      </c>
      <c r="O656" s="3">
        <f t="shared" si="32"/>
        <v>1.4285714285714286</v>
      </c>
      <c r="P656">
        <f t="shared" si="30"/>
        <v>0</v>
      </c>
      <c r="Q656">
        <f t="shared" si="31"/>
        <v>0</v>
      </c>
    </row>
    <row r="657" spans="1:17" x14ac:dyDescent="0.2">
      <c r="A657" t="s">
        <v>51</v>
      </c>
      <c r="B657" t="s">
        <v>663</v>
      </c>
      <c r="C657">
        <v>140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20</v>
      </c>
      <c r="J657">
        <v>33</v>
      </c>
      <c r="K657">
        <v>0</v>
      </c>
      <c r="L657">
        <v>30</v>
      </c>
      <c r="M657">
        <v>2</v>
      </c>
      <c r="N657">
        <v>168</v>
      </c>
      <c r="O657" s="3">
        <f t="shared" si="32"/>
        <v>1.4285714285714286</v>
      </c>
      <c r="P657">
        <f t="shared" si="30"/>
        <v>0</v>
      </c>
      <c r="Q657">
        <f t="shared" si="31"/>
        <v>0</v>
      </c>
    </row>
    <row r="658" spans="1:17" x14ac:dyDescent="0.2">
      <c r="A658" t="s">
        <v>58</v>
      </c>
      <c r="B658" t="s">
        <v>664</v>
      </c>
      <c r="C658">
        <v>420</v>
      </c>
      <c r="D658" s="2">
        <v>0</v>
      </c>
      <c r="E658">
        <v>19</v>
      </c>
      <c r="F658">
        <v>3.5</v>
      </c>
      <c r="G658">
        <v>0</v>
      </c>
      <c r="H658">
        <v>0</v>
      </c>
      <c r="I658">
        <v>420</v>
      </c>
      <c r="J658">
        <v>56</v>
      </c>
      <c r="K658">
        <v>5</v>
      </c>
      <c r="L658">
        <v>0</v>
      </c>
      <c r="M658">
        <v>6</v>
      </c>
      <c r="N658">
        <v>418</v>
      </c>
      <c r="O658" s="3">
        <f t="shared" si="32"/>
        <v>1.4285714285714286</v>
      </c>
      <c r="P658">
        <f t="shared" si="30"/>
        <v>0</v>
      </c>
      <c r="Q658">
        <f t="shared" si="31"/>
        <v>0</v>
      </c>
    </row>
    <row r="659" spans="1:17" x14ac:dyDescent="0.2">
      <c r="A659" t="s">
        <v>58</v>
      </c>
      <c r="B659" t="s">
        <v>665</v>
      </c>
      <c r="C659">
        <v>210</v>
      </c>
      <c r="D659" s="2">
        <v>0</v>
      </c>
      <c r="E659">
        <v>8</v>
      </c>
      <c r="F659">
        <v>5</v>
      </c>
      <c r="G659">
        <v>0</v>
      </c>
      <c r="H659">
        <v>25</v>
      </c>
      <c r="I659">
        <v>40</v>
      </c>
      <c r="J659">
        <v>32</v>
      </c>
      <c r="K659">
        <v>0</v>
      </c>
      <c r="L659">
        <v>28</v>
      </c>
      <c r="M659">
        <v>3</v>
      </c>
      <c r="N659">
        <v>240</v>
      </c>
      <c r="O659" s="3">
        <f t="shared" si="32"/>
        <v>1.4285714285714286</v>
      </c>
      <c r="P659">
        <f t="shared" si="30"/>
        <v>0</v>
      </c>
      <c r="Q659">
        <f t="shared" si="31"/>
        <v>0</v>
      </c>
    </row>
    <row r="660" spans="1:17" x14ac:dyDescent="0.2">
      <c r="A660" t="s">
        <v>21</v>
      </c>
      <c r="B660" t="s">
        <v>666</v>
      </c>
      <c r="C660">
        <v>210</v>
      </c>
      <c r="D660" s="2">
        <v>0</v>
      </c>
      <c r="E660">
        <v>9</v>
      </c>
      <c r="F660">
        <v>1.5</v>
      </c>
      <c r="G660">
        <v>0</v>
      </c>
      <c r="H660">
        <v>35</v>
      </c>
      <c r="I660">
        <v>240</v>
      </c>
      <c r="J660">
        <v>28</v>
      </c>
      <c r="K660" s="2">
        <v>0</v>
      </c>
      <c r="L660">
        <v>11</v>
      </c>
      <c r="M660">
        <v>3</v>
      </c>
      <c r="N660">
        <v>219.5</v>
      </c>
      <c r="O660" s="3">
        <f t="shared" si="32"/>
        <v>1.4285714285714286</v>
      </c>
      <c r="P660">
        <f t="shared" si="30"/>
        <v>0</v>
      </c>
      <c r="Q660">
        <f t="shared" si="31"/>
        <v>0</v>
      </c>
    </row>
    <row r="661" spans="1:17" x14ac:dyDescent="0.2">
      <c r="A661" t="s">
        <v>17</v>
      </c>
      <c r="B661" t="s">
        <v>667</v>
      </c>
      <c r="C661">
        <v>140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20</v>
      </c>
      <c r="J661">
        <v>33</v>
      </c>
      <c r="K661" s="2">
        <v>0</v>
      </c>
      <c r="L661">
        <v>28</v>
      </c>
      <c r="M661">
        <v>2</v>
      </c>
      <c r="O661" s="3">
        <f t="shared" si="32"/>
        <v>1.4285714285714286</v>
      </c>
      <c r="P661">
        <f t="shared" si="30"/>
        <v>0</v>
      </c>
      <c r="Q661">
        <f t="shared" si="31"/>
        <v>0</v>
      </c>
    </row>
    <row r="662" spans="1:17" x14ac:dyDescent="0.2">
      <c r="A662" t="s">
        <v>58</v>
      </c>
      <c r="B662" t="s">
        <v>668</v>
      </c>
      <c r="C662">
        <v>360</v>
      </c>
      <c r="D662" s="2">
        <v>0</v>
      </c>
      <c r="E662">
        <v>13</v>
      </c>
      <c r="F662">
        <v>2.5</v>
      </c>
      <c r="G662">
        <v>0</v>
      </c>
      <c r="H662">
        <v>0</v>
      </c>
      <c r="I662">
        <v>1080</v>
      </c>
      <c r="J662">
        <v>57</v>
      </c>
      <c r="K662">
        <v>6</v>
      </c>
      <c r="L662">
        <v>1</v>
      </c>
      <c r="M662">
        <v>5</v>
      </c>
      <c r="N662">
        <v>359</v>
      </c>
      <c r="O662" s="3">
        <f t="shared" si="32"/>
        <v>1.3888888888888888</v>
      </c>
      <c r="P662">
        <f t="shared" si="30"/>
        <v>1</v>
      </c>
      <c r="Q662">
        <f t="shared" si="31"/>
        <v>0</v>
      </c>
    </row>
    <row r="663" spans="1:17" x14ac:dyDescent="0.2">
      <c r="A663" t="s">
        <v>58</v>
      </c>
      <c r="B663" t="s">
        <v>669</v>
      </c>
      <c r="C663">
        <v>290</v>
      </c>
      <c r="D663" s="2">
        <v>0</v>
      </c>
      <c r="E663">
        <v>14</v>
      </c>
      <c r="F663">
        <v>7</v>
      </c>
      <c r="G663">
        <v>0</v>
      </c>
      <c r="H663">
        <v>20</v>
      </c>
      <c r="I663">
        <v>230</v>
      </c>
      <c r="J663">
        <v>39</v>
      </c>
      <c r="K663">
        <v>4</v>
      </c>
      <c r="L663">
        <v>21</v>
      </c>
      <c r="M663">
        <v>4</v>
      </c>
      <c r="N663">
        <v>314</v>
      </c>
      <c r="O663" s="3">
        <f t="shared" si="32"/>
        <v>1.3793103448275863</v>
      </c>
      <c r="P663">
        <f t="shared" si="30"/>
        <v>0</v>
      </c>
      <c r="Q663">
        <f t="shared" si="31"/>
        <v>0</v>
      </c>
    </row>
    <row r="664" spans="1:17" x14ac:dyDescent="0.2">
      <c r="A664" t="s">
        <v>21</v>
      </c>
      <c r="B664" t="s">
        <v>670</v>
      </c>
      <c r="C664">
        <v>290</v>
      </c>
      <c r="D664" s="2">
        <v>0</v>
      </c>
      <c r="E664">
        <v>13</v>
      </c>
      <c r="F664">
        <v>7</v>
      </c>
      <c r="G664">
        <v>0</v>
      </c>
      <c r="H664">
        <v>0</v>
      </c>
      <c r="I664">
        <v>580</v>
      </c>
      <c r="J664">
        <v>40</v>
      </c>
      <c r="K664">
        <v>2</v>
      </c>
      <c r="L664">
        <v>17</v>
      </c>
      <c r="M664">
        <v>4</v>
      </c>
      <c r="N664">
        <v>310</v>
      </c>
      <c r="O664" s="3">
        <f t="shared" si="32"/>
        <v>1.3793103448275863</v>
      </c>
      <c r="P664">
        <f t="shared" si="30"/>
        <v>1</v>
      </c>
      <c r="Q664">
        <f t="shared" si="31"/>
        <v>0</v>
      </c>
    </row>
    <row r="665" spans="1:17" x14ac:dyDescent="0.2">
      <c r="A665" t="s">
        <v>25</v>
      </c>
      <c r="B665" t="s">
        <v>671</v>
      </c>
      <c r="C665">
        <v>150</v>
      </c>
      <c r="D665">
        <v>50</v>
      </c>
      <c r="E665">
        <v>6</v>
      </c>
      <c r="F665">
        <v>2.5</v>
      </c>
      <c r="G665">
        <v>0</v>
      </c>
      <c r="H665">
        <v>10</v>
      </c>
      <c r="I665">
        <v>135</v>
      </c>
      <c r="J665">
        <v>22</v>
      </c>
      <c r="K665">
        <v>1</v>
      </c>
      <c r="L665">
        <v>13</v>
      </c>
      <c r="M665">
        <v>2</v>
      </c>
      <c r="N665">
        <v>163.5</v>
      </c>
      <c r="O665" s="3">
        <f t="shared" si="32"/>
        <v>1.3333333333333335</v>
      </c>
      <c r="P665">
        <f t="shared" si="30"/>
        <v>0</v>
      </c>
      <c r="Q665">
        <f t="shared" si="31"/>
        <v>0</v>
      </c>
    </row>
    <row r="666" spans="1:17" x14ac:dyDescent="0.2">
      <c r="A666" t="s">
        <v>25</v>
      </c>
      <c r="B666" t="s">
        <v>672</v>
      </c>
      <c r="C666">
        <v>150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30</v>
      </c>
      <c r="K666">
        <v>0</v>
      </c>
      <c r="L666">
        <v>30</v>
      </c>
      <c r="M666">
        <v>2</v>
      </c>
      <c r="N666">
        <v>178</v>
      </c>
      <c r="O666" s="3">
        <f t="shared" si="32"/>
        <v>1.3333333333333335</v>
      </c>
      <c r="P666">
        <f t="shared" si="30"/>
        <v>0</v>
      </c>
      <c r="Q666">
        <f t="shared" si="31"/>
        <v>0</v>
      </c>
    </row>
    <row r="667" spans="1:17" x14ac:dyDescent="0.2">
      <c r="A667" t="s">
        <v>25</v>
      </c>
      <c r="B667" t="s">
        <v>673</v>
      </c>
      <c r="C667">
        <v>450</v>
      </c>
      <c r="D667">
        <v>180</v>
      </c>
      <c r="E667">
        <v>20</v>
      </c>
      <c r="F667">
        <v>13</v>
      </c>
      <c r="G667">
        <v>1</v>
      </c>
      <c r="H667">
        <v>55</v>
      </c>
      <c r="I667">
        <v>135</v>
      </c>
      <c r="J667">
        <v>61</v>
      </c>
      <c r="K667">
        <v>0</v>
      </c>
      <c r="L667">
        <v>57</v>
      </c>
      <c r="M667">
        <v>6</v>
      </c>
      <c r="N667">
        <v>514</v>
      </c>
      <c r="O667" s="3">
        <f t="shared" si="32"/>
        <v>1.3333333333333335</v>
      </c>
      <c r="P667">
        <f t="shared" si="30"/>
        <v>0</v>
      </c>
      <c r="Q667">
        <f t="shared" si="31"/>
        <v>0</v>
      </c>
    </row>
    <row r="668" spans="1:17" x14ac:dyDescent="0.2">
      <c r="A668" t="s">
        <v>21</v>
      </c>
      <c r="B668" t="s">
        <v>674</v>
      </c>
      <c r="C668">
        <v>300</v>
      </c>
      <c r="D668" s="2">
        <v>0</v>
      </c>
      <c r="E668">
        <v>15</v>
      </c>
      <c r="F668">
        <v>3</v>
      </c>
      <c r="G668">
        <v>0</v>
      </c>
      <c r="H668">
        <v>50</v>
      </c>
      <c r="I668">
        <v>260</v>
      </c>
      <c r="J668">
        <v>39</v>
      </c>
      <c r="K668">
        <v>1</v>
      </c>
      <c r="L668">
        <v>27</v>
      </c>
      <c r="M668">
        <v>4</v>
      </c>
      <c r="N668">
        <v>326</v>
      </c>
      <c r="O668" s="3">
        <f t="shared" si="32"/>
        <v>1.3333333333333335</v>
      </c>
      <c r="P668">
        <f t="shared" si="30"/>
        <v>0</v>
      </c>
      <c r="Q668">
        <f t="shared" si="31"/>
        <v>0</v>
      </c>
    </row>
    <row r="669" spans="1:17" x14ac:dyDescent="0.2">
      <c r="A669" t="s">
        <v>58</v>
      </c>
      <c r="B669" t="s">
        <v>675</v>
      </c>
      <c r="C669">
        <v>530</v>
      </c>
      <c r="D669" s="2">
        <v>0</v>
      </c>
      <c r="E669">
        <v>24</v>
      </c>
      <c r="F669">
        <v>4.5</v>
      </c>
      <c r="G669">
        <v>0</v>
      </c>
      <c r="H669">
        <v>0</v>
      </c>
      <c r="I669">
        <v>520</v>
      </c>
      <c r="J669">
        <v>70</v>
      </c>
      <c r="K669">
        <v>6</v>
      </c>
      <c r="L669">
        <v>0</v>
      </c>
      <c r="M669">
        <v>7</v>
      </c>
      <c r="N669">
        <v>528</v>
      </c>
      <c r="O669" s="3">
        <f t="shared" si="32"/>
        <v>1.3207547169811322</v>
      </c>
      <c r="P669">
        <f t="shared" si="30"/>
        <v>1</v>
      </c>
      <c r="Q669">
        <f t="shared" si="31"/>
        <v>0</v>
      </c>
    </row>
    <row r="670" spans="1:17" x14ac:dyDescent="0.2">
      <c r="A670" t="s">
        <v>51</v>
      </c>
      <c r="B670" t="s">
        <v>676</v>
      </c>
      <c r="C670">
        <v>380</v>
      </c>
      <c r="D670">
        <v>160</v>
      </c>
      <c r="E670">
        <v>18</v>
      </c>
      <c r="F670">
        <v>3</v>
      </c>
      <c r="G670">
        <v>0</v>
      </c>
      <c r="H670">
        <v>0</v>
      </c>
      <c r="I670">
        <v>430</v>
      </c>
      <c r="J670">
        <v>49</v>
      </c>
      <c r="K670">
        <v>2</v>
      </c>
      <c r="L670">
        <v>13</v>
      </c>
      <c r="M670">
        <v>5</v>
      </c>
      <c r="N670">
        <v>391</v>
      </c>
      <c r="O670" s="3">
        <f t="shared" si="32"/>
        <v>1.3157894736842104</v>
      </c>
      <c r="P670">
        <f t="shared" si="30"/>
        <v>0</v>
      </c>
      <c r="Q670">
        <f t="shared" si="31"/>
        <v>0</v>
      </c>
    </row>
    <row r="671" spans="1:17" x14ac:dyDescent="0.2">
      <c r="A671" t="s">
        <v>25</v>
      </c>
      <c r="B671" t="s">
        <v>677</v>
      </c>
      <c r="C671">
        <v>230</v>
      </c>
      <c r="D671">
        <v>100</v>
      </c>
      <c r="E671">
        <v>11</v>
      </c>
      <c r="F671">
        <v>1.5</v>
      </c>
      <c r="G671">
        <v>0</v>
      </c>
      <c r="H671">
        <v>0</v>
      </c>
      <c r="I671">
        <v>160</v>
      </c>
      <c r="J671">
        <v>29</v>
      </c>
      <c r="K671">
        <v>3</v>
      </c>
      <c r="L671">
        <v>0</v>
      </c>
      <c r="M671">
        <v>3</v>
      </c>
      <c r="N671">
        <v>228.5</v>
      </c>
      <c r="O671" s="3">
        <f t="shared" si="32"/>
        <v>1.3043478260869565</v>
      </c>
      <c r="P671">
        <f t="shared" si="30"/>
        <v>0</v>
      </c>
      <c r="Q671">
        <f t="shared" si="31"/>
        <v>0</v>
      </c>
    </row>
    <row r="672" spans="1:17" x14ac:dyDescent="0.2">
      <c r="A672" t="s">
        <v>25</v>
      </c>
      <c r="B672" t="s">
        <v>678</v>
      </c>
      <c r="C672">
        <v>460</v>
      </c>
      <c r="D672">
        <v>170</v>
      </c>
      <c r="E672">
        <v>19</v>
      </c>
      <c r="F672">
        <v>9</v>
      </c>
      <c r="G672">
        <v>0</v>
      </c>
      <c r="H672">
        <v>15</v>
      </c>
      <c r="I672">
        <v>370</v>
      </c>
      <c r="J672">
        <v>66</v>
      </c>
      <c r="K672">
        <v>3</v>
      </c>
      <c r="L672">
        <v>32</v>
      </c>
      <c r="M672">
        <v>6</v>
      </c>
      <c r="N672">
        <v>495</v>
      </c>
      <c r="O672" s="3">
        <f t="shared" si="32"/>
        <v>1.3043478260869565</v>
      </c>
      <c r="P672">
        <f t="shared" si="30"/>
        <v>0</v>
      </c>
      <c r="Q672">
        <f t="shared" si="31"/>
        <v>0</v>
      </c>
    </row>
    <row r="673" spans="1:17" x14ac:dyDescent="0.2">
      <c r="A673" t="s">
        <v>51</v>
      </c>
      <c r="B673" t="s">
        <v>679</v>
      </c>
      <c r="C673">
        <v>230</v>
      </c>
      <c r="D673">
        <v>100</v>
      </c>
      <c r="E673">
        <v>11</v>
      </c>
      <c r="F673">
        <v>2</v>
      </c>
      <c r="G673">
        <v>0</v>
      </c>
      <c r="H673">
        <v>0</v>
      </c>
      <c r="I673">
        <v>260</v>
      </c>
      <c r="J673">
        <v>29</v>
      </c>
      <c r="K673">
        <v>1</v>
      </c>
      <c r="L673">
        <v>8</v>
      </c>
      <c r="M673">
        <v>3</v>
      </c>
      <c r="N673">
        <v>237</v>
      </c>
      <c r="O673" s="3">
        <f t="shared" si="32"/>
        <v>1.3043478260869565</v>
      </c>
      <c r="P673">
        <f t="shared" si="30"/>
        <v>0</v>
      </c>
      <c r="Q673">
        <f t="shared" si="31"/>
        <v>0</v>
      </c>
    </row>
    <row r="674" spans="1:17" x14ac:dyDescent="0.2">
      <c r="A674" t="s">
        <v>58</v>
      </c>
      <c r="B674" t="s">
        <v>680</v>
      </c>
      <c r="C674">
        <v>230</v>
      </c>
      <c r="D674" s="2">
        <v>0</v>
      </c>
      <c r="E674">
        <v>10</v>
      </c>
      <c r="F674">
        <v>2</v>
      </c>
      <c r="G674">
        <v>0</v>
      </c>
      <c r="H674">
        <v>0</v>
      </c>
      <c r="I674">
        <v>15</v>
      </c>
      <c r="J674">
        <v>30</v>
      </c>
      <c r="K674">
        <v>3</v>
      </c>
      <c r="L674">
        <v>0</v>
      </c>
      <c r="M674">
        <v>3</v>
      </c>
      <c r="N674">
        <v>229</v>
      </c>
      <c r="O674" s="3">
        <f t="shared" si="32"/>
        <v>1.3043478260869565</v>
      </c>
      <c r="P674">
        <f t="shared" si="30"/>
        <v>0</v>
      </c>
      <c r="Q674">
        <f t="shared" si="31"/>
        <v>0</v>
      </c>
    </row>
    <row r="675" spans="1:17" x14ac:dyDescent="0.2">
      <c r="A675" t="s">
        <v>58</v>
      </c>
      <c r="B675" t="s">
        <v>681</v>
      </c>
      <c r="C675">
        <v>230</v>
      </c>
      <c r="D675" s="2">
        <v>0</v>
      </c>
      <c r="E675">
        <v>8</v>
      </c>
      <c r="F675">
        <v>1.5</v>
      </c>
      <c r="G675">
        <v>0</v>
      </c>
      <c r="H675">
        <v>0</v>
      </c>
      <c r="I675">
        <v>680</v>
      </c>
      <c r="J675">
        <v>35</v>
      </c>
      <c r="K675">
        <v>4</v>
      </c>
      <c r="L675">
        <v>0</v>
      </c>
      <c r="M675">
        <v>3</v>
      </c>
      <c r="N675">
        <v>229</v>
      </c>
      <c r="O675" s="3">
        <f t="shared" si="32"/>
        <v>1.3043478260869565</v>
      </c>
      <c r="P675">
        <f t="shared" si="30"/>
        <v>1</v>
      </c>
      <c r="Q675">
        <f t="shared" si="31"/>
        <v>0</v>
      </c>
    </row>
    <row r="676" spans="1:17" x14ac:dyDescent="0.2">
      <c r="A676" t="s">
        <v>51</v>
      </c>
      <c r="B676" t="s">
        <v>682</v>
      </c>
      <c r="C676">
        <v>310</v>
      </c>
      <c r="D676">
        <v>10</v>
      </c>
      <c r="E676">
        <v>1</v>
      </c>
      <c r="F676">
        <v>0</v>
      </c>
      <c r="G676">
        <v>0</v>
      </c>
      <c r="H676">
        <v>0</v>
      </c>
      <c r="I676">
        <v>55</v>
      </c>
      <c r="J676">
        <v>71</v>
      </c>
      <c r="K676">
        <v>3</v>
      </c>
      <c r="L676">
        <v>50</v>
      </c>
      <c r="M676">
        <v>4</v>
      </c>
      <c r="N676">
        <v>356</v>
      </c>
      <c r="O676" s="3">
        <f t="shared" si="32"/>
        <v>1.2903225806451613</v>
      </c>
      <c r="P676">
        <f t="shared" si="30"/>
        <v>0</v>
      </c>
      <c r="Q676">
        <f t="shared" si="31"/>
        <v>0</v>
      </c>
    </row>
    <row r="677" spans="1:17" x14ac:dyDescent="0.2">
      <c r="A677" t="s">
        <v>25</v>
      </c>
      <c r="B677" t="s">
        <v>683</v>
      </c>
      <c r="C677">
        <v>160</v>
      </c>
      <c r="D677">
        <v>70</v>
      </c>
      <c r="E677">
        <v>8</v>
      </c>
      <c r="F677">
        <v>3.5</v>
      </c>
      <c r="G677">
        <v>0</v>
      </c>
      <c r="H677">
        <v>10</v>
      </c>
      <c r="I677">
        <v>90</v>
      </c>
      <c r="J677">
        <v>21</v>
      </c>
      <c r="K677">
        <v>1</v>
      </c>
      <c r="L677">
        <v>15</v>
      </c>
      <c r="M677">
        <v>2</v>
      </c>
      <c r="N677">
        <v>176.5</v>
      </c>
      <c r="O677" s="3">
        <f t="shared" si="32"/>
        <v>1.25</v>
      </c>
      <c r="P677">
        <f t="shared" si="30"/>
        <v>0</v>
      </c>
      <c r="Q677">
        <f t="shared" si="31"/>
        <v>0</v>
      </c>
    </row>
    <row r="678" spans="1:17" x14ac:dyDescent="0.2">
      <c r="A678" t="s">
        <v>25</v>
      </c>
      <c r="B678" t="s">
        <v>684</v>
      </c>
      <c r="C678">
        <v>160</v>
      </c>
      <c r="D678">
        <v>60</v>
      </c>
      <c r="E678">
        <v>7</v>
      </c>
      <c r="F678">
        <v>3</v>
      </c>
      <c r="G678">
        <v>0</v>
      </c>
      <c r="H678">
        <v>5</v>
      </c>
      <c r="I678">
        <v>120</v>
      </c>
      <c r="J678">
        <v>21</v>
      </c>
      <c r="K678">
        <v>0</v>
      </c>
      <c r="L678">
        <v>11</v>
      </c>
      <c r="M678">
        <v>2</v>
      </c>
      <c r="N678">
        <v>172</v>
      </c>
      <c r="O678" s="3">
        <f t="shared" si="32"/>
        <v>1.25</v>
      </c>
      <c r="P678">
        <f t="shared" si="30"/>
        <v>0</v>
      </c>
      <c r="Q678">
        <f t="shared" si="31"/>
        <v>0</v>
      </c>
    </row>
    <row r="679" spans="1:17" x14ac:dyDescent="0.2">
      <c r="A679" t="s">
        <v>51</v>
      </c>
      <c r="B679" t="s">
        <v>685</v>
      </c>
      <c r="C679">
        <v>320</v>
      </c>
      <c r="D679">
        <v>120</v>
      </c>
      <c r="E679">
        <v>13</v>
      </c>
      <c r="F679">
        <v>2</v>
      </c>
      <c r="G679">
        <v>0</v>
      </c>
      <c r="H679">
        <v>0</v>
      </c>
      <c r="I679">
        <v>300</v>
      </c>
      <c r="J679">
        <v>49</v>
      </c>
      <c r="K679">
        <v>5</v>
      </c>
      <c r="L679">
        <v>1</v>
      </c>
      <c r="M679">
        <v>4</v>
      </c>
      <c r="N679">
        <v>319</v>
      </c>
      <c r="O679" s="3">
        <f t="shared" si="32"/>
        <v>1.25</v>
      </c>
      <c r="P679">
        <f t="shared" si="30"/>
        <v>0</v>
      </c>
      <c r="Q679">
        <f t="shared" si="31"/>
        <v>0</v>
      </c>
    </row>
    <row r="680" spans="1:17" x14ac:dyDescent="0.2">
      <c r="A680" t="s">
        <v>51</v>
      </c>
      <c r="B680" t="s">
        <v>686</v>
      </c>
      <c r="C680">
        <v>160</v>
      </c>
      <c r="D680">
        <v>70</v>
      </c>
      <c r="E680">
        <v>8</v>
      </c>
      <c r="F680">
        <v>4</v>
      </c>
      <c r="G680">
        <v>0</v>
      </c>
      <c r="H680">
        <v>10</v>
      </c>
      <c r="I680">
        <v>125</v>
      </c>
      <c r="J680">
        <v>24</v>
      </c>
      <c r="K680">
        <v>1</v>
      </c>
      <c r="L680">
        <v>15</v>
      </c>
      <c r="M680">
        <v>2</v>
      </c>
      <c r="N680">
        <v>177</v>
      </c>
      <c r="O680" s="3">
        <f t="shared" si="32"/>
        <v>1.25</v>
      </c>
      <c r="P680">
        <f t="shared" si="30"/>
        <v>0</v>
      </c>
      <c r="Q680">
        <f t="shared" si="31"/>
        <v>0</v>
      </c>
    </row>
    <row r="681" spans="1:17" x14ac:dyDescent="0.2">
      <c r="A681" t="s">
        <v>58</v>
      </c>
      <c r="B681" t="s">
        <v>687</v>
      </c>
      <c r="C681">
        <v>240</v>
      </c>
      <c r="D681" s="2">
        <v>0</v>
      </c>
      <c r="E681">
        <v>8</v>
      </c>
      <c r="F681">
        <v>5</v>
      </c>
      <c r="G681">
        <v>0</v>
      </c>
      <c r="H681">
        <v>25</v>
      </c>
      <c r="I681">
        <v>45</v>
      </c>
      <c r="J681">
        <v>40</v>
      </c>
      <c r="K681">
        <v>0</v>
      </c>
      <c r="L681">
        <v>36</v>
      </c>
      <c r="M681">
        <v>3</v>
      </c>
      <c r="N681">
        <v>278</v>
      </c>
      <c r="O681" s="3">
        <f t="shared" si="32"/>
        <v>1.25</v>
      </c>
      <c r="P681">
        <f t="shared" si="30"/>
        <v>0</v>
      </c>
      <c r="Q681">
        <f t="shared" si="31"/>
        <v>0</v>
      </c>
    </row>
    <row r="682" spans="1:17" x14ac:dyDescent="0.2">
      <c r="A682" t="s">
        <v>58</v>
      </c>
      <c r="B682" t="s">
        <v>688</v>
      </c>
      <c r="C682">
        <v>160</v>
      </c>
      <c r="D682" s="2">
        <v>0</v>
      </c>
      <c r="E682">
        <v>6</v>
      </c>
      <c r="F682">
        <v>3.5</v>
      </c>
      <c r="G682">
        <v>0</v>
      </c>
      <c r="H682">
        <v>20</v>
      </c>
      <c r="I682">
        <v>30</v>
      </c>
      <c r="J682">
        <v>26</v>
      </c>
      <c r="K682">
        <v>0</v>
      </c>
      <c r="L682">
        <v>24</v>
      </c>
      <c r="M682">
        <v>2</v>
      </c>
      <c r="N682">
        <v>186</v>
      </c>
      <c r="O682" s="3">
        <f t="shared" si="32"/>
        <v>1.25</v>
      </c>
      <c r="P682">
        <f t="shared" si="30"/>
        <v>0</v>
      </c>
      <c r="Q682">
        <f t="shared" si="31"/>
        <v>0</v>
      </c>
    </row>
    <row r="683" spans="1:17" x14ac:dyDescent="0.2">
      <c r="A683" t="s">
        <v>17</v>
      </c>
      <c r="B683" t="s">
        <v>689</v>
      </c>
      <c r="C683">
        <v>320</v>
      </c>
      <c r="D683">
        <v>160</v>
      </c>
      <c r="E683">
        <v>18</v>
      </c>
      <c r="F683">
        <v>1.5</v>
      </c>
      <c r="G683">
        <v>0</v>
      </c>
      <c r="H683">
        <v>0</v>
      </c>
      <c r="I683">
        <v>630</v>
      </c>
      <c r="J683">
        <v>35</v>
      </c>
      <c r="K683">
        <v>4</v>
      </c>
      <c r="L683">
        <v>2</v>
      </c>
      <c r="M683">
        <v>4</v>
      </c>
      <c r="O683" s="3">
        <f t="shared" si="32"/>
        <v>1.25</v>
      </c>
      <c r="P683">
        <f t="shared" si="30"/>
        <v>1</v>
      </c>
      <c r="Q683">
        <f t="shared" si="31"/>
        <v>0</v>
      </c>
    </row>
    <row r="684" spans="1:17" x14ac:dyDescent="0.2">
      <c r="A684" t="s">
        <v>17</v>
      </c>
      <c r="B684" t="s">
        <v>690</v>
      </c>
      <c r="C684">
        <v>320</v>
      </c>
      <c r="D684">
        <v>160</v>
      </c>
      <c r="E684">
        <v>18</v>
      </c>
      <c r="F684">
        <v>1.5</v>
      </c>
      <c r="G684">
        <v>0</v>
      </c>
      <c r="H684">
        <v>0</v>
      </c>
      <c r="I684">
        <v>630</v>
      </c>
      <c r="J684">
        <v>35</v>
      </c>
      <c r="K684">
        <v>4</v>
      </c>
      <c r="L684">
        <v>2</v>
      </c>
      <c r="M684">
        <v>4</v>
      </c>
      <c r="O684" s="3">
        <f t="shared" si="32"/>
        <v>1.25</v>
      </c>
      <c r="P684">
        <f t="shared" si="30"/>
        <v>1</v>
      </c>
      <c r="Q684">
        <f t="shared" si="31"/>
        <v>0</v>
      </c>
    </row>
    <row r="685" spans="1:17" x14ac:dyDescent="0.2">
      <c r="A685" t="s">
        <v>17</v>
      </c>
      <c r="B685" t="s">
        <v>691</v>
      </c>
      <c r="C685">
        <v>160</v>
      </c>
      <c r="D685">
        <v>80</v>
      </c>
      <c r="E685">
        <v>9</v>
      </c>
      <c r="F685">
        <v>2</v>
      </c>
      <c r="G685">
        <v>0</v>
      </c>
      <c r="H685">
        <v>5</v>
      </c>
      <c r="I685">
        <v>80</v>
      </c>
      <c r="J685">
        <v>17</v>
      </c>
      <c r="K685">
        <v>0</v>
      </c>
      <c r="L685">
        <v>10</v>
      </c>
      <c r="M685">
        <v>2</v>
      </c>
      <c r="O685" s="3">
        <f t="shared" si="32"/>
        <v>1.25</v>
      </c>
      <c r="P685">
        <f t="shared" si="30"/>
        <v>0</v>
      </c>
      <c r="Q685">
        <f t="shared" si="31"/>
        <v>0</v>
      </c>
    </row>
    <row r="686" spans="1:17" x14ac:dyDescent="0.2">
      <c r="A686" t="s">
        <v>17</v>
      </c>
      <c r="B686" t="s">
        <v>692</v>
      </c>
      <c r="C686">
        <v>160</v>
      </c>
      <c r="D686">
        <v>80</v>
      </c>
      <c r="E686">
        <v>9</v>
      </c>
      <c r="F686">
        <v>2</v>
      </c>
      <c r="G686">
        <v>0</v>
      </c>
      <c r="H686">
        <v>5</v>
      </c>
      <c r="I686">
        <v>80</v>
      </c>
      <c r="J686">
        <v>17</v>
      </c>
      <c r="K686">
        <v>0</v>
      </c>
      <c r="L686">
        <v>10</v>
      </c>
      <c r="M686">
        <v>2</v>
      </c>
      <c r="O686" s="3">
        <f t="shared" si="32"/>
        <v>1.25</v>
      </c>
      <c r="P686">
        <f t="shared" si="30"/>
        <v>0</v>
      </c>
      <c r="Q686">
        <f t="shared" si="31"/>
        <v>0</v>
      </c>
    </row>
    <row r="687" spans="1:17" x14ac:dyDescent="0.2">
      <c r="A687" t="s">
        <v>17</v>
      </c>
      <c r="B687" t="s">
        <v>693</v>
      </c>
      <c r="C687">
        <v>160</v>
      </c>
      <c r="D687">
        <v>80</v>
      </c>
      <c r="E687">
        <v>9</v>
      </c>
      <c r="F687">
        <v>2</v>
      </c>
      <c r="G687">
        <v>0</v>
      </c>
      <c r="H687">
        <v>5</v>
      </c>
      <c r="I687">
        <v>80</v>
      </c>
      <c r="J687">
        <v>17</v>
      </c>
      <c r="K687">
        <v>0</v>
      </c>
      <c r="L687">
        <v>10</v>
      </c>
      <c r="M687">
        <v>2</v>
      </c>
      <c r="O687" s="3">
        <f t="shared" si="32"/>
        <v>1.25</v>
      </c>
      <c r="P687">
        <f t="shared" si="30"/>
        <v>0</v>
      </c>
      <c r="Q687">
        <f t="shared" si="31"/>
        <v>0</v>
      </c>
    </row>
    <row r="688" spans="1:17" x14ac:dyDescent="0.2">
      <c r="A688" t="s">
        <v>25</v>
      </c>
      <c r="B688" t="s">
        <v>694</v>
      </c>
      <c r="C688">
        <v>500</v>
      </c>
      <c r="D688">
        <v>220</v>
      </c>
      <c r="E688">
        <v>25</v>
      </c>
      <c r="F688">
        <v>3.5</v>
      </c>
      <c r="G688">
        <v>0</v>
      </c>
      <c r="H688">
        <v>0</v>
      </c>
      <c r="I688">
        <v>350</v>
      </c>
      <c r="J688">
        <v>63</v>
      </c>
      <c r="K688">
        <v>6</v>
      </c>
      <c r="L688">
        <v>0</v>
      </c>
      <c r="M688">
        <v>6</v>
      </c>
      <c r="N688">
        <v>497.5</v>
      </c>
      <c r="O688" s="3">
        <f t="shared" si="32"/>
        <v>1.2</v>
      </c>
      <c r="P688">
        <f t="shared" si="30"/>
        <v>0</v>
      </c>
      <c r="Q688">
        <f t="shared" si="31"/>
        <v>0</v>
      </c>
    </row>
    <row r="689" spans="1:17" x14ac:dyDescent="0.2">
      <c r="A689" t="s">
        <v>58</v>
      </c>
      <c r="B689" t="s">
        <v>695</v>
      </c>
      <c r="C689">
        <v>250</v>
      </c>
      <c r="D689" s="2">
        <v>0</v>
      </c>
      <c r="E689">
        <v>8</v>
      </c>
      <c r="F689">
        <v>5</v>
      </c>
      <c r="G689">
        <v>0</v>
      </c>
      <c r="H689">
        <v>25</v>
      </c>
      <c r="I689">
        <v>40</v>
      </c>
      <c r="J689">
        <v>42</v>
      </c>
      <c r="K689">
        <v>0</v>
      </c>
      <c r="L689">
        <v>39</v>
      </c>
      <c r="M689">
        <v>3</v>
      </c>
      <c r="N689">
        <v>291</v>
      </c>
      <c r="O689" s="3">
        <f t="shared" si="32"/>
        <v>1.2</v>
      </c>
      <c r="P689">
        <f t="shared" si="30"/>
        <v>0</v>
      </c>
      <c r="Q689">
        <f t="shared" si="31"/>
        <v>0</v>
      </c>
    </row>
    <row r="690" spans="1:17" x14ac:dyDescent="0.2">
      <c r="A690" t="s">
        <v>58</v>
      </c>
      <c r="B690" t="s">
        <v>696</v>
      </c>
      <c r="C690">
        <v>170</v>
      </c>
      <c r="D690" s="2">
        <v>0</v>
      </c>
      <c r="E690">
        <v>6</v>
      </c>
      <c r="F690">
        <v>3.5</v>
      </c>
      <c r="G690">
        <v>0</v>
      </c>
      <c r="H690">
        <v>20</v>
      </c>
      <c r="I690">
        <v>30</v>
      </c>
      <c r="J690">
        <v>28</v>
      </c>
      <c r="K690">
        <v>0</v>
      </c>
      <c r="L690">
        <v>25</v>
      </c>
      <c r="M690">
        <v>2</v>
      </c>
      <c r="N690">
        <v>197</v>
      </c>
      <c r="O690" s="3">
        <f t="shared" si="32"/>
        <v>1.1764705882352942</v>
      </c>
      <c r="P690">
        <f t="shared" si="30"/>
        <v>0</v>
      </c>
      <c r="Q690">
        <f t="shared" si="31"/>
        <v>0</v>
      </c>
    </row>
    <row r="691" spans="1:17" x14ac:dyDescent="0.2">
      <c r="A691" t="s">
        <v>58</v>
      </c>
      <c r="B691" t="s">
        <v>697</v>
      </c>
      <c r="C691">
        <v>170</v>
      </c>
      <c r="D691" s="2">
        <v>0</v>
      </c>
      <c r="E691">
        <v>6</v>
      </c>
      <c r="F691">
        <v>3.5</v>
      </c>
      <c r="G691">
        <v>0</v>
      </c>
      <c r="H691">
        <v>20</v>
      </c>
      <c r="I691">
        <v>30</v>
      </c>
      <c r="J691">
        <v>28</v>
      </c>
      <c r="K691">
        <v>0</v>
      </c>
      <c r="L691">
        <v>26</v>
      </c>
      <c r="M691">
        <v>2</v>
      </c>
      <c r="N691">
        <v>198</v>
      </c>
      <c r="O691" s="3">
        <f t="shared" si="32"/>
        <v>1.1764705882352942</v>
      </c>
      <c r="P691">
        <f t="shared" si="30"/>
        <v>0</v>
      </c>
      <c r="Q691">
        <f t="shared" si="31"/>
        <v>0</v>
      </c>
    </row>
    <row r="692" spans="1:17" x14ac:dyDescent="0.2">
      <c r="A692" t="s">
        <v>51</v>
      </c>
      <c r="B692" t="s">
        <v>698</v>
      </c>
      <c r="C692">
        <v>430</v>
      </c>
      <c r="D692">
        <v>160</v>
      </c>
      <c r="E692">
        <v>18</v>
      </c>
      <c r="F692">
        <v>2.5</v>
      </c>
      <c r="G692">
        <v>0</v>
      </c>
      <c r="H692">
        <v>0</v>
      </c>
      <c r="I692">
        <v>410</v>
      </c>
      <c r="J692">
        <v>66</v>
      </c>
      <c r="K692">
        <v>7</v>
      </c>
      <c r="L692">
        <v>2</v>
      </c>
      <c r="M692">
        <v>5</v>
      </c>
      <c r="N692">
        <v>430</v>
      </c>
      <c r="O692" s="3">
        <f t="shared" si="32"/>
        <v>1.1627906976744187</v>
      </c>
      <c r="P692">
        <f t="shared" si="30"/>
        <v>0</v>
      </c>
      <c r="Q692">
        <f t="shared" si="31"/>
        <v>0</v>
      </c>
    </row>
    <row r="693" spans="1:17" x14ac:dyDescent="0.2">
      <c r="A693" t="s">
        <v>25</v>
      </c>
      <c r="B693" t="s">
        <v>699</v>
      </c>
      <c r="C693">
        <v>260</v>
      </c>
      <c r="D693">
        <v>5</v>
      </c>
      <c r="E693">
        <v>1</v>
      </c>
      <c r="F693">
        <v>0</v>
      </c>
      <c r="G693">
        <v>0</v>
      </c>
      <c r="H693">
        <v>5</v>
      </c>
      <c r="I693">
        <v>35</v>
      </c>
      <c r="J693">
        <v>60</v>
      </c>
      <c r="K693">
        <v>4</v>
      </c>
      <c r="L693">
        <v>55</v>
      </c>
      <c r="M693">
        <v>3</v>
      </c>
      <c r="N693">
        <v>312</v>
      </c>
      <c r="O693" s="3">
        <f t="shared" si="32"/>
        <v>1.153846153846154</v>
      </c>
      <c r="P693">
        <f t="shared" si="30"/>
        <v>0</v>
      </c>
      <c r="Q693">
        <f t="shared" si="31"/>
        <v>0</v>
      </c>
    </row>
    <row r="694" spans="1:17" x14ac:dyDescent="0.2">
      <c r="A694" t="s">
        <v>51</v>
      </c>
      <c r="B694" t="s">
        <v>700</v>
      </c>
      <c r="C694">
        <v>180</v>
      </c>
      <c r="D694">
        <v>70</v>
      </c>
      <c r="E694">
        <v>8</v>
      </c>
      <c r="F694">
        <v>4</v>
      </c>
      <c r="G694">
        <v>0</v>
      </c>
      <c r="H694">
        <v>25</v>
      </c>
      <c r="I694">
        <v>40</v>
      </c>
      <c r="J694">
        <v>27</v>
      </c>
      <c r="K694">
        <v>1</v>
      </c>
      <c r="L694">
        <v>25</v>
      </c>
      <c r="M694">
        <v>2</v>
      </c>
      <c r="N694">
        <v>207</v>
      </c>
      <c r="O694" s="3">
        <f t="shared" si="32"/>
        <v>1.1111111111111112</v>
      </c>
      <c r="P694">
        <f t="shared" si="30"/>
        <v>0</v>
      </c>
      <c r="Q694">
        <f t="shared" si="31"/>
        <v>0</v>
      </c>
    </row>
    <row r="695" spans="1:17" x14ac:dyDescent="0.2">
      <c r="A695" t="s">
        <v>21</v>
      </c>
      <c r="B695" t="s">
        <v>701</v>
      </c>
      <c r="C695">
        <v>270</v>
      </c>
      <c r="D695" s="2">
        <v>0</v>
      </c>
      <c r="E695">
        <v>13</v>
      </c>
      <c r="F695">
        <v>8</v>
      </c>
      <c r="G695">
        <v>0</v>
      </c>
      <c r="H695">
        <v>0</v>
      </c>
      <c r="I695">
        <v>210</v>
      </c>
      <c r="J695">
        <v>35</v>
      </c>
      <c r="K695">
        <v>1</v>
      </c>
      <c r="L695">
        <v>24</v>
      </c>
      <c r="M695">
        <v>3</v>
      </c>
      <c r="N695">
        <v>299</v>
      </c>
      <c r="O695" s="3">
        <f t="shared" si="32"/>
        <v>1.1111111111111112</v>
      </c>
      <c r="P695">
        <f t="shared" si="30"/>
        <v>0</v>
      </c>
      <c r="Q695">
        <f t="shared" si="31"/>
        <v>0</v>
      </c>
    </row>
    <row r="696" spans="1:17" x14ac:dyDescent="0.2">
      <c r="A696" t="s">
        <v>51</v>
      </c>
      <c r="B696" t="s">
        <v>702</v>
      </c>
      <c r="C696">
        <v>370</v>
      </c>
      <c r="D696">
        <v>180</v>
      </c>
      <c r="E696">
        <v>20</v>
      </c>
      <c r="F696">
        <v>13</v>
      </c>
      <c r="G696">
        <v>0</v>
      </c>
      <c r="H696">
        <v>10</v>
      </c>
      <c r="I696">
        <v>330</v>
      </c>
      <c r="J696">
        <v>45</v>
      </c>
      <c r="K696">
        <v>1</v>
      </c>
      <c r="L696">
        <v>30</v>
      </c>
      <c r="M696">
        <v>4</v>
      </c>
      <c r="N696">
        <v>409</v>
      </c>
      <c r="O696" s="3">
        <f t="shared" si="32"/>
        <v>1.0810810810810811</v>
      </c>
      <c r="P696">
        <f t="shared" si="30"/>
        <v>0</v>
      </c>
      <c r="Q696">
        <f t="shared" si="31"/>
        <v>0</v>
      </c>
    </row>
    <row r="697" spans="1:17" x14ac:dyDescent="0.2">
      <c r="A697" t="s">
        <v>25</v>
      </c>
      <c r="B697" t="s">
        <v>703</v>
      </c>
      <c r="C697">
        <v>380</v>
      </c>
      <c r="D697">
        <v>170</v>
      </c>
      <c r="E697">
        <v>19</v>
      </c>
      <c r="F697">
        <v>2.5</v>
      </c>
      <c r="G697">
        <v>0</v>
      </c>
      <c r="H697">
        <v>0</v>
      </c>
      <c r="I697">
        <v>270</v>
      </c>
      <c r="J697">
        <v>48</v>
      </c>
      <c r="K697">
        <v>5</v>
      </c>
      <c r="L697">
        <v>0</v>
      </c>
      <c r="M697">
        <v>4</v>
      </c>
      <c r="N697">
        <v>378.5</v>
      </c>
      <c r="O697" s="3">
        <f t="shared" si="32"/>
        <v>1.0526315789473684</v>
      </c>
      <c r="P697">
        <f t="shared" si="30"/>
        <v>0</v>
      </c>
      <c r="Q697">
        <f t="shared" si="31"/>
        <v>0</v>
      </c>
    </row>
    <row r="698" spans="1:17" x14ac:dyDescent="0.2">
      <c r="A698" t="s">
        <v>25</v>
      </c>
      <c r="B698" t="s">
        <v>704</v>
      </c>
      <c r="C698">
        <v>190</v>
      </c>
      <c r="D698">
        <v>170</v>
      </c>
      <c r="E698">
        <v>18</v>
      </c>
      <c r="F698">
        <v>3.5</v>
      </c>
      <c r="G698">
        <v>0</v>
      </c>
      <c r="H698">
        <v>20</v>
      </c>
      <c r="I698">
        <v>500</v>
      </c>
      <c r="J698">
        <v>4</v>
      </c>
      <c r="K698">
        <v>0</v>
      </c>
      <c r="L698">
        <v>2</v>
      </c>
      <c r="M698">
        <v>2</v>
      </c>
      <c r="N698">
        <v>193.5</v>
      </c>
      <c r="O698" s="3">
        <f t="shared" si="32"/>
        <v>1.0526315789473684</v>
      </c>
      <c r="P698">
        <f t="shared" si="30"/>
        <v>1</v>
      </c>
      <c r="Q698">
        <f t="shared" si="31"/>
        <v>0</v>
      </c>
    </row>
    <row r="699" spans="1:17" x14ac:dyDescent="0.2">
      <c r="A699" t="s">
        <v>25</v>
      </c>
      <c r="B699" t="s">
        <v>705</v>
      </c>
      <c r="C699">
        <v>190</v>
      </c>
      <c r="D699">
        <v>70</v>
      </c>
      <c r="E699">
        <v>8</v>
      </c>
      <c r="F699">
        <v>5</v>
      </c>
      <c r="G699">
        <v>0</v>
      </c>
      <c r="H699">
        <v>30</v>
      </c>
      <c r="I699">
        <v>115</v>
      </c>
      <c r="J699">
        <v>27</v>
      </c>
      <c r="K699">
        <v>0</v>
      </c>
      <c r="L699">
        <v>27</v>
      </c>
      <c r="M699">
        <v>2</v>
      </c>
      <c r="N699">
        <v>220</v>
      </c>
      <c r="O699" s="3">
        <f t="shared" si="32"/>
        <v>1.0526315789473684</v>
      </c>
      <c r="P699">
        <f t="shared" si="30"/>
        <v>0</v>
      </c>
      <c r="Q699">
        <f t="shared" si="31"/>
        <v>0</v>
      </c>
    </row>
    <row r="700" spans="1:17" x14ac:dyDescent="0.2">
      <c r="A700" t="s">
        <v>25</v>
      </c>
      <c r="B700" t="s">
        <v>706</v>
      </c>
      <c r="C700">
        <v>190</v>
      </c>
      <c r="D700">
        <v>70</v>
      </c>
      <c r="E700">
        <v>8</v>
      </c>
      <c r="F700">
        <v>5</v>
      </c>
      <c r="G700">
        <v>0</v>
      </c>
      <c r="H700">
        <v>30</v>
      </c>
      <c r="I700">
        <v>60</v>
      </c>
      <c r="J700">
        <v>29</v>
      </c>
      <c r="K700">
        <v>0</v>
      </c>
      <c r="L700">
        <v>29</v>
      </c>
      <c r="M700">
        <v>2</v>
      </c>
      <c r="N700">
        <v>222</v>
      </c>
      <c r="O700" s="3">
        <f t="shared" si="32"/>
        <v>1.0526315789473684</v>
      </c>
      <c r="P700">
        <f t="shared" si="30"/>
        <v>0</v>
      </c>
      <c r="Q700">
        <f t="shared" si="31"/>
        <v>0</v>
      </c>
    </row>
    <row r="701" spans="1:17" x14ac:dyDescent="0.2">
      <c r="A701" t="s">
        <v>25</v>
      </c>
      <c r="B701" t="s">
        <v>707</v>
      </c>
      <c r="C701">
        <v>190</v>
      </c>
      <c r="D701">
        <v>70</v>
      </c>
      <c r="E701">
        <v>8</v>
      </c>
      <c r="F701">
        <v>5</v>
      </c>
      <c r="G701">
        <v>0</v>
      </c>
      <c r="H701">
        <v>30</v>
      </c>
      <c r="I701">
        <v>60</v>
      </c>
      <c r="J701">
        <v>29</v>
      </c>
      <c r="K701">
        <v>0</v>
      </c>
      <c r="L701">
        <v>28</v>
      </c>
      <c r="M701">
        <v>2</v>
      </c>
      <c r="N701">
        <v>221</v>
      </c>
      <c r="O701" s="3">
        <f t="shared" si="32"/>
        <v>1.0526315789473684</v>
      </c>
      <c r="P701">
        <f t="shared" si="30"/>
        <v>0</v>
      </c>
      <c r="Q701">
        <f t="shared" si="31"/>
        <v>0</v>
      </c>
    </row>
    <row r="702" spans="1:17" x14ac:dyDescent="0.2">
      <c r="A702" t="s">
        <v>51</v>
      </c>
      <c r="B702" t="s">
        <v>708</v>
      </c>
      <c r="C702">
        <v>380</v>
      </c>
      <c r="D702">
        <v>140</v>
      </c>
      <c r="E702">
        <v>16</v>
      </c>
      <c r="F702">
        <v>2</v>
      </c>
      <c r="G702">
        <v>0</v>
      </c>
      <c r="H702">
        <v>0</v>
      </c>
      <c r="I702">
        <v>360</v>
      </c>
      <c r="J702">
        <v>58</v>
      </c>
      <c r="K702">
        <v>6</v>
      </c>
      <c r="L702">
        <v>1</v>
      </c>
      <c r="M702">
        <v>4</v>
      </c>
      <c r="N702">
        <v>379</v>
      </c>
      <c r="O702" s="3">
        <f t="shared" si="32"/>
        <v>1.0526315789473684</v>
      </c>
      <c r="P702">
        <f t="shared" si="30"/>
        <v>0</v>
      </c>
      <c r="Q702">
        <f t="shared" si="31"/>
        <v>0</v>
      </c>
    </row>
    <row r="703" spans="1:17" x14ac:dyDescent="0.2">
      <c r="A703" t="s">
        <v>25</v>
      </c>
      <c r="B703" t="s">
        <v>709</v>
      </c>
      <c r="C703">
        <v>100</v>
      </c>
      <c r="D703">
        <v>50</v>
      </c>
      <c r="E703">
        <v>6</v>
      </c>
      <c r="F703">
        <v>1</v>
      </c>
      <c r="G703">
        <v>0</v>
      </c>
      <c r="H703">
        <v>20</v>
      </c>
      <c r="I703">
        <v>340</v>
      </c>
      <c r="J703">
        <v>11</v>
      </c>
      <c r="K703">
        <v>0</v>
      </c>
      <c r="L703">
        <v>3</v>
      </c>
      <c r="M703">
        <v>1</v>
      </c>
      <c r="N703">
        <v>103</v>
      </c>
      <c r="O703" s="3">
        <f t="shared" si="32"/>
        <v>1</v>
      </c>
      <c r="P703">
        <f t="shared" si="30"/>
        <v>0</v>
      </c>
      <c r="Q703">
        <f t="shared" si="31"/>
        <v>0</v>
      </c>
    </row>
    <row r="704" spans="1:17" x14ac:dyDescent="0.2">
      <c r="A704" t="s">
        <v>25</v>
      </c>
      <c r="B704" t="s">
        <v>710</v>
      </c>
      <c r="C704">
        <v>200</v>
      </c>
      <c r="D704">
        <v>70</v>
      </c>
      <c r="E704">
        <v>8</v>
      </c>
      <c r="F704">
        <v>5</v>
      </c>
      <c r="G704">
        <v>0</v>
      </c>
      <c r="H704">
        <v>30</v>
      </c>
      <c r="I704">
        <v>60</v>
      </c>
      <c r="J704">
        <v>30</v>
      </c>
      <c r="K704">
        <v>0</v>
      </c>
      <c r="L704">
        <v>30</v>
      </c>
      <c r="M704">
        <v>2</v>
      </c>
      <c r="N704">
        <v>233</v>
      </c>
      <c r="O704" s="3">
        <f t="shared" si="32"/>
        <v>1</v>
      </c>
      <c r="P704">
        <f t="shared" si="30"/>
        <v>0</v>
      </c>
      <c r="Q704">
        <f t="shared" si="31"/>
        <v>0</v>
      </c>
    </row>
    <row r="705" spans="1:17" x14ac:dyDescent="0.2">
      <c r="A705" t="s">
        <v>51</v>
      </c>
      <c r="B705" t="s">
        <v>711</v>
      </c>
      <c r="C705">
        <v>500</v>
      </c>
      <c r="D705">
        <v>230</v>
      </c>
      <c r="E705">
        <v>25</v>
      </c>
      <c r="F705">
        <v>4.5</v>
      </c>
      <c r="G705">
        <v>0</v>
      </c>
      <c r="H705">
        <v>0</v>
      </c>
      <c r="I705">
        <v>1310</v>
      </c>
      <c r="J705">
        <v>64</v>
      </c>
      <c r="K705">
        <v>5</v>
      </c>
      <c r="L705">
        <v>7</v>
      </c>
      <c r="M705">
        <v>5</v>
      </c>
      <c r="N705">
        <v>507</v>
      </c>
      <c r="O705" s="3">
        <f t="shared" si="32"/>
        <v>1</v>
      </c>
      <c r="P705">
        <f t="shared" si="30"/>
        <v>1</v>
      </c>
      <c r="Q705">
        <f t="shared" si="31"/>
        <v>0</v>
      </c>
    </row>
    <row r="706" spans="1:17" x14ac:dyDescent="0.2">
      <c r="A706" t="s">
        <v>51</v>
      </c>
      <c r="B706" t="s">
        <v>712</v>
      </c>
      <c r="C706">
        <v>200</v>
      </c>
      <c r="D706">
        <v>90</v>
      </c>
      <c r="E706">
        <v>10</v>
      </c>
      <c r="F706">
        <v>5</v>
      </c>
      <c r="G706">
        <v>0</v>
      </c>
      <c r="H706">
        <v>30</v>
      </c>
      <c r="I706">
        <v>40</v>
      </c>
      <c r="J706">
        <v>27</v>
      </c>
      <c r="K706">
        <v>0</v>
      </c>
      <c r="L706">
        <v>27</v>
      </c>
      <c r="M706">
        <v>2</v>
      </c>
      <c r="N706">
        <v>230</v>
      </c>
      <c r="O706" s="3">
        <f t="shared" si="32"/>
        <v>1</v>
      </c>
      <c r="P706">
        <f t="shared" ref="P706:P769" si="33">IF(I706&gt;2300*0.2,1,0)</f>
        <v>0</v>
      </c>
      <c r="Q706">
        <f t="shared" ref="Q706:Q769" si="34">IF(H706&gt;300,1,0)</f>
        <v>0</v>
      </c>
    </row>
    <row r="707" spans="1:17" x14ac:dyDescent="0.2">
      <c r="A707" t="s">
        <v>51</v>
      </c>
      <c r="B707" t="s">
        <v>713</v>
      </c>
      <c r="C707">
        <v>300</v>
      </c>
      <c r="D707">
        <v>120</v>
      </c>
      <c r="E707">
        <v>13</v>
      </c>
      <c r="F707">
        <v>7</v>
      </c>
      <c r="G707">
        <v>0</v>
      </c>
      <c r="H707">
        <v>40</v>
      </c>
      <c r="I707">
        <v>70</v>
      </c>
      <c r="J707">
        <v>45</v>
      </c>
      <c r="K707">
        <v>2</v>
      </c>
      <c r="L707">
        <v>41</v>
      </c>
      <c r="M707">
        <v>3</v>
      </c>
      <c r="N707">
        <v>345</v>
      </c>
      <c r="O707" s="3">
        <f t="shared" si="32"/>
        <v>1</v>
      </c>
      <c r="P707">
        <f t="shared" si="33"/>
        <v>0</v>
      </c>
      <c r="Q707">
        <f t="shared" si="34"/>
        <v>0</v>
      </c>
    </row>
    <row r="708" spans="1:17" x14ac:dyDescent="0.2">
      <c r="A708" t="s">
        <v>21</v>
      </c>
      <c r="B708" t="s">
        <v>714</v>
      </c>
      <c r="C708">
        <v>300</v>
      </c>
      <c r="D708" s="2">
        <v>0</v>
      </c>
      <c r="E708">
        <v>12</v>
      </c>
      <c r="F708">
        <v>2.5</v>
      </c>
      <c r="G708">
        <v>0</v>
      </c>
      <c r="H708">
        <v>40</v>
      </c>
      <c r="I708">
        <v>190</v>
      </c>
      <c r="J708">
        <v>49</v>
      </c>
      <c r="K708">
        <v>1</v>
      </c>
      <c r="L708">
        <v>35</v>
      </c>
      <c r="M708">
        <v>3</v>
      </c>
      <c r="N708">
        <v>334.5</v>
      </c>
      <c r="O708" s="3">
        <f t="shared" si="32"/>
        <v>1</v>
      </c>
      <c r="P708">
        <f t="shared" si="33"/>
        <v>0</v>
      </c>
      <c r="Q708">
        <f t="shared" si="34"/>
        <v>0</v>
      </c>
    </row>
    <row r="709" spans="1:17" x14ac:dyDescent="0.2">
      <c r="A709" t="s">
        <v>21</v>
      </c>
      <c r="B709" t="s">
        <v>715</v>
      </c>
      <c r="C709">
        <v>300</v>
      </c>
      <c r="D709" s="2">
        <v>0</v>
      </c>
      <c r="E709">
        <v>13</v>
      </c>
      <c r="F709">
        <v>2.5</v>
      </c>
      <c r="G709">
        <v>0</v>
      </c>
      <c r="H709">
        <v>50</v>
      </c>
      <c r="I709">
        <v>230</v>
      </c>
      <c r="J709">
        <v>43</v>
      </c>
      <c r="K709">
        <v>0</v>
      </c>
      <c r="L709">
        <v>31</v>
      </c>
      <c r="M709">
        <v>3</v>
      </c>
      <c r="N709">
        <v>330.5</v>
      </c>
      <c r="O709" s="3">
        <f t="shared" si="32"/>
        <v>1</v>
      </c>
      <c r="P709">
        <f t="shared" si="33"/>
        <v>0</v>
      </c>
      <c r="Q709">
        <f t="shared" si="34"/>
        <v>0</v>
      </c>
    </row>
    <row r="710" spans="1:17" x14ac:dyDescent="0.2">
      <c r="A710" t="s">
        <v>51</v>
      </c>
      <c r="B710" t="s">
        <v>716</v>
      </c>
      <c r="C710">
        <v>410</v>
      </c>
      <c r="D710">
        <v>190</v>
      </c>
      <c r="E710">
        <v>21</v>
      </c>
      <c r="F710">
        <v>3.5</v>
      </c>
      <c r="G710">
        <v>0</v>
      </c>
      <c r="H710">
        <v>0</v>
      </c>
      <c r="I710">
        <v>1080</v>
      </c>
      <c r="J710">
        <v>53</v>
      </c>
      <c r="K710">
        <v>4</v>
      </c>
      <c r="L710">
        <v>5</v>
      </c>
      <c r="M710">
        <v>4</v>
      </c>
      <c r="N710">
        <v>415</v>
      </c>
      <c r="O710" s="3">
        <f t="shared" ref="O710:O767" si="35">M710/C710*100</f>
        <v>0.97560975609756095</v>
      </c>
      <c r="P710">
        <f t="shared" si="33"/>
        <v>1</v>
      </c>
      <c r="Q710">
        <f t="shared" si="34"/>
        <v>0</v>
      </c>
    </row>
    <row r="711" spans="1:17" x14ac:dyDescent="0.2">
      <c r="A711" t="s">
        <v>51</v>
      </c>
      <c r="B711" t="s">
        <v>717</v>
      </c>
      <c r="C711">
        <v>310</v>
      </c>
      <c r="D711">
        <v>170</v>
      </c>
      <c r="E711">
        <v>19</v>
      </c>
      <c r="F711">
        <v>12</v>
      </c>
      <c r="G711">
        <v>0</v>
      </c>
      <c r="H711">
        <v>10</v>
      </c>
      <c r="I711">
        <v>220</v>
      </c>
      <c r="J711">
        <v>32</v>
      </c>
      <c r="K711">
        <v>1</v>
      </c>
      <c r="L711">
        <v>22</v>
      </c>
      <c r="M711">
        <v>3</v>
      </c>
      <c r="N711">
        <v>341</v>
      </c>
      <c r="O711" s="3">
        <f t="shared" si="35"/>
        <v>0.967741935483871</v>
      </c>
      <c r="P711">
        <f t="shared" si="33"/>
        <v>0</v>
      </c>
      <c r="Q711">
        <f t="shared" si="34"/>
        <v>0</v>
      </c>
    </row>
    <row r="712" spans="1:17" x14ac:dyDescent="0.2">
      <c r="A712" t="s">
        <v>58</v>
      </c>
      <c r="B712" t="s">
        <v>718</v>
      </c>
      <c r="C712">
        <v>310</v>
      </c>
      <c r="D712" s="2">
        <v>0</v>
      </c>
      <c r="E712">
        <v>16</v>
      </c>
      <c r="F712">
        <v>8</v>
      </c>
      <c r="G712">
        <v>0</v>
      </c>
      <c r="H712">
        <v>20</v>
      </c>
      <c r="I712">
        <v>210</v>
      </c>
      <c r="J712">
        <v>40</v>
      </c>
      <c r="K712">
        <v>2</v>
      </c>
      <c r="L712">
        <v>24</v>
      </c>
      <c r="M712">
        <v>3</v>
      </c>
      <c r="N712">
        <v>339</v>
      </c>
      <c r="O712" s="3">
        <f t="shared" si="35"/>
        <v>0.967741935483871</v>
      </c>
      <c r="P712">
        <f t="shared" si="33"/>
        <v>0</v>
      </c>
      <c r="Q712">
        <f t="shared" si="34"/>
        <v>0</v>
      </c>
    </row>
    <row r="713" spans="1:17" x14ac:dyDescent="0.2">
      <c r="A713" t="s">
        <v>17</v>
      </c>
      <c r="B713" t="s">
        <v>719</v>
      </c>
      <c r="C713">
        <v>930</v>
      </c>
      <c r="D713">
        <v>480</v>
      </c>
      <c r="E713">
        <v>53</v>
      </c>
      <c r="F713">
        <v>13</v>
      </c>
      <c r="G713">
        <v>2</v>
      </c>
      <c r="H713">
        <v>40</v>
      </c>
      <c r="I713">
        <v>480</v>
      </c>
      <c r="J713">
        <v>104</v>
      </c>
      <c r="K713">
        <v>3</v>
      </c>
      <c r="L713">
        <v>59</v>
      </c>
      <c r="M713">
        <v>9</v>
      </c>
      <c r="O713" s="3">
        <f t="shared" si="35"/>
        <v>0.967741935483871</v>
      </c>
      <c r="P713">
        <f t="shared" si="33"/>
        <v>1</v>
      </c>
      <c r="Q713">
        <f t="shared" si="34"/>
        <v>0</v>
      </c>
    </row>
    <row r="714" spans="1:17" x14ac:dyDescent="0.2">
      <c r="A714" t="s">
        <v>17</v>
      </c>
      <c r="B714" t="s">
        <v>720</v>
      </c>
      <c r="C714">
        <v>930</v>
      </c>
      <c r="D714">
        <v>480</v>
      </c>
      <c r="E714">
        <v>53</v>
      </c>
      <c r="F714">
        <v>13</v>
      </c>
      <c r="G714">
        <v>2</v>
      </c>
      <c r="H714">
        <v>40</v>
      </c>
      <c r="I714">
        <v>480</v>
      </c>
      <c r="J714">
        <v>104</v>
      </c>
      <c r="K714">
        <v>3</v>
      </c>
      <c r="L714">
        <v>59</v>
      </c>
      <c r="M714">
        <v>9</v>
      </c>
      <c r="O714" s="3">
        <f t="shared" si="35"/>
        <v>0.967741935483871</v>
      </c>
      <c r="P714">
        <f t="shared" si="33"/>
        <v>1</v>
      </c>
      <c r="Q714">
        <f t="shared" si="34"/>
        <v>0</v>
      </c>
    </row>
    <row r="715" spans="1:17" x14ac:dyDescent="0.2">
      <c r="A715" t="s">
        <v>17</v>
      </c>
      <c r="B715" t="s">
        <v>721</v>
      </c>
      <c r="C715">
        <v>930</v>
      </c>
      <c r="D715">
        <v>480</v>
      </c>
      <c r="E715">
        <v>53</v>
      </c>
      <c r="F715">
        <v>13</v>
      </c>
      <c r="G715">
        <v>2</v>
      </c>
      <c r="H715">
        <v>40</v>
      </c>
      <c r="I715">
        <v>480</v>
      </c>
      <c r="J715">
        <v>104</v>
      </c>
      <c r="K715">
        <v>3</v>
      </c>
      <c r="L715">
        <v>59</v>
      </c>
      <c r="M715">
        <v>9</v>
      </c>
      <c r="O715" s="3">
        <f t="shared" si="35"/>
        <v>0.967741935483871</v>
      </c>
      <c r="P715">
        <f t="shared" si="33"/>
        <v>1</v>
      </c>
      <c r="Q715">
        <f t="shared" si="34"/>
        <v>0</v>
      </c>
    </row>
    <row r="716" spans="1:17" x14ac:dyDescent="0.2">
      <c r="A716" t="s">
        <v>25</v>
      </c>
      <c r="B716" t="s">
        <v>722</v>
      </c>
      <c r="C716">
        <v>210</v>
      </c>
      <c r="D716">
        <v>5</v>
      </c>
      <c r="E716">
        <v>0.5</v>
      </c>
      <c r="F716">
        <v>0</v>
      </c>
      <c r="G716">
        <v>0</v>
      </c>
      <c r="H716">
        <v>5</v>
      </c>
      <c r="I716">
        <v>35</v>
      </c>
      <c r="J716">
        <v>49</v>
      </c>
      <c r="K716">
        <v>2</v>
      </c>
      <c r="L716">
        <v>44</v>
      </c>
      <c r="M716">
        <v>2</v>
      </c>
      <c r="N716">
        <v>252</v>
      </c>
      <c r="O716" s="3">
        <f t="shared" si="35"/>
        <v>0.95238095238095244</v>
      </c>
      <c r="P716">
        <f t="shared" si="33"/>
        <v>0</v>
      </c>
      <c r="Q716">
        <f t="shared" si="34"/>
        <v>0</v>
      </c>
    </row>
    <row r="717" spans="1:17" x14ac:dyDescent="0.2">
      <c r="A717" t="s">
        <v>25</v>
      </c>
      <c r="B717" t="s">
        <v>723</v>
      </c>
      <c r="C717">
        <v>210</v>
      </c>
      <c r="D717">
        <v>5</v>
      </c>
      <c r="E717">
        <v>0.5</v>
      </c>
      <c r="F717">
        <v>0</v>
      </c>
      <c r="G717">
        <v>0</v>
      </c>
      <c r="H717">
        <v>5</v>
      </c>
      <c r="I717">
        <v>30</v>
      </c>
      <c r="J717">
        <v>48</v>
      </c>
      <c r="K717">
        <v>3</v>
      </c>
      <c r="L717">
        <v>44</v>
      </c>
      <c r="M717">
        <v>2</v>
      </c>
      <c r="N717">
        <v>252</v>
      </c>
      <c r="O717" s="3">
        <f t="shared" si="35"/>
        <v>0.95238095238095244</v>
      </c>
      <c r="P717">
        <f t="shared" si="33"/>
        <v>0</v>
      </c>
      <c r="Q717">
        <f t="shared" si="34"/>
        <v>0</v>
      </c>
    </row>
    <row r="718" spans="1:17" x14ac:dyDescent="0.2">
      <c r="A718" t="s">
        <v>25</v>
      </c>
      <c r="B718" t="s">
        <v>724</v>
      </c>
      <c r="C718">
        <v>320</v>
      </c>
      <c r="D718">
        <v>10</v>
      </c>
      <c r="E718">
        <v>1</v>
      </c>
      <c r="F718">
        <v>0.5</v>
      </c>
      <c r="G718">
        <v>0</v>
      </c>
      <c r="H718">
        <v>5</v>
      </c>
      <c r="I718">
        <v>45</v>
      </c>
      <c r="J718">
        <v>75</v>
      </c>
      <c r="K718">
        <v>4</v>
      </c>
      <c r="L718">
        <v>69</v>
      </c>
      <c r="M718">
        <v>3</v>
      </c>
      <c r="N718">
        <v>386.5</v>
      </c>
      <c r="O718" s="3">
        <f t="shared" si="35"/>
        <v>0.9375</v>
      </c>
      <c r="P718">
        <f t="shared" si="33"/>
        <v>0</v>
      </c>
      <c r="Q718">
        <f t="shared" si="34"/>
        <v>0</v>
      </c>
    </row>
    <row r="719" spans="1:17" x14ac:dyDescent="0.2">
      <c r="A719" t="s">
        <v>51</v>
      </c>
      <c r="B719" t="s">
        <v>725</v>
      </c>
      <c r="C719">
        <v>320</v>
      </c>
      <c r="D719">
        <v>150</v>
      </c>
      <c r="E719">
        <v>16</v>
      </c>
      <c r="F719">
        <v>3</v>
      </c>
      <c r="G719">
        <v>0</v>
      </c>
      <c r="H719">
        <v>0</v>
      </c>
      <c r="I719">
        <v>840</v>
      </c>
      <c r="J719">
        <v>41</v>
      </c>
      <c r="K719">
        <v>3</v>
      </c>
      <c r="L719">
        <v>4</v>
      </c>
      <c r="M719">
        <v>3</v>
      </c>
      <c r="N719">
        <v>324</v>
      </c>
      <c r="O719" s="3">
        <f t="shared" si="35"/>
        <v>0.9375</v>
      </c>
      <c r="P719">
        <f t="shared" si="33"/>
        <v>1</v>
      </c>
      <c r="Q719">
        <f t="shared" si="34"/>
        <v>0</v>
      </c>
    </row>
    <row r="720" spans="1:17" x14ac:dyDescent="0.2">
      <c r="A720" t="s">
        <v>25</v>
      </c>
      <c r="B720" t="s">
        <v>726</v>
      </c>
      <c r="C720">
        <v>330</v>
      </c>
      <c r="D720">
        <v>10</v>
      </c>
      <c r="E720">
        <v>1</v>
      </c>
      <c r="F720">
        <v>0.5</v>
      </c>
      <c r="G720">
        <v>0</v>
      </c>
      <c r="H720">
        <v>5</v>
      </c>
      <c r="I720">
        <v>55</v>
      </c>
      <c r="J720">
        <v>77</v>
      </c>
      <c r="K720">
        <v>4</v>
      </c>
      <c r="L720">
        <v>70</v>
      </c>
      <c r="M720">
        <v>3</v>
      </c>
      <c r="N720">
        <v>397.5</v>
      </c>
      <c r="O720" s="3">
        <f t="shared" si="35"/>
        <v>0.90909090909090906</v>
      </c>
      <c r="P720">
        <f t="shared" si="33"/>
        <v>0</v>
      </c>
      <c r="Q720">
        <f t="shared" si="34"/>
        <v>0</v>
      </c>
    </row>
    <row r="721" spans="1:17" x14ac:dyDescent="0.2">
      <c r="A721" t="s">
        <v>51</v>
      </c>
      <c r="B721" t="s">
        <v>727</v>
      </c>
      <c r="C721">
        <v>220</v>
      </c>
      <c r="D721">
        <v>80</v>
      </c>
      <c r="E721">
        <v>9</v>
      </c>
      <c r="F721">
        <v>1.5</v>
      </c>
      <c r="G721">
        <v>0</v>
      </c>
      <c r="H721">
        <v>0</v>
      </c>
      <c r="I721">
        <v>210</v>
      </c>
      <c r="J721">
        <v>34</v>
      </c>
      <c r="K721">
        <v>3</v>
      </c>
      <c r="L721">
        <v>1</v>
      </c>
      <c r="M721">
        <v>2</v>
      </c>
      <c r="N721">
        <v>221</v>
      </c>
      <c r="O721" s="3">
        <f t="shared" si="35"/>
        <v>0.90909090909090906</v>
      </c>
      <c r="P721">
        <f t="shared" si="33"/>
        <v>0</v>
      </c>
      <c r="Q721">
        <f t="shared" si="34"/>
        <v>0</v>
      </c>
    </row>
    <row r="722" spans="1:17" x14ac:dyDescent="0.2">
      <c r="A722" t="s">
        <v>58</v>
      </c>
      <c r="B722" t="s">
        <v>684</v>
      </c>
      <c r="C722">
        <v>330</v>
      </c>
      <c r="D722" s="2">
        <v>0</v>
      </c>
      <c r="E722">
        <v>16</v>
      </c>
      <c r="F722">
        <v>8</v>
      </c>
      <c r="G722">
        <v>0</v>
      </c>
      <c r="H722">
        <v>25</v>
      </c>
      <c r="I722">
        <v>300</v>
      </c>
      <c r="J722">
        <v>43</v>
      </c>
      <c r="K722">
        <v>1</v>
      </c>
      <c r="L722">
        <v>24</v>
      </c>
      <c r="M722">
        <v>3</v>
      </c>
      <c r="N722">
        <v>359</v>
      </c>
      <c r="O722" s="3">
        <f t="shared" si="35"/>
        <v>0.90909090909090906</v>
      </c>
      <c r="P722">
        <f t="shared" si="33"/>
        <v>0</v>
      </c>
      <c r="Q722">
        <f t="shared" si="34"/>
        <v>0</v>
      </c>
    </row>
    <row r="723" spans="1:17" x14ac:dyDescent="0.2">
      <c r="A723" t="s">
        <v>21</v>
      </c>
      <c r="B723" t="s">
        <v>728</v>
      </c>
      <c r="C723">
        <v>220</v>
      </c>
      <c r="D723" s="2">
        <v>0</v>
      </c>
      <c r="E723">
        <v>10</v>
      </c>
      <c r="F723">
        <v>2</v>
      </c>
      <c r="G723">
        <v>0</v>
      </c>
      <c r="H723">
        <v>30</v>
      </c>
      <c r="I723">
        <v>170</v>
      </c>
      <c r="J723">
        <v>30</v>
      </c>
      <c r="K723">
        <v>0</v>
      </c>
      <c r="L723">
        <v>20</v>
      </c>
      <c r="M723">
        <v>2</v>
      </c>
      <c r="N723">
        <v>240</v>
      </c>
      <c r="O723" s="3">
        <f t="shared" si="35"/>
        <v>0.90909090909090906</v>
      </c>
      <c r="P723">
        <f t="shared" si="33"/>
        <v>0</v>
      </c>
      <c r="Q723">
        <f t="shared" si="34"/>
        <v>0</v>
      </c>
    </row>
    <row r="724" spans="1:17" x14ac:dyDescent="0.2">
      <c r="A724" t="s">
        <v>17</v>
      </c>
      <c r="B724" t="s">
        <v>729</v>
      </c>
      <c r="C724">
        <v>220</v>
      </c>
      <c r="D724">
        <v>120</v>
      </c>
      <c r="E724">
        <v>13</v>
      </c>
      <c r="F724">
        <v>1.5</v>
      </c>
      <c r="G724">
        <v>0</v>
      </c>
      <c r="H724">
        <v>0</v>
      </c>
      <c r="I724">
        <v>250</v>
      </c>
      <c r="J724">
        <v>24</v>
      </c>
      <c r="K724">
        <v>2</v>
      </c>
      <c r="L724">
        <v>2</v>
      </c>
      <c r="M724">
        <v>2</v>
      </c>
      <c r="O724" s="3">
        <f t="shared" si="35"/>
        <v>0.90909090909090906</v>
      </c>
      <c r="P724">
        <f t="shared" si="33"/>
        <v>0</v>
      </c>
      <c r="Q724">
        <f t="shared" si="34"/>
        <v>0</v>
      </c>
    </row>
    <row r="725" spans="1:17" x14ac:dyDescent="0.2">
      <c r="A725" t="s">
        <v>17</v>
      </c>
      <c r="B725" t="s">
        <v>730</v>
      </c>
      <c r="C725">
        <v>220</v>
      </c>
      <c r="D725">
        <v>120</v>
      </c>
      <c r="E725">
        <v>13</v>
      </c>
      <c r="F725">
        <v>1.5</v>
      </c>
      <c r="G725">
        <v>0</v>
      </c>
      <c r="H725">
        <v>0</v>
      </c>
      <c r="I725">
        <v>250</v>
      </c>
      <c r="J725">
        <v>24</v>
      </c>
      <c r="K725">
        <v>2</v>
      </c>
      <c r="L725">
        <v>2</v>
      </c>
      <c r="M725">
        <v>2</v>
      </c>
      <c r="O725" s="3">
        <f t="shared" si="35"/>
        <v>0.90909090909090906</v>
      </c>
      <c r="P725">
        <f t="shared" si="33"/>
        <v>0</v>
      </c>
      <c r="Q725">
        <f t="shared" si="34"/>
        <v>0</v>
      </c>
    </row>
    <row r="726" spans="1:17" x14ac:dyDescent="0.2">
      <c r="A726" t="s">
        <v>17</v>
      </c>
      <c r="B726" t="s">
        <v>731</v>
      </c>
      <c r="C726">
        <v>220</v>
      </c>
      <c r="D726">
        <v>120</v>
      </c>
      <c r="E726">
        <v>13</v>
      </c>
      <c r="F726">
        <v>1.5</v>
      </c>
      <c r="G726">
        <v>0</v>
      </c>
      <c r="H726">
        <v>0</v>
      </c>
      <c r="I726">
        <v>250</v>
      </c>
      <c r="J726">
        <v>24</v>
      </c>
      <c r="K726">
        <v>2</v>
      </c>
      <c r="L726">
        <v>2</v>
      </c>
      <c r="M726">
        <v>2</v>
      </c>
      <c r="O726" s="3">
        <f t="shared" si="35"/>
        <v>0.90909090909090906</v>
      </c>
      <c r="P726">
        <f t="shared" si="33"/>
        <v>0</v>
      </c>
      <c r="Q726">
        <f t="shared" si="34"/>
        <v>0</v>
      </c>
    </row>
    <row r="727" spans="1:17" x14ac:dyDescent="0.2">
      <c r="A727" t="s">
        <v>51</v>
      </c>
      <c r="B727" t="s">
        <v>732</v>
      </c>
      <c r="C727">
        <v>340</v>
      </c>
      <c r="D727">
        <v>130</v>
      </c>
      <c r="E727">
        <v>14</v>
      </c>
      <c r="F727">
        <v>6</v>
      </c>
      <c r="G727">
        <v>0</v>
      </c>
      <c r="H727">
        <v>0</v>
      </c>
      <c r="I727">
        <v>310</v>
      </c>
      <c r="J727">
        <v>51</v>
      </c>
      <c r="K727">
        <v>1</v>
      </c>
      <c r="L727">
        <v>25</v>
      </c>
      <c r="M727">
        <v>3</v>
      </c>
      <c r="N727">
        <v>368</v>
      </c>
      <c r="O727" s="3">
        <f t="shared" si="35"/>
        <v>0.88235294117647056</v>
      </c>
      <c r="P727">
        <f t="shared" si="33"/>
        <v>0</v>
      </c>
      <c r="Q727">
        <f t="shared" si="34"/>
        <v>0</v>
      </c>
    </row>
    <row r="728" spans="1:17" x14ac:dyDescent="0.2">
      <c r="A728" t="s">
        <v>21</v>
      </c>
      <c r="B728" t="s">
        <v>733</v>
      </c>
      <c r="C728">
        <v>230</v>
      </c>
      <c r="D728" s="2">
        <v>0</v>
      </c>
      <c r="E728">
        <v>10</v>
      </c>
      <c r="F728">
        <v>2.5</v>
      </c>
      <c r="G728">
        <v>0</v>
      </c>
      <c r="H728">
        <v>0</v>
      </c>
      <c r="I728">
        <v>140</v>
      </c>
      <c r="J728">
        <v>32</v>
      </c>
      <c r="K728" s="2">
        <v>0</v>
      </c>
      <c r="L728">
        <v>12</v>
      </c>
      <c r="M728">
        <v>2</v>
      </c>
      <c r="N728">
        <v>242.5</v>
      </c>
      <c r="O728" s="3">
        <f t="shared" si="35"/>
        <v>0.86956521739130432</v>
      </c>
      <c r="P728">
        <f t="shared" si="33"/>
        <v>0</v>
      </c>
      <c r="Q728">
        <f t="shared" si="34"/>
        <v>0</v>
      </c>
    </row>
    <row r="729" spans="1:17" x14ac:dyDescent="0.2">
      <c r="A729" t="s">
        <v>51</v>
      </c>
      <c r="B729" t="s">
        <v>734</v>
      </c>
      <c r="C729">
        <v>240</v>
      </c>
      <c r="D729">
        <v>90</v>
      </c>
      <c r="E729">
        <v>10</v>
      </c>
      <c r="F729">
        <v>6</v>
      </c>
      <c r="G729">
        <v>0</v>
      </c>
      <c r="H729">
        <v>30</v>
      </c>
      <c r="I729">
        <v>55</v>
      </c>
      <c r="J729">
        <v>35</v>
      </c>
      <c r="K729">
        <v>1</v>
      </c>
      <c r="L729">
        <v>32</v>
      </c>
      <c r="M729">
        <v>2</v>
      </c>
      <c r="N729">
        <v>276</v>
      </c>
      <c r="O729" s="3">
        <f t="shared" si="35"/>
        <v>0.83333333333333337</v>
      </c>
      <c r="P729">
        <f t="shared" si="33"/>
        <v>0</v>
      </c>
      <c r="Q729">
        <f t="shared" si="34"/>
        <v>0</v>
      </c>
    </row>
    <row r="730" spans="1:17" x14ac:dyDescent="0.2">
      <c r="A730" t="s">
        <v>58</v>
      </c>
      <c r="B730" t="s">
        <v>735</v>
      </c>
      <c r="C730">
        <v>120</v>
      </c>
      <c r="D730" s="2">
        <v>0</v>
      </c>
      <c r="E730">
        <v>12</v>
      </c>
      <c r="F730">
        <v>2</v>
      </c>
      <c r="G730">
        <v>0</v>
      </c>
      <c r="H730">
        <v>0</v>
      </c>
      <c r="I730">
        <v>170</v>
      </c>
      <c r="J730">
        <v>4</v>
      </c>
      <c r="K730">
        <v>1</v>
      </c>
      <c r="L730">
        <v>3</v>
      </c>
      <c r="M730">
        <v>1</v>
      </c>
      <c r="N730">
        <v>124</v>
      </c>
      <c r="O730" s="3">
        <f t="shared" si="35"/>
        <v>0.83333333333333337</v>
      </c>
      <c r="P730">
        <f t="shared" si="33"/>
        <v>0</v>
      </c>
      <c r="Q730">
        <f t="shared" si="34"/>
        <v>0</v>
      </c>
    </row>
    <row r="731" spans="1:17" x14ac:dyDescent="0.2">
      <c r="A731" t="s">
        <v>21</v>
      </c>
      <c r="B731" t="s">
        <v>683</v>
      </c>
      <c r="C731">
        <v>120</v>
      </c>
      <c r="D731" s="2">
        <v>0</v>
      </c>
      <c r="E731">
        <v>6</v>
      </c>
      <c r="F731">
        <v>3</v>
      </c>
      <c r="G731">
        <v>0</v>
      </c>
      <c r="H731">
        <v>0</v>
      </c>
      <c r="I731">
        <v>70</v>
      </c>
      <c r="J731">
        <v>18</v>
      </c>
      <c r="K731">
        <v>1</v>
      </c>
      <c r="L731">
        <v>12</v>
      </c>
      <c r="M731">
        <v>1</v>
      </c>
      <c r="N731">
        <v>134</v>
      </c>
      <c r="O731" s="3">
        <f t="shared" si="35"/>
        <v>0.83333333333333337</v>
      </c>
      <c r="P731">
        <f t="shared" si="33"/>
        <v>0</v>
      </c>
      <c r="Q731">
        <f t="shared" si="34"/>
        <v>0</v>
      </c>
    </row>
    <row r="732" spans="1:17" x14ac:dyDescent="0.2">
      <c r="A732" t="s">
        <v>25</v>
      </c>
      <c r="B732" t="s">
        <v>736</v>
      </c>
      <c r="C732">
        <v>250</v>
      </c>
      <c r="D732">
        <v>110</v>
      </c>
      <c r="E732">
        <v>13</v>
      </c>
      <c r="F732">
        <v>7</v>
      </c>
      <c r="G732">
        <v>0</v>
      </c>
      <c r="H732">
        <v>0</v>
      </c>
      <c r="I732">
        <v>170</v>
      </c>
      <c r="J732">
        <v>32</v>
      </c>
      <c r="K732">
        <v>4</v>
      </c>
      <c r="L732">
        <v>13</v>
      </c>
      <c r="M732">
        <v>2</v>
      </c>
      <c r="N732">
        <v>268</v>
      </c>
      <c r="O732" s="3">
        <f t="shared" si="35"/>
        <v>0.8</v>
      </c>
      <c r="P732">
        <f t="shared" si="33"/>
        <v>0</v>
      </c>
      <c r="Q732">
        <f t="shared" si="34"/>
        <v>0</v>
      </c>
    </row>
    <row r="733" spans="1:17" x14ac:dyDescent="0.2">
      <c r="A733" t="s">
        <v>51</v>
      </c>
      <c r="B733" t="s">
        <v>737</v>
      </c>
      <c r="C733">
        <v>250</v>
      </c>
      <c r="D733">
        <v>150</v>
      </c>
      <c r="E733">
        <v>16</v>
      </c>
      <c r="F733">
        <v>3.5</v>
      </c>
      <c r="G733">
        <v>0</v>
      </c>
      <c r="H733">
        <v>0</v>
      </c>
      <c r="I733">
        <v>580</v>
      </c>
      <c r="J733">
        <v>24</v>
      </c>
      <c r="K733">
        <v>3</v>
      </c>
      <c r="L733">
        <v>0</v>
      </c>
      <c r="M733">
        <v>2</v>
      </c>
      <c r="N733">
        <v>252</v>
      </c>
      <c r="O733" s="3">
        <f t="shared" si="35"/>
        <v>0.8</v>
      </c>
      <c r="P733">
        <f t="shared" si="33"/>
        <v>1</v>
      </c>
      <c r="Q733">
        <f t="shared" si="34"/>
        <v>0</v>
      </c>
    </row>
    <row r="734" spans="1:17" x14ac:dyDescent="0.2">
      <c r="A734" t="s">
        <v>51</v>
      </c>
      <c r="B734" t="s">
        <v>738</v>
      </c>
      <c r="C734">
        <v>500</v>
      </c>
      <c r="D734">
        <v>290</v>
      </c>
      <c r="E734">
        <v>33</v>
      </c>
      <c r="F734">
        <v>7</v>
      </c>
      <c r="G734">
        <v>0</v>
      </c>
      <c r="H734">
        <v>0</v>
      </c>
      <c r="I734">
        <v>1140</v>
      </c>
      <c r="J734">
        <v>48</v>
      </c>
      <c r="K734">
        <v>7</v>
      </c>
      <c r="L734">
        <v>0</v>
      </c>
      <c r="M734">
        <v>4</v>
      </c>
      <c r="N734">
        <v>503</v>
      </c>
      <c r="O734" s="3">
        <f t="shared" si="35"/>
        <v>0.8</v>
      </c>
      <c r="P734">
        <f t="shared" si="33"/>
        <v>1</v>
      </c>
      <c r="Q734">
        <f t="shared" si="34"/>
        <v>0</v>
      </c>
    </row>
    <row r="735" spans="1:17" x14ac:dyDescent="0.2">
      <c r="A735" t="s">
        <v>25</v>
      </c>
      <c r="B735" t="s">
        <v>739</v>
      </c>
      <c r="C735">
        <v>130</v>
      </c>
      <c r="D735">
        <v>50</v>
      </c>
      <c r="E735">
        <v>5</v>
      </c>
      <c r="F735">
        <v>3.5</v>
      </c>
      <c r="G735">
        <v>0</v>
      </c>
      <c r="H735">
        <v>20</v>
      </c>
      <c r="I735">
        <v>80</v>
      </c>
      <c r="J735">
        <v>21</v>
      </c>
      <c r="K735">
        <v>0</v>
      </c>
      <c r="L735">
        <v>20</v>
      </c>
      <c r="M735">
        <v>1</v>
      </c>
      <c r="N735">
        <v>152.5</v>
      </c>
      <c r="O735" s="3">
        <f t="shared" si="35"/>
        <v>0.76923076923076927</v>
      </c>
      <c r="P735">
        <f t="shared" si="33"/>
        <v>0</v>
      </c>
      <c r="Q735">
        <f t="shared" si="34"/>
        <v>0</v>
      </c>
    </row>
    <row r="736" spans="1:17" x14ac:dyDescent="0.2">
      <c r="A736" t="s">
        <v>25</v>
      </c>
      <c r="B736" t="s">
        <v>740</v>
      </c>
      <c r="C736">
        <v>130</v>
      </c>
      <c r="D736">
        <v>50</v>
      </c>
      <c r="E736">
        <v>5</v>
      </c>
      <c r="F736">
        <v>3.5</v>
      </c>
      <c r="G736">
        <v>0</v>
      </c>
      <c r="H736">
        <v>20</v>
      </c>
      <c r="I736">
        <v>40</v>
      </c>
      <c r="J736">
        <v>21</v>
      </c>
      <c r="K736">
        <v>0</v>
      </c>
      <c r="L736">
        <v>21</v>
      </c>
      <c r="M736">
        <v>1</v>
      </c>
      <c r="N736">
        <v>153.5</v>
      </c>
      <c r="O736" s="3">
        <f t="shared" si="35"/>
        <v>0.76923076923076927</v>
      </c>
      <c r="P736">
        <f t="shared" si="33"/>
        <v>0</v>
      </c>
      <c r="Q736">
        <f t="shared" si="34"/>
        <v>0</v>
      </c>
    </row>
    <row r="737" spans="1:17" x14ac:dyDescent="0.2">
      <c r="A737" t="s">
        <v>25</v>
      </c>
      <c r="B737" t="s">
        <v>741</v>
      </c>
      <c r="C737">
        <v>130</v>
      </c>
      <c r="D737">
        <v>50</v>
      </c>
      <c r="E737">
        <v>5</v>
      </c>
      <c r="F737">
        <v>3.5</v>
      </c>
      <c r="G737">
        <v>0</v>
      </c>
      <c r="H737">
        <v>20</v>
      </c>
      <c r="I737">
        <v>40</v>
      </c>
      <c r="J737">
        <v>21</v>
      </c>
      <c r="K737">
        <v>0</v>
      </c>
      <c r="L737">
        <v>21</v>
      </c>
      <c r="M737">
        <v>1</v>
      </c>
      <c r="N737">
        <v>153.5</v>
      </c>
      <c r="O737" s="3">
        <f t="shared" si="35"/>
        <v>0.76923076923076927</v>
      </c>
      <c r="P737">
        <f t="shared" si="33"/>
        <v>0</v>
      </c>
      <c r="Q737">
        <f t="shared" si="34"/>
        <v>0</v>
      </c>
    </row>
    <row r="738" spans="1:17" x14ac:dyDescent="0.2">
      <c r="A738" t="s">
        <v>25</v>
      </c>
      <c r="B738" t="s">
        <v>742</v>
      </c>
      <c r="C738">
        <v>260</v>
      </c>
      <c r="D738">
        <v>5</v>
      </c>
      <c r="E738">
        <v>1</v>
      </c>
      <c r="F738">
        <v>0</v>
      </c>
      <c r="G738">
        <v>0</v>
      </c>
      <c r="H738">
        <v>5</v>
      </c>
      <c r="I738">
        <v>40</v>
      </c>
      <c r="J738">
        <v>60</v>
      </c>
      <c r="K738">
        <v>3</v>
      </c>
      <c r="L738">
        <v>54</v>
      </c>
      <c r="M738">
        <v>2</v>
      </c>
      <c r="N738">
        <v>312</v>
      </c>
      <c r="O738" s="3">
        <f t="shared" si="35"/>
        <v>0.76923076923076927</v>
      </c>
      <c r="P738">
        <f t="shared" si="33"/>
        <v>0</v>
      </c>
      <c r="Q738">
        <f t="shared" si="34"/>
        <v>0</v>
      </c>
    </row>
    <row r="739" spans="1:17" x14ac:dyDescent="0.2">
      <c r="A739" t="s">
        <v>51</v>
      </c>
      <c r="B739" t="s">
        <v>743</v>
      </c>
      <c r="C739">
        <v>260</v>
      </c>
      <c r="D739">
        <v>110</v>
      </c>
      <c r="E739">
        <v>13</v>
      </c>
      <c r="F739">
        <v>7</v>
      </c>
      <c r="G739">
        <v>0</v>
      </c>
      <c r="H739">
        <v>40</v>
      </c>
      <c r="I739">
        <v>50</v>
      </c>
      <c r="J739">
        <v>34</v>
      </c>
      <c r="K739">
        <v>0</v>
      </c>
      <c r="L739">
        <v>34</v>
      </c>
      <c r="M739">
        <v>2</v>
      </c>
      <c r="N739">
        <v>299</v>
      </c>
      <c r="O739" s="3">
        <f t="shared" si="35"/>
        <v>0.76923076923076927</v>
      </c>
      <c r="P739">
        <f t="shared" si="33"/>
        <v>0</v>
      </c>
      <c r="Q739">
        <f t="shared" si="34"/>
        <v>0</v>
      </c>
    </row>
    <row r="740" spans="1:17" x14ac:dyDescent="0.2">
      <c r="A740" t="s">
        <v>21</v>
      </c>
      <c r="B740" t="s">
        <v>744</v>
      </c>
      <c r="C740">
        <v>260</v>
      </c>
      <c r="D740" s="2">
        <v>0</v>
      </c>
      <c r="E740">
        <v>26</v>
      </c>
      <c r="F740">
        <v>5</v>
      </c>
      <c r="G740">
        <v>0</v>
      </c>
      <c r="H740">
        <v>15</v>
      </c>
      <c r="I740">
        <v>540</v>
      </c>
      <c r="J740">
        <v>4</v>
      </c>
      <c r="K740">
        <v>0</v>
      </c>
      <c r="L740">
        <v>2</v>
      </c>
      <c r="M740">
        <v>2</v>
      </c>
      <c r="N740">
        <v>265</v>
      </c>
      <c r="O740" s="3">
        <f t="shared" si="35"/>
        <v>0.76923076923076927</v>
      </c>
      <c r="P740">
        <f t="shared" si="33"/>
        <v>1</v>
      </c>
      <c r="Q740">
        <f t="shared" si="34"/>
        <v>0</v>
      </c>
    </row>
    <row r="741" spans="1:17" x14ac:dyDescent="0.2">
      <c r="A741" t="s">
        <v>51</v>
      </c>
      <c r="B741" t="s">
        <v>745</v>
      </c>
      <c r="C741">
        <v>670</v>
      </c>
      <c r="D741">
        <v>390</v>
      </c>
      <c r="E741">
        <v>44</v>
      </c>
      <c r="F741">
        <v>9</v>
      </c>
      <c r="G741">
        <v>0</v>
      </c>
      <c r="H741">
        <v>0</v>
      </c>
      <c r="I741">
        <v>1530</v>
      </c>
      <c r="J741">
        <v>65</v>
      </c>
      <c r="K741">
        <v>9</v>
      </c>
      <c r="L741">
        <v>0</v>
      </c>
      <c r="M741">
        <v>5</v>
      </c>
      <c r="N741">
        <v>674</v>
      </c>
      <c r="O741" s="3">
        <f t="shared" si="35"/>
        <v>0.74626865671641784</v>
      </c>
      <c r="P741">
        <f t="shared" si="33"/>
        <v>1</v>
      </c>
      <c r="Q741">
        <f t="shared" si="34"/>
        <v>0</v>
      </c>
    </row>
    <row r="742" spans="1:17" x14ac:dyDescent="0.2">
      <c r="A742" t="s">
        <v>25</v>
      </c>
      <c r="B742" t="s">
        <v>746</v>
      </c>
      <c r="C742">
        <v>270</v>
      </c>
      <c r="D742">
        <v>100</v>
      </c>
      <c r="E742">
        <v>11</v>
      </c>
      <c r="F742">
        <v>7</v>
      </c>
      <c r="G742">
        <v>0</v>
      </c>
      <c r="H742">
        <v>40</v>
      </c>
      <c r="I742">
        <v>160</v>
      </c>
      <c r="J742">
        <v>41</v>
      </c>
      <c r="K742">
        <v>0</v>
      </c>
      <c r="L742">
        <v>41</v>
      </c>
      <c r="M742">
        <v>2</v>
      </c>
      <c r="N742">
        <v>316</v>
      </c>
      <c r="O742" s="3">
        <f t="shared" si="35"/>
        <v>0.74074074074074081</v>
      </c>
      <c r="P742">
        <f t="shared" si="33"/>
        <v>0</v>
      </c>
      <c r="Q742">
        <f t="shared" si="34"/>
        <v>0</v>
      </c>
    </row>
    <row r="743" spans="1:17" x14ac:dyDescent="0.2">
      <c r="A743" t="s">
        <v>25</v>
      </c>
      <c r="B743" t="s">
        <v>747</v>
      </c>
      <c r="C743">
        <v>270</v>
      </c>
      <c r="D743">
        <v>100</v>
      </c>
      <c r="E743">
        <v>11</v>
      </c>
      <c r="F743">
        <v>7</v>
      </c>
      <c r="G743">
        <v>0</v>
      </c>
      <c r="H743">
        <v>40</v>
      </c>
      <c r="I743">
        <v>85</v>
      </c>
      <c r="J743">
        <v>43</v>
      </c>
      <c r="K743">
        <v>0</v>
      </c>
      <c r="L743">
        <v>43</v>
      </c>
      <c r="M743">
        <v>2</v>
      </c>
      <c r="N743">
        <v>318</v>
      </c>
      <c r="O743" s="3">
        <f t="shared" si="35"/>
        <v>0.74074074074074081</v>
      </c>
      <c r="P743">
        <f t="shared" si="33"/>
        <v>0</v>
      </c>
      <c r="Q743">
        <f t="shared" si="34"/>
        <v>0</v>
      </c>
    </row>
    <row r="744" spans="1:17" x14ac:dyDescent="0.2">
      <c r="A744" t="s">
        <v>25</v>
      </c>
      <c r="B744" t="s">
        <v>748</v>
      </c>
      <c r="C744">
        <v>270</v>
      </c>
      <c r="D744">
        <v>100</v>
      </c>
      <c r="E744">
        <v>11</v>
      </c>
      <c r="F744">
        <v>7</v>
      </c>
      <c r="G744">
        <v>0</v>
      </c>
      <c r="H744">
        <v>40</v>
      </c>
      <c r="I744">
        <v>80</v>
      </c>
      <c r="J744">
        <v>43</v>
      </c>
      <c r="K744">
        <v>0</v>
      </c>
      <c r="L744">
        <v>43</v>
      </c>
      <c r="M744">
        <v>2</v>
      </c>
      <c r="N744">
        <v>318</v>
      </c>
      <c r="O744" s="3">
        <f t="shared" si="35"/>
        <v>0.74074074074074081</v>
      </c>
      <c r="P744">
        <f t="shared" si="33"/>
        <v>0</v>
      </c>
      <c r="Q744">
        <f t="shared" si="34"/>
        <v>0</v>
      </c>
    </row>
    <row r="745" spans="1:17" x14ac:dyDescent="0.2">
      <c r="A745" t="s">
        <v>25</v>
      </c>
      <c r="B745" t="s">
        <v>749</v>
      </c>
      <c r="C745">
        <v>140</v>
      </c>
      <c r="D745">
        <v>50</v>
      </c>
      <c r="E745">
        <v>5</v>
      </c>
      <c r="F745">
        <v>3.5</v>
      </c>
      <c r="G745">
        <v>0</v>
      </c>
      <c r="H745">
        <v>20</v>
      </c>
      <c r="I745">
        <v>40</v>
      </c>
      <c r="J745">
        <v>22</v>
      </c>
      <c r="K745">
        <v>0</v>
      </c>
      <c r="L745">
        <v>22</v>
      </c>
      <c r="M745">
        <v>1</v>
      </c>
      <c r="N745">
        <v>164.5</v>
      </c>
      <c r="O745" s="3">
        <f t="shared" si="35"/>
        <v>0.7142857142857143</v>
      </c>
      <c r="P745">
        <f t="shared" si="33"/>
        <v>0</v>
      </c>
      <c r="Q745">
        <f t="shared" si="34"/>
        <v>0</v>
      </c>
    </row>
    <row r="746" spans="1:17" x14ac:dyDescent="0.2">
      <c r="A746" t="s">
        <v>25</v>
      </c>
      <c r="B746" t="s">
        <v>750</v>
      </c>
      <c r="C746">
        <v>280</v>
      </c>
      <c r="D746">
        <v>100</v>
      </c>
      <c r="E746">
        <v>11</v>
      </c>
      <c r="F746">
        <v>7</v>
      </c>
      <c r="G746">
        <v>0</v>
      </c>
      <c r="H746">
        <v>40</v>
      </c>
      <c r="I746">
        <v>85</v>
      </c>
      <c r="J746">
        <v>45</v>
      </c>
      <c r="K746">
        <v>0</v>
      </c>
      <c r="L746">
        <v>45</v>
      </c>
      <c r="M746">
        <v>2</v>
      </c>
      <c r="N746">
        <v>330</v>
      </c>
      <c r="O746" s="3">
        <f t="shared" si="35"/>
        <v>0.7142857142857143</v>
      </c>
      <c r="P746">
        <f t="shared" si="33"/>
        <v>0</v>
      </c>
      <c r="Q746">
        <f t="shared" si="34"/>
        <v>0</v>
      </c>
    </row>
    <row r="747" spans="1:17" x14ac:dyDescent="0.2">
      <c r="A747" t="s">
        <v>51</v>
      </c>
      <c r="B747" t="s">
        <v>751</v>
      </c>
      <c r="C747">
        <v>140</v>
      </c>
      <c r="D747">
        <v>140</v>
      </c>
      <c r="E747">
        <v>15</v>
      </c>
      <c r="F747">
        <v>2.5</v>
      </c>
      <c r="G747">
        <v>0</v>
      </c>
      <c r="H747">
        <v>10</v>
      </c>
      <c r="I747">
        <v>85</v>
      </c>
      <c r="J747">
        <v>1</v>
      </c>
      <c r="K747">
        <v>0</v>
      </c>
      <c r="L747">
        <v>1</v>
      </c>
      <c r="M747">
        <v>1</v>
      </c>
      <c r="N747">
        <v>143</v>
      </c>
      <c r="O747" s="3">
        <f t="shared" si="35"/>
        <v>0.7142857142857143</v>
      </c>
      <c r="P747">
        <f t="shared" si="33"/>
        <v>0</v>
      </c>
      <c r="Q747">
        <f t="shared" si="34"/>
        <v>0</v>
      </c>
    </row>
    <row r="748" spans="1:17" x14ac:dyDescent="0.2">
      <c r="A748" t="s">
        <v>21</v>
      </c>
      <c r="B748" t="s">
        <v>752</v>
      </c>
      <c r="C748">
        <v>140</v>
      </c>
      <c r="D748" s="2">
        <v>0</v>
      </c>
      <c r="E748">
        <v>8</v>
      </c>
      <c r="F748">
        <v>1</v>
      </c>
      <c r="G748">
        <v>0</v>
      </c>
      <c r="H748">
        <v>15</v>
      </c>
      <c r="I748">
        <v>290</v>
      </c>
      <c r="J748">
        <v>14</v>
      </c>
      <c r="K748">
        <v>0</v>
      </c>
      <c r="L748">
        <v>9</v>
      </c>
      <c r="M748">
        <v>1</v>
      </c>
      <c r="N748">
        <v>149</v>
      </c>
      <c r="O748" s="3">
        <f t="shared" si="35"/>
        <v>0.7142857142857143</v>
      </c>
      <c r="P748">
        <f t="shared" si="33"/>
        <v>0</v>
      </c>
      <c r="Q748">
        <f t="shared" si="34"/>
        <v>0</v>
      </c>
    </row>
    <row r="749" spans="1:17" x14ac:dyDescent="0.2">
      <c r="A749" t="s">
        <v>25</v>
      </c>
      <c r="B749" t="s">
        <v>753</v>
      </c>
      <c r="C749">
        <v>150</v>
      </c>
      <c r="D749">
        <v>80</v>
      </c>
      <c r="E749">
        <v>9</v>
      </c>
      <c r="F749">
        <v>1.5</v>
      </c>
      <c r="G749">
        <v>0</v>
      </c>
      <c r="H749">
        <v>0</v>
      </c>
      <c r="I749">
        <v>310</v>
      </c>
      <c r="J749">
        <v>15</v>
      </c>
      <c r="K749">
        <v>2</v>
      </c>
      <c r="L749">
        <v>0</v>
      </c>
      <c r="M749">
        <v>1</v>
      </c>
      <c r="N749">
        <v>150.5</v>
      </c>
      <c r="O749" s="3">
        <f t="shared" si="35"/>
        <v>0.66666666666666674</v>
      </c>
      <c r="P749">
        <f t="shared" si="33"/>
        <v>0</v>
      </c>
      <c r="Q749">
        <f t="shared" si="34"/>
        <v>0</v>
      </c>
    </row>
    <row r="750" spans="1:17" x14ac:dyDescent="0.2">
      <c r="A750" t="s">
        <v>25</v>
      </c>
      <c r="B750" t="s">
        <v>754</v>
      </c>
      <c r="C750">
        <v>150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10</v>
      </c>
      <c r="J750">
        <v>36</v>
      </c>
      <c r="K750">
        <v>0</v>
      </c>
      <c r="L750">
        <v>36</v>
      </c>
      <c r="M750">
        <v>1</v>
      </c>
      <c r="N750">
        <v>185</v>
      </c>
      <c r="O750" s="3">
        <f t="shared" si="35"/>
        <v>0.66666666666666674</v>
      </c>
      <c r="P750">
        <f t="shared" si="33"/>
        <v>0</v>
      </c>
      <c r="Q750">
        <f t="shared" si="34"/>
        <v>0</v>
      </c>
    </row>
    <row r="751" spans="1:17" x14ac:dyDescent="0.2">
      <c r="A751" t="s">
        <v>51</v>
      </c>
      <c r="B751" t="s">
        <v>755</v>
      </c>
      <c r="C751">
        <v>150</v>
      </c>
      <c r="D751">
        <v>70</v>
      </c>
      <c r="E751">
        <v>8</v>
      </c>
      <c r="F751">
        <v>1.5</v>
      </c>
      <c r="G751">
        <v>0</v>
      </c>
      <c r="H751">
        <v>0</v>
      </c>
      <c r="I751">
        <v>400</v>
      </c>
      <c r="J751">
        <v>19</v>
      </c>
      <c r="K751">
        <v>1</v>
      </c>
      <c r="L751">
        <v>2</v>
      </c>
      <c r="M751">
        <v>1</v>
      </c>
      <c r="N751">
        <v>153</v>
      </c>
      <c r="O751" s="3">
        <f t="shared" si="35"/>
        <v>0.66666666666666674</v>
      </c>
      <c r="P751">
        <f t="shared" si="33"/>
        <v>0</v>
      </c>
      <c r="Q751">
        <f t="shared" si="34"/>
        <v>0</v>
      </c>
    </row>
    <row r="752" spans="1:17" x14ac:dyDescent="0.2">
      <c r="A752" t="s">
        <v>51</v>
      </c>
      <c r="B752" t="s">
        <v>756</v>
      </c>
      <c r="C752">
        <v>150</v>
      </c>
      <c r="D752">
        <v>70</v>
      </c>
      <c r="E752">
        <v>8</v>
      </c>
      <c r="F752">
        <v>4</v>
      </c>
      <c r="G752">
        <v>0</v>
      </c>
      <c r="H752">
        <v>25</v>
      </c>
      <c r="I752">
        <v>30</v>
      </c>
      <c r="J752">
        <v>21</v>
      </c>
      <c r="K752">
        <v>0</v>
      </c>
      <c r="L752">
        <v>21</v>
      </c>
      <c r="M752">
        <v>1</v>
      </c>
      <c r="N752">
        <v>174</v>
      </c>
      <c r="O752" s="3">
        <f t="shared" si="35"/>
        <v>0.66666666666666674</v>
      </c>
      <c r="P752">
        <f t="shared" si="33"/>
        <v>0</v>
      </c>
      <c r="Q752">
        <f t="shared" si="34"/>
        <v>0</v>
      </c>
    </row>
    <row r="753" spans="1:17" x14ac:dyDescent="0.2">
      <c r="A753" t="s">
        <v>21</v>
      </c>
      <c r="B753" t="s">
        <v>757</v>
      </c>
      <c r="C753">
        <v>1200</v>
      </c>
      <c r="D753" s="2">
        <v>0</v>
      </c>
      <c r="E753">
        <v>98</v>
      </c>
      <c r="F753">
        <v>16</v>
      </c>
      <c r="G753">
        <v>0</v>
      </c>
      <c r="H753">
        <v>80</v>
      </c>
      <c r="I753">
        <v>1010</v>
      </c>
      <c r="J753">
        <v>65</v>
      </c>
      <c r="K753">
        <v>8</v>
      </c>
      <c r="L753">
        <v>12</v>
      </c>
      <c r="M753">
        <v>8</v>
      </c>
      <c r="N753">
        <v>1220</v>
      </c>
      <c r="O753" s="3">
        <f t="shared" si="35"/>
        <v>0.66666666666666674</v>
      </c>
      <c r="P753">
        <f t="shared" si="33"/>
        <v>1</v>
      </c>
      <c r="Q753">
        <f t="shared" si="34"/>
        <v>0</v>
      </c>
    </row>
    <row r="754" spans="1:17" x14ac:dyDescent="0.2">
      <c r="A754" t="s">
        <v>21</v>
      </c>
      <c r="B754" t="s">
        <v>758</v>
      </c>
      <c r="C754">
        <v>640</v>
      </c>
      <c r="D754" s="2">
        <v>0</v>
      </c>
      <c r="E754">
        <v>46</v>
      </c>
      <c r="F754">
        <v>7</v>
      </c>
      <c r="G754">
        <v>0</v>
      </c>
      <c r="H754">
        <v>15</v>
      </c>
      <c r="I754">
        <v>670</v>
      </c>
      <c r="J754">
        <v>54</v>
      </c>
      <c r="K754">
        <v>14</v>
      </c>
      <c r="L754">
        <v>37</v>
      </c>
      <c r="M754">
        <v>4</v>
      </c>
      <c r="N754">
        <v>680</v>
      </c>
      <c r="O754" s="3">
        <f t="shared" si="35"/>
        <v>0.625</v>
      </c>
      <c r="P754">
        <f t="shared" si="33"/>
        <v>1</v>
      </c>
      <c r="Q754">
        <f t="shared" si="34"/>
        <v>0</v>
      </c>
    </row>
    <row r="755" spans="1:17" x14ac:dyDescent="0.2">
      <c r="A755" t="s">
        <v>21</v>
      </c>
      <c r="B755" t="s">
        <v>759</v>
      </c>
      <c r="C755">
        <v>480</v>
      </c>
      <c r="D755" s="2">
        <v>0</v>
      </c>
      <c r="E755">
        <v>28</v>
      </c>
      <c r="F755">
        <v>3.5</v>
      </c>
      <c r="G755">
        <v>0</v>
      </c>
      <c r="H755">
        <v>55</v>
      </c>
      <c r="I755">
        <v>990</v>
      </c>
      <c r="J755">
        <v>50</v>
      </c>
      <c r="K755">
        <v>0</v>
      </c>
      <c r="L755">
        <v>30</v>
      </c>
      <c r="M755">
        <v>3</v>
      </c>
      <c r="N755">
        <v>510.5</v>
      </c>
      <c r="O755" s="3">
        <f t="shared" si="35"/>
        <v>0.625</v>
      </c>
      <c r="P755">
        <f t="shared" si="33"/>
        <v>1</v>
      </c>
      <c r="Q755">
        <f t="shared" si="34"/>
        <v>0</v>
      </c>
    </row>
    <row r="756" spans="1:17" x14ac:dyDescent="0.2">
      <c r="A756" t="s">
        <v>17</v>
      </c>
      <c r="B756" t="s">
        <v>753</v>
      </c>
      <c r="C756">
        <v>160</v>
      </c>
      <c r="D756">
        <v>100</v>
      </c>
      <c r="E756">
        <v>12</v>
      </c>
      <c r="F756">
        <v>1</v>
      </c>
      <c r="G756">
        <v>0</v>
      </c>
      <c r="H756">
        <v>0</v>
      </c>
      <c r="I756">
        <v>270</v>
      </c>
      <c r="J756">
        <v>13</v>
      </c>
      <c r="K756">
        <v>2</v>
      </c>
      <c r="L756">
        <v>0</v>
      </c>
      <c r="M756">
        <v>1</v>
      </c>
      <c r="O756" s="3">
        <f t="shared" si="35"/>
        <v>0.625</v>
      </c>
      <c r="P756">
        <f t="shared" si="33"/>
        <v>0</v>
      </c>
      <c r="Q756">
        <f t="shared" si="34"/>
        <v>0</v>
      </c>
    </row>
    <row r="757" spans="1:17" x14ac:dyDescent="0.2">
      <c r="A757" t="s">
        <v>17</v>
      </c>
      <c r="B757" t="s">
        <v>760</v>
      </c>
      <c r="C757">
        <v>160</v>
      </c>
      <c r="D757">
        <v>100</v>
      </c>
      <c r="E757">
        <v>12</v>
      </c>
      <c r="F757">
        <v>1</v>
      </c>
      <c r="G757">
        <v>0</v>
      </c>
      <c r="H757">
        <v>0</v>
      </c>
      <c r="I757">
        <v>270</v>
      </c>
      <c r="J757">
        <v>13</v>
      </c>
      <c r="K757">
        <v>2</v>
      </c>
      <c r="L757">
        <v>0</v>
      </c>
      <c r="M757">
        <v>1</v>
      </c>
      <c r="O757" s="3">
        <f t="shared" si="35"/>
        <v>0.625</v>
      </c>
      <c r="P757">
        <f t="shared" si="33"/>
        <v>0</v>
      </c>
      <c r="Q757">
        <f t="shared" si="34"/>
        <v>0</v>
      </c>
    </row>
    <row r="758" spans="1:17" x14ac:dyDescent="0.2">
      <c r="A758" t="s">
        <v>25</v>
      </c>
      <c r="B758" t="s">
        <v>761</v>
      </c>
      <c r="C758">
        <v>170</v>
      </c>
      <c r="D758">
        <v>130</v>
      </c>
      <c r="E758">
        <v>15</v>
      </c>
      <c r="F758">
        <v>2.5</v>
      </c>
      <c r="G758">
        <v>0</v>
      </c>
      <c r="H758">
        <v>20</v>
      </c>
      <c r="I758">
        <v>530</v>
      </c>
      <c r="J758">
        <v>9</v>
      </c>
      <c r="K758">
        <v>0</v>
      </c>
      <c r="L758">
        <v>4</v>
      </c>
      <c r="M758">
        <v>1</v>
      </c>
      <c r="N758">
        <v>175.5</v>
      </c>
      <c r="O758" s="3">
        <f t="shared" si="35"/>
        <v>0.58823529411764708</v>
      </c>
      <c r="P758">
        <f t="shared" si="33"/>
        <v>1</v>
      </c>
      <c r="Q758">
        <f t="shared" si="34"/>
        <v>0</v>
      </c>
    </row>
    <row r="759" spans="1:17" x14ac:dyDescent="0.2">
      <c r="A759" t="s">
        <v>21</v>
      </c>
      <c r="B759" t="s">
        <v>762</v>
      </c>
      <c r="C759">
        <v>170</v>
      </c>
      <c r="D759" s="2">
        <v>0</v>
      </c>
      <c r="E759">
        <v>12</v>
      </c>
      <c r="F759">
        <v>2</v>
      </c>
      <c r="G759">
        <v>0</v>
      </c>
      <c r="H759">
        <v>0</v>
      </c>
      <c r="I759">
        <v>180</v>
      </c>
      <c r="J759">
        <v>14</v>
      </c>
      <c r="K759">
        <v>4</v>
      </c>
      <c r="L759">
        <v>10</v>
      </c>
      <c r="M759">
        <v>1</v>
      </c>
      <c r="N759">
        <v>181</v>
      </c>
      <c r="O759" s="3">
        <f t="shared" si="35"/>
        <v>0.58823529411764708</v>
      </c>
      <c r="P759">
        <f t="shared" si="33"/>
        <v>0</v>
      </c>
      <c r="Q759">
        <f t="shared" si="34"/>
        <v>0</v>
      </c>
    </row>
    <row r="760" spans="1:17" x14ac:dyDescent="0.2">
      <c r="A760" t="s">
        <v>21</v>
      </c>
      <c r="B760" t="s">
        <v>763</v>
      </c>
      <c r="C760">
        <v>340</v>
      </c>
      <c r="D760" s="2">
        <v>0</v>
      </c>
      <c r="E760">
        <v>28</v>
      </c>
      <c r="F760">
        <v>4.5</v>
      </c>
      <c r="G760">
        <v>0</v>
      </c>
      <c r="H760">
        <v>25</v>
      </c>
      <c r="I760">
        <v>290</v>
      </c>
      <c r="J760">
        <v>19</v>
      </c>
      <c r="K760">
        <v>2</v>
      </c>
      <c r="L760">
        <v>3</v>
      </c>
      <c r="M760">
        <v>2</v>
      </c>
      <c r="N760">
        <v>345.5</v>
      </c>
      <c r="O760" s="3">
        <f t="shared" si="35"/>
        <v>0.58823529411764708</v>
      </c>
      <c r="P760">
        <f t="shared" si="33"/>
        <v>0</v>
      </c>
      <c r="Q760">
        <f t="shared" si="34"/>
        <v>0</v>
      </c>
    </row>
    <row r="761" spans="1:17" x14ac:dyDescent="0.2">
      <c r="A761" t="s">
        <v>17</v>
      </c>
      <c r="B761" t="s">
        <v>764</v>
      </c>
      <c r="C761">
        <v>170</v>
      </c>
      <c r="D761">
        <v>50</v>
      </c>
      <c r="E761">
        <v>6</v>
      </c>
      <c r="F761">
        <v>0</v>
      </c>
      <c r="G761">
        <v>0</v>
      </c>
      <c r="H761">
        <v>0</v>
      </c>
      <c r="I761">
        <v>210</v>
      </c>
      <c r="J761">
        <v>27</v>
      </c>
      <c r="K761" s="2">
        <v>0</v>
      </c>
      <c r="L761">
        <v>13</v>
      </c>
      <c r="M761">
        <v>1</v>
      </c>
      <c r="O761" s="3">
        <f t="shared" si="35"/>
        <v>0.58823529411764708</v>
      </c>
      <c r="P761">
        <f t="shared" si="33"/>
        <v>0</v>
      </c>
      <c r="Q761">
        <f t="shared" si="34"/>
        <v>0</v>
      </c>
    </row>
    <row r="762" spans="1:17" x14ac:dyDescent="0.2">
      <c r="A762" t="s">
        <v>17</v>
      </c>
      <c r="B762" t="s">
        <v>765</v>
      </c>
      <c r="C762">
        <v>170</v>
      </c>
      <c r="D762">
        <v>50</v>
      </c>
      <c r="E762">
        <v>6</v>
      </c>
      <c r="F762">
        <v>0</v>
      </c>
      <c r="G762">
        <v>0</v>
      </c>
      <c r="H762">
        <v>0</v>
      </c>
      <c r="I762">
        <v>210</v>
      </c>
      <c r="J762">
        <v>27</v>
      </c>
      <c r="K762" s="2">
        <v>0</v>
      </c>
      <c r="L762">
        <v>13</v>
      </c>
      <c r="M762">
        <v>1</v>
      </c>
      <c r="O762" s="3">
        <f t="shared" si="35"/>
        <v>0.58823529411764708</v>
      </c>
      <c r="P762">
        <f t="shared" si="33"/>
        <v>0</v>
      </c>
      <c r="Q762">
        <f t="shared" si="34"/>
        <v>0</v>
      </c>
    </row>
    <row r="763" spans="1:17" x14ac:dyDescent="0.2">
      <c r="A763" t="s">
        <v>17</v>
      </c>
      <c r="B763" t="s">
        <v>766</v>
      </c>
      <c r="C763">
        <v>170</v>
      </c>
      <c r="D763">
        <v>50</v>
      </c>
      <c r="E763">
        <v>6</v>
      </c>
      <c r="F763">
        <v>0</v>
      </c>
      <c r="G763">
        <v>0</v>
      </c>
      <c r="H763">
        <v>0</v>
      </c>
      <c r="I763">
        <v>210</v>
      </c>
      <c r="J763">
        <v>27</v>
      </c>
      <c r="K763" s="2">
        <v>0</v>
      </c>
      <c r="L763">
        <v>13</v>
      </c>
      <c r="M763">
        <v>1</v>
      </c>
      <c r="O763" s="3">
        <f t="shared" si="35"/>
        <v>0.58823529411764708</v>
      </c>
      <c r="P763">
        <f t="shared" si="33"/>
        <v>0</v>
      </c>
      <c r="Q763">
        <f t="shared" si="34"/>
        <v>0</v>
      </c>
    </row>
    <row r="764" spans="1:17" x14ac:dyDescent="0.2">
      <c r="A764" t="s">
        <v>25</v>
      </c>
      <c r="B764" t="s">
        <v>767</v>
      </c>
      <c r="C764">
        <v>180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10</v>
      </c>
      <c r="J764">
        <v>45</v>
      </c>
      <c r="K764">
        <v>0</v>
      </c>
      <c r="L764">
        <v>45</v>
      </c>
      <c r="M764">
        <v>1</v>
      </c>
      <c r="N764">
        <v>224</v>
      </c>
      <c r="O764" s="3">
        <f t="shared" si="35"/>
        <v>0.55555555555555558</v>
      </c>
      <c r="P764">
        <f t="shared" si="33"/>
        <v>0</v>
      </c>
      <c r="Q764">
        <f t="shared" si="34"/>
        <v>0</v>
      </c>
    </row>
    <row r="765" spans="1:17" x14ac:dyDescent="0.2">
      <c r="A765" t="s">
        <v>51</v>
      </c>
      <c r="B765" t="s">
        <v>768</v>
      </c>
      <c r="C765">
        <v>260</v>
      </c>
      <c r="D765">
        <v>250</v>
      </c>
      <c r="E765">
        <v>28</v>
      </c>
      <c r="F765">
        <v>4</v>
      </c>
      <c r="G765">
        <v>0</v>
      </c>
      <c r="H765">
        <v>10</v>
      </c>
      <c r="I765">
        <v>240</v>
      </c>
      <c r="J765">
        <v>2</v>
      </c>
      <c r="K765">
        <v>0</v>
      </c>
      <c r="L765">
        <v>2</v>
      </c>
      <c r="M765">
        <v>1</v>
      </c>
      <c r="N765">
        <v>265</v>
      </c>
      <c r="O765" s="3">
        <f t="shared" si="35"/>
        <v>0.38461538461538464</v>
      </c>
      <c r="P765">
        <f t="shared" si="33"/>
        <v>0</v>
      </c>
      <c r="Q765">
        <f t="shared" si="34"/>
        <v>0</v>
      </c>
    </row>
    <row r="766" spans="1:17" x14ac:dyDescent="0.2">
      <c r="A766" t="s">
        <v>25</v>
      </c>
      <c r="B766" t="s">
        <v>769</v>
      </c>
      <c r="C766">
        <v>280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15</v>
      </c>
      <c r="J766">
        <v>69</v>
      </c>
      <c r="K766">
        <v>0</v>
      </c>
      <c r="L766">
        <v>69</v>
      </c>
      <c r="M766">
        <v>1</v>
      </c>
      <c r="N766">
        <v>348</v>
      </c>
      <c r="O766" s="3">
        <f t="shared" si="35"/>
        <v>0.35714285714285715</v>
      </c>
      <c r="P766">
        <f t="shared" si="33"/>
        <v>0</v>
      </c>
      <c r="Q766">
        <f t="shared" si="34"/>
        <v>0</v>
      </c>
    </row>
    <row r="767" spans="1:17" x14ac:dyDescent="0.2">
      <c r="A767" t="s">
        <v>25</v>
      </c>
      <c r="B767" t="s">
        <v>770</v>
      </c>
      <c r="C767">
        <v>15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110</v>
      </c>
      <c r="J767">
        <v>3</v>
      </c>
      <c r="K767">
        <v>0</v>
      </c>
      <c r="L767">
        <v>2</v>
      </c>
      <c r="M767">
        <v>0</v>
      </c>
      <c r="N767">
        <v>17</v>
      </c>
      <c r="O767" s="3">
        <f t="shared" si="35"/>
        <v>0</v>
      </c>
      <c r="P767">
        <f t="shared" si="33"/>
        <v>0</v>
      </c>
      <c r="Q767">
        <f t="shared" si="34"/>
        <v>0</v>
      </c>
    </row>
    <row r="768" spans="1:17" x14ac:dyDescent="0.2">
      <c r="A768" t="s">
        <v>25</v>
      </c>
      <c r="B768" t="s">
        <v>771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270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f t="shared" si="33"/>
        <v>0</v>
      </c>
      <c r="Q768">
        <f t="shared" si="34"/>
        <v>0</v>
      </c>
    </row>
    <row r="769" spans="1:17" x14ac:dyDescent="0.2">
      <c r="A769" t="s">
        <v>25</v>
      </c>
      <c r="B769" t="s">
        <v>772</v>
      </c>
      <c r="C769">
        <v>50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260</v>
      </c>
      <c r="J769">
        <v>12</v>
      </c>
      <c r="K769">
        <v>0</v>
      </c>
      <c r="L769">
        <v>10</v>
      </c>
      <c r="M769">
        <v>0</v>
      </c>
      <c r="N769">
        <v>60</v>
      </c>
      <c r="O769" s="3">
        <f t="shared" ref="O769:O783" si="36">M769/C769*100</f>
        <v>0</v>
      </c>
      <c r="P769">
        <f t="shared" si="33"/>
        <v>0</v>
      </c>
      <c r="Q769">
        <f t="shared" si="34"/>
        <v>0</v>
      </c>
    </row>
    <row r="770" spans="1:17" x14ac:dyDescent="0.2">
      <c r="A770" t="s">
        <v>25</v>
      </c>
      <c r="B770" t="s">
        <v>773</v>
      </c>
      <c r="C770">
        <v>50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12</v>
      </c>
      <c r="K770">
        <v>0</v>
      </c>
      <c r="L770">
        <v>11</v>
      </c>
      <c r="M770">
        <v>0</v>
      </c>
      <c r="N770">
        <v>61</v>
      </c>
      <c r="O770" s="3">
        <f t="shared" si="36"/>
        <v>0</v>
      </c>
      <c r="P770">
        <f t="shared" ref="P770:P833" si="37">IF(I770&gt;2300*0.2,1,0)</f>
        <v>0</v>
      </c>
      <c r="Q770">
        <f t="shared" ref="Q770:Q833" si="38">IF(H770&gt;300,1,0)</f>
        <v>0</v>
      </c>
    </row>
    <row r="771" spans="1:17" x14ac:dyDescent="0.2">
      <c r="A771" t="s">
        <v>25</v>
      </c>
      <c r="B771" t="s">
        <v>774</v>
      </c>
      <c r="C771">
        <v>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150</v>
      </c>
      <c r="J771">
        <v>12</v>
      </c>
      <c r="K771">
        <v>0</v>
      </c>
      <c r="L771">
        <v>10</v>
      </c>
      <c r="M771">
        <v>0</v>
      </c>
      <c r="N771">
        <v>60</v>
      </c>
      <c r="O771" s="3">
        <f t="shared" si="36"/>
        <v>0</v>
      </c>
      <c r="P771">
        <f t="shared" si="37"/>
        <v>0</v>
      </c>
      <c r="Q771">
        <f t="shared" si="38"/>
        <v>0</v>
      </c>
    </row>
    <row r="772" spans="1:17" x14ac:dyDescent="0.2">
      <c r="A772" t="s">
        <v>25</v>
      </c>
      <c r="B772" t="s">
        <v>775</v>
      </c>
      <c r="C772">
        <v>60</v>
      </c>
      <c r="D772">
        <v>50</v>
      </c>
      <c r="E772">
        <v>6</v>
      </c>
      <c r="F772">
        <v>1</v>
      </c>
      <c r="G772">
        <v>0</v>
      </c>
      <c r="H772">
        <v>0</v>
      </c>
      <c r="I772">
        <v>800</v>
      </c>
      <c r="J772">
        <v>1</v>
      </c>
      <c r="K772">
        <v>1</v>
      </c>
      <c r="L772">
        <v>0</v>
      </c>
      <c r="M772">
        <v>0</v>
      </c>
      <c r="N772">
        <v>61</v>
      </c>
      <c r="O772" s="3">
        <f t="shared" si="36"/>
        <v>0</v>
      </c>
      <c r="P772">
        <f t="shared" si="37"/>
        <v>1</v>
      </c>
      <c r="Q772">
        <f t="shared" si="38"/>
        <v>0</v>
      </c>
    </row>
    <row r="773" spans="1:17" x14ac:dyDescent="0.2">
      <c r="A773" t="s">
        <v>25</v>
      </c>
      <c r="B773" t="s">
        <v>776</v>
      </c>
      <c r="C773">
        <v>170</v>
      </c>
      <c r="D773">
        <v>160</v>
      </c>
      <c r="E773">
        <v>18</v>
      </c>
      <c r="F773">
        <v>3</v>
      </c>
      <c r="G773">
        <v>0</v>
      </c>
      <c r="H773">
        <v>10</v>
      </c>
      <c r="I773">
        <v>270</v>
      </c>
      <c r="J773">
        <v>2</v>
      </c>
      <c r="K773">
        <v>0</v>
      </c>
      <c r="L773">
        <v>1</v>
      </c>
      <c r="M773">
        <v>0</v>
      </c>
      <c r="N773">
        <v>174</v>
      </c>
      <c r="O773" s="3">
        <f t="shared" si="36"/>
        <v>0</v>
      </c>
      <c r="P773">
        <f t="shared" si="37"/>
        <v>0</v>
      </c>
      <c r="Q773">
        <f t="shared" si="38"/>
        <v>0</v>
      </c>
    </row>
    <row r="774" spans="1:17" x14ac:dyDescent="0.2">
      <c r="A774" t="s">
        <v>25</v>
      </c>
      <c r="B774" t="s">
        <v>777</v>
      </c>
      <c r="C774">
        <v>60</v>
      </c>
      <c r="D774">
        <v>20</v>
      </c>
      <c r="E774">
        <v>2</v>
      </c>
      <c r="F774">
        <v>0</v>
      </c>
      <c r="G774">
        <v>0</v>
      </c>
      <c r="H774">
        <v>5</v>
      </c>
      <c r="I774">
        <v>140</v>
      </c>
      <c r="J774">
        <v>10</v>
      </c>
      <c r="K774">
        <v>0</v>
      </c>
      <c r="L774">
        <v>8</v>
      </c>
      <c r="M774">
        <v>0</v>
      </c>
      <c r="N774">
        <v>68</v>
      </c>
      <c r="O774" s="3">
        <f t="shared" si="36"/>
        <v>0</v>
      </c>
      <c r="P774">
        <f t="shared" si="37"/>
        <v>0</v>
      </c>
      <c r="Q774">
        <f t="shared" si="38"/>
        <v>0</v>
      </c>
    </row>
    <row r="775" spans="1:17" x14ac:dyDescent="0.2">
      <c r="A775" t="s">
        <v>25</v>
      </c>
      <c r="B775" t="s">
        <v>778</v>
      </c>
      <c r="C775">
        <v>60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210</v>
      </c>
      <c r="J775">
        <v>15</v>
      </c>
      <c r="K775">
        <v>1</v>
      </c>
      <c r="L775">
        <v>11</v>
      </c>
      <c r="M775">
        <v>0</v>
      </c>
      <c r="N775">
        <v>71</v>
      </c>
      <c r="O775" s="3">
        <f t="shared" si="36"/>
        <v>0</v>
      </c>
      <c r="P775">
        <f t="shared" si="37"/>
        <v>0</v>
      </c>
      <c r="Q775">
        <f t="shared" si="38"/>
        <v>0</v>
      </c>
    </row>
    <row r="776" spans="1:17" x14ac:dyDescent="0.2">
      <c r="A776" t="s">
        <v>25</v>
      </c>
      <c r="B776" t="s">
        <v>779</v>
      </c>
      <c r="C776">
        <v>40</v>
      </c>
      <c r="D776">
        <v>25</v>
      </c>
      <c r="E776">
        <v>3</v>
      </c>
      <c r="F776">
        <v>0</v>
      </c>
      <c r="G776">
        <v>0</v>
      </c>
      <c r="H776">
        <v>0</v>
      </c>
      <c r="I776">
        <v>730</v>
      </c>
      <c r="J776">
        <v>4</v>
      </c>
      <c r="K776">
        <v>0</v>
      </c>
      <c r="L776">
        <v>3</v>
      </c>
      <c r="M776">
        <v>0</v>
      </c>
      <c r="N776">
        <v>43</v>
      </c>
      <c r="O776" s="3">
        <f t="shared" si="36"/>
        <v>0</v>
      </c>
      <c r="P776">
        <f t="shared" si="37"/>
        <v>1</v>
      </c>
      <c r="Q776">
        <f t="shared" si="38"/>
        <v>0</v>
      </c>
    </row>
    <row r="777" spans="1:17" x14ac:dyDescent="0.2">
      <c r="A777" t="s">
        <v>25</v>
      </c>
      <c r="B777" t="s">
        <v>780</v>
      </c>
      <c r="C777">
        <v>180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20</v>
      </c>
      <c r="J777">
        <v>45</v>
      </c>
      <c r="K777">
        <v>0</v>
      </c>
      <c r="L777">
        <v>32</v>
      </c>
      <c r="M777">
        <v>0</v>
      </c>
      <c r="N777">
        <v>212</v>
      </c>
      <c r="O777" s="3">
        <f t="shared" si="36"/>
        <v>0</v>
      </c>
      <c r="P777">
        <f t="shared" si="37"/>
        <v>0</v>
      </c>
      <c r="Q777">
        <f t="shared" si="38"/>
        <v>0</v>
      </c>
    </row>
    <row r="778" spans="1:17" x14ac:dyDescent="0.2">
      <c r="A778" t="s">
        <v>25</v>
      </c>
      <c r="B778" t="s">
        <v>781</v>
      </c>
      <c r="C778">
        <v>40</v>
      </c>
      <c r="D778">
        <v>40</v>
      </c>
      <c r="E778">
        <v>4.5</v>
      </c>
      <c r="F778">
        <v>1.5</v>
      </c>
      <c r="G778">
        <v>0</v>
      </c>
      <c r="H778">
        <v>0</v>
      </c>
      <c r="I778">
        <v>55</v>
      </c>
      <c r="J778">
        <v>0</v>
      </c>
      <c r="K778">
        <v>0</v>
      </c>
      <c r="L778">
        <v>0</v>
      </c>
      <c r="M778">
        <v>0</v>
      </c>
      <c r="N778">
        <v>41.5</v>
      </c>
      <c r="O778" s="3">
        <f t="shared" si="36"/>
        <v>0</v>
      </c>
      <c r="P778">
        <f t="shared" si="37"/>
        <v>0</v>
      </c>
      <c r="Q778">
        <f t="shared" si="38"/>
        <v>0</v>
      </c>
    </row>
    <row r="779" spans="1:17" x14ac:dyDescent="0.2">
      <c r="A779" t="s">
        <v>25</v>
      </c>
      <c r="B779" t="s">
        <v>782</v>
      </c>
      <c r="C779">
        <v>35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9</v>
      </c>
      <c r="K779">
        <v>0</v>
      </c>
      <c r="L779">
        <v>9</v>
      </c>
      <c r="M779">
        <v>0</v>
      </c>
      <c r="N779">
        <v>44</v>
      </c>
      <c r="O779" s="3">
        <f t="shared" si="36"/>
        <v>0</v>
      </c>
      <c r="P779">
        <f t="shared" si="37"/>
        <v>0</v>
      </c>
      <c r="Q779">
        <f t="shared" si="38"/>
        <v>0</v>
      </c>
    </row>
    <row r="780" spans="1:17" x14ac:dyDescent="0.2">
      <c r="A780" t="s">
        <v>25</v>
      </c>
      <c r="B780" t="s">
        <v>783</v>
      </c>
      <c r="C780">
        <v>35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9</v>
      </c>
      <c r="K780">
        <v>0</v>
      </c>
      <c r="L780">
        <v>9</v>
      </c>
      <c r="M780">
        <v>0</v>
      </c>
      <c r="N780">
        <v>44</v>
      </c>
      <c r="O780" s="3">
        <f t="shared" si="36"/>
        <v>0</v>
      </c>
      <c r="P780">
        <f t="shared" si="37"/>
        <v>0</v>
      </c>
      <c r="Q780">
        <f t="shared" si="38"/>
        <v>0</v>
      </c>
    </row>
    <row r="781" spans="1:17" x14ac:dyDescent="0.2">
      <c r="A781" t="s">
        <v>25</v>
      </c>
      <c r="B781" t="s">
        <v>784</v>
      </c>
      <c r="C781">
        <v>70</v>
      </c>
      <c r="D781">
        <v>5</v>
      </c>
      <c r="E781">
        <v>0.5</v>
      </c>
      <c r="F781">
        <v>0</v>
      </c>
      <c r="G781">
        <v>0</v>
      </c>
      <c r="H781">
        <v>5</v>
      </c>
      <c r="I781">
        <v>35</v>
      </c>
      <c r="J781">
        <v>15</v>
      </c>
      <c r="K781">
        <v>0</v>
      </c>
      <c r="L781">
        <v>9</v>
      </c>
      <c r="M781">
        <v>0</v>
      </c>
      <c r="N781">
        <v>79</v>
      </c>
      <c r="O781" s="3">
        <f t="shared" si="36"/>
        <v>0</v>
      </c>
      <c r="P781">
        <f t="shared" si="37"/>
        <v>0</v>
      </c>
      <c r="Q781">
        <f t="shared" si="38"/>
        <v>0</v>
      </c>
    </row>
    <row r="782" spans="1:17" x14ac:dyDescent="0.2">
      <c r="A782" t="s">
        <v>25</v>
      </c>
      <c r="B782" t="s">
        <v>785</v>
      </c>
      <c r="C782">
        <v>100</v>
      </c>
      <c r="D782">
        <v>5</v>
      </c>
      <c r="E782">
        <v>0.5</v>
      </c>
      <c r="F782">
        <v>0</v>
      </c>
      <c r="G782">
        <v>0</v>
      </c>
      <c r="H782">
        <v>5</v>
      </c>
      <c r="I782">
        <v>35</v>
      </c>
      <c r="J782">
        <v>23</v>
      </c>
      <c r="K782">
        <v>0</v>
      </c>
      <c r="L782">
        <v>15</v>
      </c>
      <c r="M782">
        <v>0</v>
      </c>
      <c r="N782">
        <v>115</v>
      </c>
      <c r="O782" s="3">
        <f t="shared" si="36"/>
        <v>0</v>
      </c>
      <c r="P782">
        <f t="shared" si="37"/>
        <v>0</v>
      </c>
      <c r="Q782">
        <f t="shared" si="38"/>
        <v>0</v>
      </c>
    </row>
    <row r="783" spans="1:17" x14ac:dyDescent="0.2">
      <c r="A783" t="s">
        <v>25</v>
      </c>
      <c r="B783" t="s">
        <v>786</v>
      </c>
      <c r="C783">
        <v>100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15</v>
      </c>
      <c r="J783">
        <v>23</v>
      </c>
      <c r="K783">
        <v>0</v>
      </c>
      <c r="L783">
        <v>22</v>
      </c>
      <c r="M783">
        <v>0</v>
      </c>
      <c r="N783">
        <v>122</v>
      </c>
      <c r="O783" s="3">
        <f t="shared" si="36"/>
        <v>0</v>
      </c>
      <c r="P783">
        <f t="shared" si="37"/>
        <v>0</v>
      </c>
      <c r="Q783">
        <f t="shared" si="38"/>
        <v>0</v>
      </c>
    </row>
    <row r="784" spans="1:17" x14ac:dyDescent="0.2">
      <c r="A784" t="s">
        <v>25</v>
      </c>
      <c r="B784" t="s">
        <v>787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f t="shared" si="37"/>
        <v>0</v>
      </c>
      <c r="Q784">
        <f t="shared" si="38"/>
        <v>0</v>
      </c>
    </row>
    <row r="785" spans="1:17" x14ac:dyDescent="0.2">
      <c r="A785" t="s">
        <v>25</v>
      </c>
      <c r="B785" t="s">
        <v>788</v>
      </c>
      <c r="C785">
        <v>110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5</v>
      </c>
      <c r="J785">
        <v>29</v>
      </c>
      <c r="K785">
        <v>0</v>
      </c>
      <c r="L785">
        <v>29</v>
      </c>
      <c r="M785">
        <v>0</v>
      </c>
      <c r="N785">
        <v>139</v>
      </c>
      <c r="O785" s="3">
        <f>M785/C785*100</f>
        <v>0</v>
      </c>
      <c r="P785">
        <f t="shared" si="37"/>
        <v>0</v>
      </c>
      <c r="Q785">
        <f t="shared" si="38"/>
        <v>0</v>
      </c>
    </row>
    <row r="786" spans="1:17" x14ac:dyDescent="0.2">
      <c r="A786" t="s">
        <v>25</v>
      </c>
      <c r="B786" t="s">
        <v>789</v>
      </c>
      <c r="C786">
        <v>150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10</v>
      </c>
      <c r="J786">
        <v>40</v>
      </c>
      <c r="K786">
        <v>0</v>
      </c>
      <c r="L786">
        <v>40</v>
      </c>
      <c r="M786">
        <v>0</v>
      </c>
      <c r="N786">
        <v>190</v>
      </c>
      <c r="O786" s="3">
        <f>M786/C786*100</f>
        <v>0</v>
      </c>
      <c r="P786">
        <f t="shared" si="37"/>
        <v>0</v>
      </c>
      <c r="Q786">
        <f t="shared" si="38"/>
        <v>0</v>
      </c>
    </row>
    <row r="787" spans="1:17" x14ac:dyDescent="0.2">
      <c r="A787" t="s">
        <v>25</v>
      </c>
      <c r="B787" t="s">
        <v>790</v>
      </c>
      <c r="C787">
        <v>210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15</v>
      </c>
      <c r="J787">
        <v>58</v>
      </c>
      <c r="K787">
        <v>0</v>
      </c>
      <c r="L787">
        <v>58</v>
      </c>
      <c r="M787">
        <v>0</v>
      </c>
      <c r="N787">
        <v>268</v>
      </c>
      <c r="O787" s="3">
        <f>M787/C787*100</f>
        <v>0</v>
      </c>
      <c r="P787">
        <f t="shared" si="37"/>
        <v>0</v>
      </c>
      <c r="Q787">
        <f t="shared" si="38"/>
        <v>0</v>
      </c>
    </row>
    <row r="788" spans="1:17" x14ac:dyDescent="0.2">
      <c r="A788" t="s">
        <v>25</v>
      </c>
      <c r="B788" t="s">
        <v>791</v>
      </c>
      <c r="C788">
        <v>310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20</v>
      </c>
      <c r="J788">
        <v>86</v>
      </c>
      <c r="K788">
        <v>0</v>
      </c>
      <c r="L788">
        <v>86</v>
      </c>
      <c r="M788">
        <v>0</v>
      </c>
      <c r="N788">
        <v>396</v>
      </c>
      <c r="O788" s="3">
        <f>M788/C788*100</f>
        <v>0</v>
      </c>
      <c r="P788">
        <f t="shared" si="37"/>
        <v>0</v>
      </c>
      <c r="Q788">
        <f t="shared" si="38"/>
        <v>0</v>
      </c>
    </row>
    <row r="789" spans="1:17" x14ac:dyDescent="0.2">
      <c r="A789" t="s">
        <v>25</v>
      </c>
      <c r="B789" t="s">
        <v>792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37"/>
        <v>0</v>
      </c>
      <c r="Q789">
        <f t="shared" si="38"/>
        <v>0</v>
      </c>
    </row>
    <row r="790" spans="1:17" x14ac:dyDescent="0.2">
      <c r="A790" t="s">
        <v>25</v>
      </c>
      <c r="B790" t="s">
        <v>793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20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f t="shared" si="37"/>
        <v>0</v>
      </c>
      <c r="Q790">
        <f t="shared" si="38"/>
        <v>0</v>
      </c>
    </row>
    <row r="791" spans="1:17" x14ac:dyDescent="0.2">
      <c r="A791" t="s">
        <v>25</v>
      </c>
      <c r="B791" t="s">
        <v>794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37"/>
        <v>0</v>
      </c>
      <c r="Q791">
        <f t="shared" si="38"/>
        <v>0</v>
      </c>
    </row>
    <row r="792" spans="1:17" x14ac:dyDescent="0.2">
      <c r="A792" t="s">
        <v>25</v>
      </c>
      <c r="B792" t="s">
        <v>795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45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f t="shared" si="37"/>
        <v>0</v>
      </c>
      <c r="Q792">
        <f t="shared" si="38"/>
        <v>0</v>
      </c>
    </row>
    <row r="793" spans="1:17" x14ac:dyDescent="0.2">
      <c r="A793" t="s">
        <v>25</v>
      </c>
      <c r="B793" t="s">
        <v>796</v>
      </c>
      <c r="C793">
        <v>110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30</v>
      </c>
      <c r="J793">
        <v>28</v>
      </c>
      <c r="K793">
        <v>0</v>
      </c>
      <c r="L793">
        <v>28</v>
      </c>
      <c r="M793">
        <v>0</v>
      </c>
      <c r="N793">
        <v>138</v>
      </c>
      <c r="O793" s="3">
        <f t="shared" ref="O793:O804" si="39">M793/C793*100</f>
        <v>0</v>
      </c>
      <c r="P793">
        <f t="shared" si="37"/>
        <v>0</v>
      </c>
      <c r="Q793">
        <f t="shared" si="38"/>
        <v>0</v>
      </c>
    </row>
    <row r="794" spans="1:17" x14ac:dyDescent="0.2">
      <c r="A794" t="s">
        <v>25</v>
      </c>
      <c r="B794" t="s">
        <v>797</v>
      </c>
      <c r="C794">
        <v>150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40</v>
      </c>
      <c r="J794">
        <v>39</v>
      </c>
      <c r="K794">
        <v>0</v>
      </c>
      <c r="L794">
        <v>39</v>
      </c>
      <c r="M794">
        <v>0</v>
      </c>
      <c r="N794">
        <v>189</v>
      </c>
      <c r="O794" s="3">
        <f t="shared" si="39"/>
        <v>0</v>
      </c>
      <c r="P794">
        <f t="shared" si="37"/>
        <v>0</v>
      </c>
      <c r="Q794">
        <f t="shared" si="38"/>
        <v>0</v>
      </c>
    </row>
    <row r="795" spans="1:17" x14ac:dyDescent="0.2">
      <c r="A795" t="s">
        <v>25</v>
      </c>
      <c r="B795" t="s">
        <v>798</v>
      </c>
      <c r="C795">
        <v>210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55</v>
      </c>
      <c r="J795">
        <v>56</v>
      </c>
      <c r="K795">
        <v>0</v>
      </c>
      <c r="L795">
        <v>56</v>
      </c>
      <c r="M795">
        <v>0</v>
      </c>
      <c r="N795">
        <v>266</v>
      </c>
      <c r="O795" s="3">
        <f t="shared" si="39"/>
        <v>0</v>
      </c>
      <c r="P795">
        <f t="shared" si="37"/>
        <v>0</v>
      </c>
      <c r="Q795">
        <f t="shared" si="38"/>
        <v>0</v>
      </c>
    </row>
    <row r="796" spans="1:17" x14ac:dyDescent="0.2">
      <c r="A796" t="s">
        <v>25</v>
      </c>
      <c r="B796" t="s">
        <v>799</v>
      </c>
      <c r="C796">
        <v>310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80</v>
      </c>
      <c r="J796">
        <v>83</v>
      </c>
      <c r="K796">
        <v>0</v>
      </c>
      <c r="L796">
        <v>83</v>
      </c>
      <c r="M796">
        <v>0</v>
      </c>
      <c r="N796">
        <v>393</v>
      </c>
      <c r="O796" s="3">
        <f t="shared" si="39"/>
        <v>0</v>
      </c>
      <c r="P796">
        <f t="shared" si="37"/>
        <v>0</v>
      </c>
      <c r="Q796">
        <f t="shared" si="38"/>
        <v>0</v>
      </c>
    </row>
    <row r="797" spans="1:17" x14ac:dyDescent="0.2">
      <c r="A797" t="s">
        <v>25</v>
      </c>
      <c r="B797" t="s">
        <v>800</v>
      </c>
      <c r="C797">
        <v>120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32</v>
      </c>
      <c r="K797">
        <v>0</v>
      </c>
      <c r="L797">
        <v>32</v>
      </c>
      <c r="M797">
        <v>0</v>
      </c>
      <c r="N797">
        <v>152</v>
      </c>
      <c r="O797" s="3">
        <f t="shared" si="39"/>
        <v>0</v>
      </c>
      <c r="P797">
        <f t="shared" si="37"/>
        <v>0</v>
      </c>
      <c r="Q797">
        <f t="shared" si="38"/>
        <v>0</v>
      </c>
    </row>
    <row r="798" spans="1:17" x14ac:dyDescent="0.2">
      <c r="A798" t="s">
        <v>25</v>
      </c>
      <c r="B798" t="s">
        <v>801</v>
      </c>
      <c r="C798">
        <v>160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5</v>
      </c>
      <c r="J798">
        <v>44</v>
      </c>
      <c r="K798">
        <v>0</v>
      </c>
      <c r="L798">
        <v>44</v>
      </c>
      <c r="M798">
        <v>0</v>
      </c>
      <c r="N798">
        <v>204</v>
      </c>
      <c r="O798" s="3">
        <f t="shared" si="39"/>
        <v>0</v>
      </c>
      <c r="P798">
        <f t="shared" si="37"/>
        <v>0</v>
      </c>
      <c r="Q798">
        <f t="shared" si="38"/>
        <v>0</v>
      </c>
    </row>
    <row r="799" spans="1:17" x14ac:dyDescent="0.2">
      <c r="A799" t="s">
        <v>25</v>
      </c>
      <c r="B799" t="s">
        <v>802</v>
      </c>
      <c r="C799">
        <v>240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10</v>
      </c>
      <c r="J799">
        <v>64</v>
      </c>
      <c r="K799">
        <v>0</v>
      </c>
      <c r="L799">
        <v>64</v>
      </c>
      <c r="M799">
        <v>0</v>
      </c>
      <c r="N799">
        <v>304</v>
      </c>
      <c r="O799" s="3">
        <f t="shared" si="39"/>
        <v>0</v>
      </c>
      <c r="P799">
        <f t="shared" si="37"/>
        <v>0</v>
      </c>
      <c r="Q799">
        <f t="shared" si="38"/>
        <v>0</v>
      </c>
    </row>
    <row r="800" spans="1:17" x14ac:dyDescent="0.2">
      <c r="A800" t="s">
        <v>25</v>
      </c>
      <c r="B800" t="s">
        <v>803</v>
      </c>
      <c r="C800">
        <v>350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10</v>
      </c>
      <c r="J800">
        <v>94</v>
      </c>
      <c r="K800">
        <v>0</v>
      </c>
      <c r="L800">
        <v>94</v>
      </c>
      <c r="M800">
        <v>0</v>
      </c>
      <c r="N800">
        <v>444</v>
      </c>
      <c r="O800" s="3">
        <f t="shared" si="39"/>
        <v>0</v>
      </c>
      <c r="P800">
        <f t="shared" si="37"/>
        <v>0</v>
      </c>
      <c r="Q800">
        <f t="shared" si="38"/>
        <v>0</v>
      </c>
    </row>
    <row r="801" spans="1:17" x14ac:dyDescent="0.2">
      <c r="A801" t="s">
        <v>25</v>
      </c>
      <c r="B801" t="s">
        <v>804</v>
      </c>
      <c r="C801">
        <v>70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65</v>
      </c>
      <c r="J801">
        <v>20</v>
      </c>
      <c r="K801">
        <v>0</v>
      </c>
      <c r="L801">
        <v>16</v>
      </c>
      <c r="M801">
        <v>0</v>
      </c>
      <c r="N801">
        <v>86</v>
      </c>
      <c r="O801" s="3">
        <f t="shared" si="39"/>
        <v>0</v>
      </c>
      <c r="P801">
        <f t="shared" si="37"/>
        <v>0</v>
      </c>
      <c r="Q801">
        <f t="shared" si="38"/>
        <v>0</v>
      </c>
    </row>
    <row r="802" spans="1:17" x14ac:dyDescent="0.2">
      <c r="A802" t="s">
        <v>25</v>
      </c>
      <c r="B802" t="s">
        <v>805</v>
      </c>
      <c r="C802">
        <v>100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85</v>
      </c>
      <c r="J802">
        <v>27</v>
      </c>
      <c r="K802">
        <v>0</v>
      </c>
      <c r="L802">
        <v>21</v>
      </c>
      <c r="M802">
        <v>0</v>
      </c>
      <c r="N802">
        <v>121</v>
      </c>
      <c r="O802" s="3">
        <f t="shared" si="39"/>
        <v>0</v>
      </c>
      <c r="P802">
        <f t="shared" si="37"/>
        <v>0</v>
      </c>
      <c r="Q802">
        <f t="shared" si="38"/>
        <v>0</v>
      </c>
    </row>
    <row r="803" spans="1:17" x14ac:dyDescent="0.2">
      <c r="A803" t="s">
        <v>25</v>
      </c>
      <c r="B803" t="s">
        <v>806</v>
      </c>
      <c r="C803">
        <v>150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130</v>
      </c>
      <c r="J803">
        <v>39</v>
      </c>
      <c r="K803">
        <v>0</v>
      </c>
      <c r="L803">
        <v>31</v>
      </c>
      <c r="M803">
        <v>0</v>
      </c>
      <c r="N803">
        <v>181</v>
      </c>
      <c r="O803" s="3">
        <f t="shared" si="39"/>
        <v>0</v>
      </c>
      <c r="P803">
        <f t="shared" si="37"/>
        <v>0</v>
      </c>
      <c r="Q803">
        <f t="shared" si="38"/>
        <v>0</v>
      </c>
    </row>
    <row r="804" spans="1:17" x14ac:dyDescent="0.2">
      <c r="A804" t="s">
        <v>25</v>
      </c>
      <c r="B804" t="s">
        <v>807</v>
      </c>
      <c r="C804">
        <v>220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190</v>
      </c>
      <c r="J804">
        <v>58</v>
      </c>
      <c r="K804">
        <v>0</v>
      </c>
      <c r="L804">
        <v>46</v>
      </c>
      <c r="M804">
        <v>0</v>
      </c>
      <c r="N804">
        <v>266</v>
      </c>
      <c r="O804" s="3">
        <f t="shared" si="39"/>
        <v>0</v>
      </c>
      <c r="P804">
        <f t="shared" si="37"/>
        <v>0</v>
      </c>
      <c r="Q804">
        <f t="shared" si="38"/>
        <v>0</v>
      </c>
    </row>
    <row r="805" spans="1:17" x14ac:dyDescent="0.2">
      <c r="A805" t="s">
        <v>25</v>
      </c>
      <c r="B805" t="s">
        <v>808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5</v>
      </c>
      <c r="J805">
        <v>0</v>
      </c>
      <c r="K805">
        <v>0</v>
      </c>
      <c r="L805">
        <v>0</v>
      </c>
      <c r="M805">
        <v>0</v>
      </c>
      <c r="N805">
        <v>0</v>
      </c>
      <c r="O805" s="3">
        <v>0</v>
      </c>
      <c r="P805">
        <f t="shared" si="37"/>
        <v>0</v>
      </c>
      <c r="Q805">
        <f t="shared" si="38"/>
        <v>0</v>
      </c>
    </row>
    <row r="806" spans="1:17" x14ac:dyDescent="0.2">
      <c r="A806" t="s">
        <v>25</v>
      </c>
      <c r="B806" t="s">
        <v>809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10</v>
      </c>
      <c r="J806">
        <v>0</v>
      </c>
      <c r="K806">
        <v>0</v>
      </c>
      <c r="L806">
        <v>0</v>
      </c>
      <c r="M806">
        <v>0</v>
      </c>
      <c r="N806">
        <v>0</v>
      </c>
      <c r="O806" s="3">
        <v>0</v>
      </c>
      <c r="P806">
        <f t="shared" si="37"/>
        <v>0</v>
      </c>
      <c r="Q806">
        <f t="shared" si="38"/>
        <v>0</v>
      </c>
    </row>
    <row r="807" spans="1:17" x14ac:dyDescent="0.2">
      <c r="A807" t="s">
        <v>25</v>
      </c>
      <c r="B807" t="s">
        <v>810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15</v>
      </c>
      <c r="J807">
        <v>0</v>
      </c>
      <c r="K807">
        <v>0</v>
      </c>
      <c r="L807">
        <v>0</v>
      </c>
      <c r="M807">
        <v>0</v>
      </c>
      <c r="N807">
        <v>0</v>
      </c>
      <c r="O807" s="3">
        <v>0</v>
      </c>
      <c r="P807">
        <f t="shared" si="37"/>
        <v>0</v>
      </c>
      <c r="Q807">
        <f t="shared" si="38"/>
        <v>0</v>
      </c>
    </row>
    <row r="808" spans="1:17" x14ac:dyDescent="0.2">
      <c r="A808" t="s">
        <v>25</v>
      </c>
      <c r="B808" t="s">
        <v>811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20</v>
      </c>
      <c r="J808">
        <v>1</v>
      </c>
      <c r="K808">
        <v>0</v>
      </c>
      <c r="L808">
        <v>0</v>
      </c>
      <c r="M808">
        <v>0</v>
      </c>
      <c r="N808">
        <v>0</v>
      </c>
      <c r="O808" s="3">
        <v>0</v>
      </c>
      <c r="P808">
        <f t="shared" si="37"/>
        <v>0</v>
      </c>
      <c r="Q808">
        <f t="shared" si="38"/>
        <v>0</v>
      </c>
    </row>
    <row r="809" spans="1:17" x14ac:dyDescent="0.2">
      <c r="A809" t="s">
        <v>25</v>
      </c>
      <c r="B809" t="s">
        <v>812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s="3">
        <v>0</v>
      </c>
      <c r="P809">
        <f t="shared" si="37"/>
        <v>0</v>
      </c>
      <c r="Q809">
        <f t="shared" si="38"/>
        <v>0</v>
      </c>
    </row>
    <row r="810" spans="1:17" x14ac:dyDescent="0.2">
      <c r="A810" t="s">
        <v>25</v>
      </c>
      <c r="B810" t="s">
        <v>813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s="3">
        <v>0</v>
      </c>
      <c r="P810">
        <f t="shared" si="37"/>
        <v>0</v>
      </c>
      <c r="Q810">
        <f t="shared" si="38"/>
        <v>0</v>
      </c>
    </row>
    <row r="811" spans="1:17" x14ac:dyDescent="0.2">
      <c r="A811" t="s">
        <v>25</v>
      </c>
      <c r="B811" t="s">
        <v>814</v>
      </c>
      <c r="C811">
        <v>20</v>
      </c>
      <c r="D811">
        <v>20</v>
      </c>
      <c r="E811">
        <v>2</v>
      </c>
      <c r="F811">
        <v>1.5</v>
      </c>
      <c r="G811">
        <v>0</v>
      </c>
      <c r="H811">
        <v>10</v>
      </c>
      <c r="I811">
        <v>15</v>
      </c>
      <c r="J811">
        <v>0</v>
      </c>
      <c r="K811">
        <v>0</v>
      </c>
      <c r="L811">
        <v>0</v>
      </c>
      <c r="M811">
        <v>0</v>
      </c>
      <c r="N811">
        <v>21.5</v>
      </c>
      <c r="O811" s="3">
        <f>M811/C811*100</f>
        <v>0</v>
      </c>
      <c r="P811">
        <f t="shared" si="37"/>
        <v>0</v>
      </c>
      <c r="Q811">
        <f t="shared" si="38"/>
        <v>0</v>
      </c>
    </row>
    <row r="812" spans="1:17" x14ac:dyDescent="0.2">
      <c r="A812" t="s">
        <v>25</v>
      </c>
      <c r="B812" t="s">
        <v>815</v>
      </c>
      <c r="C812">
        <v>15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</v>
      </c>
      <c r="K812">
        <v>0</v>
      </c>
      <c r="L812">
        <v>4</v>
      </c>
      <c r="M812">
        <v>0</v>
      </c>
      <c r="N812">
        <v>19</v>
      </c>
      <c r="O812" s="3">
        <f>M812/C812*100</f>
        <v>0</v>
      </c>
      <c r="P812">
        <f t="shared" si="37"/>
        <v>0</v>
      </c>
      <c r="Q812">
        <f t="shared" si="38"/>
        <v>0</v>
      </c>
    </row>
    <row r="813" spans="1:17" ht="34" x14ac:dyDescent="0.2">
      <c r="A813" t="s">
        <v>25</v>
      </c>
      <c r="B813" s="1" t="s">
        <v>816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1</v>
      </c>
      <c r="O813" s="3">
        <v>0</v>
      </c>
      <c r="P813">
        <f t="shared" si="37"/>
        <v>0</v>
      </c>
      <c r="Q813">
        <f t="shared" si="38"/>
        <v>0</v>
      </c>
    </row>
    <row r="814" spans="1:17" ht="34" x14ac:dyDescent="0.2">
      <c r="A814" t="s">
        <v>25</v>
      </c>
      <c r="B814" s="1" t="s">
        <v>817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1</v>
      </c>
      <c r="M814">
        <v>0</v>
      </c>
      <c r="N814">
        <v>1</v>
      </c>
      <c r="O814" s="3">
        <v>0</v>
      </c>
      <c r="P814">
        <f t="shared" si="37"/>
        <v>0</v>
      </c>
      <c r="Q814">
        <f t="shared" si="38"/>
        <v>0</v>
      </c>
    </row>
    <row r="815" spans="1:17" x14ac:dyDescent="0.2">
      <c r="A815" t="s">
        <v>25</v>
      </c>
      <c r="B815" t="s">
        <v>818</v>
      </c>
      <c r="C815">
        <v>110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5</v>
      </c>
      <c r="J815">
        <v>27</v>
      </c>
      <c r="K815">
        <v>0</v>
      </c>
      <c r="L815">
        <v>27</v>
      </c>
      <c r="M815">
        <v>0</v>
      </c>
      <c r="N815">
        <v>137</v>
      </c>
      <c r="O815" s="3">
        <f t="shared" ref="O815:O831" si="40">M815/C815*100</f>
        <v>0</v>
      </c>
      <c r="P815">
        <f t="shared" si="37"/>
        <v>0</v>
      </c>
      <c r="Q815">
        <f t="shared" si="38"/>
        <v>0</v>
      </c>
    </row>
    <row r="816" spans="1:17" x14ac:dyDescent="0.2">
      <c r="A816" t="s">
        <v>51</v>
      </c>
      <c r="B816" t="s">
        <v>819</v>
      </c>
      <c r="C816">
        <v>160</v>
      </c>
      <c r="D816">
        <v>150</v>
      </c>
      <c r="E816">
        <v>17</v>
      </c>
      <c r="F816">
        <v>2.5</v>
      </c>
      <c r="G816">
        <v>0</v>
      </c>
      <c r="H816">
        <v>0</v>
      </c>
      <c r="I816">
        <v>380</v>
      </c>
      <c r="J816">
        <v>4</v>
      </c>
      <c r="K816">
        <v>0</v>
      </c>
      <c r="L816">
        <v>3</v>
      </c>
      <c r="M816">
        <v>0</v>
      </c>
      <c r="N816">
        <v>166</v>
      </c>
      <c r="O816" s="3">
        <f t="shared" si="40"/>
        <v>0</v>
      </c>
      <c r="P816">
        <f t="shared" si="37"/>
        <v>0</v>
      </c>
      <c r="Q816">
        <f t="shared" si="38"/>
        <v>0</v>
      </c>
    </row>
    <row r="817" spans="1:17" x14ac:dyDescent="0.2">
      <c r="A817" t="s">
        <v>51</v>
      </c>
      <c r="B817" t="s">
        <v>820</v>
      </c>
      <c r="C817">
        <v>120</v>
      </c>
      <c r="D817">
        <v>70</v>
      </c>
      <c r="E817">
        <v>8</v>
      </c>
      <c r="F817">
        <v>1</v>
      </c>
      <c r="G817">
        <v>0</v>
      </c>
      <c r="H817">
        <v>0</v>
      </c>
      <c r="I817">
        <v>220</v>
      </c>
      <c r="J817">
        <v>14</v>
      </c>
      <c r="K817">
        <v>0</v>
      </c>
      <c r="L817">
        <v>11</v>
      </c>
      <c r="M817">
        <v>0</v>
      </c>
      <c r="N817">
        <v>132</v>
      </c>
      <c r="O817" s="3">
        <f t="shared" si="40"/>
        <v>0</v>
      </c>
      <c r="P817">
        <f t="shared" si="37"/>
        <v>0</v>
      </c>
      <c r="Q817">
        <f t="shared" si="38"/>
        <v>0</v>
      </c>
    </row>
    <row r="818" spans="1:17" x14ac:dyDescent="0.2">
      <c r="A818" t="s">
        <v>51</v>
      </c>
      <c r="B818" t="s">
        <v>821</v>
      </c>
      <c r="C818">
        <v>50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13</v>
      </c>
      <c r="K818">
        <v>1</v>
      </c>
      <c r="L818">
        <v>11</v>
      </c>
      <c r="M818">
        <v>0</v>
      </c>
      <c r="N818">
        <v>61</v>
      </c>
      <c r="O818" s="3">
        <f t="shared" si="40"/>
        <v>0</v>
      </c>
      <c r="P818">
        <f t="shared" si="37"/>
        <v>0</v>
      </c>
      <c r="Q818">
        <f t="shared" si="38"/>
        <v>0</v>
      </c>
    </row>
    <row r="819" spans="1:17" x14ac:dyDescent="0.2">
      <c r="A819" t="s">
        <v>51</v>
      </c>
      <c r="B819" t="s">
        <v>822</v>
      </c>
      <c r="C819">
        <v>80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25</v>
      </c>
      <c r="J819">
        <v>20</v>
      </c>
      <c r="K819">
        <v>0</v>
      </c>
      <c r="L819">
        <v>20</v>
      </c>
      <c r="M819">
        <v>0</v>
      </c>
      <c r="N819">
        <v>100</v>
      </c>
      <c r="O819" s="3">
        <f t="shared" si="40"/>
        <v>0</v>
      </c>
      <c r="P819">
        <f t="shared" si="37"/>
        <v>0</v>
      </c>
      <c r="Q819">
        <f t="shared" si="38"/>
        <v>0</v>
      </c>
    </row>
    <row r="820" spans="1:17" x14ac:dyDescent="0.2">
      <c r="A820" t="s">
        <v>51</v>
      </c>
      <c r="B820" t="s">
        <v>823</v>
      </c>
      <c r="C820">
        <v>10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125</v>
      </c>
      <c r="J820">
        <v>3</v>
      </c>
      <c r="K820">
        <v>0</v>
      </c>
      <c r="L820">
        <v>2</v>
      </c>
      <c r="M820">
        <v>0</v>
      </c>
      <c r="N820">
        <v>12</v>
      </c>
      <c r="O820" s="3">
        <f t="shared" si="40"/>
        <v>0</v>
      </c>
      <c r="P820">
        <f t="shared" si="37"/>
        <v>0</v>
      </c>
      <c r="Q820">
        <f t="shared" si="38"/>
        <v>0</v>
      </c>
    </row>
    <row r="821" spans="1:17" x14ac:dyDescent="0.2">
      <c r="A821" t="s">
        <v>51</v>
      </c>
      <c r="B821" t="s">
        <v>824</v>
      </c>
      <c r="C821">
        <v>80</v>
      </c>
      <c r="D821">
        <v>80</v>
      </c>
      <c r="E821">
        <v>9</v>
      </c>
      <c r="F821">
        <v>0.5</v>
      </c>
      <c r="G821">
        <v>0</v>
      </c>
      <c r="H821">
        <v>10</v>
      </c>
      <c r="I821">
        <v>75</v>
      </c>
      <c r="J821">
        <v>1</v>
      </c>
      <c r="K821">
        <v>0</v>
      </c>
      <c r="L821">
        <v>0</v>
      </c>
      <c r="M821">
        <v>0</v>
      </c>
      <c r="N821">
        <v>81</v>
      </c>
      <c r="O821" s="3">
        <f t="shared" si="40"/>
        <v>0</v>
      </c>
      <c r="P821">
        <f t="shared" si="37"/>
        <v>0</v>
      </c>
      <c r="Q821">
        <f t="shared" si="38"/>
        <v>0</v>
      </c>
    </row>
    <row r="822" spans="1:17" x14ac:dyDescent="0.2">
      <c r="A822" t="s">
        <v>51</v>
      </c>
      <c r="B822" t="s">
        <v>825</v>
      </c>
      <c r="C822">
        <v>30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7</v>
      </c>
      <c r="K822">
        <v>0</v>
      </c>
      <c r="L822">
        <v>6</v>
      </c>
      <c r="M822">
        <v>0</v>
      </c>
      <c r="N822">
        <v>36</v>
      </c>
      <c r="O822" s="3">
        <f t="shared" si="40"/>
        <v>0</v>
      </c>
      <c r="P822">
        <f t="shared" si="37"/>
        <v>0</v>
      </c>
      <c r="Q822">
        <f t="shared" si="38"/>
        <v>0</v>
      </c>
    </row>
    <row r="823" spans="1:17" x14ac:dyDescent="0.2">
      <c r="A823" t="s">
        <v>51</v>
      </c>
      <c r="B823" t="s">
        <v>826</v>
      </c>
      <c r="C823">
        <v>120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15</v>
      </c>
      <c r="J823">
        <v>30</v>
      </c>
      <c r="K823">
        <v>0</v>
      </c>
      <c r="L823">
        <v>18</v>
      </c>
      <c r="M823">
        <v>0</v>
      </c>
      <c r="N823">
        <v>138</v>
      </c>
      <c r="O823" s="3">
        <f t="shared" si="40"/>
        <v>0</v>
      </c>
      <c r="P823">
        <f t="shared" si="37"/>
        <v>0</v>
      </c>
      <c r="Q823">
        <f t="shared" si="38"/>
        <v>0</v>
      </c>
    </row>
    <row r="824" spans="1:17" x14ac:dyDescent="0.2">
      <c r="A824" t="s">
        <v>51</v>
      </c>
      <c r="B824" t="s">
        <v>827</v>
      </c>
      <c r="C824">
        <v>40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310</v>
      </c>
      <c r="J824">
        <v>11</v>
      </c>
      <c r="K824">
        <v>0</v>
      </c>
      <c r="L824">
        <v>10</v>
      </c>
      <c r="M824">
        <v>0</v>
      </c>
      <c r="N824">
        <v>50</v>
      </c>
      <c r="O824" s="3">
        <f t="shared" si="40"/>
        <v>0</v>
      </c>
      <c r="P824">
        <f t="shared" si="37"/>
        <v>0</v>
      </c>
      <c r="Q824">
        <f t="shared" si="38"/>
        <v>0</v>
      </c>
    </row>
    <row r="825" spans="1:17" x14ac:dyDescent="0.2">
      <c r="A825" t="s">
        <v>51</v>
      </c>
      <c r="B825" t="s">
        <v>828</v>
      </c>
      <c r="C825">
        <v>80</v>
      </c>
      <c r="D825">
        <v>70</v>
      </c>
      <c r="E825">
        <v>8</v>
      </c>
      <c r="F825">
        <v>1.5</v>
      </c>
      <c r="G825">
        <v>0</v>
      </c>
      <c r="H825">
        <v>5</v>
      </c>
      <c r="I825">
        <v>360</v>
      </c>
      <c r="J825">
        <v>2</v>
      </c>
      <c r="K825">
        <v>0</v>
      </c>
      <c r="L825">
        <v>1</v>
      </c>
      <c r="M825">
        <v>0</v>
      </c>
      <c r="N825">
        <v>83</v>
      </c>
      <c r="O825" s="3">
        <f t="shared" si="40"/>
        <v>0</v>
      </c>
      <c r="P825">
        <f t="shared" si="37"/>
        <v>0</v>
      </c>
      <c r="Q825">
        <f t="shared" si="38"/>
        <v>0</v>
      </c>
    </row>
    <row r="826" spans="1:17" x14ac:dyDescent="0.2">
      <c r="A826" t="s">
        <v>51</v>
      </c>
      <c r="B826" t="s">
        <v>829</v>
      </c>
      <c r="C826">
        <v>150</v>
      </c>
      <c r="D826">
        <v>140</v>
      </c>
      <c r="E826">
        <v>15</v>
      </c>
      <c r="F826">
        <v>2.5</v>
      </c>
      <c r="G826">
        <v>0</v>
      </c>
      <c r="H826">
        <v>20</v>
      </c>
      <c r="I826">
        <v>240</v>
      </c>
      <c r="J826">
        <v>3</v>
      </c>
      <c r="K826">
        <v>0</v>
      </c>
      <c r="L826">
        <v>0</v>
      </c>
      <c r="M826">
        <v>0</v>
      </c>
      <c r="N826">
        <v>153</v>
      </c>
      <c r="O826" s="3">
        <f t="shared" si="40"/>
        <v>0</v>
      </c>
      <c r="P826">
        <f t="shared" si="37"/>
        <v>0</v>
      </c>
      <c r="Q826">
        <f t="shared" si="38"/>
        <v>0</v>
      </c>
    </row>
    <row r="827" spans="1:17" x14ac:dyDescent="0.2">
      <c r="A827" t="s">
        <v>51</v>
      </c>
      <c r="B827" t="s">
        <v>830</v>
      </c>
      <c r="C827">
        <v>90</v>
      </c>
      <c r="D827">
        <v>60</v>
      </c>
      <c r="E827">
        <v>6</v>
      </c>
      <c r="F827">
        <v>1</v>
      </c>
      <c r="G827">
        <v>0</v>
      </c>
      <c r="H827">
        <v>10</v>
      </c>
      <c r="I827">
        <v>180</v>
      </c>
      <c r="J827">
        <v>8</v>
      </c>
      <c r="K827">
        <v>0</v>
      </c>
      <c r="L827">
        <v>7</v>
      </c>
      <c r="M827">
        <v>0</v>
      </c>
      <c r="N827">
        <v>98</v>
      </c>
      <c r="O827" s="3">
        <f t="shared" si="40"/>
        <v>0</v>
      </c>
      <c r="P827">
        <f t="shared" si="37"/>
        <v>0</v>
      </c>
      <c r="Q827">
        <f t="shared" si="38"/>
        <v>0</v>
      </c>
    </row>
    <row r="828" spans="1:17" x14ac:dyDescent="0.2">
      <c r="A828" t="s">
        <v>51</v>
      </c>
      <c r="B828" t="s">
        <v>831</v>
      </c>
      <c r="C828">
        <v>210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50</v>
      </c>
      <c r="J828">
        <v>58</v>
      </c>
      <c r="K828">
        <v>0</v>
      </c>
      <c r="L828">
        <v>58</v>
      </c>
      <c r="M828">
        <v>0</v>
      </c>
      <c r="N828">
        <v>268</v>
      </c>
      <c r="O828" s="3">
        <f t="shared" si="40"/>
        <v>0</v>
      </c>
      <c r="P828">
        <f t="shared" si="37"/>
        <v>0</v>
      </c>
      <c r="Q828">
        <f t="shared" si="38"/>
        <v>0</v>
      </c>
    </row>
    <row r="829" spans="1:17" x14ac:dyDescent="0.2">
      <c r="A829" t="s">
        <v>51</v>
      </c>
      <c r="B829" t="s">
        <v>832</v>
      </c>
      <c r="C829">
        <v>270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60</v>
      </c>
      <c r="J829">
        <v>73</v>
      </c>
      <c r="K829">
        <v>0</v>
      </c>
      <c r="L829">
        <v>73</v>
      </c>
      <c r="M829">
        <v>0</v>
      </c>
      <c r="N829">
        <v>343</v>
      </c>
      <c r="O829" s="3">
        <f t="shared" si="40"/>
        <v>0</v>
      </c>
      <c r="P829">
        <f t="shared" si="37"/>
        <v>0</v>
      </c>
      <c r="Q829">
        <f t="shared" si="38"/>
        <v>0</v>
      </c>
    </row>
    <row r="830" spans="1:17" x14ac:dyDescent="0.2">
      <c r="A830" t="s">
        <v>51</v>
      </c>
      <c r="B830" t="s">
        <v>833</v>
      </c>
      <c r="C830">
        <v>290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85</v>
      </c>
      <c r="J830">
        <v>105</v>
      </c>
      <c r="K830">
        <v>0</v>
      </c>
      <c r="L830">
        <v>105</v>
      </c>
      <c r="M830">
        <v>0</v>
      </c>
      <c r="N830">
        <v>395</v>
      </c>
      <c r="O830" s="3">
        <f t="shared" si="40"/>
        <v>0</v>
      </c>
      <c r="P830">
        <f t="shared" si="37"/>
        <v>0</v>
      </c>
      <c r="Q830">
        <f t="shared" si="38"/>
        <v>0</v>
      </c>
    </row>
    <row r="831" spans="1:17" x14ac:dyDescent="0.2">
      <c r="A831" t="s">
        <v>51</v>
      </c>
      <c r="B831" t="s">
        <v>834</v>
      </c>
      <c r="C831">
        <v>510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115</v>
      </c>
      <c r="J831">
        <v>138</v>
      </c>
      <c r="K831">
        <v>0</v>
      </c>
      <c r="L831">
        <v>138</v>
      </c>
      <c r="M831">
        <v>0</v>
      </c>
      <c r="N831">
        <v>648</v>
      </c>
      <c r="O831" s="3">
        <f t="shared" si="40"/>
        <v>0</v>
      </c>
      <c r="P831">
        <f t="shared" si="37"/>
        <v>0</v>
      </c>
      <c r="Q831">
        <f t="shared" si="38"/>
        <v>0</v>
      </c>
    </row>
    <row r="832" spans="1:17" x14ac:dyDescent="0.2">
      <c r="A832" t="s">
        <v>51</v>
      </c>
      <c r="B832" t="s">
        <v>835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70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f t="shared" si="37"/>
        <v>0</v>
      </c>
      <c r="Q832">
        <f t="shared" si="38"/>
        <v>0</v>
      </c>
    </row>
    <row r="833" spans="1:17" x14ac:dyDescent="0.2">
      <c r="A833" t="s">
        <v>51</v>
      </c>
      <c r="B833" t="s">
        <v>836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85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37"/>
        <v>0</v>
      </c>
      <c r="Q833">
        <f t="shared" si="38"/>
        <v>0</v>
      </c>
    </row>
    <row r="834" spans="1:17" x14ac:dyDescent="0.2">
      <c r="A834" t="s">
        <v>51</v>
      </c>
      <c r="B834" t="s">
        <v>837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120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f t="shared" ref="P834:P897" si="41">IF(I834&gt;2300*0.2,1,0)</f>
        <v>0</v>
      </c>
      <c r="Q834">
        <f t="shared" ref="Q834:Q897" si="42">IF(H834&gt;300,1,0)</f>
        <v>0</v>
      </c>
    </row>
    <row r="835" spans="1:17" x14ac:dyDescent="0.2">
      <c r="A835" t="s">
        <v>51</v>
      </c>
      <c r="B835" t="s">
        <v>838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160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si="41"/>
        <v>0</v>
      </c>
      <c r="Q835">
        <f t="shared" si="42"/>
        <v>0</v>
      </c>
    </row>
    <row r="836" spans="1:17" x14ac:dyDescent="0.2">
      <c r="A836" t="s">
        <v>51</v>
      </c>
      <c r="B836" t="s">
        <v>839</v>
      </c>
      <c r="C836">
        <v>210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95</v>
      </c>
      <c r="J836">
        <v>56</v>
      </c>
      <c r="K836">
        <v>0</v>
      </c>
      <c r="L836">
        <v>56</v>
      </c>
      <c r="M836">
        <v>0</v>
      </c>
      <c r="N836">
        <v>266</v>
      </c>
      <c r="O836" s="3">
        <f t="shared" ref="O836:O866" si="43">M836/C836*100</f>
        <v>0</v>
      </c>
      <c r="P836">
        <f t="shared" si="41"/>
        <v>0</v>
      </c>
      <c r="Q836">
        <f t="shared" si="42"/>
        <v>0</v>
      </c>
    </row>
    <row r="837" spans="1:17" x14ac:dyDescent="0.2">
      <c r="A837" t="s">
        <v>51</v>
      </c>
      <c r="B837" t="s">
        <v>840</v>
      </c>
      <c r="C837">
        <v>260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120</v>
      </c>
      <c r="J837">
        <v>70</v>
      </c>
      <c r="K837">
        <v>0</v>
      </c>
      <c r="L837">
        <v>70</v>
      </c>
      <c r="M837">
        <v>0</v>
      </c>
      <c r="N837">
        <v>330</v>
      </c>
      <c r="O837" s="3">
        <f t="shared" si="43"/>
        <v>0</v>
      </c>
      <c r="P837">
        <f t="shared" si="41"/>
        <v>0</v>
      </c>
      <c r="Q837">
        <f t="shared" si="42"/>
        <v>0</v>
      </c>
    </row>
    <row r="838" spans="1:17" x14ac:dyDescent="0.2">
      <c r="A838" t="s">
        <v>51</v>
      </c>
      <c r="B838" t="s">
        <v>841</v>
      </c>
      <c r="C838">
        <v>380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170</v>
      </c>
      <c r="J838">
        <v>102</v>
      </c>
      <c r="K838">
        <v>0</v>
      </c>
      <c r="L838">
        <v>102</v>
      </c>
      <c r="M838">
        <v>0</v>
      </c>
      <c r="N838">
        <v>482</v>
      </c>
      <c r="O838" s="3">
        <f t="shared" si="43"/>
        <v>0</v>
      </c>
      <c r="P838">
        <f t="shared" si="41"/>
        <v>0</v>
      </c>
      <c r="Q838">
        <f t="shared" si="42"/>
        <v>0</v>
      </c>
    </row>
    <row r="839" spans="1:17" x14ac:dyDescent="0.2">
      <c r="A839" t="s">
        <v>51</v>
      </c>
      <c r="B839" t="s">
        <v>842</v>
      </c>
      <c r="C839">
        <v>500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230</v>
      </c>
      <c r="J839">
        <v>133</v>
      </c>
      <c r="K839">
        <v>0</v>
      </c>
      <c r="L839">
        <v>133</v>
      </c>
      <c r="M839">
        <v>0</v>
      </c>
      <c r="N839">
        <v>633</v>
      </c>
      <c r="O839" s="3">
        <f t="shared" si="43"/>
        <v>0</v>
      </c>
      <c r="P839">
        <f t="shared" si="41"/>
        <v>0</v>
      </c>
      <c r="Q839">
        <f t="shared" si="42"/>
        <v>0</v>
      </c>
    </row>
    <row r="840" spans="1:17" x14ac:dyDescent="0.2">
      <c r="A840" t="s">
        <v>51</v>
      </c>
      <c r="B840" t="s">
        <v>843</v>
      </c>
      <c r="C840">
        <v>190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60</v>
      </c>
      <c r="J840">
        <v>52</v>
      </c>
      <c r="K840">
        <v>0</v>
      </c>
      <c r="L840">
        <v>51</v>
      </c>
      <c r="M840">
        <v>0</v>
      </c>
      <c r="N840">
        <v>241</v>
      </c>
      <c r="O840" s="3">
        <f t="shared" si="43"/>
        <v>0</v>
      </c>
      <c r="P840">
        <f t="shared" si="41"/>
        <v>0</v>
      </c>
      <c r="Q840">
        <f t="shared" si="42"/>
        <v>0</v>
      </c>
    </row>
    <row r="841" spans="1:17" x14ac:dyDescent="0.2">
      <c r="A841" t="s">
        <v>51</v>
      </c>
      <c r="B841" t="s">
        <v>844</v>
      </c>
      <c r="C841">
        <v>240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75</v>
      </c>
      <c r="J841">
        <v>65</v>
      </c>
      <c r="K841">
        <v>0</v>
      </c>
      <c r="L841">
        <v>64</v>
      </c>
      <c r="M841">
        <v>0</v>
      </c>
      <c r="N841">
        <v>304</v>
      </c>
      <c r="O841" s="3">
        <f t="shared" si="43"/>
        <v>0</v>
      </c>
      <c r="P841">
        <f t="shared" si="41"/>
        <v>0</v>
      </c>
      <c r="Q841">
        <f t="shared" si="42"/>
        <v>0</v>
      </c>
    </row>
    <row r="842" spans="1:17" x14ac:dyDescent="0.2">
      <c r="A842" t="s">
        <v>51</v>
      </c>
      <c r="B842" t="s">
        <v>845</v>
      </c>
      <c r="C842">
        <v>350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105</v>
      </c>
      <c r="J842">
        <v>94</v>
      </c>
      <c r="K842">
        <v>0</v>
      </c>
      <c r="L842">
        <v>93</v>
      </c>
      <c r="M842">
        <v>0</v>
      </c>
      <c r="N842">
        <v>443</v>
      </c>
      <c r="O842" s="3">
        <f t="shared" si="43"/>
        <v>0</v>
      </c>
      <c r="P842">
        <f t="shared" si="41"/>
        <v>0</v>
      </c>
      <c r="Q842">
        <f t="shared" si="42"/>
        <v>0</v>
      </c>
    </row>
    <row r="843" spans="1:17" x14ac:dyDescent="0.2">
      <c r="A843" t="s">
        <v>51</v>
      </c>
      <c r="B843" t="s">
        <v>846</v>
      </c>
      <c r="C843">
        <v>450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140</v>
      </c>
      <c r="J843">
        <v>124</v>
      </c>
      <c r="K843">
        <v>0</v>
      </c>
      <c r="L843">
        <v>121</v>
      </c>
      <c r="M843">
        <v>0</v>
      </c>
      <c r="N843">
        <v>571</v>
      </c>
      <c r="O843" s="3">
        <f t="shared" si="43"/>
        <v>0</v>
      </c>
      <c r="P843">
        <f t="shared" si="41"/>
        <v>0</v>
      </c>
      <c r="Q843">
        <f t="shared" si="42"/>
        <v>0</v>
      </c>
    </row>
    <row r="844" spans="1:17" x14ac:dyDescent="0.2">
      <c r="A844" t="s">
        <v>51</v>
      </c>
      <c r="B844" t="s">
        <v>847</v>
      </c>
      <c r="C844">
        <v>240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100</v>
      </c>
      <c r="J844">
        <v>65</v>
      </c>
      <c r="K844">
        <v>0</v>
      </c>
      <c r="L844">
        <v>65</v>
      </c>
      <c r="M844">
        <v>0</v>
      </c>
      <c r="N844">
        <v>305</v>
      </c>
      <c r="O844" s="3">
        <f t="shared" si="43"/>
        <v>0</v>
      </c>
      <c r="P844">
        <f t="shared" si="41"/>
        <v>0</v>
      </c>
      <c r="Q844">
        <f t="shared" si="42"/>
        <v>0</v>
      </c>
    </row>
    <row r="845" spans="1:17" x14ac:dyDescent="0.2">
      <c r="A845" t="s">
        <v>51</v>
      </c>
      <c r="B845" t="s">
        <v>848</v>
      </c>
      <c r="C845">
        <v>300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120</v>
      </c>
      <c r="J845">
        <v>81</v>
      </c>
      <c r="K845">
        <v>0</v>
      </c>
      <c r="L845">
        <v>81</v>
      </c>
      <c r="M845">
        <v>0</v>
      </c>
      <c r="N845">
        <v>381</v>
      </c>
      <c r="O845" s="3">
        <f t="shared" si="43"/>
        <v>0</v>
      </c>
      <c r="P845">
        <f t="shared" si="41"/>
        <v>0</v>
      </c>
      <c r="Q845">
        <f t="shared" si="42"/>
        <v>0</v>
      </c>
    </row>
    <row r="846" spans="1:17" x14ac:dyDescent="0.2">
      <c r="A846" t="s">
        <v>51</v>
      </c>
      <c r="B846" t="s">
        <v>849</v>
      </c>
      <c r="C846">
        <v>350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180</v>
      </c>
      <c r="J846">
        <v>118</v>
      </c>
      <c r="K846">
        <v>0</v>
      </c>
      <c r="L846">
        <v>118</v>
      </c>
      <c r="M846">
        <v>0</v>
      </c>
      <c r="N846">
        <v>468</v>
      </c>
      <c r="O846" s="3">
        <f t="shared" si="43"/>
        <v>0</v>
      </c>
      <c r="P846">
        <f t="shared" si="41"/>
        <v>0</v>
      </c>
      <c r="Q846">
        <f t="shared" si="42"/>
        <v>0</v>
      </c>
    </row>
    <row r="847" spans="1:17" x14ac:dyDescent="0.2">
      <c r="A847" t="s">
        <v>51</v>
      </c>
      <c r="B847" t="s">
        <v>850</v>
      </c>
      <c r="C847">
        <v>450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230</v>
      </c>
      <c r="J847">
        <v>155</v>
      </c>
      <c r="K847">
        <v>0</v>
      </c>
      <c r="L847">
        <v>155</v>
      </c>
      <c r="M847">
        <v>0</v>
      </c>
      <c r="N847">
        <v>605</v>
      </c>
      <c r="O847" s="3">
        <f t="shared" si="43"/>
        <v>0</v>
      </c>
      <c r="P847">
        <f t="shared" si="41"/>
        <v>0</v>
      </c>
      <c r="Q847">
        <f t="shared" si="42"/>
        <v>0</v>
      </c>
    </row>
    <row r="848" spans="1:17" x14ac:dyDescent="0.2">
      <c r="A848" t="s">
        <v>51</v>
      </c>
      <c r="B848" t="s">
        <v>851</v>
      </c>
      <c r="C848">
        <v>220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55</v>
      </c>
      <c r="J848">
        <v>61</v>
      </c>
      <c r="K848">
        <v>0</v>
      </c>
      <c r="L848">
        <v>61</v>
      </c>
      <c r="M848">
        <v>0</v>
      </c>
      <c r="N848">
        <v>281</v>
      </c>
      <c r="O848" s="3">
        <f t="shared" si="43"/>
        <v>0</v>
      </c>
      <c r="P848">
        <f t="shared" si="41"/>
        <v>0</v>
      </c>
      <c r="Q848">
        <f t="shared" si="42"/>
        <v>0</v>
      </c>
    </row>
    <row r="849" spans="1:17" x14ac:dyDescent="0.2">
      <c r="A849" t="s">
        <v>51</v>
      </c>
      <c r="B849" t="s">
        <v>852</v>
      </c>
      <c r="C849">
        <v>280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70</v>
      </c>
      <c r="J849">
        <v>76</v>
      </c>
      <c r="K849">
        <v>0</v>
      </c>
      <c r="L849">
        <v>76</v>
      </c>
      <c r="M849">
        <v>0</v>
      </c>
      <c r="N849">
        <v>356</v>
      </c>
      <c r="O849" s="3">
        <f t="shared" si="43"/>
        <v>0</v>
      </c>
      <c r="P849">
        <f t="shared" si="41"/>
        <v>0</v>
      </c>
      <c r="Q849">
        <f t="shared" si="42"/>
        <v>0</v>
      </c>
    </row>
    <row r="850" spans="1:17" x14ac:dyDescent="0.2">
      <c r="A850" t="s">
        <v>51</v>
      </c>
      <c r="B850" t="s">
        <v>853</v>
      </c>
      <c r="C850">
        <v>410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100</v>
      </c>
      <c r="J850">
        <v>110</v>
      </c>
      <c r="K850">
        <v>0</v>
      </c>
      <c r="L850">
        <v>110</v>
      </c>
      <c r="M850">
        <v>0</v>
      </c>
      <c r="N850">
        <v>520</v>
      </c>
      <c r="O850" s="3">
        <f t="shared" si="43"/>
        <v>0</v>
      </c>
      <c r="P850">
        <f t="shared" si="41"/>
        <v>0</v>
      </c>
      <c r="Q850">
        <f t="shared" si="42"/>
        <v>0</v>
      </c>
    </row>
    <row r="851" spans="1:17" x14ac:dyDescent="0.2">
      <c r="A851" t="s">
        <v>51</v>
      </c>
      <c r="B851" t="s">
        <v>854</v>
      </c>
      <c r="C851">
        <v>450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130</v>
      </c>
      <c r="J851">
        <v>145</v>
      </c>
      <c r="K851">
        <v>0</v>
      </c>
      <c r="L851">
        <v>145</v>
      </c>
      <c r="M851">
        <v>0</v>
      </c>
      <c r="N851">
        <v>595</v>
      </c>
      <c r="O851" s="3">
        <f t="shared" si="43"/>
        <v>0</v>
      </c>
      <c r="P851">
        <f t="shared" si="41"/>
        <v>0</v>
      </c>
      <c r="Q851">
        <f t="shared" si="42"/>
        <v>0</v>
      </c>
    </row>
    <row r="852" spans="1:17" x14ac:dyDescent="0.2">
      <c r="A852" t="s">
        <v>51</v>
      </c>
      <c r="B852" t="s">
        <v>855</v>
      </c>
      <c r="C852">
        <v>230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60</v>
      </c>
      <c r="J852">
        <v>62</v>
      </c>
      <c r="K852">
        <v>0</v>
      </c>
      <c r="L852">
        <v>61</v>
      </c>
      <c r="M852">
        <v>0</v>
      </c>
      <c r="N852">
        <v>291</v>
      </c>
      <c r="O852" s="3">
        <f t="shared" si="43"/>
        <v>0</v>
      </c>
      <c r="P852">
        <f t="shared" si="41"/>
        <v>0</v>
      </c>
      <c r="Q852">
        <f t="shared" si="42"/>
        <v>0</v>
      </c>
    </row>
    <row r="853" spans="1:17" x14ac:dyDescent="0.2">
      <c r="A853" t="s">
        <v>51</v>
      </c>
      <c r="B853" t="s">
        <v>856</v>
      </c>
      <c r="C853">
        <v>280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70</v>
      </c>
      <c r="J853">
        <v>78</v>
      </c>
      <c r="K853">
        <v>0</v>
      </c>
      <c r="L853">
        <v>77</v>
      </c>
      <c r="M853">
        <v>0</v>
      </c>
      <c r="N853">
        <v>357</v>
      </c>
      <c r="O853" s="3">
        <f t="shared" si="43"/>
        <v>0</v>
      </c>
      <c r="P853">
        <f t="shared" si="41"/>
        <v>0</v>
      </c>
      <c r="Q853">
        <f t="shared" si="42"/>
        <v>0</v>
      </c>
    </row>
    <row r="854" spans="1:17" x14ac:dyDescent="0.2">
      <c r="A854" t="s">
        <v>51</v>
      </c>
      <c r="B854" t="s">
        <v>857</v>
      </c>
      <c r="C854">
        <v>410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105</v>
      </c>
      <c r="J854">
        <v>113</v>
      </c>
      <c r="K854">
        <v>0</v>
      </c>
      <c r="L854">
        <v>111</v>
      </c>
      <c r="M854">
        <v>0</v>
      </c>
      <c r="N854">
        <v>521</v>
      </c>
      <c r="O854" s="3">
        <f t="shared" si="43"/>
        <v>0</v>
      </c>
      <c r="P854">
        <f t="shared" si="41"/>
        <v>0</v>
      </c>
      <c r="Q854">
        <f t="shared" si="42"/>
        <v>0</v>
      </c>
    </row>
    <row r="855" spans="1:17" x14ac:dyDescent="0.2">
      <c r="A855" t="s">
        <v>51</v>
      </c>
      <c r="B855" t="s">
        <v>858</v>
      </c>
      <c r="C855">
        <v>530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135</v>
      </c>
      <c r="J855">
        <v>148</v>
      </c>
      <c r="K855">
        <v>0</v>
      </c>
      <c r="L855">
        <v>146</v>
      </c>
      <c r="M855">
        <v>0</v>
      </c>
      <c r="N855">
        <v>676</v>
      </c>
      <c r="O855" s="3">
        <f t="shared" si="43"/>
        <v>0</v>
      </c>
      <c r="P855">
        <f t="shared" si="41"/>
        <v>0</v>
      </c>
      <c r="Q855">
        <f t="shared" si="42"/>
        <v>0</v>
      </c>
    </row>
    <row r="856" spans="1:17" x14ac:dyDescent="0.2">
      <c r="A856" t="s">
        <v>51</v>
      </c>
      <c r="B856" t="s">
        <v>859</v>
      </c>
      <c r="C856">
        <v>220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75</v>
      </c>
      <c r="J856">
        <v>62</v>
      </c>
      <c r="K856">
        <v>0</v>
      </c>
      <c r="L856">
        <v>60</v>
      </c>
      <c r="M856">
        <v>0</v>
      </c>
      <c r="N856">
        <v>280</v>
      </c>
      <c r="O856" s="3">
        <f t="shared" si="43"/>
        <v>0</v>
      </c>
      <c r="P856">
        <f t="shared" si="41"/>
        <v>0</v>
      </c>
      <c r="Q856">
        <f t="shared" si="42"/>
        <v>0</v>
      </c>
    </row>
    <row r="857" spans="1:17" x14ac:dyDescent="0.2">
      <c r="A857" t="s">
        <v>51</v>
      </c>
      <c r="B857" t="s">
        <v>860</v>
      </c>
      <c r="C857">
        <v>280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95</v>
      </c>
      <c r="J857">
        <v>77</v>
      </c>
      <c r="K857">
        <v>0</v>
      </c>
      <c r="L857">
        <v>75</v>
      </c>
      <c r="M857">
        <v>0</v>
      </c>
      <c r="N857">
        <v>355</v>
      </c>
      <c r="O857" s="3">
        <f t="shared" si="43"/>
        <v>0</v>
      </c>
      <c r="P857">
        <f t="shared" si="41"/>
        <v>0</v>
      </c>
      <c r="Q857">
        <f t="shared" si="42"/>
        <v>0</v>
      </c>
    </row>
    <row r="858" spans="1:17" x14ac:dyDescent="0.2">
      <c r="A858" t="s">
        <v>51</v>
      </c>
      <c r="B858" t="s">
        <v>861</v>
      </c>
      <c r="C858">
        <v>410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135</v>
      </c>
      <c r="J858">
        <v>111</v>
      </c>
      <c r="K858">
        <v>0</v>
      </c>
      <c r="L858">
        <v>109</v>
      </c>
      <c r="M858">
        <v>0</v>
      </c>
      <c r="N858">
        <v>519</v>
      </c>
      <c r="O858" s="3">
        <f t="shared" si="43"/>
        <v>0</v>
      </c>
      <c r="P858">
        <f t="shared" si="41"/>
        <v>0</v>
      </c>
      <c r="Q858">
        <f t="shared" si="42"/>
        <v>0</v>
      </c>
    </row>
    <row r="859" spans="1:17" x14ac:dyDescent="0.2">
      <c r="A859" t="s">
        <v>51</v>
      </c>
      <c r="B859" t="s">
        <v>862</v>
      </c>
      <c r="C859">
        <v>450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180</v>
      </c>
      <c r="J859">
        <v>146</v>
      </c>
      <c r="K859">
        <v>0</v>
      </c>
      <c r="L859">
        <v>143</v>
      </c>
      <c r="M859">
        <v>0</v>
      </c>
      <c r="N859">
        <v>593</v>
      </c>
      <c r="O859" s="3">
        <f t="shared" si="43"/>
        <v>0</v>
      </c>
      <c r="P859">
        <f t="shared" si="41"/>
        <v>0</v>
      </c>
      <c r="Q859">
        <f t="shared" si="42"/>
        <v>0</v>
      </c>
    </row>
    <row r="860" spans="1:17" x14ac:dyDescent="0.2">
      <c r="A860" t="s">
        <v>51</v>
      </c>
      <c r="B860" t="s">
        <v>863</v>
      </c>
      <c r="C860">
        <v>10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60</v>
      </c>
      <c r="J860">
        <v>3</v>
      </c>
      <c r="K860">
        <v>0</v>
      </c>
      <c r="L860">
        <v>0</v>
      </c>
      <c r="M860">
        <v>0</v>
      </c>
      <c r="N860">
        <v>0</v>
      </c>
      <c r="O860" s="3">
        <f t="shared" si="43"/>
        <v>0</v>
      </c>
      <c r="P860">
        <f t="shared" si="41"/>
        <v>0</v>
      </c>
      <c r="Q860">
        <f t="shared" si="42"/>
        <v>0</v>
      </c>
    </row>
    <row r="861" spans="1:17" x14ac:dyDescent="0.2">
      <c r="A861" t="s">
        <v>51</v>
      </c>
      <c r="B861" t="s">
        <v>864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70</v>
      </c>
      <c r="J861">
        <v>4</v>
      </c>
      <c r="K861">
        <v>0</v>
      </c>
      <c r="L861">
        <v>0</v>
      </c>
      <c r="M861">
        <v>0</v>
      </c>
      <c r="N861">
        <v>0</v>
      </c>
      <c r="O861" s="3">
        <f t="shared" si="43"/>
        <v>0</v>
      </c>
      <c r="P861">
        <f t="shared" si="41"/>
        <v>0</v>
      </c>
      <c r="Q861">
        <f t="shared" si="42"/>
        <v>0</v>
      </c>
    </row>
    <row r="862" spans="1:17" x14ac:dyDescent="0.2">
      <c r="A862" t="s">
        <v>51</v>
      </c>
      <c r="B862" t="s">
        <v>865</v>
      </c>
      <c r="C862">
        <v>15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105</v>
      </c>
      <c r="J862">
        <v>5</v>
      </c>
      <c r="K862">
        <v>0</v>
      </c>
      <c r="L862">
        <v>0</v>
      </c>
      <c r="M862">
        <v>0</v>
      </c>
      <c r="N862">
        <v>0</v>
      </c>
      <c r="O862" s="3">
        <f t="shared" si="43"/>
        <v>0</v>
      </c>
      <c r="P862">
        <f t="shared" si="41"/>
        <v>0</v>
      </c>
      <c r="Q862">
        <f t="shared" si="42"/>
        <v>0</v>
      </c>
    </row>
    <row r="863" spans="1:17" x14ac:dyDescent="0.2">
      <c r="A863" t="s">
        <v>51</v>
      </c>
      <c r="B863" t="s">
        <v>866</v>
      </c>
      <c r="C863">
        <v>20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135</v>
      </c>
      <c r="J863">
        <v>7</v>
      </c>
      <c r="K863">
        <v>0</v>
      </c>
      <c r="L863">
        <v>0</v>
      </c>
      <c r="M863">
        <v>0</v>
      </c>
      <c r="N863">
        <v>0</v>
      </c>
      <c r="O863" s="3">
        <f t="shared" si="43"/>
        <v>0</v>
      </c>
      <c r="P863">
        <f t="shared" si="41"/>
        <v>0</v>
      </c>
      <c r="Q863">
        <f t="shared" si="42"/>
        <v>0</v>
      </c>
    </row>
    <row r="864" spans="1:17" x14ac:dyDescent="0.2">
      <c r="A864" t="s">
        <v>51</v>
      </c>
      <c r="B864" t="s">
        <v>867</v>
      </c>
      <c r="C864">
        <v>120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35</v>
      </c>
      <c r="K864">
        <v>0</v>
      </c>
      <c r="L864">
        <v>35</v>
      </c>
      <c r="M864">
        <v>0</v>
      </c>
      <c r="N864">
        <v>155</v>
      </c>
      <c r="O864" s="3">
        <f t="shared" si="43"/>
        <v>0</v>
      </c>
      <c r="P864">
        <f t="shared" si="41"/>
        <v>0</v>
      </c>
      <c r="Q864">
        <f t="shared" si="42"/>
        <v>0</v>
      </c>
    </row>
    <row r="865" spans="1:17" x14ac:dyDescent="0.2">
      <c r="A865" t="s">
        <v>51</v>
      </c>
      <c r="B865" t="s">
        <v>868</v>
      </c>
      <c r="C865">
        <v>160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49</v>
      </c>
      <c r="K865">
        <v>0</v>
      </c>
      <c r="L865">
        <v>49</v>
      </c>
      <c r="M865">
        <v>0</v>
      </c>
      <c r="N865">
        <v>209</v>
      </c>
      <c r="O865" s="3">
        <f t="shared" si="43"/>
        <v>0</v>
      </c>
      <c r="P865">
        <f t="shared" si="41"/>
        <v>0</v>
      </c>
      <c r="Q865">
        <f t="shared" si="42"/>
        <v>0</v>
      </c>
    </row>
    <row r="866" spans="1:17" x14ac:dyDescent="0.2">
      <c r="A866" t="s">
        <v>51</v>
      </c>
      <c r="B866" t="s">
        <v>869</v>
      </c>
      <c r="C866">
        <v>240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71</v>
      </c>
      <c r="K866">
        <v>0</v>
      </c>
      <c r="L866">
        <v>71</v>
      </c>
      <c r="M866">
        <v>0</v>
      </c>
      <c r="N866">
        <v>311</v>
      </c>
      <c r="O866" s="3">
        <f t="shared" si="43"/>
        <v>0</v>
      </c>
      <c r="P866">
        <f t="shared" si="41"/>
        <v>0</v>
      </c>
      <c r="Q866">
        <f t="shared" si="42"/>
        <v>0</v>
      </c>
    </row>
    <row r="867" spans="1:17" x14ac:dyDescent="0.2">
      <c r="A867" t="s">
        <v>51</v>
      </c>
      <c r="B867" t="s">
        <v>870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f t="shared" si="41"/>
        <v>0</v>
      </c>
      <c r="Q867">
        <f t="shared" si="42"/>
        <v>0</v>
      </c>
    </row>
    <row r="868" spans="1:17" x14ac:dyDescent="0.2">
      <c r="A868" t="s">
        <v>51</v>
      </c>
      <c r="B868" t="s">
        <v>871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41"/>
        <v>0</v>
      </c>
      <c r="Q868">
        <f t="shared" si="42"/>
        <v>0</v>
      </c>
    </row>
    <row r="869" spans="1:17" x14ac:dyDescent="0.2">
      <c r="A869" t="s">
        <v>51</v>
      </c>
      <c r="B869" t="s">
        <v>872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41"/>
        <v>0</v>
      </c>
      <c r="Q869">
        <f t="shared" si="42"/>
        <v>0</v>
      </c>
    </row>
    <row r="870" spans="1:17" x14ac:dyDescent="0.2">
      <c r="A870" t="s">
        <v>51</v>
      </c>
      <c r="B870" t="s">
        <v>873</v>
      </c>
      <c r="C870">
        <v>80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25</v>
      </c>
      <c r="J870">
        <v>20</v>
      </c>
      <c r="K870">
        <v>0</v>
      </c>
      <c r="L870">
        <v>20</v>
      </c>
      <c r="M870">
        <v>0</v>
      </c>
      <c r="N870">
        <v>100</v>
      </c>
      <c r="O870" s="3">
        <f>M870/C870*100</f>
        <v>0</v>
      </c>
      <c r="P870">
        <f t="shared" si="41"/>
        <v>0</v>
      </c>
      <c r="Q870">
        <f t="shared" si="42"/>
        <v>0</v>
      </c>
    </row>
    <row r="871" spans="1:17" x14ac:dyDescent="0.2">
      <c r="A871" t="s">
        <v>51</v>
      </c>
      <c r="B871" t="s">
        <v>874</v>
      </c>
      <c r="C871">
        <v>130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50</v>
      </c>
      <c r="J871">
        <v>35</v>
      </c>
      <c r="K871">
        <v>0</v>
      </c>
      <c r="L871">
        <v>35</v>
      </c>
      <c r="M871">
        <v>0</v>
      </c>
      <c r="N871">
        <v>165</v>
      </c>
      <c r="O871" s="3">
        <f>M871/C871*100</f>
        <v>0</v>
      </c>
      <c r="P871">
        <f t="shared" si="41"/>
        <v>0</v>
      </c>
      <c r="Q871">
        <f t="shared" si="42"/>
        <v>0</v>
      </c>
    </row>
    <row r="872" spans="1:17" x14ac:dyDescent="0.2">
      <c r="A872" t="s">
        <v>51</v>
      </c>
      <c r="B872" t="s">
        <v>875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f t="shared" si="41"/>
        <v>0</v>
      </c>
      <c r="Q872">
        <f t="shared" si="42"/>
        <v>0</v>
      </c>
    </row>
    <row r="873" spans="1:17" x14ac:dyDescent="0.2">
      <c r="A873" t="s">
        <v>51</v>
      </c>
      <c r="B873" t="s">
        <v>876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f t="shared" si="41"/>
        <v>0</v>
      </c>
      <c r="Q873">
        <f t="shared" si="42"/>
        <v>0</v>
      </c>
    </row>
    <row r="874" spans="1:17" x14ac:dyDescent="0.2">
      <c r="A874" t="s">
        <v>51</v>
      </c>
      <c r="B874" t="s">
        <v>877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f t="shared" si="41"/>
        <v>0</v>
      </c>
      <c r="Q874">
        <f t="shared" si="42"/>
        <v>0</v>
      </c>
    </row>
    <row r="875" spans="1:17" x14ac:dyDescent="0.2">
      <c r="A875" t="s">
        <v>51</v>
      </c>
      <c r="B875" t="s">
        <v>878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f t="shared" si="41"/>
        <v>0</v>
      </c>
      <c r="Q875">
        <f t="shared" si="42"/>
        <v>0</v>
      </c>
    </row>
    <row r="876" spans="1:17" x14ac:dyDescent="0.2">
      <c r="A876" t="s">
        <v>51</v>
      </c>
      <c r="B876" t="s">
        <v>879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f t="shared" si="41"/>
        <v>0</v>
      </c>
      <c r="Q876">
        <f t="shared" si="42"/>
        <v>0</v>
      </c>
    </row>
    <row r="877" spans="1:17" x14ac:dyDescent="0.2">
      <c r="A877" t="s">
        <v>51</v>
      </c>
      <c r="B877" t="s">
        <v>880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f t="shared" si="41"/>
        <v>0</v>
      </c>
      <c r="Q877">
        <f t="shared" si="42"/>
        <v>0</v>
      </c>
    </row>
    <row r="878" spans="1:17" x14ac:dyDescent="0.2">
      <c r="A878" t="s">
        <v>58</v>
      </c>
      <c r="B878" t="s">
        <v>881</v>
      </c>
      <c r="C878">
        <v>35</v>
      </c>
      <c r="D878" s="2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9</v>
      </c>
      <c r="K878">
        <v>2</v>
      </c>
      <c r="L878">
        <v>7</v>
      </c>
      <c r="M878">
        <v>0</v>
      </c>
      <c r="N878">
        <v>42</v>
      </c>
      <c r="O878" s="3">
        <f t="shared" ref="O878:O889" si="44">M878/C878*100</f>
        <v>0</v>
      </c>
      <c r="P878">
        <f t="shared" si="41"/>
        <v>0</v>
      </c>
      <c r="Q878">
        <f t="shared" si="42"/>
        <v>0</v>
      </c>
    </row>
    <row r="879" spans="1:17" x14ac:dyDescent="0.2">
      <c r="A879" t="s">
        <v>58</v>
      </c>
      <c r="B879" t="s">
        <v>882</v>
      </c>
      <c r="C879">
        <v>20</v>
      </c>
      <c r="D879" s="2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5</v>
      </c>
      <c r="K879">
        <v>1</v>
      </c>
      <c r="L879">
        <v>3</v>
      </c>
      <c r="M879">
        <v>0</v>
      </c>
      <c r="N879">
        <v>23</v>
      </c>
      <c r="O879" s="3">
        <f t="shared" si="44"/>
        <v>0</v>
      </c>
      <c r="P879">
        <f t="shared" si="41"/>
        <v>0</v>
      </c>
      <c r="Q879">
        <f t="shared" si="42"/>
        <v>0</v>
      </c>
    </row>
    <row r="880" spans="1:17" x14ac:dyDescent="0.2">
      <c r="A880" t="s">
        <v>58</v>
      </c>
      <c r="B880" t="s">
        <v>883</v>
      </c>
      <c r="C880">
        <v>380</v>
      </c>
      <c r="D880" s="2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100</v>
      </c>
      <c r="K880">
        <v>0</v>
      </c>
      <c r="L880">
        <v>93</v>
      </c>
      <c r="M880">
        <v>0</v>
      </c>
      <c r="N880">
        <v>473</v>
      </c>
      <c r="O880" s="3">
        <f t="shared" si="44"/>
        <v>0</v>
      </c>
      <c r="P880">
        <f t="shared" si="41"/>
        <v>0</v>
      </c>
      <c r="Q880">
        <f t="shared" si="42"/>
        <v>0</v>
      </c>
    </row>
    <row r="881" spans="1:17" x14ac:dyDescent="0.2">
      <c r="A881" t="s">
        <v>58</v>
      </c>
      <c r="B881" t="s">
        <v>884</v>
      </c>
      <c r="C881">
        <v>330</v>
      </c>
      <c r="D881" s="2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86</v>
      </c>
      <c r="K881">
        <v>0</v>
      </c>
      <c r="L881">
        <v>81</v>
      </c>
      <c r="M881">
        <v>0</v>
      </c>
      <c r="N881">
        <v>411</v>
      </c>
      <c r="O881" s="3">
        <f t="shared" si="44"/>
        <v>0</v>
      </c>
      <c r="P881">
        <f t="shared" si="41"/>
        <v>0</v>
      </c>
      <c r="Q881">
        <f t="shared" si="42"/>
        <v>0</v>
      </c>
    </row>
    <row r="882" spans="1:17" x14ac:dyDescent="0.2">
      <c r="A882" t="s">
        <v>58</v>
      </c>
      <c r="B882" t="s">
        <v>885</v>
      </c>
      <c r="C882">
        <v>190</v>
      </c>
      <c r="D882" s="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50</v>
      </c>
      <c r="K882">
        <v>0</v>
      </c>
      <c r="L882">
        <v>47</v>
      </c>
      <c r="M882">
        <v>0</v>
      </c>
      <c r="N882">
        <v>237</v>
      </c>
      <c r="O882" s="3">
        <f t="shared" si="44"/>
        <v>0</v>
      </c>
      <c r="P882">
        <f t="shared" si="41"/>
        <v>0</v>
      </c>
      <c r="Q882">
        <f t="shared" si="42"/>
        <v>0</v>
      </c>
    </row>
    <row r="883" spans="1:17" x14ac:dyDescent="0.2">
      <c r="A883" t="s">
        <v>58</v>
      </c>
      <c r="B883" t="s">
        <v>886</v>
      </c>
      <c r="C883">
        <v>330</v>
      </c>
      <c r="D883" s="2">
        <v>0</v>
      </c>
      <c r="E883">
        <v>0</v>
      </c>
      <c r="F883">
        <v>0</v>
      </c>
      <c r="G883">
        <v>0</v>
      </c>
      <c r="H883">
        <v>0</v>
      </c>
      <c r="I883">
        <v>60</v>
      </c>
      <c r="J883">
        <v>83</v>
      </c>
      <c r="K883">
        <v>0</v>
      </c>
      <c r="L883">
        <v>80</v>
      </c>
      <c r="M883">
        <v>0</v>
      </c>
      <c r="N883">
        <v>410</v>
      </c>
      <c r="O883" s="3">
        <f t="shared" si="44"/>
        <v>0</v>
      </c>
      <c r="P883">
        <f t="shared" si="41"/>
        <v>0</v>
      </c>
      <c r="Q883">
        <f t="shared" si="42"/>
        <v>0</v>
      </c>
    </row>
    <row r="884" spans="1:17" x14ac:dyDescent="0.2">
      <c r="A884" t="s">
        <v>58</v>
      </c>
      <c r="B884" t="s">
        <v>887</v>
      </c>
      <c r="C884">
        <v>300</v>
      </c>
      <c r="D884" s="2">
        <v>0</v>
      </c>
      <c r="E884">
        <v>0</v>
      </c>
      <c r="F884">
        <v>0</v>
      </c>
      <c r="G884">
        <v>0</v>
      </c>
      <c r="H884">
        <v>0</v>
      </c>
      <c r="I884">
        <v>50</v>
      </c>
      <c r="J884">
        <v>76</v>
      </c>
      <c r="K884">
        <v>0</v>
      </c>
      <c r="L884">
        <v>73</v>
      </c>
      <c r="M884">
        <v>0</v>
      </c>
      <c r="N884">
        <v>373</v>
      </c>
      <c r="O884" s="3">
        <f t="shared" si="44"/>
        <v>0</v>
      </c>
      <c r="P884">
        <f t="shared" si="41"/>
        <v>0</v>
      </c>
      <c r="Q884">
        <f t="shared" si="42"/>
        <v>0</v>
      </c>
    </row>
    <row r="885" spans="1:17" x14ac:dyDescent="0.2">
      <c r="A885" t="s">
        <v>58</v>
      </c>
      <c r="B885" t="s">
        <v>888</v>
      </c>
      <c r="C885">
        <v>170</v>
      </c>
      <c r="D885" s="2">
        <v>0</v>
      </c>
      <c r="E885">
        <v>0</v>
      </c>
      <c r="F885">
        <v>0</v>
      </c>
      <c r="G885">
        <v>0</v>
      </c>
      <c r="H885">
        <v>0</v>
      </c>
      <c r="I885">
        <v>30</v>
      </c>
      <c r="J885">
        <v>44</v>
      </c>
      <c r="K885">
        <v>0</v>
      </c>
      <c r="L885">
        <v>42</v>
      </c>
      <c r="M885">
        <v>0</v>
      </c>
      <c r="N885">
        <v>212</v>
      </c>
      <c r="O885" s="3">
        <f t="shared" si="44"/>
        <v>0</v>
      </c>
      <c r="P885">
        <f t="shared" si="41"/>
        <v>0</v>
      </c>
      <c r="Q885">
        <f t="shared" si="42"/>
        <v>0</v>
      </c>
    </row>
    <row r="886" spans="1:17" x14ac:dyDescent="0.2">
      <c r="A886" t="s">
        <v>58</v>
      </c>
      <c r="B886" t="s">
        <v>889</v>
      </c>
      <c r="C886">
        <v>450</v>
      </c>
      <c r="D886" s="2">
        <v>0</v>
      </c>
      <c r="E886">
        <v>0</v>
      </c>
      <c r="F886">
        <v>0</v>
      </c>
      <c r="G886">
        <v>0</v>
      </c>
      <c r="H886">
        <v>0</v>
      </c>
      <c r="I886">
        <v>180</v>
      </c>
      <c r="J886">
        <v>122</v>
      </c>
      <c r="K886">
        <v>0</v>
      </c>
      <c r="L886">
        <v>122</v>
      </c>
      <c r="M886">
        <v>0</v>
      </c>
      <c r="N886">
        <v>572</v>
      </c>
      <c r="O886" s="3">
        <f t="shared" si="44"/>
        <v>0</v>
      </c>
      <c r="P886">
        <f t="shared" si="41"/>
        <v>0</v>
      </c>
      <c r="Q886">
        <f t="shared" si="42"/>
        <v>0</v>
      </c>
    </row>
    <row r="887" spans="1:17" x14ac:dyDescent="0.2">
      <c r="A887" t="s">
        <v>58</v>
      </c>
      <c r="B887" t="s">
        <v>890</v>
      </c>
      <c r="C887">
        <v>360</v>
      </c>
      <c r="D887" s="2">
        <v>0</v>
      </c>
      <c r="E887">
        <v>0</v>
      </c>
      <c r="F887">
        <v>0</v>
      </c>
      <c r="G887">
        <v>0</v>
      </c>
      <c r="H887">
        <v>0</v>
      </c>
      <c r="I887">
        <v>150</v>
      </c>
      <c r="J887">
        <v>98</v>
      </c>
      <c r="K887">
        <v>0</v>
      </c>
      <c r="L887">
        <v>98</v>
      </c>
      <c r="M887">
        <v>0</v>
      </c>
      <c r="N887">
        <v>458</v>
      </c>
      <c r="O887" s="3">
        <f t="shared" si="44"/>
        <v>0</v>
      </c>
      <c r="P887">
        <f t="shared" si="41"/>
        <v>0</v>
      </c>
      <c r="Q887">
        <f t="shared" si="42"/>
        <v>0</v>
      </c>
    </row>
    <row r="888" spans="1:17" x14ac:dyDescent="0.2">
      <c r="A888" t="s">
        <v>58</v>
      </c>
      <c r="B888" t="s">
        <v>891</v>
      </c>
      <c r="C888">
        <v>220</v>
      </c>
      <c r="D888" s="2">
        <v>0</v>
      </c>
      <c r="E888">
        <v>0</v>
      </c>
      <c r="F888">
        <v>0</v>
      </c>
      <c r="G888">
        <v>0</v>
      </c>
      <c r="H888">
        <v>0</v>
      </c>
      <c r="I888">
        <v>90</v>
      </c>
      <c r="J888">
        <v>61</v>
      </c>
      <c r="K888">
        <v>0</v>
      </c>
      <c r="L888">
        <v>61</v>
      </c>
      <c r="M888">
        <v>0</v>
      </c>
      <c r="N888">
        <v>281</v>
      </c>
      <c r="O888" s="3">
        <f t="shared" si="44"/>
        <v>0</v>
      </c>
      <c r="P888">
        <f t="shared" si="41"/>
        <v>0</v>
      </c>
      <c r="Q888">
        <f t="shared" si="42"/>
        <v>0</v>
      </c>
    </row>
    <row r="889" spans="1:17" x14ac:dyDescent="0.2">
      <c r="A889" t="s">
        <v>58</v>
      </c>
      <c r="B889" t="s">
        <v>892</v>
      </c>
      <c r="C889">
        <v>5</v>
      </c>
      <c r="D889" s="2">
        <v>0</v>
      </c>
      <c r="E889">
        <v>0</v>
      </c>
      <c r="F889">
        <v>0</v>
      </c>
      <c r="G889">
        <v>0</v>
      </c>
      <c r="H889">
        <v>0</v>
      </c>
      <c r="I889">
        <v>25</v>
      </c>
      <c r="J889">
        <v>2</v>
      </c>
      <c r="K889">
        <v>0</v>
      </c>
      <c r="L889">
        <v>0</v>
      </c>
      <c r="M889">
        <v>0</v>
      </c>
      <c r="N889">
        <v>5</v>
      </c>
      <c r="O889" s="3">
        <f t="shared" si="44"/>
        <v>0</v>
      </c>
      <c r="P889">
        <f t="shared" si="41"/>
        <v>0</v>
      </c>
      <c r="Q889">
        <f t="shared" si="42"/>
        <v>0</v>
      </c>
    </row>
    <row r="890" spans="1:17" x14ac:dyDescent="0.2">
      <c r="A890" t="s">
        <v>58</v>
      </c>
      <c r="B890" t="s">
        <v>893</v>
      </c>
      <c r="C890">
        <v>0</v>
      </c>
      <c r="D890" s="2">
        <v>0</v>
      </c>
      <c r="E890">
        <v>0</v>
      </c>
      <c r="F890">
        <v>0</v>
      </c>
      <c r="G890">
        <v>0</v>
      </c>
      <c r="H890">
        <v>0</v>
      </c>
      <c r="I890">
        <v>15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f t="shared" si="41"/>
        <v>0</v>
      </c>
      <c r="Q890">
        <f t="shared" si="42"/>
        <v>0</v>
      </c>
    </row>
    <row r="891" spans="1:17" x14ac:dyDescent="0.2">
      <c r="A891" t="s">
        <v>58</v>
      </c>
      <c r="B891" t="s">
        <v>894</v>
      </c>
      <c r="C891">
        <v>0</v>
      </c>
      <c r="D891" s="2">
        <v>0</v>
      </c>
      <c r="E891">
        <v>0</v>
      </c>
      <c r="F891">
        <v>0</v>
      </c>
      <c r="G891">
        <v>0</v>
      </c>
      <c r="H891">
        <v>0</v>
      </c>
      <c r="I891">
        <v>10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f t="shared" si="41"/>
        <v>0</v>
      </c>
      <c r="Q891">
        <f t="shared" si="42"/>
        <v>0</v>
      </c>
    </row>
    <row r="892" spans="1:17" x14ac:dyDescent="0.2">
      <c r="A892" t="s">
        <v>58</v>
      </c>
      <c r="B892" t="s">
        <v>895</v>
      </c>
      <c r="C892">
        <v>400</v>
      </c>
      <c r="D892" s="2">
        <v>0</v>
      </c>
      <c r="E892">
        <v>0</v>
      </c>
      <c r="F892">
        <v>0</v>
      </c>
      <c r="G892">
        <v>0</v>
      </c>
      <c r="H892">
        <v>0</v>
      </c>
      <c r="I892">
        <v>90</v>
      </c>
      <c r="J892">
        <v>109</v>
      </c>
      <c r="K892">
        <v>0</v>
      </c>
      <c r="L892">
        <v>109</v>
      </c>
      <c r="M892">
        <v>0</v>
      </c>
      <c r="N892">
        <v>509</v>
      </c>
      <c r="O892" s="3">
        <f>M892/C892*100</f>
        <v>0</v>
      </c>
      <c r="P892">
        <f t="shared" si="41"/>
        <v>0</v>
      </c>
      <c r="Q892">
        <f t="shared" si="42"/>
        <v>0</v>
      </c>
    </row>
    <row r="893" spans="1:17" x14ac:dyDescent="0.2">
      <c r="A893" t="s">
        <v>58</v>
      </c>
      <c r="B893" t="s">
        <v>896</v>
      </c>
      <c r="C893">
        <v>320</v>
      </c>
      <c r="D893" s="2">
        <v>0</v>
      </c>
      <c r="E893">
        <v>0</v>
      </c>
      <c r="F893">
        <v>0</v>
      </c>
      <c r="G893">
        <v>0</v>
      </c>
      <c r="H893">
        <v>0</v>
      </c>
      <c r="I893">
        <v>70</v>
      </c>
      <c r="J893">
        <v>87</v>
      </c>
      <c r="K893">
        <v>0</v>
      </c>
      <c r="L893">
        <v>87</v>
      </c>
      <c r="M893">
        <v>0</v>
      </c>
      <c r="N893">
        <v>407</v>
      </c>
      <c r="O893" s="3">
        <f>M893/C893*100</f>
        <v>0</v>
      </c>
      <c r="P893">
        <f t="shared" si="41"/>
        <v>0</v>
      </c>
      <c r="Q893">
        <f t="shared" si="42"/>
        <v>0</v>
      </c>
    </row>
    <row r="894" spans="1:17" x14ac:dyDescent="0.2">
      <c r="A894" t="s">
        <v>58</v>
      </c>
      <c r="B894" t="s">
        <v>897</v>
      </c>
      <c r="C894">
        <v>200</v>
      </c>
      <c r="D894" s="2">
        <v>0</v>
      </c>
      <c r="E894">
        <v>0</v>
      </c>
      <c r="F894">
        <v>0</v>
      </c>
      <c r="G894">
        <v>0</v>
      </c>
      <c r="H894">
        <v>0</v>
      </c>
      <c r="I894">
        <v>45</v>
      </c>
      <c r="J894">
        <v>54</v>
      </c>
      <c r="K894">
        <v>0</v>
      </c>
      <c r="L894">
        <v>54</v>
      </c>
      <c r="M894">
        <v>0</v>
      </c>
      <c r="N894">
        <v>254</v>
      </c>
      <c r="O894" s="3">
        <f>M894/C894*100</f>
        <v>0</v>
      </c>
      <c r="P894">
        <f t="shared" si="41"/>
        <v>0</v>
      </c>
      <c r="Q894">
        <f t="shared" si="42"/>
        <v>0</v>
      </c>
    </row>
    <row r="895" spans="1:17" x14ac:dyDescent="0.2">
      <c r="A895" t="s">
        <v>58</v>
      </c>
      <c r="B895" t="s">
        <v>898</v>
      </c>
      <c r="C895">
        <v>0</v>
      </c>
      <c r="D895" s="2">
        <v>0</v>
      </c>
      <c r="E895">
        <v>0</v>
      </c>
      <c r="F895">
        <v>0</v>
      </c>
      <c r="G895">
        <v>0</v>
      </c>
      <c r="H895">
        <v>0</v>
      </c>
      <c r="I895">
        <v>100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f t="shared" si="41"/>
        <v>0</v>
      </c>
      <c r="Q895">
        <f t="shared" si="42"/>
        <v>0</v>
      </c>
    </row>
    <row r="896" spans="1:17" x14ac:dyDescent="0.2">
      <c r="A896" t="s">
        <v>58</v>
      </c>
      <c r="B896" t="s">
        <v>899</v>
      </c>
      <c r="C896">
        <v>0</v>
      </c>
      <c r="D896" s="2">
        <v>0</v>
      </c>
      <c r="E896">
        <v>0</v>
      </c>
      <c r="F896">
        <v>0</v>
      </c>
      <c r="G896">
        <v>0</v>
      </c>
      <c r="H896">
        <v>0</v>
      </c>
      <c r="I896">
        <v>80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f t="shared" si="41"/>
        <v>0</v>
      </c>
      <c r="Q896">
        <f t="shared" si="42"/>
        <v>0</v>
      </c>
    </row>
    <row r="897" spans="1:17" x14ac:dyDescent="0.2">
      <c r="A897" t="s">
        <v>58</v>
      </c>
      <c r="B897" t="s">
        <v>900</v>
      </c>
      <c r="C897">
        <v>0</v>
      </c>
      <c r="D897" s="2">
        <v>0</v>
      </c>
      <c r="E897">
        <v>0</v>
      </c>
      <c r="F897">
        <v>0</v>
      </c>
      <c r="G897">
        <v>0</v>
      </c>
      <c r="H897">
        <v>0</v>
      </c>
      <c r="I897">
        <v>50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f t="shared" si="41"/>
        <v>0</v>
      </c>
      <c r="Q897">
        <f t="shared" si="42"/>
        <v>0</v>
      </c>
    </row>
    <row r="898" spans="1:17" x14ac:dyDescent="0.2">
      <c r="A898" t="s">
        <v>58</v>
      </c>
      <c r="B898" t="s">
        <v>901</v>
      </c>
      <c r="C898">
        <v>0</v>
      </c>
      <c r="D898" s="2">
        <v>0</v>
      </c>
      <c r="E898">
        <v>0</v>
      </c>
      <c r="F898">
        <v>0</v>
      </c>
      <c r="G898">
        <v>0</v>
      </c>
      <c r="H898">
        <v>0</v>
      </c>
      <c r="I898">
        <v>125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f t="shared" ref="P898:P961" si="45">IF(I898&gt;2300*0.2,1,0)</f>
        <v>0</v>
      </c>
      <c r="Q898">
        <f t="shared" ref="Q898:Q961" si="46">IF(H898&gt;300,1,0)</f>
        <v>0</v>
      </c>
    </row>
    <row r="899" spans="1:17" x14ac:dyDescent="0.2">
      <c r="A899" t="s">
        <v>58</v>
      </c>
      <c r="B899" t="s">
        <v>902</v>
      </c>
      <c r="C899">
        <v>0</v>
      </c>
      <c r="D899" s="2">
        <v>0</v>
      </c>
      <c r="E899">
        <v>0</v>
      </c>
      <c r="F899">
        <v>0</v>
      </c>
      <c r="G899">
        <v>0</v>
      </c>
      <c r="H899">
        <v>0</v>
      </c>
      <c r="I899">
        <v>100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f t="shared" si="45"/>
        <v>0</v>
      </c>
      <c r="Q899">
        <f t="shared" si="46"/>
        <v>0</v>
      </c>
    </row>
    <row r="900" spans="1:17" x14ac:dyDescent="0.2">
      <c r="A900" t="s">
        <v>58</v>
      </c>
      <c r="B900" t="s">
        <v>903</v>
      </c>
      <c r="C900">
        <v>0</v>
      </c>
      <c r="D900" s="2">
        <v>0</v>
      </c>
      <c r="E900">
        <v>0</v>
      </c>
      <c r="F900">
        <v>0</v>
      </c>
      <c r="G900">
        <v>0</v>
      </c>
      <c r="H900">
        <v>0</v>
      </c>
      <c r="I900">
        <v>45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f t="shared" si="45"/>
        <v>0</v>
      </c>
      <c r="Q900">
        <f t="shared" si="46"/>
        <v>0</v>
      </c>
    </row>
    <row r="901" spans="1:17" x14ac:dyDescent="0.2">
      <c r="A901" t="s">
        <v>58</v>
      </c>
      <c r="B901" t="s">
        <v>904</v>
      </c>
      <c r="C901">
        <v>240</v>
      </c>
      <c r="D901" s="2">
        <v>0</v>
      </c>
      <c r="E901">
        <v>0</v>
      </c>
      <c r="F901">
        <v>0</v>
      </c>
      <c r="G901">
        <v>0</v>
      </c>
      <c r="H901">
        <v>0</v>
      </c>
      <c r="I901">
        <v>70</v>
      </c>
      <c r="J901">
        <v>66</v>
      </c>
      <c r="K901">
        <v>0</v>
      </c>
      <c r="L901">
        <v>64</v>
      </c>
      <c r="M901">
        <v>0</v>
      </c>
      <c r="N901">
        <v>304</v>
      </c>
      <c r="O901" s="3">
        <f t="shared" ref="O901:O912" si="47">M901/C901*100</f>
        <v>0</v>
      </c>
      <c r="P901">
        <f t="shared" si="45"/>
        <v>0</v>
      </c>
      <c r="Q901">
        <f t="shared" si="46"/>
        <v>0</v>
      </c>
    </row>
    <row r="902" spans="1:17" x14ac:dyDescent="0.2">
      <c r="A902" t="s">
        <v>58</v>
      </c>
      <c r="B902" t="s">
        <v>905</v>
      </c>
      <c r="C902">
        <v>190</v>
      </c>
      <c r="D902" s="2">
        <v>0</v>
      </c>
      <c r="E902">
        <v>0</v>
      </c>
      <c r="F902">
        <v>0</v>
      </c>
      <c r="G902">
        <v>0</v>
      </c>
      <c r="H902">
        <v>0</v>
      </c>
      <c r="I902">
        <v>55</v>
      </c>
      <c r="J902">
        <v>53</v>
      </c>
      <c r="K902">
        <v>0</v>
      </c>
      <c r="L902">
        <v>51</v>
      </c>
      <c r="M902">
        <v>0</v>
      </c>
      <c r="N902">
        <v>241</v>
      </c>
      <c r="O902" s="3">
        <f t="shared" si="47"/>
        <v>0</v>
      </c>
      <c r="P902">
        <f t="shared" si="45"/>
        <v>0</v>
      </c>
      <c r="Q902">
        <f t="shared" si="46"/>
        <v>0</v>
      </c>
    </row>
    <row r="903" spans="1:17" x14ac:dyDescent="0.2">
      <c r="A903" t="s">
        <v>58</v>
      </c>
      <c r="B903" t="s">
        <v>906</v>
      </c>
      <c r="C903">
        <v>120</v>
      </c>
      <c r="D903" s="2">
        <v>0</v>
      </c>
      <c r="E903">
        <v>0</v>
      </c>
      <c r="F903">
        <v>0</v>
      </c>
      <c r="G903">
        <v>0</v>
      </c>
      <c r="H903">
        <v>0</v>
      </c>
      <c r="I903">
        <v>35</v>
      </c>
      <c r="J903">
        <v>33</v>
      </c>
      <c r="K903">
        <v>0</v>
      </c>
      <c r="L903">
        <v>32</v>
      </c>
      <c r="M903">
        <v>0</v>
      </c>
      <c r="N903">
        <v>152</v>
      </c>
      <c r="O903" s="3">
        <f t="shared" si="47"/>
        <v>0</v>
      </c>
      <c r="P903">
        <f t="shared" si="45"/>
        <v>0</v>
      </c>
      <c r="Q903">
        <f t="shared" si="46"/>
        <v>0</v>
      </c>
    </row>
    <row r="904" spans="1:17" x14ac:dyDescent="0.2">
      <c r="A904" t="s">
        <v>58</v>
      </c>
      <c r="B904" t="s">
        <v>907</v>
      </c>
      <c r="C904">
        <v>430</v>
      </c>
      <c r="D904" s="2">
        <v>0</v>
      </c>
      <c r="E904">
        <v>0</v>
      </c>
      <c r="F904">
        <v>0</v>
      </c>
      <c r="G904">
        <v>0</v>
      </c>
      <c r="H904">
        <v>0</v>
      </c>
      <c r="I904">
        <v>110</v>
      </c>
      <c r="J904">
        <v>117</v>
      </c>
      <c r="K904">
        <v>0</v>
      </c>
      <c r="L904">
        <v>115</v>
      </c>
      <c r="M904">
        <v>0</v>
      </c>
      <c r="N904">
        <v>545</v>
      </c>
      <c r="O904" s="3">
        <f t="shared" si="47"/>
        <v>0</v>
      </c>
      <c r="P904">
        <f t="shared" si="45"/>
        <v>0</v>
      </c>
      <c r="Q904">
        <f t="shared" si="46"/>
        <v>0</v>
      </c>
    </row>
    <row r="905" spans="1:17" x14ac:dyDescent="0.2">
      <c r="A905" t="s">
        <v>58</v>
      </c>
      <c r="B905" t="s">
        <v>908</v>
      </c>
      <c r="C905">
        <v>340</v>
      </c>
      <c r="D905" s="2">
        <v>0</v>
      </c>
      <c r="E905">
        <v>0</v>
      </c>
      <c r="F905">
        <v>0</v>
      </c>
      <c r="G905">
        <v>0</v>
      </c>
      <c r="H905">
        <v>0</v>
      </c>
      <c r="I905">
        <v>85</v>
      </c>
      <c r="J905">
        <v>94</v>
      </c>
      <c r="K905">
        <v>0</v>
      </c>
      <c r="L905">
        <v>92</v>
      </c>
      <c r="M905">
        <v>0</v>
      </c>
      <c r="N905">
        <v>432</v>
      </c>
      <c r="O905" s="3">
        <f t="shared" si="47"/>
        <v>0</v>
      </c>
      <c r="P905">
        <f t="shared" si="45"/>
        <v>0</v>
      </c>
      <c r="Q905">
        <f t="shared" si="46"/>
        <v>0</v>
      </c>
    </row>
    <row r="906" spans="1:17" x14ac:dyDescent="0.2">
      <c r="A906" t="s">
        <v>58</v>
      </c>
      <c r="B906" t="s">
        <v>909</v>
      </c>
      <c r="C906">
        <v>210</v>
      </c>
      <c r="D906" s="2">
        <v>0</v>
      </c>
      <c r="E906">
        <v>0</v>
      </c>
      <c r="F906">
        <v>0</v>
      </c>
      <c r="G906">
        <v>0</v>
      </c>
      <c r="H906">
        <v>0</v>
      </c>
      <c r="I906">
        <v>55</v>
      </c>
      <c r="J906">
        <v>59</v>
      </c>
      <c r="K906">
        <v>0</v>
      </c>
      <c r="L906">
        <v>58</v>
      </c>
      <c r="M906">
        <v>0</v>
      </c>
      <c r="N906">
        <v>268</v>
      </c>
      <c r="O906" s="3">
        <f t="shared" si="47"/>
        <v>0</v>
      </c>
      <c r="P906">
        <f t="shared" si="45"/>
        <v>0</v>
      </c>
      <c r="Q906">
        <f t="shared" si="46"/>
        <v>0</v>
      </c>
    </row>
    <row r="907" spans="1:17" x14ac:dyDescent="0.2">
      <c r="A907" t="s">
        <v>58</v>
      </c>
      <c r="B907" t="s">
        <v>910</v>
      </c>
      <c r="C907">
        <v>420</v>
      </c>
      <c r="D907" s="2">
        <v>0</v>
      </c>
      <c r="E907">
        <v>0</v>
      </c>
      <c r="F907">
        <v>0</v>
      </c>
      <c r="G907">
        <v>0</v>
      </c>
      <c r="H907">
        <v>0</v>
      </c>
      <c r="I907">
        <v>140</v>
      </c>
      <c r="J907">
        <v>115</v>
      </c>
      <c r="K907">
        <v>0</v>
      </c>
      <c r="L907">
        <v>113</v>
      </c>
      <c r="M907">
        <v>0</v>
      </c>
      <c r="N907">
        <v>533</v>
      </c>
      <c r="O907" s="3">
        <f t="shared" si="47"/>
        <v>0</v>
      </c>
      <c r="P907">
        <f t="shared" si="45"/>
        <v>0</v>
      </c>
      <c r="Q907">
        <f t="shared" si="46"/>
        <v>0</v>
      </c>
    </row>
    <row r="908" spans="1:17" x14ac:dyDescent="0.2">
      <c r="A908" t="s">
        <v>58</v>
      </c>
      <c r="B908" t="s">
        <v>911</v>
      </c>
      <c r="C908">
        <v>340</v>
      </c>
      <c r="D908" s="2">
        <v>0</v>
      </c>
      <c r="E908">
        <v>0</v>
      </c>
      <c r="F908">
        <v>0</v>
      </c>
      <c r="G908">
        <v>0</v>
      </c>
      <c r="H908">
        <v>0</v>
      </c>
      <c r="I908">
        <v>115</v>
      </c>
      <c r="J908">
        <v>92</v>
      </c>
      <c r="K908">
        <v>0</v>
      </c>
      <c r="L908">
        <v>90</v>
      </c>
      <c r="M908">
        <v>0</v>
      </c>
      <c r="N908">
        <v>430</v>
      </c>
      <c r="O908" s="3">
        <f t="shared" si="47"/>
        <v>0</v>
      </c>
      <c r="P908">
        <f t="shared" si="45"/>
        <v>0</v>
      </c>
      <c r="Q908">
        <f t="shared" si="46"/>
        <v>0</v>
      </c>
    </row>
    <row r="909" spans="1:17" x14ac:dyDescent="0.2">
      <c r="A909" t="s">
        <v>58</v>
      </c>
      <c r="B909" t="s">
        <v>912</v>
      </c>
      <c r="C909">
        <v>210</v>
      </c>
      <c r="D909" s="2">
        <v>0</v>
      </c>
      <c r="E909">
        <v>0</v>
      </c>
      <c r="F909">
        <v>0</v>
      </c>
      <c r="G909">
        <v>0</v>
      </c>
      <c r="H909">
        <v>0</v>
      </c>
      <c r="I909">
        <v>70</v>
      </c>
      <c r="J909">
        <v>58</v>
      </c>
      <c r="K909">
        <v>0</v>
      </c>
      <c r="L909">
        <v>56</v>
      </c>
      <c r="M909">
        <v>0</v>
      </c>
      <c r="N909">
        <v>266</v>
      </c>
      <c r="O909" s="3">
        <f t="shared" si="47"/>
        <v>0</v>
      </c>
      <c r="P909">
        <f t="shared" si="45"/>
        <v>0</v>
      </c>
      <c r="Q909">
        <f t="shared" si="46"/>
        <v>0</v>
      </c>
    </row>
    <row r="910" spans="1:17" x14ac:dyDescent="0.2">
      <c r="A910" t="s">
        <v>58</v>
      </c>
      <c r="B910" t="s">
        <v>913</v>
      </c>
      <c r="C910">
        <v>110</v>
      </c>
      <c r="D910" s="2">
        <v>0</v>
      </c>
      <c r="E910">
        <v>0</v>
      </c>
      <c r="F910">
        <v>0</v>
      </c>
      <c r="G910">
        <v>0</v>
      </c>
      <c r="H910">
        <v>0</v>
      </c>
      <c r="I910">
        <v>55</v>
      </c>
      <c r="J910">
        <v>29</v>
      </c>
      <c r="K910">
        <v>0</v>
      </c>
      <c r="L910">
        <v>29</v>
      </c>
      <c r="M910">
        <v>0</v>
      </c>
      <c r="N910">
        <v>139</v>
      </c>
      <c r="O910" s="3">
        <f t="shared" si="47"/>
        <v>0</v>
      </c>
      <c r="P910">
        <f t="shared" si="45"/>
        <v>0</v>
      </c>
      <c r="Q910">
        <f t="shared" si="46"/>
        <v>0</v>
      </c>
    </row>
    <row r="911" spans="1:17" x14ac:dyDescent="0.2">
      <c r="A911" t="s">
        <v>58</v>
      </c>
      <c r="B911" t="s">
        <v>914</v>
      </c>
      <c r="C911">
        <v>90</v>
      </c>
      <c r="D911" s="2">
        <v>0</v>
      </c>
      <c r="E911">
        <v>0</v>
      </c>
      <c r="F911">
        <v>0</v>
      </c>
      <c r="G911">
        <v>0</v>
      </c>
      <c r="H911">
        <v>0</v>
      </c>
      <c r="I911">
        <v>40</v>
      </c>
      <c r="J911">
        <v>22</v>
      </c>
      <c r="K911">
        <v>0</v>
      </c>
      <c r="L911">
        <v>22</v>
      </c>
      <c r="M911">
        <v>0</v>
      </c>
      <c r="N911">
        <v>112</v>
      </c>
      <c r="O911" s="3">
        <f t="shared" si="47"/>
        <v>0</v>
      </c>
      <c r="P911">
        <f t="shared" si="45"/>
        <v>0</v>
      </c>
      <c r="Q911">
        <f t="shared" si="46"/>
        <v>0</v>
      </c>
    </row>
    <row r="912" spans="1:17" x14ac:dyDescent="0.2">
      <c r="A912" t="s">
        <v>58</v>
      </c>
      <c r="B912" t="s">
        <v>915</v>
      </c>
      <c r="C912">
        <v>60</v>
      </c>
      <c r="D912" s="2">
        <v>0</v>
      </c>
      <c r="E912">
        <v>0</v>
      </c>
      <c r="F912">
        <v>0</v>
      </c>
      <c r="G912">
        <v>0</v>
      </c>
      <c r="H912">
        <v>0</v>
      </c>
      <c r="I912">
        <v>25</v>
      </c>
      <c r="J912">
        <v>14</v>
      </c>
      <c r="K912">
        <v>0</v>
      </c>
      <c r="L912">
        <v>14</v>
      </c>
      <c r="M912">
        <v>0</v>
      </c>
      <c r="N912">
        <v>74</v>
      </c>
      <c r="O912" s="3">
        <f t="shared" si="47"/>
        <v>0</v>
      </c>
      <c r="P912">
        <f t="shared" si="45"/>
        <v>0</v>
      </c>
      <c r="Q912">
        <f t="shared" si="46"/>
        <v>0</v>
      </c>
    </row>
    <row r="913" spans="1:17" x14ac:dyDescent="0.2">
      <c r="A913" t="s">
        <v>58</v>
      </c>
      <c r="B913" t="s">
        <v>916</v>
      </c>
      <c r="C913">
        <v>0</v>
      </c>
      <c r="D913" s="2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f t="shared" si="45"/>
        <v>0</v>
      </c>
      <c r="Q913">
        <f t="shared" si="46"/>
        <v>0</v>
      </c>
    </row>
    <row r="914" spans="1:17" x14ac:dyDescent="0.2">
      <c r="A914" t="s">
        <v>58</v>
      </c>
      <c r="B914" t="s">
        <v>917</v>
      </c>
      <c r="C914">
        <v>460</v>
      </c>
      <c r="D914" s="2">
        <v>0</v>
      </c>
      <c r="E914">
        <v>0</v>
      </c>
      <c r="F914">
        <v>0</v>
      </c>
      <c r="G914">
        <v>0</v>
      </c>
      <c r="H914">
        <v>0</v>
      </c>
      <c r="I914">
        <v>55</v>
      </c>
      <c r="J914">
        <v>117</v>
      </c>
      <c r="K914">
        <v>0</v>
      </c>
      <c r="L914">
        <v>111</v>
      </c>
      <c r="M914">
        <v>0</v>
      </c>
      <c r="N914">
        <v>571</v>
      </c>
      <c r="O914" s="3">
        <f t="shared" ref="O914:O961" si="48">M914/C914*100</f>
        <v>0</v>
      </c>
      <c r="P914">
        <f t="shared" si="45"/>
        <v>0</v>
      </c>
      <c r="Q914">
        <f t="shared" si="46"/>
        <v>0</v>
      </c>
    </row>
    <row r="915" spans="1:17" x14ac:dyDescent="0.2">
      <c r="A915" t="s">
        <v>58</v>
      </c>
      <c r="B915" t="s">
        <v>918</v>
      </c>
      <c r="C915">
        <v>380</v>
      </c>
      <c r="D915" s="2">
        <v>0</v>
      </c>
      <c r="E915">
        <v>0</v>
      </c>
      <c r="F915">
        <v>0</v>
      </c>
      <c r="G915">
        <v>0</v>
      </c>
      <c r="H915">
        <v>0</v>
      </c>
      <c r="I915">
        <v>45</v>
      </c>
      <c r="J915">
        <v>98</v>
      </c>
      <c r="K915">
        <v>0</v>
      </c>
      <c r="L915">
        <v>93</v>
      </c>
      <c r="M915">
        <v>0</v>
      </c>
      <c r="N915">
        <v>473</v>
      </c>
      <c r="O915" s="3">
        <f t="shared" si="48"/>
        <v>0</v>
      </c>
      <c r="P915">
        <f t="shared" si="45"/>
        <v>0</v>
      </c>
      <c r="Q915">
        <f t="shared" si="46"/>
        <v>0</v>
      </c>
    </row>
    <row r="916" spans="1:17" x14ac:dyDescent="0.2">
      <c r="A916" t="s">
        <v>58</v>
      </c>
      <c r="B916" t="s">
        <v>919</v>
      </c>
      <c r="C916">
        <v>230</v>
      </c>
      <c r="D916" s="2">
        <v>0</v>
      </c>
      <c r="E916">
        <v>0</v>
      </c>
      <c r="F916">
        <v>0</v>
      </c>
      <c r="G916">
        <v>0</v>
      </c>
      <c r="H916">
        <v>0</v>
      </c>
      <c r="I916">
        <v>30</v>
      </c>
      <c r="J916">
        <v>59</v>
      </c>
      <c r="K916">
        <v>0</v>
      </c>
      <c r="L916">
        <v>56</v>
      </c>
      <c r="M916">
        <v>0</v>
      </c>
      <c r="N916">
        <v>286</v>
      </c>
      <c r="O916" s="3">
        <f t="shared" si="48"/>
        <v>0</v>
      </c>
      <c r="P916">
        <f t="shared" si="45"/>
        <v>0</v>
      </c>
      <c r="Q916">
        <f t="shared" si="46"/>
        <v>0</v>
      </c>
    </row>
    <row r="917" spans="1:17" x14ac:dyDescent="0.2">
      <c r="A917" t="s">
        <v>58</v>
      </c>
      <c r="B917" t="s">
        <v>920</v>
      </c>
      <c r="C917">
        <v>15</v>
      </c>
      <c r="D917" s="2">
        <v>0</v>
      </c>
      <c r="E917">
        <v>0</v>
      </c>
      <c r="F917">
        <v>0</v>
      </c>
      <c r="G917">
        <v>0</v>
      </c>
      <c r="H917">
        <v>0</v>
      </c>
      <c r="I917">
        <v>10</v>
      </c>
      <c r="J917">
        <v>2</v>
      </c>
      <c r="K917">
        <v>0</v>
      </c>
      <c r="L917">
        <v>0</v>
      </c>
      <c r="M917">
        <v>0</v>
      </c>
      <c r="N917">
        <v>15</v>
      </c>
      <c r="O917" s="3">
        <f t="shared" si="48"/>
        <v>0</v>
      </c>
      <c r="P917">
        <f t="shared" si="45"/>
        <v>0</v>
      </c>
      <c r="Q917">
        <f t="shared" si="46"/>
        <v>0</v>
      </c>
    </row>
    <row r="918" spans="1:17" x14ac:dyDescent="0.2">
      <c r="A918" t="s">
        <v>58</v>
      </c>
      <c r="B918" t="s">
        <v>921</v>
      </c>
      <c r="C918">
        <v>10</v>
      </c>
      <c r="D918" s="2">
        <v>0</v>
      </c>
      <c r="E918">
        <v>0</v>
      </c>
      <c r="F918">
        <v>0</v>
      </c>
      <c r="G918">
        <v>0</v>
      </c>
      <c r="H918">
        <v>0</v>
      </c>
      <c r="I918">
        <v>10</v>
      </c>
      <c r="J918">
        <v>1</v>
      </c>
      <c r="K918">
        <v>0</v>
      </c>
      <c r="L918">
        <v>0</v>
      </c>
      <c r="M918">
        <v>0</v>
      </c>
      <c r="N918">
        <v>10</v>
      </c>
      <c r="O918" s="3">
        <f t="shared" si="48"/>
        <v>0</v>
      </c>
      <c r="P918">
        <f t="shared" si="45"/>
        <v>0</v>
      </c>
      <c r="Q918">
        <f t="shared" si="46"/>
        <v>0</v>
      </c>
    </row>
    <row r="919" spans="1:17" x14ac:dyDescent="0.2">
      <c r="A919" t="s">
        <v>58</v>
      </c>
      <c r="B919" t="s">
        <v>922</v>
      </c>
      <c r="C919">
        <v>5</v>
      </c>
      <c r="D919" s="2">
        <v>0</v>
      </c>
      <c r="E919">
        <v>0</v>
      </c>
      <c r="F919">
        <v>0</v>
      </c>
      <c r="G919">
        <v>0</v>
      </c>
      <c r="H919">
        <v>0</v>
      </c>
      <c r="I919">
        <v>5</v>
      </c>
      <c r="J919">
        <v>1</v>
      </c>
      <c r="K919">
        <v>0</v>
      </c>
      <c r="L919">
        <v>0</v>
      </c>
      <c r="M919">
        <v>0</v>
      </c>
      <c r="N919">
        <v>5</v>
      </c>
      <c r="O919" s="3">
        <f t="shared" si="48"/>
        <v>0</v>
      </c>
      <c r="P919">
        <f t="shared" si="45"/>
        <v>0</v>
      </c>
      <c r="Q919">
        <f t="shared" si="46"/>
        <v>0</v>
      </c>
    </row>
    <row r="920" spans="1:17" x14ac:dyDescent="0.2">
      <c r="A920" t="s">
        <v>58</v>
      </c>
      <c r="B920" t="s">
        <v>923</v>
      </c>
      <c r="C920">
        <v>320</v>
      </c>
      <c r="D920" s="2">
        <v>0</v>
      </c>
      <c r="E920">
        <v>0</v>
      </c>
      <c r="F920">
        <v>0</v>
      </c>
      <c r="G920">
        <v>0</v>
      </c>
      <c r="H920">
        <v>0</v>
      </c>
      <c r="I920">
        <v>60</v>
      </c>
      <c r="J920">
        <v>82</v>
      </c>
      <c r="K920">
        <v>0</v>
      </c>
      <c r="L920">
        <v>76</v>
      </c>
      <c r="M920">
        <v>0</v>
      </c>
      <c r="N920">
        <v>396</v>
      </c>
      <c r="O920" s="3">
        <f t="shared" si="48"/>
        <v>0</v>
      </c>
      <c r="P920">
        <f t="shared" si="45"/>
        <v>0</v>
      </c>
      <c r="Q920">
        <f t="shared" si="46"/>
        <v>0</v>
      </c>
    </row>
    <row r="921" spans="1:17" x14ac:dyDescent="0.2">
      <c r="A921" t="s">
        <v>58</v>
      </c>
      <c r="B921" t="s">
        <v>924</v>
      </c>
      <c r="C921">
        <v>300</v>
      </c>
      <c r="D921" s="2">
        <v>0</v>
      </c>
      <c r="E921">
        <v>0</v>
      </c>
      <c r="F921">
        <v>0</v>
      </c>
      <c r="G921">
        <v>0</v>
      </c>
      <c r="H921">
        <v>0</v>
      </c>
      <c r="I921">
        <v>50</v>
      </c>
      <c r="J921">
        <v>76</v>
      </c>
      <c r="K921">
        <v>0</v>
      </c>
      <c r="L921">
        <v>70</v>
      </c>
      <c r="M921">
        <v>0</v>
      </c>
      <c r="N921">
        <v>370</v>
      </c>
      <c r="O921" s="3">
        <f t="shared" si="48"/>
        <v>0</v>
      </c>
      <c r="P921">
        <f t="shared" si="45"/>
        <v>0</v>
      </c>
      <c r="Q921">
        <f t="shared" si="46"/>
        <v>0</v>
      </c>
    </row>
    <row r="922" spans="1:17" x14ac:dyDescent="0.2">
      <c r="A922" t="s">
        <v>58</v>
      </c>
      <c r="B922" t="s">
        <v>925</v>
      </c>
      <c r="C922">
        <v>170</v>
      </c>
      <c r="D922" s="2">
        <v>0</v>
      </c>
      <c r="E922">
        <v>0</v>
      </c>
      <c r="F922">
        <v>0</v>
      </c>
      <c r="G922">
        <v>0</v>
      </c>
      <c r="H922">
        <v>0</v>
      </c>
      <c r="I922">
        <v>30</v>
      </c>
      <c r="J922">
        <v>44</v>
      </c>
      <c r="K922">
        <v>0</v>
      </c>
      <c r="L922">
        <v>40</v>
      </c>
      <c r="M922">
        <v>0</v>
      </c>
      <c r="N922">
        <v>210</v>
      </c>
      <c r="O922" s="3">
        <f t="shared" si="48"/>
        <v>0</v>
      </c>
      <c r="P922">
        <f t="shared" si="45"/>
        <v>0</v>
      </c>
      <c r="Q922">
        <f t="shared" si="46"/>
        <v>0</v>
      </c>
    </row>
    <row r="923" spans="1:17" x14ac:dyDescent="0.2">
      <c r="A923" t="s">
        <v>58</v>
      </c>
      <c r="B923" t="s">
        <v>926</v>
      </c>
      <c r="C923">
        <v>200</v>
      </c>
      <c r="D923" s="2">
        <v>0</v>
      </c>
      <c r="E923">
        <v>0</v>
      </c>
      <c r="F923">
        <v>0</v>
      </c>
      <c r="G923">
        <v>0</v>
      </c>
      <c r="H923">
        <v>0</v>
      </c>
      <c r="I923">
        <v>90</v>
      </c>
      <c r="J923">
        <v>53</v>
      </c>
      <c r="K923">
        <v>0</v>
      </c>
      <c r="L923">
        <v>53</v>
      </c>
      <c r="M923">
        <v>0</v>
      </c>
      <c r="N923">
        <v>253</v>
      </c>
      <c r="O923" s="3">
        <f t="shared" si="48"/>
        <v>0</v>
      </c>
      <c r="P923">
        <f t="shared" si="45"/>
        <v>0</v>
      </c>
      <c r="Q923">
        <f t="shared" si="46"/>
        <v>0</v>
      </c>
    </row>
    <row r="924" spans="1:17" x14ac:dyDescent="0.2">
      <c r="A924" t="s">
        <v>58</v>
      </c>
      <c r="B924" t="s">
        <v>927</v>
      </c>
      <c r="C924">
        <v>390</v>
      </c>
      <c r="D924" s="2">
        <v>0</v>
      </c>
      <c r="E924">
        <v>0</v>
      </c>
      <c r="F924">
        <v>0</v>
      </c>
      <c r="G924">
        <v>0</v>
      </c>
      <c r="H924">
        <v>0</v>
      </c>
      <c r="I924">
        <v>180</v>
      </c>
      <c r="J924">
        <v>105</v>
      </c>
      <c r="K924">
        <v>0</v>
      </c>
      <c r="L924">
        <v>105</v>
      </c>
      <c r="M924">
        <v>0</v>
      </c>
      <c r="N924">
        <v>495</v>
      </c>
      <c r="O924" s="3">
        <f t="shared" si="48"/>
        <v>0</v>
      </c>
      <c r="P924">
        <f t="shared" si="45"/>
        <v>0</v>
      </c>
      <c r="Q924">
        <f t="shared" si="46"/>
        <v>0</v>
      </c>
    </row>
    <row r="925" spans="1:17" x14ac:dyDescent="0.2">
      <c r="A925" t="s">
        <v>58</v>
      </c>
      <c r="B925" t="s">
        <v>928</v>
      </c>
      <c r="C925">
        <v>310</v>
      </c>
      <c r="D925" s="2">
        <v>0</v>
      </c>
      <c r="E925">
        <v>0</v>
      </c>
      <c r="F925">
        <v>0</v>
      </c>
      <c r="G925">
        <v>0</v>
      </c>
      <c r="H925">
        <v>0</v>
      </c>
      <c r="I925">
        <v>140</v>
      </c>
      <c r="J925">
        <v>84</v>
      </c>
      <c r="K925">
        <v>0</v>
      </c>
      <c r="L925">
        <v>84</v>
      </c>
      <c r="M925">
        <v>0</v>
      </c>
      <c r="N925">
        <v>394</v>
      </c>
      <c r="O925" s="3">
        <f t="shared" si="48"/>
        <v>0</v>
      </c>
      <c r="P925">
        <f t="shared" si="45"/>
        <v>0</v>
      </c>
      <c r="Q925">
        <f t="shared" si="46"/>
        <v>0</v>
      </c>
    </row>
    <row r="926" spans="1:17" x14ac:dyDescent="0.2">
      <c r="A926" t="s">
        <v>58</v>
      </c>
      <c r="B926" t="s">
        <v>929</v>
      </c>
      <c r="C926">
        <v>480</v>
      </c>
      <c r="D926" s="2">
        <v>0</v>
      </c>
      <c r="E926">
        <v>0</v>
      </c>
      <c r="F926">
        <v>0</v>
      </c>
      <c r="G926">
        <v>0</v>
      </c>
      <c r="H926">
        <v>0</v>
      </c>
      <c r="I926">
        <v>55</v>
      </c>
      <c r="J926">
        <v>121</v>
      </c>
      <c r="K926">
        <v>0</v>
      </c>
      <c r="L926">
        <v>114</v>
      </c>
      <c r="M926">
        <v>0</v>
      </c>
      <c r="N926">
        <v>594</v>
      </c>
      <c r="O926" s="3">
        <f t="shared" si="48"/>
        <v>0</v>
      </c>
      <c r="P926">
        <f t="shared" si="45"/>
        <v>0</v>
      </c>
      <c r="Q926">
        <f t="shared" si="46"/>
        <v>0</v>
      </c>
    </row>
    <row r="927" spans="1:17" x14ac:dyDescent="0.2">
      <c r="A927" t="s">
        <v>58</v>
      </c>
      <c r="B927" t="s">
        <v>930</v>
      </c>
      <c r="C927">
        <v>380</v>
      </c>
      <c r="D927" s="2">
        <v>0</v>
      </c>
      <c r="E927">
        <v>0</v>
      </c>
      <c r="F927">
        <v>0</v>
      </c>
      <c r="G927">
        <v>0</v>
      </c>
      <c r="H927">
        <v>0</v>
      </c>
      <c r="I927">
        <v>45</v>
      </c>
      <c r="J927">
        <v>98</v>
      </c>
      <c r="K927">
        <v>0</v>
      </c>
      <c r="L927">
        <v>92</v>
      </c>
      <c r="M927">
        <v>0</v>
      </c>
      <c r="N927">
        <v>472</v>
      </c>
      <c r="O927" s="3">
        <f t="shared" si="48"/>
        <v>0</v>
      </c>
      <c r="P927">
        <f t="shared" si="45"/>
        <v>0</v>
      </c>
      <c r="Q927">
        <f t="shared" si="46"/>
        <v>0</v>
      </c>
    </row>
    <row r="928" spans="1:17" x14ac:dyDescent="0.2">
      <c r="A928" t="s">
        <v>58</v>
      </c>
      <c r="B928" t="s">
        <v>931</v>
      </c>
      <c r="C928">
        <v>230</v>
      </c>
      <c r="D928" s="2">
        <v>0</v>
      </c>
      <c r="E928">
        <v>0</v>
      </c>
      <c r="F928">
        <v>0</v>
      </c>
      <c r="G928">
        <v>0</v>
      </c>
      <c r="H928">
        <v>0</v>
      </c>
      <c r="I928">
        <v>30</v>
      </c>
      <c r="J928">
        <v>58</v>
      </c>
      <c r="K928">
        <v>0</v>
      </c>
      <c r="L928">
        <v>54</v>
      </c>
      <c r="M928">
        <v>0</v>
      </c>
      <c r="N928">
        <v>284</v>
      </c>
      <c r="O928" s="3">
        <f t="shared" si="48"/>
        <v>0</v>
      </c>
      <c r="P928">
        <f t="shared" si="45"/>
        <v>0</v>
      </c>
      <c r="Q928">
        <f t="shared" si="46"/>
        <v>0</v>
      </c>
    </row>
    <row r="929" spans="1:17" x14ac:dyDescent="0.2">
      <c r="A929" t="s">
        <v>58</v>
      </c>
      <c r="B929" t="s">
        <v>932</v>
      </c>
      <c r="C929">
        <v>270</v>
      </c>
      <c r="D929" s="2">
        <v>0</v>
      </c>
      <c r="E929">
        <v>0</v>
      </c>
      <c r="F929">
        <v>0</v>
      </c>
      <c r="G929">
        <v>0</v>
      </c>
      <c r="H929">
        <v>0</v>
      </c>
      <c r="I929">
        <v>15</v>
      </c>
      <c r="J929">
        <v>69</v>
      </c>
      <c r="K929">
        <v>0</v>
      </c>
      <c r="L929">
        <v>67</v>
      </c>
      <c r="M929">
        <v>0</v>
      </c>
      <c r="N929">
        <v>337</v>
      </c>
      <c r="O929" s="3">
        <f t="shared" si="48"/>
        <v>0</v>
      </c>
      <c r="P929">
        <f t="shared" si="45"/>
        <v>0</v>
      </c>
      <c r="Q929">
        <f t="shared" si="46"/>
        <v>0</v>
      </c>
    </row>
    <row r="930" spans="1:17" x14ac:dyDescent="0.2">
      <c r="A930" t="s">
        <v>58</v>
      </c>
      <c r="B930" t="s">
        <v>933</v>
      </c>
      <c r="C930">
        <v>240</v>
      </c>
      <c r="D930" s="2">
        <v>0</v>
      </c>
      <c r="E930">
        <v>0</v>
      </c>
      <c r="F930">
        <v>0</v>
      </c>
      <c r="G930">
        <v>0</v>
      </c>
      <c r="H930">
        <v>0</v>
      </c>
      <c r="I930">
        <v>15</v>
      </c>
      <c r="J930">
        <v>60</v>
      </c>
      <c r="K930">
        <v>0</v>
      </c>
      <c r="L930">
        <v>59</v>
      </c>
      <c r="M930">
        <v>0</v>
      </c>
      <c r="N930">
        <v>299</v>
      </c>
      <c r="O930" s="3">
        <f t="shared" si="48"/>
        <v>0</v>
      </c>
      <c r="P930">
        <f t="shared" si="45"/>
        <v>0</v>
      </c>
      <c r="Q930">
        <f t="shared" si="46"/>
        <v>0</v>
      </c>
    </row>
    <row r="931" spans="1:17" x14ac:dyDescent="0.2">
      <c r="A931" t="s">
        <v>58</v>
      </c>
      <c r="B931" t="s">
        <v>934</v>
      </c>
      <c r="C931">
        <v>140</v>
      </c>
      <c r="D931" s="2">
        <v>0</v>
      </c>
      <c r="E931">
        <v>0</v>
      </c>
      <c r="F931">
        <v>0</v>
      </c>
      <c r="G931">
        <v>0</v>
      </c>
      <c r="H931">
        <v>0</v>
      </c>
      <c r="I931">
        <v>10</v>
      </c>
      <c r="J931">
        <v>36</v>
      </c>
      <c r="K931">
        <v>0</v>
      </c>
      <c r="L931">
        <v>35</v>
      </c>
      <c r="M931">
        <v>0</v>
      </c>
      <c r="N931">
        <v>175</v>
      </c>
      <c r="O931" s="3">
        <f t="shared" si="48"/>
        <v>0</v>
      </c>
      <c r="P931">
        <f t="shared" si="45"/>
        <v>0</v>
      </c>
      <c r="Q931">
        <f t="shared" si="46"/>
        <v>0</v>
      </c>
    </row>
    <row r="932" spans="1:17" x14ac:dyDescent="0.2">
      <c r="A932" t="s">
        <v>58</v>
      </c>
      <c r="B932" t="s">
        <v>935</v>
      </c>
      <c r="C932">
        <v>90</v>
      </c>
      <c r="D932" s="2">
        <v>0</v>
      </c>
      <c r="E932">
        <v>0</v>
      </c>
      <c r="F932">
        <v>0</v>
      </c>
      <c r="G932">
        <v>0</v>
      </c>
      <c r="H932">
        <v>0</v>
      </c>
      <c r="I932">
        <v>20</v>
      </c>
      <c r="J932">
        <v>22</v>
      </c>
      <c r="K932">
        <v>0</v>
      </c>
      <c r="L932">
        <v>20</v>
      </c>
      <c r="M932">
        <v>0</v>
      </c>
      <c r="N932">
        <v>110</v>
      </c>
      <c r="O932" s="3">
        <f t="shared" si="48"/>
        <v>0</v>
      </c>
      <c r="P932">
        <f t="shared" si="45"/>
        <v>0</v>
      </c>
      <c r="Q932">
        <f t="shared" si="46"/>
        <v>0</v>
      </c>
    </row>
    <row r="933" spans="1:17" x14ac:dyDescent="0.2">
      <c r="A933" t="s">
        <v>58</v>
      </c>
      <c r="B933" t="s">
        <v>936</v>
      </c>
      <c r="C933">
        <v>60</v>
      </c>
      <c r="D933" s="2">
        <v>0</v>
      </c>
      <c r="E933">
        <v>0</v>
      </c>
      <c r="F933">
        <v>0</v>
      </c>
      <c r="G933">
        <v>0</v>
      </c>
      <c r="H933">
        <v>0</v>
      </c>
      <c r="I933">
        <v>15</v>
      </c>
      <c r="J933">
        <v>16</v>
      </c>
      <c r="K933">
        <v>0</v>
      </c>
      <c r="L933">
        <v>14</v>
      </c>
      <c r="M933">
        <v>0</v>
      </c>
      <c r="N933">
        <v>74</v>
      </c>
      <c r="O933" s="3">
        <f t="shared" si="48"/>
        <v>0</v>
      </c>
      <c r="P933">
        <f t="shared" si="45"/>
        <v>0</v>
      </c>
      <c r="Q933">
        <f t="shared" si="46"/>
        <v>0</v>
      </c>
    </row>
    <row r="934" spans="1:17" x14ac:dyDescent="0.2">
      <c r="A934" t="s">
        <v>58</v>
      </c>
      <c r="B934" t="s">
        <v>937</v>
      </c>
      <c r="C934">
        <v>45</v>
      </c>
      <c r="D934" s="2">
        <v>0</v>
      </c>
      <c r="E934">
        <v>0</v>
      </c>
      <c r="F934">
        <v>0</v>
      </c>
      <c r="G934">
        <v>0</v>
      </c>
      <c r="H934">
        <v>0</v>
      </c>
      <c r="I934">
        <v>10</v>
      </c>
      <c r="J934">
        <v>11</v>
      </c>
      <c r="K934">
        <v>0</v>
      </c>
      <c r="L934">
        <v>10</v>
      </c>
      <c r="M934">
        <v>0</v>
      </c>
      <c r="N934">
        <v>55</v>
      </c>
      <c r="O934" s="3">
        <f t="shared" si="48"/>
        <v>0</v>
      </c>
      <c r="P934">
        <f t="shared" si="45"/>
        <v>0</v>
      </c>
      <c r="Q934">
        <f t="shared" si="46"/>
        <v>0</v>
      </c>
    </row>
    <row r="935" spans="1:17" x14ac:dyDescent="0.2">
      <c r="A935" t="s">
        <v>58</v>
      </c>
      <c r="B935" t="s">
        <v>938</v>
      </c>
      <c r="C935">
        <v>300</v>
      </c>
      <c r="D935" s="2">
        <v>0</v>
      </c>
      <c r="E935">
        <v>0</v>
      </c>
      <c r="F935">
        <v>0</v>
      </c>
      <c r="G935">
        <v>0</v>
      </c>
      <c r="H935">
        <v>0</v>
      </c>
      <c r="I935">
        <v>25</v>
      </c>
      <c r="J935">
        <v>77</v>
      </c>
      <c r="K935">
        <v>0</v>
      </c>
      <c r="L935">
        <v>75</v>
      </c>
      <c r="M935">
        <v>0</v>
      </c>
      <c r="N935">
        <v>375</v>
      </c>
      <c r="O935" s="3">
        <f t="shared" si="48"/>
        <v>0</v>
      </c>
      <c r="P935">
        <f t="shared" si="45"/>
        <v>0</v>
      </c>
      <c r="Q935">
        <f t="shared" si="46"/>
        <v>0</v>
      </c>
    </row>
    <row r="936" spans="1:17" x14ac:dyDescent="0.2">
      <c r="A936" t="s">
        <v>58</v>
      </c>
      <c r="B936" t="s">
        <v>939</v>
      </c>
      <c r="C936">
        <v>220</v>
      </c>
      <c r="D936" s="2">
        <v>0</v>
      </c>
      <c r="E936">
        <v>0</v>
      </c>
      <c r="F936">
        <v>0</v>
      </c>
      <c r="G936">
        <v>0</v>
      </c>
      <c r="H936">
        <v>0</v>
      </c>
      <c r="I936">
        <v>20</v>
      </c>
      <c r="J936">
        <v>58</v>
      </c>
      <c r="K936">
        <v>0</v>
      </c>
      <c r="L936">
        <v>56</v>
      </c>
      <c r="M936">
        <v>0</v>
      </c>
      <c r="N936">
        <v>276</v>
      </c>
      <c r="O936" s="3">
        <f t="shared" si="48"/>
        <v>0</v>
      </c>
      <c r="P936">
        <f t="shared" si="45"/>
        <v>0</v>
      </c>
      <c r="Q936">
        <f t="shared" si="46"/>
        <v>0</v>
      </c>
    </row>
    <row r="937" spans="1:17" x14ac:dyDescent="0.2">
      <c r="A937" t="s">
        <v>58</v>
      </c>
      <c r="B937" t="s">
        <v>940</v>
      </c>
      <c r="C937">
        <v>160</v>
      </c>
      <c r="D937" s="2">
        <v>0</v>
      </c>
      <c r="E937">
        <v>0</v>
      </c>
      <c r="F937">
        <v>0</v>
      </c>
      <c r="G937">
        <v>0</v>
      </c>
      <c r="H937">
        <v>0</v>
      </c>
      <c r="I937">
        <v>10</v>
      </c>
      <c r="J937">
        <v>41</v>
      </c>
      <c r="K937">
        <v>0</v>
      </c>
      <c r="L937">
        <v>40</v>
      </c>
      <c r="M937">
        <v>0</v>
      </c>
      <c r="N937">
        <v>200</v>
      </c>
      <c r="O937" s="3">
        <f t="shared" si="48"/>
        <v>0</v>
      </c>
      <c r="P937">
        <f t="shared" si="45"/>
        <v>0</v>
      </c>
      <c r="Q937">
        <f t="shared" si="46"/>
        <v>0</v>
      </c>
    </row>
    <row r="938" spans="1:17" x14ac:dyDescent="0.2">
      <c r="A938" t="s">
        <v>21</v>
      </c>
      <c r="B938" t="s">
        <v>941</v>
      </c>
      <c r="C938">
        <v>160</v>
      </c>
      <c r="D938" s="2">
        <v>0</v>
      </c>
      <c r="E938">
        <v>17</v>
      </c>
      <c r="F938">
        <v>2</v>
      </c>
      <c r="G938">
        <v>0</v>
      </c>
      <c r="H938">
        <v>10</v>
      </c>
      <c r="I938">
        <v>220</v>
      </c>
      <c r="J938">
        <v>1</v>
      </c>
      <c r="K938">
        <v>0</v>
      </c>
      <c r="L938">
        <v>1</v>
      </c>
      <c r="M938">
        <v>0</v>
      </c>
      <c r="N938">
        <v>163</v>
      </c>
      <c r="O938" s="3">
        <f t="shared" si="48"/>
        <v>0</v>
      </c>
      <c r="P938">
        <f t="shared" si="45"/>
        <v>0</v>
      </c>
      <c r="Q938">
        <f t="shared" si="46"/>
        <v>0</v>
      </c>
    </row>
    <row r="939" spans="1:17" x14ac:dyDescent="0.2">
      <c r="A939" t="s">
        <v>21</v>
      </c>
      <c r="B939" t="s">
        <v>942</v>
      </c>
      <c r="C939">
        <v>15</v>
      </c>
      <c r="D939" s="2">
        <v>0</v>
      </c>
      <c r="E939">
        <v>0.5</v>
      </c>
      <c r="F939">
        <v>0</v>
      </c>
      <c r="G939">
        <v>0</v>
      </c>
      <c r="H939">
        <v>0</v>
      </c>
      <c r="I939">
        <v>510</v>
      </c>
      <c r="J939">
        <v>2</v>
      </c>
      <c r="K939">
        <v>0</v>
      </c>
      <c r="L939">
        <v>1</v>
      </c>
      <c r="M939">
        <v>0</v>
      </c>
      <c r="N939">
        <v>16</v>
      </c>
      <c r="O939" s="3">
        <f t="shared" si="48"/>
        <v>0</v>
      </c>
      <c r="P939">
        <f t="shared" si="45"/>
        <v>1</v>
      </c>
      <c r="Q939">
        <f t="shared" si="46"/>
        <v>0</v>
      </c>
    </row>
    <row r="940" spans="1:17" x14ac:dyDescent="0.2">
      <c r="A940" t="s">
        <v>21</v>
      </c>
      <c r="B940" t="s">
        <v>943</v>
      </c>
      <c r="C940">
        <v>45</v>
      </c>
      <c r="D940" s="2">
        <v>0</v>
      </c>
      <c r="E940">
        <v>0</v>
      </c>
      <c r="F940">
        <v>0</v>
      </c>
      <c r="G940">
        <v>0</v>
      </c>
      <c r="H940">
        <v>0</v>
      </c>
      <c r="I940">
        <v>150</v>
      </c>
      <c r="J940">
        <v>11</v>
      </c>
      <c r="K940">
        <v>0</v>
      </c>
      <c r="L940">
        <v>11</v>
      </c>
      <c r="M940">
        <v>0</v>
      </c>
      <c r="N940">
        <v>56</v>
      </c>
      <c r="O940" s="3">
        <f t="shared" si="48"/>
        <v>0</v>
      </c>
      <c r="P940">
        <f t="shared" si="45"/>
        <v>0</v>
      </c>
      <c r="Q940">
        <f t="shared" si="46"/>
        <v>0</v>
      </c>
    </row>
    <row r="941" spans="1:17" x14ac:dyDescent="0.2">
      <c r="A941" t="s">
        <v>21</v>
      </c>
      <c r="B941" t="s">
        <v>944</v>
      </c>
      <c r="C941">
        <v>35</v>
      </c>
      <c r="D941" s="2">
        <v>0</v>
      </c>
      <c r="E941">
        <v>4</v>
      </c>
      <c r="F941">
        <v>1.5</v>
      </c>
      <c r="G941">
        <v>0</v>
      </c>
      <c r="H941">
        <v>0</v>
      </c>
      <c r="I941">
        <v>35</v>
      </c>
      <c r="J941">
        <v>0</v>
      </c>
      <c r="K941">
        <v>0</v>
      </c>
      <c r="L941">
        <v>0</v>
      </c>
      <c r="M941">
        <v>0</v>
      </c>
      <c r="N941">
        <v>36.5</v>
      </c>
      <c r="O941" s="3">
        <f t="shared" si="48"/>
        <v>0</v>
      </c>
      <c r="P941">
        <f t="shared" si="45"/>
        <v>0</v>
      </c>
      <c r="Q941">
        <f t="shared" si="46"/>
        <v>0</v>
      </c>
    </row>
    <row r="942" spans="1:17" x14ac:dyDescent="0.2">
      <c r="A942" t="s">
        <v>21</v>
      </c>
      <c r="B942" t="s">
        <v>945</v>
      </c>
      <c r="C942">
        <v>35</v>
      </c>
      <c r="D942" s="2">
        <v>0</v>
      </c>
      <c r="E942">
        <v>0</v>
      </c>
      <c r="F942">
        <v>0</v>
      </c>
      <c r="G942">
        <v>0</v>
      </c>
      <c r="H942">
        <v>0</v>
      </c>
      <c r="I942">
        <v>10</v>
      </c>
      <c r="J942">
        <v>9</v>
      </c>
      <c r="K942">
        <v>0</v>
      </c>
      <c r="L942">
        <v>7</v>
      </c>
      <c r="M942">
        <v>0</v>
      </c>
      <c r="N942">
        <v>42</v>
      </c>
      <c r="O942" s="3">
        <f t="shared" si="48"/>
        <v>0</v>
      </c>
      <c r="P942">
        <f t="shared" si="45"/>
        <v>0</v>
      </c>
      <c r="Q942">
        <f t="shared" si="46"/>
        <v>0</v>
      </c>
    </row>
    <row r="943" spans="1:17" x14ac:dyDescent="0.2">
      <c r="A943" t="s">
        <v>21</v>
      </c>
      <c r="B943" t="s">
        <v>946</v>
      </c>
      <c r="C943">
        <v>110</v>
      </c>
      <c r="D943" s="2">
        <v>0</v>
      </c>
      <c r="E943">
        <v>9</v>
      </c>
      <c r="F943">
        <v>1.5</v>
      </c>
      <c r="G943">
        <v>0</v>
      </c>
      <c r="H943">
        <v>0</v>
      </c>
      <c r="I943">
        <v>120</v>
      </c>
      <c r="J943">
        <v>6</v>
      </c>
      <c r="K943">
        <v>0</v>
      </c>
      <c r="L943">
        <v>6</v>
      </c>
      <c r="M943">
        <v>0</v>
      </c>
      <c r="N943">
        <v>117.5</v>
      </c>
      <c r="O943" s="3">
        <f t="shared" si="48"/>
        <v>0</v>
      </c>
      <c r="P943">
        <f t="shared" si="45"/>
        <v>0</v>
      </c>
      <c r="Q943">
        <f t="shared" si="46"/>
        <v>0</v>
      </c>
    </row>
    <row r="944" spans="1:17" x14ac:dyDescent="0.2">
      <c r="A944" t="s">
        <v>21</v>
      </c>
      <c r="B944" t="s">
        <v>947</v>
      </c>
      <c r="C944">
        <v>30</v>
      </c>
      <c r="D944" s="2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8</v>
      </c>
      <c r="K944">
        <v>0</v>
      </c>
      <c r="L944">
        <v>5</v>
      </c>
      <c r="M944">
        <v>0</v>
      </c>
      <c r="N944">
        <v>35</v>
      </c>
      <c r="O944" s="3">
        <f t="shared" si="48"/>
        <v>0</v>
      </c>
      <c r="P944">
        <f t="shared" si="45"/>
        <v>0</v>
      </c>
      <c r="Q944">
        <f t="shared" si="46"/>
        <v>0</v>
      </c>
    </row>
    <row r="945" spans="1:17" x14ac:dyDescent="0.2">
      <c r="A945" t="s">
        <v>21</v>
      </c>
      <c r="B945" t="s">
        <v>948</v>
      </c>
      <c r="C945">
        <v>30</v>
      </c>
      <c r="D945" s="2">
        <v>0</v>
      </c>
      <c r="E945">
        <v>0</v>
      </c>
      <c r="F945">
        <v>0</v>
      </c>
      <c r="G945">
        <v>0</v>
      </c>
      <c r="H945">
        <v>0</v>
      </c>
      <c r="I945">
        <v>250</v>
      </c>
      <c r="J945">
        <v>8</v>
      </c>
      <c r="K945">
        <v>0</v>
      </c>
      <c r="L945">
        <v>6</v>
      </c>
      <c r="M945">
        <v>0</v>
      </c>
      <c r="N945">
        <v>36</v>
      </c>
      <c r="O945" s="3">
        <f t="shared" si="48"/>
        <v>0</v>
      </c>
      <c r="P945">
        <f t="shared" si="45"/>
        <v>0</v>
      </c>
      <c r="Q945">
        <f t="shared" si="46"/>
        <v>0</v>
      </c>
    </row>
    <row r="946" spans="1:17" x14ac:dyDescent="0.2">
      <c r="A946" t="s">
        <v>21</v>
      </c>
      <c r="B946" t="s">
        <v>949</v>
      </c>
      <c r="C946">
        <v>90</v>
      </c>
      <c r="D946" s="2">
        <v>0</v>
      </c>
      <c r="E946">
        <v>8</v>
      </c>
      <c r="F946">
        <v>1.5</v>
      </c>
      <c r="G946">
        <v>0</v>
      </c>
      <c r="H946">
        <v>10</v>
      </c>
      <c r="I946">
        <v>170</v>
      </c>
      <c r="J946">
        <v>5</v>
      </c>
      <c r="K946">
        <v>0</v>
      </c>
      <c r="L946">
        <v>5</v>
      </c>
      <c r="M946">
        <v>0</v>
      </c>
      <c r="N946">
        <v>96.5</v>
      </c>
      <c r="O946" s="3">
        <f t="shared" si="48"/>
        <v>0</v>
      </c>
      <c r="P946">
        <f t="shared" si="45"/>
        <v>0</v>
      </c>
      <c r="Q946">
        <f t="shared" si="46"/>
        <v>0</v>
      </c>
    </row>
    <row r="947" spans="1:17" x14ac:dyDescent="0.2">
      <c r="A947" t="s">
        <v>21</v>
      </c>
      <c r="B947" t="s">
        <v>950</v>
      </c>
      <c r="C947">
        <v>5</v>
      </c>
      <c r="D947" s="2">
        <v>0</v>
      </c>
      <c r="E947">
        <v>0</v>
      </c>
      <c r="F947">
        <v>0</v>
      </c>
      <c r="G947">
        <v>0</v>
      </c>
      <c r="H947">
        <v>0</v>
      </c>
      <c r="I947">
        <v>20</v>
      </c>
      <c r="J947">
        <v>1</v>
      </c>
      <c r="K947">
        <v>0</v>
      </c>
      <c r="L947">
        <v>0</v>
      </c>
      <c r="M947">
        <v>0</v>
      </c>
      <c r="N947">
        <v>5</v>
      </c>
      <c r="O947" s="3">
        <f t="shared" si="48"/>
        <v>0</v>
      </c>
      <c r="P947">
        <f t="shared" si="45"/>
        <v>0</v>
      </c>
      <c r="Q947">
        <f t="shared" si="46"/>
        <v>0</v>
      </c>
    </row>
    <row r="948" spans="1:17" x14ac:dyDescent="0.2">
      <c r="A948" t="s">
        <v>21</v>
      </c>
      <c r="B948" t="s">
        <v>951</v>
      </c>
      <c r="C948">
        <v>130</v>
      </c>
      <c r="D948" s="2">
        <v>0</v>
      </c>
      <c r="E948">
        <v>14</v>
      </c>
      <c r="F948">
        <v>2.5</v>
      </c>
      <c r="G948">
        <v>0</v>
      </c>
      <c r="H948">
        <v>10</v>
      </c>
      <c r="I948">
        <v>240</v>
      </c>
      <c r="J948">
        <v>2</v>
      </c>
      <c r="K948">
        <v>0</v>
      </c>
      <c r="L948">
        <v>1</v>
      </c>
      <c r="M948">
        <v>0</v>
      </c>
      <c r="N948">
        <v>133.5</v>
      </c>
      <c r="O948" s="3">
        <f t="shared" si="48"/>
        <v>0</v>
      </c>
      <c r="P948">
        <f t="shared" si="45"/>
        <v>0</v>
      </c>
      <c r="Q948">
        <f t="shared" si="46"/>
        <v>0</v>
      </c>
    </row>
    <row r="949" spans="1:17" x14ac:dyDescent="0.2">
      <c r="A949" t="s">
        <v>21</v>
      </c>
      <c r="B949" t="s">
        <v>952</v>
      </c>
      <c r="C949">
        <v>35</v>
      </c>
      <c r="D949" s="2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9</v>
      </c>
      <c r="K949">
        <v>0</v>
      </c>
      <c r="L949">
        <v>6</v>
      </c>
      <c r="M949">
        <v>0</v>
      </c>
      <c r="N949">
        <v>41</v>
      </c>
      <c r="O949" s="3">
        <f t="shared" si="48"/>
        <v>0</v>
      </c>
      <c r="P949">
        <f t="shared" si="45"/>
        <v>0</v>
      </c>
      <c r="Q949">
        <f t="shared" si="46"/>
        <v>0</v>
      </c>
    </row>
    <row r="950" spans="1:17" x14ac:dyDescent="0.2">
      <c r="A950" t="s">
        <v>21</v>
      </c>
      <c r="B950" t="s">
        <v>953</v>
      </c>
      <c r="C950">
        <v>80</v>
      </c>
      <c r="D950" s="2">
        <v>0</v>
      </c>
      <c r="E950">
        <v>0</v>
      </c>
      <c r="F950">
        <v>0</v>
      </c>
      <c r="G950">
        <v>0</v>
      </c>
      <c r="H950">
        <v>0</v>
      </c>
      <c r="I950">
        <v>25</v>
      </c>
      <c r="J950">
        <v>21</v>
      </c>
      <c r="K950">
        <v>0</v>
      </c>
      <c r="L950">
        <v>20</v>
      </c>
      <c r="M950">
        <v>0</v>
      </c>
      <c r="N950">
        <v>100</v>
      </c>
      <c r="O950" s="3">
        <f t="shared" si="48"/>
        <v>0</v>
      </c>
      <c r="P950">
        <f t="shared" si="45"/>
        <v>0</v>
      </c>
      <c r="Q950">
        <f t="shared" si="46"/>
        <v>0</v>
      </c>
    </row>
    <row r="951" spans="1:17" x14ac:dyDescent="0.2">
      <c r="A951" t="s">
        <v>21</v>
      </c>
      <c r="B951" t="s">
        <v>954</v>
      </c>
      <c r="C951">
        <v>45</v>
      </c>
      <c r="D951" s="2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12</v>
      </c>
      <c r="K951">
        <v>1</v>
      </c>
      <c r="L951">
        <v>8</v>
      </c>
      <c r="M951">
        <v>0</v>
      </c>
      <c r="N951">
        <v>53</v>
      </c>
      <c r="O951" s="3">
        <f t="shared" si="48"/>
        <v>0</v>
      </c>
      <c r="P951">
        <f t="shared" si="45"/>
        <v>0</v>
      </c>
      <c r="Q951">
        <f t="shared" si="46"/>
        <v>0</v>
      </c>
    </row>
    <row r="952" spans="1:17" x14ac:dyDescent="0.2">
      <c r="A952" t="s">
        <v>21</v>
      </c>
      <c r="B952" t="s">
        <v>955</v>
      </c>
      <c r="C952">
        <v>140</v>
      </c>
      <c r="D952" s="2">
        <v>0</v>
      </c>
      <c r="E952">
        <v>0</v>
      </c>
      <c r="F952">
        <v>0</v>
      </c>
      <c r="G952">
        <v>0</v>
      </c>
      <c r="H952">
        <v>0</v>
      </c>
      <c r="I952">
        <v>50</v>
      </c>
      <c r="J952">
        <v>35</v>
      </c>
      <c r="K952">
        <v>0</v>
      </c>
      <c r="L952">
        <v>35</v>
      </c>
      <c r="M952">
        <v>0</v>
      </c>
      <c r="N952">
        <v>175</v>
      </c>
      <c r="O952" s="3">
        <f t="shared" si="48"/>
        <v>0</v>
      </c>
      <c r="P952">
        <f t="shared" si="45"/>
        <v>0</v>
      </c>
      <c r="Q952">
        <f t="shared" si="46"/>
        <v>0</v>
      </c>
    </row>
    <row r="953" spans="1:17" x14ac:dyDescent="0.2">
      <c r="A953" t="s">
        <v>21</v>
      </c>
      <c r="B953" t="s">
        <v>956</v>
      </c>
      <c r="C953">
        <v>190</v>
      </c>
      <c r="D953" s="2">
        <v>0</v>
      </c>
      <c r="E953">
        <v>0</v>
      </c>
      <c r="F953">
        <v>0</v>
      </c>
      <c r="G953">
        <v>0</v>
      </c>
      <c r="H953">
        <v>0</v>
      </c>
      <c r="I953">
        <v>70</v>
      </c>
      <c r="J953">
        <v>46</v>
      </c>
      <c r="K953">
        <v>0</v>
      </c>
      <c r="L953">
        <v>46</v>
      </c>
      <c r="M953">
        <v>0</v>
      </c>
      <c r="N953">
        <v>236</v>
      </c>
      <c r="O953" s="3">
        <f t="shared" si="48"/>
        <v>0</v>
      </c>
      <c r="P953">
        <f t="shared" si="45"/>
        <v>0</v>
      </c>
      <c r="Q953">
        <f t="shared" si="46"/>
        <v>0</v>
      </c>
    </row>
    <row r="954" spans="1:17" x14ac:dyDescent="0.2">
      <c r="A954" t="s">
        <v>21</v>
      </c>
      <c r="B954" t="s">
        <v>957</v>
      </c>
      <c r="C954">
        <v>240</v>
      </c>
      <c r="D954" s="2">
        <v>0</v>
      </c>
      <c r="E954">
        <v>0</v>
      </c>
      <c r="F954">
        <v>0</v>
      </c>
      <c r="G954">
        <v>0</v>
      </c>
      <c r="H954">
        <v>0</v>
      </c>
      <c r="I954">
        <v>85</v>
      </c>
      <c r="J954">
        <v>58</v>
      </c>
      <c r="K954">
        <v>0</v>
      </c>
      <c r="L954">
        <v>58</v>
      </c>
      <c r="M954">
        <v>0</v>
      </c>
      <c r="N954">
        <v>298</v>
      </c>
      <c r="O954" s="3">
        <f t="shared" si="48"/>
        <v>0</v>
      </c>
      <c r="P954">
        <f t="shared" si="45"/>
        <v>0</v>
      </c>
      <c r="Q954">
        <f t="shared" si="46"/>
        <v>0</v>
      </c>
    </row>
    <row r="955" spans="1:17" x14ac:dyDescent="0.2">
      <c r="A955" t="s">
        <v>21</v>
      </c>
      <c r="B955" t="s">
        <v>958</v>
      </c>
      <c r="C955">
        <v>350</v>
      </c>
      <c r="D955" s="2">
        <v>0</v>
      </c>
      <c r="E955">
        <v>0</v>
      </c>
      <c r="F955">
        <v>0</v>
      </c>
      <c r="G955">
        <v>0</v>
      </c>
      <c r="H955">
        <v>0</v>
      </c>
      <c r="I955">
        <v>125</v>
      </c>
      <c r="J955">
        <v>87</v>
      </c>
      <c r="K955">
        <v>0</v>
      </c>
      <c r="L955">
        <v>87</v>
      </c>
      <c r="M955">
        <v>0</v>
      </c>
      <c r="N955">
        <v>437</v>
      </c>
      <c r="O955" s="3">
        <f t="shared" si="48"/>
        <v>0</v>
      </c>
      <c r="P955">
        <f t="shared" si="45"/>
        <v>0</v>
      </c>
      <c r="Q955">
        <f t="shared" si="46"/>
        <v>0</v>
      </c>
    </row>
    <row r="956" spans="1:17" x14ac:dyDescent="0.2">
      <c r="A956" t="s">
        <v>21</v>
      </c>
      <c r="B956" t="s">
        <v>959</v>
      </c>
      <c r="C956">
        <v>880</v>
      </c>
      <c r="D956" s="2">
        <v>0</v>
      </c>
      <c r="E956">
        <v>0</v>
      </c>
      <c r="F956">
        <v>0</v>
      </c>
      <c r="G956">
        <v>0</v>
      </c>
      <c r="H956">
        <v>0</v>
      </c>
      <c r="I956">
        <v>780</v>
      </c>
      <c r="J956">
        <v>234</v>
      </c>
      <c r="K956">
        <v>0</v>
      </c>
      <c r="L956">
        <v>228</v>
      </c>
      <c r="M956">
        <v>0</v>
      </c>
      <c r="N956">
        <v>1108</v>
      </c>
      <c r="O956" s="3">
        <f t="shared" si="48"/>
        <v>0</v>
      </c>
      <c r="P956">
        <f t="shared" si="45"/>
        <v>1</v>
      </c>
      <c r="Q956">
        <f t="shared" si="46"/>
        <v>0</v>
      </c>
    </row>
    <row r="957" spans="1:17" x14ac:dyDescent="0.2">
      <c r="A957" t="s">
        <v>21</v>
      </c>
      <c r="B957" t="s">
        <v>960</v>
      </c>
      <c r="C957">
        <v>140</v>
      </c>
      <c r="D957" s="2">
        <v>0</v>
      </c>
      <c r="E957">
        <v>0</v>
      </c>
      <c r="F957">
        <v>0</v>
      </c>
      <c r="G957">
        <v>0</v>
      </c>
      <c r="H957">
        <v>0</v>
      </c>
      <c r="I957">
        <v>130</v>
      </c>
      <c r="J957">
        <v>39</v>
      </c>
      <c r="K957">
        <v>0</v>
      </c>
      <c r="L957">
        <v>38</v>
      </c>
      <c r="M957">
        <v>0</v>
      </c>
      <c r="N957">
        <v>178</v>
      </c>
      <c r="O957" s="3">
        <f t="shared" si="48"/>
        <v>0</v>
      </c>
      <c r="P957">
        <f t="shared" si="45"/>
        <v>0</v>
      </c>
      <c r="Q957">
        <f t="shared" si="46"/>
        <v>0</v>
      </c>
    </row>
    <row r="958" spans="1:17" x14ac:dyDescent="0.2">
      <c r="A958" t="s">
        <v>21</v>
      </c>
      <c r="B958" t="s">
        <v>961</v>
      </c>
      <c r="C958">
        <v>170</v>
      </c>
      <c r="D958" s="2">
        <v>0</v>
      </c>
      <c r="E958">
        <v>0</v>
      </c>
      <c r="F958">
        <v>0</v>
      </c>
      <c r="G958">
        <v>0</v>
      </c>
      <c r="H958">
        <v>0</v>
      </c>
      <c r="I958">
        <v>50</v>
      </c>
      <c r="J958">
        <v>46</v>
      </c>
      <c r="K958">
        <v>0</v>
      </c>
      <c r="L958">
        <v>46</v>
      </c>
      <c r="M958">
        <v>0</v>
      </c>
      <c r="N958">
        <v>216</v>
      </c>
      <c r="O958" s="3">
        <f t="shared" si="48"/>
        <v>0</v>
      </c>
      <c r="P958">
        <f t="shared" si="45"/>
        <v>0</v>
      </c>
      <c r="Q958">
        <f t="shared" si="46"/>
        <v>0</v>
      </c>
    </row>
    <row r="959" spans="1:17" x14ac:dyDescent="0.2">
      <c r="A959" t="s">
        <v>21</v>
      </c>
      <c r="B959" t="s">
        <v>962</v>
      </c>
      <c r="C959">
        <v>230</v>
      </c>
      <c r="D959" s="2">
        <v>0</v>
      </c>
      <c r="E959">
        <v>0</v>
      </c>
      <c r="F959">
        <v>0</v>
      </c>
      <c r="G959">
        <v>0</v>
      </c>
      <c r="H959">
        <v>0</v>
      </c>
      <c r="I959">
        <v>65</v>
      </c>
      <c r="J959">
        <v>62</v>
      </c>
      <c r="K959">
        <v>0</v>
      </c>
      <c r="L959">
        <v>62</v>
      </c>
      <c r="M959">
        <v>0</v>
      </c>
      <c r="N959">
        <v>292</v>
      </c>
      <c r="O959" s="3">
        <f t="shared" si="48"/>
        <v>0</v>
      </c>
      <c r="P959">
        <f t="shared" si="45"/>
        <v>0</v>
      </c>
      <c r="Q959">
        <f t="shared" si="46"/>
        <v>0</v>
      </c>
    </row>
    <row r="960" spans="1:17" x14ac:dyDescent="0.2">
      <c r="A960" t="s">
        <v>21</v>
      </c>
      <c r="B960" t="s">
        <v>963</v>
      </c>
      <c r="C960">
        <v>290</v>
      </c>
      <c r="D960" s="2">
        <v>0</v>
      </c>
      <c r="E960">
        <v>0</v>
      </c>
      <c r="F960">
        <v>0</v>
      </c>
      <c r="G960">
        <v>0</v>
      </c>
      <c r="H960">
        <v>0</v>
      </c>
      <c r="I960">
        <v>85</v>
      </c>
      <c r="J960">
        <v>77</v>
      </c>
      <c r="K960">
        <v>0</v>
      </c>
      <c r="L960">
        <v>77</v>
      </c>
      <c r="M960">
        <v>0</v>
      </c>
      <c r="N960">
        <v>367</v>
      </c>
      <c r="O960" s="3">
        <f t="shared" si="48"/>
        <v>0</v>
      </c>
      <c r="P960">
        <f t="shared" si="45"/>
        <v>0</v>
      </c>
      <c r="Q960">
        <f t="shared" si="46"/>
        <v>0</v>
      </c>
    </row>
    <row r="961" spans="1:17" x14ac:dyDescent="0.2">
      <c r="A961" t="s">
        <v>21</v>
      </c>
      <c r="B961" t="s">
        <v>964</v>
      </c>
      <c r="C961">
        <v>430</v>
      </c>
      <c r="D961" s="2">
        <v>0</v>
      </c>
      <c r="E961">
        <v>0</v>
      </c>
      <c r="F961">
        <v>0</v>
      </c>
      <c r="G961">
        <v>0</v>
      </c>
      <c r="H961">
        <v>0</v>
      </c>
      <c r="I961">
        <v>125</v>
      </c>
      <c r="J961">
        <v>116</v>
      </c>
      <c r="K961">
        <v>0</v>
      </c>
      <c r="L961">
        <v>115</v>
      </c>
      <c r="M961">
        <v>0</v>
      </c>
      <c r="N961">
        <v>545</v>
      </c>
      <c r="O961" s="3">
        <f t="shared" si="48"/>
        <v>0</v>
      </c>
      <c r="P961">
        <f t="shared" si="45"/>
        <v>0</v>
      </c>
      <c r="Q961">
        <f t="shared" si="46"/>
        <v>0</v>
      </c>
    </row>
    <row r="962" spans="1:17" x14ac:dyDescent="0.2">
      <c r="A962" t="s">
        <v>21</v>
      </c>
      <c r="B962" t="s">
        <v>965</v>
      </c>
      <c r="C962">
        <v>0</v>
      </c>
      <c r="D962" s="2">
        <v>0</v>
      </c>
      <c r="E962">
        <v>0</v>
      </c>
      <c r="F962">
        <v>0</v>
      </c>
      <c r="G962">
        <v>0</v>
      </c>
      <c r="H962">
        <v>0</v>
      </c>
      <c r="I962">
        <v>70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f t="shared" ref="P962:P1025" si="49">IF(I962&gt;2300*0.2,1,0)</f>
        <v>0</v>
      </c>
      <c r="Q962">
        <f t="shared" ref="Q962:Q1025" si="50">IF(H962&gt;300,1,0)</f>
        <v>0</v>
      </c>
    </row>
    <row r="963" spans="1:17" x14ac:dyDescent="0.2">
      <c r="A963" t="s">
        <v>21</v>
      </c>
      <c r="B963" t="s">
        <v>966</v>
      </c>
      <c r="C963">
        <v>0</v>
      </c>
      <c r="D963" s="2">
        <v>0</v>
      </c>
      <c r="E963">
        <v>0</v>
      </c>
      <c r="F963">
        <v>0</v>
      </c>
      <c r="G963">
        <v>0</v>
      </c>
      <c r="H963">
        <v>0</v>
      </c>
      <c r="I963">
        <v>95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f t="shared" si="49"/>
        <v>0</v>
      </c>
      <c r="Q963">
        <f t="shared" si="50"/>
        <v>0</v>
      </c>
    </row>
    <row r="964" spans="1:17" x14ac:dyDescent="0.2">
      <c r="A964" t="s">
        <v>21</v>
      </c>
      <c r="B964" t="s">
        <v>967</v>
      </c>
      <c r="C964">
        <v>0</v>
      </c>
      <c r="D964" s="2">
        <v>0</v>
      </c>
      <c r="E964">
        <v>0</v>
      </c>
      <c r="F964">
        <v>0</v>
      </c>
      <c r="G964">
        <v>0</v>
      </c>
      <c r="H964">
        <v>0</v>
      </c>
      <c r="I964">
        <v>120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f t="shared" si="49"/>
        <v>0</v>
      </c>
      <c r="Q964">
        <f t="shared" si="50"/>
        <v>0</v>
      </c>
    </row>
    <row r="965" spans="1:17" x14ac:dyDescent="0.2">
      <c r="A965" t="s">
        <v>21</v>
      </c>
      <c r="B965" t="s">
        <v>968</v>
      </c>
      <c r="C965">
        <v>0</v>
      </c>
      <c r="D965" s="2">
        <v>0</v>
      </c>
      <c r="E965">
        <v>0</v>
      </c>
      <c r="F965">
        <v>0</v>
      </c>
      <c r="G965">
        <v>0</v>
      </c>
      <c r="H965">
        <v>0</v>
      </c>
      <c r="I965">
        <v>180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f t="shared" si="49"/>
        <v>0</v>
      </c>
      <c r="Q965">
        <f t="shared" si="50"/>
        <v>0</v>
      </c>
    </row>
    <row r="966" spans="1:17" x14ac:dyDescent="0.2">
      <c r="A966" t="s">
        <v>21</v>
      </c>
      <c r="B966" t="s">
        <v>969</v>
      </c>
      <c r="C966">
        <v>0</v>
      </c>
      <c r="D966" s="2">
        <v>0</v>
      </c>
      <c r="E966">
        <v>0</v>
      </c>
      <c r="F966">
        <v>0</v>
      </c>
      <c r="G966">
        <v>0</v>
      </c>
      <c r="H966">
        <v>0</v>
      </c>
      <c r="I966">
        <v>35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f t="shared" si="49"/>
        <v>0</v>
      </c>
      <c r="Q966">
        <f t="shared" si="50"/>
        <v>0</v>
      </c>
    </row>
    <row r="967" spans="1:17" x14ac:dyDescent="0.2">
      <c r="A967" t="s">
        <v>21</v>
      </c>
      <c r="B967" t="s">
        <v>970</v>
      </c>
      <c r="C967">
        <v>0</v>
      </c>
      <c r="D967" s="2">
        <v>0</v>
      </c>
      <c r="E967">
        <v>0</v>
      </c>
      <c r="F967">
        <v>0</v>
      </c>
      <c r="G967">
        <v>0</v>
      </c>
      <c r="H967">
        <v>0</v>
      </c>
      <c r="I967">
        <v>50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f t="shared" si="49"/>
        <v>0</v>
      </c>
      <c r="Q967">
        <f t="shared" si="50"/>
        <v>0</v>
      </c>
    </row>
    <row r="968" spans="1:17" x14ac:dyDescent="0.2">
      <c r="A968" t="s">
        <v>21</v>
      </c>
      <c r="B968" t="s">
        <v>971</v>
      </c>
      <c r="C968">
        <v>0</v>
      </c>
      <c r="D968" s="2">
        <v>0</v>
      </c>
      <c r="E968">
        <v>0</v>
      </c>
      <c r="F968">
        <v>0</v>
      </c>
      <c r="G968">
        <v>0</v>
      </c>
      <c r="H968">
        <v>0</v>
      </c>
      <c r="I968">
        <v>60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f t="shared" si="49"/>
        <v>0</v>
      </c>
      <c r="Q968">
        <f t="shared" si="50"/>
        <v>0</v>
      </c>
    </row>
    <row r="969" spans="1:17" x14ac:dyDescent="0.2">
      <c r="A969" t="s">
        <v>21</v>
      </c>
      <c r="B969" t="s">
        <v>972</v>
      </c>
      <c r="C969">
        <v>5</v>
      </c>
      <c r="D969" s="2">
        <v>0</v>
      </c>
      <c r="E969">
        <v>0</v>
      </c>
      <c r="F969">
        <v>0</v>
      </c>
      <c r="G969">
        <v>0</v>
      </c>
      <c r="H969">
        <v>0</v>
      </c>
      <c r="I969">
        <v>95</v>
      </c>
      <c r="J969">
        <v>0</v>
      </c>
      <c r="K969">
        <v>0</v>
      </c>
      <c r="L969">
        <v>0</v>
      </c>
      <c r="M969">
        <v>0</v>
      </c>
      <c r="N969">
        <v>5</v>
      </c>
      <c r="O969" s="3">
        <f>M969/C969*100</f>
        <v>0</v>
      </c>
      <c r="P969">
        <f t="shared" si="49"/>
        <v>0</v>
      </c>
      <c r="Q969">
        <f t="shared" si="50"/>
        <v>0</v>
      </c>
    </row>
    <row r="970" spans="1:17" x14ac:dyDescent="0.2">
      <c r="A970" t="s">
        <v>21</v>
      </c>
      <c r="B970" t="s">
        <v>973</v>
      </c>
      <c r="C970">
        <v>0</v>
      </c>
      <c r="D970" s="2">
        <v>0</v>
      </c>
      <c r="E970">
        <v>0</v>
      </c>
      <c r="F970">
        <v>0</v>
      </c>
      <c r="G970">
        <v>0</v>
      </c>
      <c r="H970">
        <v>0</v>
      </c>
      <c r="I970">
        <v>55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f t="shared" si="49"/>
        <v>0</v>
      </c>
      <c r="Q970">
        <f t="shared" si="50"/>
        <v>0</v>
      </c>
    </row>
    <row r="971" spans="1:17" x14ac:dyDescent="0.2">
      <c r="A971" t="s">
        <v>21</v>
      </c>
      <c r="B971" t="s">
        <v>974</v>
      </c>
      <c r="C971">
        <v>5</v>
      </c>
      <c r="D971" s="2">
        <v>0</v>
      </c>
      <c r="E971">
        <v>0</v>
      </c>
      <c r="F971">
        <v>0</v>
      </c>
      <c r="G971">
        <v>0</v>
      </c>
      <c r="H971">
        <v>0</v>
      </c>
      <c r="I971">
        <v>75</v>
      </c>
      <c r="J971">
        <v>1</v>
      </c>
      <c r="K971">
        <v>0</v>
      </c>
      <c r="L971">
        <v>0</v>
      </c>
      <c r="M971">
        <v>0</v>
      </c>
      <c r="N971">
        <v>5</v>
      </c>
      <c r="O971" s="3">
        <f>M971/C971*100</f>
        <v>0</v>
      </c>
      <c r="P971">
        <f t="shared" si="49"/>
        <v>0</v>
      </c>
      <c r="Q971">
        <f t="shared" si="50"/>
        <v>0</v>
      </c>
    </row>
    <row r="972" spans="1:17" x14ac:dyDescent="0.2">
      <c r="A972" t="s">
        <v>21</v>
      </c>
      <c r="B972" t="s">
        <v>975</v>
      </c>
      <c r="C972">
        <v>10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90</v>
      </c>
      <c r="J972">
        <v>1</v>
      </c>
      <c r="K972">
        <v>0</v>
      </c>
      <c r="L972">
        <v>1</v>
      </c>
      <c r="M972">
        <v>0</v>
      </c>
      <c r="N972">
        <v>11</v>
      </c>
      <c r="O972" s="3">
        <f>M972/C972*100</f>
        <v>0</v>
      </c>
      <c r="P972">
        <f t="shared" si="49"/>
        <v>0</v>
      </c>
      <c r="Q972">
        <f t="shared" si="50"/>
        <v>0</v>
      </c>
    </row>
    <row r="973" spans="1:17" x14ac:dyDescent="0.2">
      <c r="A973" t="s">
        <v>21</v>
      </c>
      <c r="B973" t="s">
        <v>976</v>
      </c>
      <c r="C973">
        <v>10</v>
      </c>
      <c r="D973" s="2">
        <v>0</v>
      </c>
      <c r="E973">
        <v>0</v>
      </c>
      <c r="F973">
        <v>0</v>
      </c>
      <c r="G973">
        <v>0</v>
      </c>
      <c r="H973">
        <v>0</v>
      </c>
      <c r="I973">
        <v>140</v>
      </c>
      <c r="J973">
        <v>1</v>
      </c>
      <c r="K973">
        <v>0</v>
      </c>
      <c r="L973">
        <v>1</v>
      </c>
      <c r="M973">
        <v>0</v>
      </c>
      <c r="N973">
        <v>11</v>
      </c>
      <c r="O973" s="3">
        <f>M973/C973*100</f>
        <v>0</v>
      </c>
      <c r="P973">
        <f t="shared" si="49"/>
        <v>0</v>
      </c>
      <c r="Q973">
        <f t="shared" si="50"/>
        <v>0</v>
      </c>
    </row>
    <row r="974" spans="1:17" x14ac:dyDescent="0.2">
      <c r="A974" t="s">
        <v>21</v>
      </c>
      <c r="B974" t="s">
        <v>977</v>
      </c>
      <c r="C974">
        <v>0</v>
      </c>
      <c r="D974" s="2">
        <v>0</v>
      </c>
      <c r="E974">
        <v>0</v>
      </c>
      <c r="F974">
        <v>0</v>
      </c>
      <c r="G974">
        <v>0</v>
      </c>
      <c r="H974">
        <v>0</v>
      </c>
      <c r="I974">
        <v>55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f t="shared" si="49"/>
        <v>0</v>
      </c>
      <c r="Q974">
        <f t="shared" si="50"/>
        <v>0</v>
      </c>
    </row>
    <row r="975" spans="1:17" x14ac:dyDescent="0.2">
      <c r="A975" t="s">
        <v>21</v>
      </c>
      <c r="B975" t="s">
        <v>978</v>
      </c>
      <c r="C975">
        <v>0</v>
      </c>
      <c r="D975" s="2">
        <v>0</v>
      </c>
      <c r="E975">
        <v>0</v>
      </c>
      <c r="F975">
        <v>0</v>
      </c>
      <c r="G975">
        <v>0</v>
      </c>
      <c r="H975">
        <v>0</v>
      </c>
      <c r="I975">
        <v>75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f t="shared" si="49"/>
        <v>0</v>
      </c>
      <c r="Q975">
        <f t="shared" si="50"/>
        <v>0</v>
      </c>
    </row>
    <row r="976" spans="1:17" x14ac:dyDescent="0.2">
      <c r="A976" t="s">
        <v>21</v>
      </c>
      <c r="B976" t="s">
        <v>979</v>
      </c>
      <c r="C976">
        <v>0</v>
      </c>
      <c r="D976" s="2">
        <v>0</v>
      </c>
      <c r="E976">
        <v>0</v>
      </c>
      <c r="F976">
        <v>0</v>
      </c>
      <c r="G976">
        <v>0</v>
      </c>
      <c r="H976">
        <v>0</v>
      </c>
      <c r="I976">
        <v>95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f t="shared" si="49"/>
        <v>0</v>
      </c>
      <c r="Q976">
        <f t="shared" si="50"/>
        <v>0</v>
      </c>
    </row>
    <row r="977" spans="1:17" x14ac:dyDescent="0.2">
      <c r="A977" t="s">
        <v>21</v>
      </c>
      <c r="B977" t="s">
        <v>980</v>
      </c>
      <c r="C977">
        <v>0</v>
      </c>
      <c r="D977" s="2">
        <v>0</v>
      </c>
      <c r="E977">
        <v>0</v>
      </c>
      <c r="F977">
        <v>0</v>
      </c>
      <c r="G977">
        <v>0</v>
      </c>
      <c r="H977">
        <v>0</v>
      </c>
      <c r="I977">
        <v>140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f t="shared" si="49"/>
        <v>0</v>
      </c>
      <c r="Q977">
        <f t="shared" si="50"/>
        <v>0</v>
      </c>
    </row>
    <row r="978" spans="1:17" x14ac:dyDescent="0.2">
      <c r="A978" t="s">
        <v>21</v>
      </c>
      <c r="B978" t="s">
        <v>981</v>
      </c>
      <c r="C978">
        <v>0</v>
      </c>
      <c r="D978" s="2">
        <v>0</v>
      </c>
      <c r="E978">
        <v>0</v>
      </c>
      <c r="F978">
        <v>0</v>
      </c>
      <c r="G978">
        <v>0</v>
      </c>
      <c r="H978">
        <v>0</v>
      </c>
      <c r="I978">
        <v>35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f t="shared" si="49"/>
        <v>0</v>
      </c>
      <c r="Q978">
        <f t="shared" si="50"/>
        <v>0</v>
      </c>
    </row>
    <row r="979" spans="1:17" x14ac:dyDescent="0.2">
      <c r="A979" t="s">
        <v>21</v>
      </c>
      <c r="B979" t="s">
        <v>982</v>
      </c>
      <c r="C979">
        <v>0</v>
      </c>
      <c r="D979" s="2">
        <v>0</v>
      </c>
      <c r="E979">
        <v>0</v>
      </c>
      <c r="F979">
        <v>0</v>
      </c>
      <c r="G979">
        <v>0</v>
      </c>
      <c r="H979">
        <v>0</v>
      </c>
      <c r="I979">
        <v>50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f t="shared" si="49"/>
        <v>0</v>
      </c>
      <c r="Q979">
        <f t="shared" si="50"/>
        <v>0</v>
      </c>
    </row>
    <row r="980" spans="1:17" x14ac:dyDescent="0.2">
      <c r="A980" t="s">
        <v>21</v>
      </c>
      <c r="B980" t="s">
        <v>983</v>
      </c>
      <c r="C980">
        <v>0</v>
      </c>
      <c r="D980" s="2">
        <v>0</v>
      </c>
      <c r="E980">
        <v>0</v>
      </c>
      <c r="F980">
        <v>0</v>
      </c>
      <c r="G980">
        <v>0</v>
      </c>
      <c r="H980">
        <v>0</v>
      </c>
      <c r="I980">
        <v>60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f t="shared" si="49"/>
        <v>0</v>
      </c>
      <c r="Q980">
        <f t="shared" si="50"/>
        <v>0</v>
      </c>
    </row>
    <row r="981" spans="1:17" x14ac:dyDescent="0.2">
      <c r="A981" t="s">
        <v>21</v>
      </c>
      <c r="B981" t="s">
        <v>984</v>
      </c>
      <c r="C981">
        <v>0</v>
      </c>
      <c r="D981" s="2">
        <v>0</v>
      </c>
      <c r="E981">
        <v>0</v>
      </c>
      <c r="F981">
        <v>0</v>
      </c>
      <c r="G981">
        <v>0</v>
      </c>
      <c r="H981">
        <v>0</v>
      </c>
      <c r="I981">
        <v>95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f t="shared" si="49"/>
        <v>0</v>
      </c>
      <c r="Q981">
        <f t="shared" si="50"/>
        <v>0</v>
      </c>
    </row>
    <row r="982" spans="1:17" x14ac:dyDescent="0.2">
      <c r="A982" t="s">
        <v>21</v>
      </c>
      <c r="B982" t="s">
        <v>985</v>
      </c>
      <c r="C982">
        <v>140</v>
      </c>
      <c r="D982" s="2">
        <v>0</v>
      </c>
      <c r="E982">
        <v>0</v>
      </c>
      <c r="F982">
        <v>0</v>
      </c>
      <c r="G982">
        <v>0</v>
      </c>
      <c r="H982">
        <v>0</v>
      </c>
      <c r="I982">
        <v>45</v>
      </c>
      <c r="J982">
        <v>39</v>
      </c>
      <c r="K982">
        <v>0</v>
      </c>
      <c r="L982">
        <v>38</v>
      </c>
      <c r="M982">
        <v>0</v>
      </c>
      <c r="N982">
        <v>178</v>
      </c>
      <c r="O982" s="3">
        <f t="shared" ref="O982:O989" si="51">M982/C982*100</f>
        <v>0</v>
      </c>
      <c r="P982">
        <f t="shared" si="49"/>
        <v>0</v>
      </c>
      <c r="Q982">
        <f t="shared" si="50"/>
        <v>0</v>
      </c>
    </row>
    <row r="983" spans="1:17" x14ac:dyDescent="0.2">
      <c r="A983" t="s">
        <v>21</v>
      </c>
      <c r="B983" t="s">
        <v>986</v>
      </c>
      <c r="C983">
        <v>190</v>
      </c>
      <c r="D983" s="2">
        <v>0</v>
      </c>
      <c r="E983">
        <v>0</v>
      </c>
      <c r="F983">
        <v>0</v>
      </c>
      <c r="G983">
        <v>0</v>
      </c>
      <c r="H983">
        <v>0</v>
      </c>
      <c r="I983">
        <v>60</v>
      </c>
      <c r="J983">
        <v>52</v>
      </c>
      <c r="K983">
        <v>0</v>
      </c>
      <c r="L983">
        <v>51</v>
      </c>
      <c r="M983">
        <v>0</v>
      </c>
      <c r="N983">
        <v>241</v>
      </c>
      <c r="O983" s="3">
        <f t="shared" si="51"/>
        <v>0</v>
      </c>
      <c r="P983">
        <f t="shared" si="49"/>
        <v>0</v>
      </c>
      <c r="Q983">
        <f t="shared" si="50"/>
        <v>0</v>
      </c>
    </row>
    <row r="984" spans="1:17" x14ac:dyDescent="0.2">
      <c r="A984" t="s">
        <v>21</v>
      </c>
      <c r="B984" t="s">
        <v>987</v>
      </c>
      <c r="C984">
        <v>240</v>
      </c>
      <c r="D984" s="2">
        <v>0</v>
      </c>
      <c r="E984">
        <v>0</v>
      </c>
      <c r="F984">
        <v>0</v>
      </c>
      <c r="G984">
        <v>0</v>
      </c>
      <c r="H984">
        <v>0</v>
      </c>
      <c r="I984">
        <v>75</v>
      </c>
      <c r="J984">
        <v>65</v>
      </c>
      <c r="K984">
        <v>0</v>
      </c>
      <c r="L984">
        <v>64</v>
      </c>
      <c r="M984">
        <v>0</v>
      </c>
      <c r="N984">
        <v>304</v>
      </c>
      <c r="O984" s="3">
        <f t="shared" si="51"/>
        <v>0</v>
      </c>
      <c r="P984">
        <f t="shared" si="49"/>
        <v>0</v>
      </c>
      <c r="Q984">
        <f t="shared" si="50"/>
        <v>0</v>
      </c>
    </row>
    <row r="985" spans="1:17" x14ac:dyDescent="0.2">
      <c r="A985" t="s">
        <v>21</v>
      </c>
      <c r="B985" t="s">
        <v>988</v>
      </c>
      <c r="C985">
        <v>360</v>
      </c>
      <c r="D985" s="2">
        <v>0</v>
      </c>
      <c r="E985">
        <v>0</v>
      </c>
      <c r="F985">
        <v>0</v>
      </c>
      <c r="G985">
        <v>0</v>
      </c>
      <c r="H985">
        <v>0</v>
      </c>
      <c r="I985">
        <v>110</v>
      </c>
      <c r="J985">
        <v>98</v>
      </c>
      <c r="K985">
        <v>0</v>
      </c>
      <c r="L985">
        <v>96</v>
      </c>
      <c r="M985">
        <v>0</v>
      </c>
      <c r="N985">
        <v>456</v>
      </c>
      <c r="O985" s="3">
        <f t="shared" si="51"/>
        <v>0</v>
      </c>
      <c r="P985">
        <f t="shared" si="49"/>
        <v>0</v>
      </c>
      <c r="Q985">
        <f t="shared" si="50"/>
        <v>0</v>
      </c>
    </row>
    <row r="986" spans="1:17" x14ac:dyDescent="0.2">
      <c r="A986" t="s">
        <v>21</v>
      </c>
      <c r="B986" t="s">
        <v>989</v>
      </c>
      <c r="C986">
        <v>80</v>
      </c>
      <c r="D986" s="2">
        <v>0</v>
      </c>
      <c r="E986">
        <v>0</v>
      </c>
      <c r="F986">
        <v>0</v>
      </c>
      <c r="G986">
        <v>0</v>
      </c>
      <c r="H986">
        <v>0</v>
      </c>
      <c r="I986">
        <v>40</v>
      </c>
      <c r="J986">
        <v>22</v>
      </c>
      <c r="K986">
        <v>0</v>
      </c>
      <c r="L986">
        <v>22</v>
      </c>
      <c r="M986">
        <v>0</v>
      </c>
      <c r="N986">
        <v>102</v>
      </c>
      <c r="O986" s="3">
        <f t="shared" si="51"/>
        <v>0</v>
      </c>
      <c r="P986">
        <f t="shared" si="49"/>
        <v>0</v>
      </c>
      <c r="Q986">
        <f t="shared" si="50"/>
        <v>0</v>
      </c>
    </row>
    <row r="987" spans="1:17" x14ac:dyDescent="0.2">
      <c r="A987" t="s">
        <v>21</v>
      </c>
      <c r="B987" t="s">
        <v>990</v>
      </c>
      <c r="C987">
        <v>110</v>
      </c>
      <c r="D987" s="2">
        <v>0</v>
      </c>
      <c r="E987">
        <v>0</v>
      </c>
      <c r="F987">
        <v>0</v>
      </c>
      <c r="G987">
        <v>0</v>
      </c>
      <c r="H987">
        <v>0</v>
      </c>
      <c r="I987">
        <v>55</v>
      </c>
      <c r="J987">
        <v>29</v>
      </c>
      <c r="K987">
        <v>0</v>
      </c>
      <c r="L987">
        <v>29</v>
      </c>
      <c r="M987">
        <v>0</v>
      </c>
      <c r="N987">
        <v>139</v>
      </c>
      <c r="O987" s="3">
        <f t="shared" si="51"/>
        <v>0</v>
      </c>
      <c r="P987">
        <f t="shared" si="49"/>
        <v>0</v>
      </c>
      <c r="Q987">
        <f t="shared" si="50"/>
        <v>0</v>
      </c>
    </row>
    <row r="988" spans="1:17" x14ac:dyDescent="0.2">
      <c r="A988" t="s">
        <v>21</v>
      </c>
      <c r="B988" t="s">
        <v>991</v>
      </c>
      <c r="C988">
        <v>140</v>
      </c>
      <c r="D988" s="2">
        <v>0</v>
      </c>
      <c r="E988">
        <v>0</v>
      </c>
      <c r="F988">
        <v>0</v>
      </c>
      <c r="G988">
        <v>0</v>
      </c>
      <c r="H988">
        <v>0</v>
      </c>
      <c r="I988">
        <v>70</v>
      </c>
      <c r="J988">
        <v>36</v>
      </c>
      <c r="K988">
        <v>0</v>
      </c>
      <c r="L988">
        <v>36</v>
      </c>
      <c r="M988">
        <v>0</v>
      </c>
      <c r="N988">
        <v>176</v>
      </c>
      <c r="O988" s="3">
        <f t="shared" si="51"/>
        <v>0</v>
      </c>
      <c r="P988">
        <f t="shared" si="49"/>
        <v>0</v>
      </c>
      <c r="Q988">
        <f t="shared" si="50"/>
        <v>0</v>
      </c>
    </row>
    <row r="989" spans="1:17" x14ac:dyDescent="0.2">
      <c r="A989" t="s">
        <v>21</v>
      </c>
      <c r="B989" t="s">
        <v>992</v>
      </c>
      <c r="C989">
        <v>210</v>
      </c>
      <c r="D989" s="2">
        <v>0</v>
      </c>
      <c r="E989">
        <v>0</v>
      </c>
      <c r="F989">
        <v>0</v>
      </c>
      <c r="G989">
        <v>0</v>
      </c>
      <c r="H989">
        <v>0</v>
      </c>
      <c r="I989">
        <v>105</v>
      </c>
      <c r="J989">
        <v>55</v>
      </c>
      <c r="K989">
        <v>0</v>
      </c>
      <c r="L989">
        <v>54</v>
      </c>
      <c r="M989">
        <v>0</v>
      </c>
      <c r="N989">
        <v>264</v>
      </c>
      <c r="O989" s="3">
        <f t="shared" si="51"/>
        <v>0</v>
      </c>
      <c r="P989">
        <f t="shared" si="49"/>
        <v>0</v>
      </c>
      <c r="Q989">
        <f t="shared" si="50"/>
        <v>0</v>
      </c>
    </row>
    <row r="990" spans="1:17" x14ac:dyDescent="0.2">
      <c r="A990" t="s">
        <v>21</v>
      </c>
      <c r="B990" t="s">
        <v>993</v>
      </c>
      <c r="C990">
        <v>0</v>
      </c>
      <c r="D990" s="2">
        <v>0</v>
      </c>
      <c r="E990">
        <v>0</v>
      </c>
      <c r="F990">
        <v>0</v>
      </c>
      <c r="G990">
        <v>0</v>
      </c>
      <c r="H990">
        <v>0</v>
      </c>
      <c r="I990">
        <v>105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f t="shared" si="49"/>
        <v>0</v>
      </c>
      <c r="Q990">
        <f t="shared" si="50"/>
        <v>0</v>
      </c>
    </row>
    <row r="991" spans="1:17" x14ac:dyDescent="0.2">
      <c r="A991" t="s">
        <v>21</v>
      </c>
      <c r="B991" t="s">
        <v>994</v>
      </c>
      <c r="C991">
        <v>0</v>
      </c>
      <c r="D991" s="2">
        <v>0</v>
      </c>
      <c r="E991">
        <v>0</v>
      </c>
      <c r="F991">
        <v>0</v>
      </c>
      <c r="G991">
        <v>0</v>
      </c>
      <c r="H991">
        <v>0</v>
      </c>
      <c r="I991">
        <v>140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f t="shared" si="49"/>
        <v>0</v>
      </c>
      <c r="Q991">
        <f t="shared" si="50"/>
        <v>0</v>
      </c>
    </row>
    <row r="992" spans="1:17" x14ac:dyDescent="0.2">
      <c r="A992" t="s">
        <v>21</v>
      </c>
      <c r="B992" t="s">
        <v>995</v>
      </c>
      <c r="C992">
        <v>5</v>
      </c>
      <c r="D992" s="2">
        <v>0</v>
      </c>
      <c r="E992">
        <v>0</v>
      </c>
      <c r="F992">
        <v>0</v>
      </c>
      <c r="G992">
        <v>0</v>
      </c>
      <c r="H992">
        <v>0</v>
      </c>
      <c r="I992">
        <v>180</v>
      </c>
      <c r="J992">
        <v>0</v>
      </c>
      <c r="K992">
        <v>0</v>
      </c>
      <c r="L992">
        <v>0</v>
      </c>
      <c r="M992">
        <v>0</v>
      </c>
      <c r="N992">
        <v>5</v>
      </c>
      <c r="O992" s="3">
        <f t="shared" ref="O992:O1001" si="52">M992/C992*100</f>
        <v>0</v>
      </c>
      <c r="P992">
        <f t="shared" si="49"/>
        <v>0</v>
      </c>
      <c r="Q992">
        <f t="shared" si="50"/>
        <v>0</v>
      </c>
    </row>
    <row r="993" spans="1:17" x14ac:dyDescent="0.2">
      <c r="A993" t="s">
        <v>21</v>
      </c>
      <c r="B993" t="s">
        <v>996</v>
      </c>
      <c r="C993">
        <v>10</v>
      </c>
      <c r="D993" s="2">
        <v>0</v>
      </c>
      <c r="E993">
        <v>0</v>
      </c>
      <c r="F993">
        <v>0</v>
      </c>
      <c r="G993">
        <v>0</v>
      </c>
      <c r="H993">
        <v>0</v>
      </c>
      <c r="I993">
        <v>270</v>
      </c>
      <c r="J993">
        <v>0</v>
      </c>
      <c r="K993">
        <v>0</v>
      </c>
      <c r="L993">
        <v>0</v>
      </c>
      <c r="M993">
        <v>0</v>
      </c>
      <c r="N993">
        <v>10</v>
      </c>
      <c r="O993" s="3">
        <f t="shared" si="52"/>
        <v>0</v>
      </c>
      <c r="P993">
        <f t="shared" si="49"/>
        <v>0</v>
      </c>
      <c r="Q993">
        <f t="shared" si="50"/>
        <v>0</v>
      </c>
    </row>
    <row r="994" spans="1:17" x14ac:dyDescent="0.2">
      <c r="A994" t="s">
        <v>21</v>
      </c>
      <c r="B994" t="s">
        <v>997</v>
      </c>
      <c r="C994">
        <v>80</v>
      </c>
      <c r="D994" s="2">
        <v>0</v>
      </c>
      <c r="E994">
        <v>0</v>
      </c>
      <c r="F994">
        <v>0</v>
      </c>
      <c r="G994">
        <v>0</v>
      </c>
      <c r="H994">
        <v>0</v>
      </c>
      <c r="I994">
        <v>45</v>
      </c>
      <c r="J994">
        <v>20</v>
      </c>
      <c r="K994">
        <v>0</v>
      </c>
      <c r="L994">
        <v>20</v>
      </c>
      <c r="M994">
        <v>0</v>
      </c>
      <c r="N994">
        <v>100</v>
      </c>
      <c r="O994" s="3">
        <f t="shared" si="52"/>
        <v>0</v>
      </c>
      <c r="P994">
        <f t="shared" si="49"/>
        <v>0</v>
      </c>
      <c r="Q994">
        <f t="shared" si="50"/>
        <v>0</v>
      </c>
    </row>
    <row r="995" spans="1:17" x14ac:dyDescent="0.2">
      <c r="A995" t="s">
        <v>21</v>
      </c>
      <c r="B995" t="s">
        <v>998</v>
      </c>
      <c r="C995">
        <v>100</v>
      </c>
      <c r="D995" s="2">
        <v>0</v>
      </c>
      <c r="E995">
        <v>0</v>
      </c>
      <c r="F995">
        <v>0</v>
      </c>
      <c r="G995">
        <v>0</v>
      </c>
      <c r="H995">
        <v>0</v>
      </c>
      <c r="I995">
        <v>55</v>
      </c>
      <c r="J995">
        <v>26</v>
      </c>
      <c r="K995">
        <v>0</v>
      </c>
      <c r="L995">
        <v>26</v>
      </c>
      <c r="M995">
        <v>0</v>
      </c>
      <c r="N995">
        <v>126</v>
      </c>
      <c r="O995" s="3">
        <f t="shared" si="52"/>
        <v>0</v>
      </c>
      <c r="P995">
        <f t="shared" si="49"/>
        <v>0</v>
      </c>
      <c r="Q995">
        <f t="shared" si="50"/>
        <v>0</v>
      </c>
    </row>
    <row r="996" spans="1:17" x14ac:dyDescent="0.2">
      <c r="A996" t="s">
        <v>21</v>
      </c>
      <c r="B996" t="s">
        <v>999</v>
      </c>
      <c r="C996">
        <v>130</v>
      </c>
      <c r="D996" s="2">
        <v>0</v>
      </c>
      <c r="E996">
        <v>0</v>
      </c>
      <c r="F996">
        <v>0</v>
      </c>
      <c r="G996">
        <v>0</v>
      </c>
      <c r="H996">
        <v>0</v>
      </c>
      <c r="I996">
        <v>70</v>
      </c>
      <c r="J996">
        <v>33</v>
      </c>
      <c r="K996">
        <v>0</v>
      </c>
      <c r="L996">
        <v>33</v>
      </c>
      <c r="M996">
        <v>0</v>
      </c>
      <c r="N996">
        <v>163</v>
      </c>
      <c r="O996" s="3">
        <f t="shared" si="52"/>
        <v>0</v>
      </c>
      <c r="P996">
        <f t="shared" si="49"/>
        <v>0</v>
      </c>
      <c r="Q996">
        <f t="shared" si="50"/>
        <v>0</v>
      </c>
    </row>
    <row r="997" spans="1:17" x14ac:dyDescent="0.2">
      <c r="A997" t="s">
        <v>21</v>
      </c>
      <c r="B997" t="s">
        <v>1000</v>
      </c>
      <c r="C997">
        <v>190</v>
      </c>
      <c r="D997" s="2">
        <v>0</v>
      </c>
      <c r="E997">
        <v>0</v>
      </c>
      <c r="F997">
        <v>0</v>
      </c>
      <c r="G997">
        <v>0</v>
      </c>
      <c r="H997">
        <v>0</v>
      </c>
      <c r="I997">
        <v>110</v>
      </c>
      <c r="J997">
        <v>49</v>
      </c>
      <c r="K997">
        <v>0</v>
      </c>
      <c r="L997">
        <v>49</v>
      </c>
      <c r="M997">
        <v>0</v>
      </c>
      <c r="N997">
        <v>239</v>
      </c>
      <c r="O997" s="3">
        <f t="shared" si="52"/>
        <v>0</v>
      </c>
      <c r="P997">
        <f t="shared" si="49"/>
        <v>0</v>
      </c>
      <c r="Q997">
        <f t="shared" si="50"/>
        <v>0</v>
      </c>
    </row>
    <row r="998" spans="1:17" x14ac:dyDescent="0.2">
      <c r="A998" t="s">
        <v>21</v>
      </c>
      <c r="B998" t="s">
        <v>1001</v>
      </c>
      <c r="C998">
        <v>80</v>
      </c>
      <c r="D998" s="2">
        <v>0</v>
      </c>
      <c r="E998">
        <v>0</v>
      </c>
      <c r="F998">
        <v>0</v>
      </c>
      <c r="G998">
        <v>0</v>
      </c>
      <c r="H998">
        <v>0</v>
      </c>
      <c r="I998">
        <v>45</v>
      </c>
      <c r="J998">
        <v>22</v>
      </c>
      <c r="K998">
        <v>0</v>
      </c>
      <c r="L998">
        <v>21</v>
      </c>
      <c r="M998">
        <v>0</v>
      </c>
      <c r="N998">
        <v>101</v>
      </c>
      <c r="O998" s="3">
        <f t="shared" si="52"/>
        <v>0</v>
      </c>
      <c r="P998">
        <f t="shared" si="49"/>
        <v>0</v>
      </c>
      <c r="Q998">
        <f t="shared" si="50"/>
        <v>0</v>
      </c>
    </row>
    <row r="999" spans="1:17" x14ac:dyDescent="0.2">
      <c r="A999" t="s">
        <v>21</v>
      </c>
      <c r="B999" t="s">
        <v>1002</v>
      </c>
      <c r="C999">
        <v>110</v>
      </c>
      <c r="D999" s="2">
        <v>0</v>
      </c>
      <c r="E999">
        <v>0</v>
      </c>
      <c r="F999">
        <v>0</v>
      </c>
      <c r="G999">
        <v>0</v>
      </c>
      <c r="H999">
        <v>0</v>
      </c>
      <c r="I999">
        <v>65</v>
      </c>
      <c r="J999">
        <v>29</v>
      </c>
      <c r="K999">
        <v>0</v>
      </c>
      <c r="L999">
        <v>29</v>
      </c>
      <c r="M999">
        <v>0</v>
      </c>
      <c r="N999">
        <v>139</v>
      </c>
      <c r="O999" s="3">
        <f t="shared" si="52"/>
        <v>0</v>
      </c>
      <c r="P999">
        <f t="shared" si="49"/>
        <v>0</v>
      </c>
      <c r="Q999">
        <f t="shared" si="50"/>
        <v>0</v>
      </c>
    </row>
    <row r="1000" spans="1:17" x14ac:dyDescent="0.2">
      <c r="A1000" t="s">
        <v>21</v>
      </c>
      <c r="B1000" t="s">
        <v>1003</v>
      </c>
      <c r="C1000">
        <v>130</v>
      </c>
      <c r="D1000" s="2">
        <v>0</v>
      </c>
      <c r="E1000">
        <v>0</v>
      </c>
      <c r="F1000">
        <v>0</v>
      </c>
      <c r="G1000">
        <v>0</v>
      </c>
      <c r="H1000">
        <v>0</v>
      </c>
      <c r="I1000">
        <v>80</v>
      </c>
      <c r="J1000">
        <v>36</v>
      </c>
      <c r="K1000">
        <v>0</v>
      </c>
      <c r="L1000">
        <v>36</v>
      </c>
      <c r="M1000">
        <v>0</v>
      </c>
      <c r="N1000">
        <v>166</v>
      </c>
      <c r="O1000" s="3">
        <f t="shared" si="52"/>
        <v>0</v>
      </c>
      <c r="P1000">
        <f t="shared" si="49"/>
        <v>0</v>
      </c>
      <c r="Q1000">
        <f t="shared" si="50"/>
        <v>0</v>
      </c>
    </row>
    <row r="1001" spans="1:17" x14ac:dyDescent="0.2">
      <c r="A1001" t="s">
        <v>21</v>
      </c>
      <c r="B1001" t="s">
        <v>1004</v>
      </c>
      <c r="C1001">
        <v>200</v>
      </c>
      <c r="D1001" s="2">
        <v>0</v>
      </c>
      <c r="E1001">
        <v>0</v>
      </c>
      <c r="F1001">
        <v>0</v>
      </c>
      <c r="G1001">
        <v>0</v>
      </c>
      <c r="H1001">
        <v>0</v>
      </c>
      <c r="I1001">
        <v>120</v>
      </c>
      <c r="J1001">
        <v>54</v>
      </c>
      <c r="K1001">
        <v>0</v>
      </c>
      <c r="L1001">
        <v>54</v>
      </c>
      <c r="M1001">
        <v>0</v>
      </c>
      <c r="N1001">
        <v>254</v>
      </c>
      <c r="O1001" s="3">
        <f t="shared" si="52"/>
        <v>0</v>
      </c>
      <c r="P1001">
        <f t="shared" si="49"/>
        <v>0</v>
      </c>
      <c r="Q1001">
        <f t="shared" si="50"/>
        <v>0</v>
      </c>
    </row>
    <row r="1002" spans="1:17" x14ac:dyDescent="0.2">
      <c r="A1002" t="s">
        <v>21</v>
      </c>
      <c r="B1002" t="s">
        <v>1005</v>
      </c>
      <c r="C1002">
        <v>0</v>
      </c>
      <c r="D1002" s="2">
        <v>0</v>
      </c>
      <c r="E1002">
        <v>0</v>
      </c>
      <c r="F1002">
        <v>0</v>
      </c>
      <c r="G1002">
        <v>0</v>
      </c>
      <c r="H1002">
        <v>0</v>
      </c>
      <c r="I1002">
        <v>45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f t="shared" si="49"/>
        <v>0</v>
      </c>
      <c r="Q1002">
        <f t="shared" si="50"/>
        <v>0</v>
      </c>
    </row>
    <row r="1003" spans="1:17" x14ac:dyDescent="0.2">
      <c r="A1003" t="s">
        <v>21</v>
      </c>
      <c r="B1003" t="s">
        <v>1006</v>
      </c>
      <c r="C1003">
        <v>0</v>
      </c>
      <c r="D1003" s="2">
        <v>0</v>
      </c>
      <c r="E1003">
        <v>0</v>
      </c>
      <c r="F1003">
        <v>0</v>
      </c>
      <c r="G1003">
        <v>0</v>
      </c>
      <c r="H1003">
        <v>0</v>
      </c>
      <c r="I1003">
        <v>60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f t="shared" si="49"/>
        <v>0</v>
      </c>
      <c r="Q1003">
        <f t="shared" si="50"/>
        <v>0</v>
      </c>
    </row>
    <row r="1004" spans="1:17" x14ac:dyDescent="0.2">
      <c r="A1004" t="s">
        <v>21</v>
      </c>
      <c r="B1004" t="s">
        <v>1007</v>
      </c>
      <c r="C1004">
        <v>0</v>
      </c>
      <c r="D1004" s="2">
        <v>0</v>
      </c>
      <c r="E1004">
        <v>0</v>
      </c>
      <c r="F1004">
        <v>0</v>
      </c>
      <c r="G1004">
        <v>0</v>
      </c>
      <c r="H1004">
        <v>0</v>
      </c>
      <c r="I1004">
        <v>75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f t="shared" si="49"/>
        <v>0</v>
      </c>
      <c r="Q1004">
        <f t="shared" si="50"/>
        <v>0</v>
      </c>
    </row>
    <row r="1005" spans="1:17" x14ac:dyDescent="0.2">
      <c r="A1005" t="s">
        <v>21</v>
      </c>
      <c r="B1005" t="s">
        <v>1008</v>
      </c>
      <c r="C1005">
        <v>0</v>
      </c>
      <c r="D1005" s="2">
        <v>0</v>
      </c>
      <c r="E1005">
        <v>0</v>
      </c>
      <c r="F1005">
        <v>0</v>
      </c>
      <c r="G1005">
        <v>0</v>
      </c>
      <c r="H1005">
        <v>0</v>
      </c>
      <c r="I1005">
        <v>115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f t="shared" si="49"/>
        <v>0</v>
      </c>
      <c r="Q1005">
        <f t="shared" si="50"/>
        <v>0</v>
      </c>
    </row>
    <row r="1006" spans="1:17" x14ac:dyDescent="0.2">
      <c r="A1006" t="s">
        <v>21</v>
      </c>
      <c r="B1006" t="s">
        <v>1009</v>
      </c>
      <c r="C1006">
        <v>160</v>
      </c>
      <c r="D1006" s="2">
        <v>0</v>
      </c>
      <c r="E1006">
        <v>0</v>
      </c>
      <c r="F1006">
        <v>0</v>
      </c>
      <c r="G1006">
        <v>0</v>
      </c>
      <c r="H1006">
        <v>0</v>
      </c>
      <c r="I1006">
        <v>35</v>
      </c>
      <c r="J1006">
        <v>42</v>
      </c>
      <c r="K1006">
        <v>0</v>
      </c>
      <c r="L1006">
        <v>42</v>
      </c>
      <c r="M1006">
        <v>0</v>
      </c>
      <c r="N1006">
        <v>202</v>
      </c>
      <c r="O1006" s="3">
        <f t="shared" ref="O1006:O1026" si="53">M1006/C1006*100</f>
        <v>0</v>
      </c>
      <c r="P1006">
        <f t="shared" si="49"/>
        <v>0</v>
      </c>
      <c r="Q1006">
        <f t="shared" si="50"/>
        <v>0</v>
      </c>
    </row>
    <row r="1007" spans="1:17" x14ac:dyDescent="0.2">
      <c r="A1007" t="s">
        <v>21</v>
      </c>
      <c r="B1007" t="s">
        <v>1010</v>
      </c>
      <c r="C1007">
        <v>210</v>
      </c>
      <c r="D1007" s="2">
        <v>0</v>
      </c>
      <c r="E1007">
        <v>0</v>
      </c>
      <c r="F1007">
        <v>0</v>
      </c>
      <c r="G1007">
        <v>0</v>
      </c>
      <c r="H1007">
        <v>0</v>
      </c>
      <c r="I1007">
        <v>45</v>
      </c>
      <c r="J1007">
        <v>57</v>
      </c>
      <c r="K1007">
        <v>0</v>
      </c>
      <c r="L1007">
        <v>57</v>
      </c>
      <c r="M1007">
        <v>0</v>
      </c>
      <c r="N1007">
        <v>267</v>
      </c>
      <c r="O1007" s="3">
        <f t="shared" si="53"/>
        <v>0</v>
      </c>
      <c r="P1007">
        <f t="shared" si="49"/>
        <v>0</v>
      </c>
      <c r="Q1007">
        <f t="shared" si="50"/>
        <v>0</v>
      </c>
    </row>
    <row r="1008" spans="1:17" x14ac:dyDescent="0.2">
      <c r="A1008" t="s">
        <v>21</v>
      </c>
      <c r="B1008" t="s">
        <v>1011</v>
      </c>
      <c r="C1008">
        <v>260</v>
      </c>
      <c r="D1008" s="2">
        <v>0</v>
      </c>
      <c r="E1008">
        <v>0</v>
      </c>
      <c r="F1008">
        <v>0</v>
      </c>
      <c r="G1008">
        <v>0</v>
      </c>
      <c r="H1008">
        <v>0</v>
      </c>
      <c r="I1008">
        <v>55</v>
      </c>
      <c r="J1008">
        <v>71</v>
      </c>
      <c r="K1008">
        <v>0</v>
      </c>
      <c r="L1008">
        <v>71</v>
      </c>
      <c r="M1008">
        <v>0</v>
      </c>
      <c r="N1008">
        <v>331</v>
      </c>
      <c r="O1008" s="3">
        <f t="shared" si="53"/>
        <v>0</v>
      </c>
      <c r="P1008">
        <f t="shared" si="49"/>
        <v>0</v>
      </c>
      <c r="Q1008">
        <f t="shared" si="50"/>
        <v>0</v>
      </c>
    </row>
    <row r="1009" spans="1:17" x14ac:dyDescent="0.2">
      <c r="A1009" t="s">
        <v>21</v>
      </c>
      <c r="B1009" t="s">
        <v>1012</v>
      </c>
      <c r="C1009">
        <v>400</v>
      </c>
      <c r="D1009" s="2">
        <v>0</v>
      </c>
      <c r="E1009">
        <v>0</v>
      </c>
      <c r="F1009">
        <v>0</v>
      </c>
      <c r="G1009">
        <v>0</v>
      </c>
      <c r="H1009">
        <v>0</v>
      </c>
      <c r="I1009">
        <v>80</v>
      </c>
      <c r="J1009">
        <v>106</v>
      </c>
      <c r="K1009">
        <v>0</v>
      </c>
      <c r="L1009">
        <v>106</v>
      </c>
      <c r="M1009">
        <v>0</v>
      </c>
      <c r="N1009">
        <v>506</v>
      </c>
      <c r="O1009" s="3">
        <f t="shared" si="53"/>
        <v>0</v>
      </c>
      <c r="P1009">
        <f t="shared" si="49"/>
        <v>0</v>
      </c>
      <c r="Q1009">
        <f t="shared" si="50"/>
        <v>0</v>
      </c>
    </row>
    <row r="1010" spans="1:17" x14ac:dyDescent="0.2">
      <c r="A1010" t="s">
        <v>21</v>
      </c>
      <c r="B1010" t="s">
        <v>1013</v>
      </c>
      <c r="C1010">
        <v>160</v>
      </c>
      <c r="D1010" s="2">
        <v>0</v>
      </c>
      <c r="E1010">
        <v>0</v>
      </c>
      <c r="F1010">
        <v>0</v>
      </c>
      <c r="G1010">
        <v>0</v>
      </c>
      <c r="H1010">
        <v>0</v>
      </c>
      <c r="I1010">
        <v>70</v>
      </c>
      <c r="J1010">
        <v>44</v>
      </c>
      <c r="K1010">
        <v>0</v>
      </c>
      <c r="L1010">
        <v>44</v>
      </c>
      <c r="M1010">
        <v>0</v>
      </c>
      <c r="N1010">
        <v>204</v>
      </c>
      <c r="O1010" s="3">
        <f t="shared" si="53"/>
        <v>0</v>
      </c>
      <c r="P1010">
        <f t="shared" si="49"/>
        <v>0</v>
      </c>
      <c r="Q1010">
        <f t="shared" si="50"/>
        <v>0</v>
      </c>
    </row>
    <row r="1011" spans="1:17" x14ac:dyDescent="0.2">
      <c r="A1011" t="s">
        <v>21</v>
      </c>
      <c r="B1011" t="s">
        <v>1014</v>
      </c>
      <c r="C1011">
        <v>220</v>
      </c>
      <c r="D1011" s="2">
        <v>0</v>
      </c>
      <c r="E1011">
        <v>0</v>
      </c>
      <c r="F1011">
        <v>0</v>
      </c>
      <c r="G1011">
        <v>0</v>
      </c>
      <c r="H1011">
        <v>0</v>
      </c>
      <c r="I1011">
        <v>95</v>
      </c>
      <c r="J1011">
        <v>58</v>
      </c>
      <c r="K1011">
        <v>0</v>
      </c>
      <c r="L1011">
        <v>58</v>
      </c>
      <c r="M1011">
        <v>0</v>
      </c>
      <c r="N1011">
        <v>278</v>
      </c>
      <c r="O1011" s="3">
        <f t="shared" si="53"/>
        <v>0</v>
      </c>
      <c r="P1011">
        <f t="shared" si="49"/>
        <v>0</v>
      </c>
      <c r="Q1011">
        <f t="shared" si="50"/>
        <v>0</v>
      </c>
    </row>
    <row r="1012" spans="1:17" x14ac:dyDescent="0.2">
      <c r="A1012" t="s">
        <v>21</v>
      </c>
      <c r="B1012" t="s">
        <v>1015</v>
      </c>
      <c r="C1012">
        <v>270</v>
      </c>
      <c r="D1012" s="2">
        <v>0</v>
      </c>
      <c r="E1012">
        <v>0</v>
      </c>
      <c r="F1012">
        <v>0</v>
      </c>
      <c r="G1012">
        <v>0</v>
      </c>
      <c r="H1012">
        <v>0</v>
      </c>
      <c r="I1012">
        <v>120</v>
      </c>
      <c r="J1012">
        <v>73</v>
      </c>
      <c r="K1012">
        <v>0</v>
      </c>
      <c r="L1012">
        <v>73</v>
      </c>
      <c r="M1012">
        <v>0</v>
      </c>
      <c r="N1012">
        <v>343</v>
      </c>
      <c r="O1012" s="3">
        <f t="shared" si="53"/>
        <v>0</v>
      </c>
      <c r="P1012">
        <f t="shared" si="49"/>
        <v>0</v>
      </c>
      <c r="Q1012">
        <f t="shared" si="50"/>
        <v>0</v>
      </c>
    </row>
    <row r="1013" spans="1:17" x14ac:dyDescent="0.2">
      <c r="A1013" t="s">
        <v>21</v>
      </c>
      <c r="B1013" t="s">
        <v>1016</v>
      </c>
      <c r="C1013">
        <v>410</v>
      </c>
      <c r="D1013" s="2">
        <v>0</v>
      </c>
      <c r="E1013">
        <v>0</v>
      </c>
      <c r="F1013">
        <v>0</v>
      </c>
      <c r="G1013">
        <v>0</v>
      </c>
      <c r="H1013">
        <v>0</v>
      </c>
      <c r="I1013">
        <v>180</v>
      </c>
      <c r="J1013">
        <v>109</v>
      </c>
      <c r="K1013">
        <v>0</v>
      </c>
      <c r="L1013">
        <v>109</v>
      </c>
      <c r="M1013">
        <v>0</v>
      </c>
      <c r="N1013">
        <v>519</v>
      </c>
      <c r="O1013" s="3">
        <f t="shared" si="53"/>
        <v>0</v>
      </c>
      <c r="P1013">
        <f t="shared" si="49"/>
        <v>0</v>
      </c>
      <c r="Q1013">
        <f t="shared" si="50"/>
        <v>0</v>
      </c>
    </row>
    <row r="1014" spans="1:17" x14ac:dyDescent="0.2">
      <c r="A1014" t="s">
        <v>21</v>
      </c>
      <c r="B1014" t="s">
        <v>1017</v>
      </c>
      <c r="C1014">
        <v>150</v>
      </c>
      <c r="D1014" s="2">
        <v>0</v>
      </c>
      <c r="E1014">
        <v>0</v>
      </c>
      <c r="F1014">
        <v>0</v>
      </c>
      <c r="G1014">
        <v>0</v>
      </c>
      <c r="H1014">
        <v>0</v>
      </c>
      <c r="I1014">
        <v>35</v>
      </c>
      <c r="J1014">
        <v>41</v>
      </c>
      <c r="K1014">
        <v>0</v>
      </c>
      <c r="L1014">
        <v>41</v>
      </c>
      <c r="M1014">
        <v>0</v>
      </c>
      <c r="N1014">
        <v>191</v>
      </c>
      <c r="O1014" s="3">
        <f t="shared" si="53"/>
        <v>0</v>
      </c>
      <c r="P1014">
        <f t="shared" si="49"/>
        <v>0</v>
      </c>
      <c r="Q1014">
        <f t="shared" si="50"/>
        <v>0</v>
      </c>
    </row>
    <row r="1015" spans="1:17" x14ac:dyDescent="0.2">
      <c r="A1015" t="s">
        <v>21</v>
      </c>
      <c r="B1015" t="s">
        <v>1018</v>
      </c>
      <c r="C1015">
        <v>200</v>
      </c>
      <c r="D1015" s="2">
        <v>0</v>
      </c>
      <c r="E1015">
        <v>0</v>
      </c>
      <c r="F1015">
        <v>0</v>
      </c>
      <c r="G1015">
        <v>0</v>
      </c>
      <c r="H1015">
        <v>0</v>
      </c>
      <c r="I1015">
        <v>45</v>
      </c>
      <c r="J1015">
        <v>54</v>
      </c>
      <c r="K1015">
        <v>0</v>
      </c>
      <c r="L1015">
        <v>54</v>
      </c>
      <c r="M1015">
        <v>0</v>
      </c>
      <c r="N1015">
        <v>254</v>
      </c>
      <c r="O1015" s="3">
        <f t="shared" si="53"/>
        <v>0</v>
      </c>
      <c r="P1015">
        <f t="shared" si="49"/>
        <v>0</v>
      </c>
      <c r="Q1015">
        <f t="shared" si="50"/>
        <v>0</v>
      </c>
    </row>
    <row r="1016" spans="1:17" x14ac:dyDescent="0.2">
      <c r="A1016" t="s">
        <v>21</v>
      </c>
      <c r="B1016" t="s">
        <v>1019</v>
      </c>
      <c r="C1016">
        <v>260</v>
      </c>
      <c r="D1016" s="2">
        <v>0</v>
      </c>
      <c r="E1016">
        <v>0</v>
      </c>
      <c r="F1016">
        <v>0</v>
      </c>
      <c r="G1016">
        <v>0</v>
      </c>
      <c r="H1016">
        <v>0</v>
      </c>
      <c r="I1016">
        <v>55</v>
      </c>
      <c r="J1016">
        <v>68</v>
      </c>
      <c r="K1016">
        <v>0</v>
      </c>
      <c r="L1016">
        <v>68</v>
      </c>
      <c r="M1016">
        <v>0</v>
      </c>
      <c r="N1016">
        <v>328</v>
      </c>
      <c r="O1016" s="3">
        <f t="shared" si="53"/>
        <v>0</v>
      </c>
      <c r="P1016">
        <f t="shared" si="49"/>
        <v>0</v>
      </c>
      <c r="Q1016">
        <f t="shared" si="50"/>
        <v>0</v>
      </c>
    </row>
    <row r="1017" spans="1:17" x14ac:dyDescent="0.2">
      <c r="A1017" t="s">
        <v>21</v>
      </c>
      <c r="B1017" t="s">
        <v>1020</v>
      </c>
      <c r="C1017">
        <v>380</v>
      </c>
      <c r="D1017" s="2">
        <v>0</v>
      </c>
      <c r="E1017">
        <v>0</v>
      </c>
      <c r="F1017">
        <v>0</v>
      </c>
      <c r="G1017">
        <v>0</v>
      </c>
      <c r="H1017">
        <v>0</v>
      </c>
      <c r="I1017">
        <v>80</v>
      </c>
      <c r="J1017">
        <v>101</v>
      </c>
      <c r="K1017">
        <v>0</v>
      </c>
      <c r="L1017">
        <v>101</v>
      </c>
      <c r="M1017">
        <v>0</v>
      </c>
      <c r="N1017">
        <v>481</v>
      </c>
      <c r="O1017" s="3">
        <f t="shared" si="53"/>
        <v>0</v>
      </c>
      <c r="P1017">
        <f t="shared" si="49"/>
        <v>0</v>
      </c>
      <c r="Q1017">
        <f t="shared" si="50"/>
        <v>0</v>
      </c>
    </row>
    <row r="1018" spans="1:17" x14ac:dyDescent="0.2">
      <c r="A1018" t="s">
        <v>21</v>
      </c>
      <c r="B1018" t="s">
        <v>1021</v>
      </c>
      <c r="C1018">
        <v>120</v>
      </c>
      <c r="D1018" s="2">
        <v>0</v>
      </c>
      <c r="E1018">
        <v>0</v>
      </c>
      <c r="F1018">
        <v>0</v>
      </c>
      <c r="G1018">
        <v>0</v>
      </c>
      <c r="H1018">
        <v>0</v>
      </c>
      <c r="I1018">
        <v>190</v>
      </c>
      <c r="J1018">
        <v>32</v>
      </c>
      <c r="K1018">
        <v>0</v>
      </c>
      <c r="L1018">
        <v>25</v>
      </c>
      <c r="M1018">
        <v>0</v>
      </c>
      <c r="N1018">
        <v>145</v>
      </c>
      <c r="O1018" s="3">
        <f t="shared" si="53"/>
        <v>0</v>
      </c>
      <c r="P1018">
        <f t="shared" si="49"/>
        <v>0</v>
      </c>
      <c r="Q1018">
        <f t="shared" si="50"/>
        <v>0</v>
      </c>
    </row>
    <row r="1019" spans="1:17" x14ac:dyDescent="0.2">
      <c r="A1019" t="s">
        <v>21</v>
      </c>
      <c r="B1019" t="s">
        <v>1022</v>
      </c>
      <c r="C1019">
        <v>160</v>
      </c>
      <c r="D1019" s="2">
        <v>0</v>
      </c>
      <c r="E1019">
        <v>0</v>
      </c>
      <c r="F1019">
        <v>0</v>
      </c>
      <c r="G1019">
        <v>0</v>
      </c>
      <c r="H1019">
        <v>0</v>
      </c>
      <c r="I1019">
        <v>50</v>
      </c>
      <c r="J1019">
        <v>44</v>
      </c>
      <c r="K1019">
        <v>0</v>
      </c>
      <c r="L1019">
        <v>44</v>
      </c>
      <c r="M1019">
        <v>0</v>
      </c>
      <c r="N1019">
        <v>204</v>
      </c>
      <c r="O1019" s="3">
        <f t="shared" si="53"/>
        <v>0</v>
      </c>
      <c r="P1019">
        <f t="shared" si="49"/>
        <v>0</v>
      </c>
      <c r="Q1019">
        <f t="shared" si="50"/>
        <v>0</v>
      </c>
    </row>
    <row r="1020" spans="1:17" x14ac:dyDescent="0.2">
      <c r="A1020" t="s">
        <v>21</v>
      </c>
      <c r="B1020" t="s">
        <v>1023</v>
      </c>
      <c r="C1020">
        <v>220</v>
      </c>
      <c r="D1020" s="2">
        <v>0</v>
      </c>
      <c r="E1020">
        <v>0</v>
      </c>
      <c r="F1020">
        <v>0</v>
      </c>
      <c r="G1020">
        <v>0</v>
      </c>
      <c r="H1020">
        <v>0</v>
      </c>
      <c r="I1020">
        <v>70</v>
      </c>
      <c r="J1020">
        <v>59</v>
      </c>
      <c r="K1020">
        <v>0</v>
      </c>
      <c r="L1020">
        <v>58</v>
      </c>
      <c r="M1020">
        <v>0</v>
      </c>
      <c r="N1020">
        <v>278</v>
      </c>
      <c r="O1020" s="3">
        <f t="shared" si="53"/>
        <v>0</v>
      </c>
      <c r="P1020">
        <f t="shared" si="49"/>
        <v>0</v>
      </c>
      <c r="Q1020">
        <f t="shared" si="50"/>
        <v>0</v>
      </c>
    </row>
    <row r="1021" spans="1:17" x14ac:dyDescent="0.2">
      <c r="A1021" t="s">
        <v>21</v>
      </c>
      <c r="B1021" t="s">
        <v>1024</v>
      </c>
      <c r="C1021">
        <v>270</v>
      </c>
      <c r="D1021" s="2">
        <v>0</v>
      </c>
      <c r="E1021">
        <v>0</v>
      </c>
      <c r="F1021">
        <v>0</v>
      </c>
      <c r="G1021">
        <v>0</v>
      </c>
      <c r="H1021">
        <v>0</v>
      </c>
      <c r="I1021">
        <v>85</v>
      </c>
      <c r="J1021">
        <v>73</v>
      </c>
      <c r="K1021">
        <v>0</v>
      </c>
      <c r="L1021">
        <v>73</v>
      </c>
      <c r="M1021">
        <v>0</v>
      </c>
      <c r="N1021">
        <v>343</v>
      </c>
      <c r="O1021" s="3">
        <f t="shared" si="53"/>
        <v>0</v>
      </c>
      <c r="P1021">
        <f t="shared" si="49"/>
        <v>0</v>
      </c>
      <c r="Q1021">
        <f t="shared" si="50"/>
        <v>0</v>
      </c>
    </row>
    <row r="1022" spans="1:17" x14ac:dyDescent="0.2">
      <c r="A1022" t="s">
        <v>21</v>
      </c>
      <c r="B1022" t="s">
        <v>1025</v>
      </c>
      <c r="C1022">
        <v>410</v>
      </c>
      <c r="D1022" s="2">
        <v>0</v>
      </c>
      <c r="E1022">
        <v>0</v>
      </c>
      <c r="F1022">
        <v>0</v>
      </c>
      <c r="G1022">
        <v>0</v>
      </c>
      <c r="H1022">
        <v>0</v>
      </c>
      <c r="I1022">
        <v>125</v>
      </c>
      <c r="J1022">
        <v>110</v>
      </c>
      <c r="K1022">
        <v>0</v>
      </c>
      <c r="L1022">
        <v>109</v>
      </c>
      <c r="M1022">
        <v>0</v>
      </c>
      <c r="N1022">
        <v>519</v>
      </c>
      <c r="O1022" s="3">
        <f t="shared" si="53"/>
        <v>0</v>
      </c>
      <c r="P1022">
        <f t="shared" si="49"/>
        <v>0</v>
      </c>
      <c r="Q1022">
        <f t="shared" si="50"/>
        <v>0</v>
      </c>
    </row>
    <row r="1023" spans="1:17" x14ac:dyDescent="0.2">
      <c r="A1023" t="s">
        <v>21</v>
      </c>
      <c r="B1023" t="s">
        <v>1026</v>
      </c>
      <c r="C1023">
        <v>140</v>
      </c>
      <c r="D1023" s="2">
        <v>0</v>
      </c>
      <c r="E1023">
        <v>0</v>
      </c>
      <c r="F1023">
        <v>0</v>
      </c>
      <c r="G1023">
        <v>0</v>
      </c>
      <c r="H1023">
        <v>0</v>
      </c>
      <c r="I1023">
        <v>45</v>
      </c>
      <c r="J1023">
        <v>39</v>
      </c>
      <c r="K1023">
        <v>0</v>
      </c>
      <c r="L1023">
        <v>39</v>
      </c>
      <c r="M1023">
        <v>0</v>
      </c>
      <c r="N1023">
        <v>179</v>
      </c>
      <c r="O1023" s="3">
        <f t="shared" si="53"/>
        <v>0</v>
      </c>
      <c r="P1023">
        <f t="shared" si="49"/>
        <v>0</v>
      </c>
      <c r="Q1023">
        <f t="shared" si="50"/>
        <v>0</v>
      </c>
    </row>
    <row r="1024" spans="1:17" x14ac:dyDescent="0.2">
      <c r="A1024" t="s">
        <v>21</v>
      </c>
      <c r="B1024" t="s">
        <v>1027</v>
      </c>
      <c r="C1024">
        <v>190</v>
      </c>
      <c r="D1024" s="2">
        <v>0</v>
      </c>
      <c r="E1024">
        <v>0</v>
      </c>
      <c r="F1024">
        <v>0</v>
      </c>
      <c r="G1024">
        <v>0</v>
      </c>
      <c r="H1024">
        <v>0</v>
      </c>
      <c r="I1024">
        <v>60</v>
      </c>
      <c r="J1024">
        <v>52</v>
      </c>
      <c r="K1024">
        <v>0</v>
      </c>
      <c r="L1024">
        <v>52</v>
      </c>
      <c r="M1024">
        <v>0</v>
      </c>
      <c r="N1024">
        <v>242</v>
      </c>
      <c r="O1024" s="3">
        <f t="shared" si="53"/>
        <v>0</v>
      </c>
      <c r="P1024">
        <f t="shared" si="49"/>
        <v>0</v>
      </c>
      <c r="Q1024">
        <f t="shared" si="50"/>
        <v>0</v>
      </c>
    </row>
    <row r="1025" spans="1:17" x14ac:dyDescent="0.2">
      <c r="A1025" t="s">
        <v>21</v>
      </c>
      <c r="B1025" t="s">
        <v>1028</v>
      </c>
      <c r="C1025">
        <v>240</v>
      </c>
      <c r="D1025" s="2">
        <v>0</v>
      </c>
      <c r="E1025">
        <v>0</v>
      </c>
      <c r="F1025">
        <v>0</v>
      </c>
      <c r="G1025">
        <v>0</v>
      </c>
      <c r="H1025">
        <v>0</v>
      </c>
      <c r="I1025">
        <v>75</v>
      </c>
      <c r="J1025">
        <v>65</v>
      </c>
      <c r="K1025">
        <v>0</v>
      </c>
      <c r="L1025">
        <v>65</v>
      </c>
      <c r="M1025">
        <v>0</v>
      </c>
      <c r="N1025">
        <v>305</v>
      </c>
      <c r="O1025" s="3">
        <f t="shared" si="53"/>
        <v>0</v>
      </c>
      <c r="P1025">
        <f t="shared" si="49"/>
        <v>0</v>
      </c>
      <c r="Q1025">
        <f t="shared" si="50"/>
        <v>0</v>
      </c>
    </row>
    <row r="1026" spans="1:17" x14ac:dyDescent="0.2">
      <c r="A1026" t="s">
        <v>21</v>
      </c>
      <c r="B1026" t="s">
        <v>1029</v>
      </c>
      <c r="C1026">
        <v>360</v>
      </c>
      <c r="D1026" s="2">
        <v>0</v>
      </c>
      <c r="E1026">
        <v>0</v>
      </c>
      <c r="F1026">
        <v>0</v>
      </c>
      <c r="G1026">
        <v>0</v>
      </c>
      <c r="H1026">
        <v>0</v>
      </c>
      <c r="I1026">
        <v>110</v>
      </c>
      <c r="J1026">
        <v>98</v>
      </c>
      <c r="K1026">
        <v>0</v>
      </c>
      <c r="L1026">
        <v>98</v>
      </c>
      <c r="M1026">
        <v>0</v>
      </c>
      <c r="N1026">
        <v>458</v>
      </c>
      <c r="O1026" s="3">
        <f t="shared" si="53"/>
        <v>0</v>
      </c>
      <c r="P1026">
        <f t="shared" ref="P1026:P1089" si="54">IF(I1026&gt;2300*0.2,1,0)</f>
        <v>0</v>
      </c>
      <c r="Q1026">
        <f t="shared" ref="Q1026:Q1089" si="55">IF(H1026&gt;300,1,0)</f>
        <v>0</v>
      </c>
    </row>
    <row r="1027" spans="1:17" x14ac:dyDescent="0.2">
      <c r="A1027" t="s">
        <v>21</v>
      </c>
      <c r="B1027" t="s">
        <v>1030</v>
      </c>
      <c r="C1027">
        <v>0</v>
      </c>
      <c r="D1027" s="2">
        <v>0</v>
      </c>
      <c r="E1027">
        <v>0</v>
      </c>
      <c r="F1027">
        <v>0</v>
      </c>
      <c r="G1027">
        <v>0</v>
      </c>
      <c r="H1027">
        <v>0</v>
      </c>
      <c r="I1027">
        <v>35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f t="shared" si="54"/>
        <v>0</v>
      </c>
      <c r="Q1027">
        <f t="shared" si="55"/>
        <v>0</v>
      </c>
    </row>
    <row r="1028" spans="1:17" x14ac:dyDescent="0.2">
      <c r="A1028" t="s">
        <v>21</v>
      </c>
      <c r="B1028" t="s">
        <v>1031</v>
      </c>
      <c r="C1028">
        <v>0</v>
      </c>
      <c r="D1028" s="2">
        <v>0</v>
      </c>
      <c r="E1028">
        <v>0</v>
      </c>
      <c r="F1028">
        <v>0</v>
      </c>
      <c r="G1028">
        <v>0</v>
      </c>
      <c r="H1028">
        <v>0</v>
      </c>
      <c r="I1028">
        <v>50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f t="shared" si="54"/>
        <v>0</v>
      </c>
      <c r="Q1028">
        <f t="shared" si="55"/>
        <v>0</v>
      </c>
    </row>
    <row r="1029" spans="1:17" x14ac:dyDescent="0.2">
      <c r="A1029" t="s">
        <v>21</v>
      </c>
      <c r="B1029" t="s">
        <v>1032</v>
      </c>
      <c r="C1029">
        <v>0</v>
      </c>
      <c r="D1029" s="2">
        <v>0</v>
      </c>
      <c r="E1029">
        <v>0</v>
      </c>
      <c r="F1029">
        <v>0</v>
      </c>
      <c r="G1029">
        <v>0</v>
      </c>
      <c r="H1029">
        <v>0</v>
      </c>
      <c r="I1029">
        <v>60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f t="shared" si="54"/>
        <v>0</v>
      </c>
      <c r="Q1029">
        <f t="shared" si="55"/>
        <v>0</v>
      </c>
    </row>
    <row r="1030" spans="1:17" x14ac:dyDescent="0.2">
      <c r="A1030" t="s">
        <v>21</v>
      </c>
      <c r="B1030" t="s">
        <v>1033</v>
      </c>
      <c r="C1030">
        <v>0</v>
      </c>
      <c r="D1030" s="2">
        <v>0</v>
      </c>
      <c r="E1030">
        <v>0</v>
      </c>
      <c r="F1030">
        <v>0</v>
      </c>
      <c r="G1030">
        <v>0</v>
      </c>
      <c r="H1030">
        <v>0</v>
      </c>
      <c r="I1030">
        <v>95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f t="shared" si="54"/>
        <v>0</v>
      </c>
      <c r="Q1030">
        <f t="shared" si="55"/>
        <v>0</v>
      </c>
    </row>
    <row r="1031" spans="1:17" x14ac:dyDescent="0.2">
      <c r="A1031" t="s">
        <v>21</v>
      </c>
      <c r="B1031" t="s">
        <v>1034</v>
      </c>
      <c r="C1031">
        <v>150</v>
      </c>
      <c r="D1031" s="2">
        <v>0</v>
      </c>
      <c r="E1031">
        <v>0</v>
      </c>
      <c r="F1031">
        <v>0</v>
      </c>
      <c r="G1031">
        <v>0</v>
      </c>
      <c r="H1031">
        <v>0</v>
      </c>
      <c r="I1031">
        <v>30</v>
      </c>
      <c r="J1031">
        <v>41</v>
      </c>
      <c r="K1031">
        <v>0</v>
      </c>
      <c r="L1031">
        <v>41</v>
      </c>
      <c r="M1031">
        <v>0</v>
      </c>
      <c r="N1031">
        <v>191</v>
      </c>
      <c r="O1031" s="3">
        <f>M1031/C1031*100</f>
        <v>0</v>
      </c>
      <c r="P1031">
        <f t="shared" si="54"/>
        <v>0</v>
      </c>
      <c r="Q1031">
        <f t="shared" si="55"/>
        <v>0</v>
      </c>
    </row>
    <row r="1032" spans="1:17" x14ac:dyDescent="0.2">
      <c r="A1032" t="s">
        <v>21</v>
      </c>
      <c r="B1032" t="s">
        <v>1035</v>
      </c>
      <c r="C1032">
        <v>200</v>
      </c>
      <c r="D1032" s="2">
        <v>0</v>
      </c>
      <c r="E1032">
        <v>0</v>
      </c>
      <c r="F1032">
        <v>0</v>
      </c>
      <c r="G1032">
        <v>0</v>
      </c>
      <c r="H1032">
        <v>0</v>
      </c>
      <c r="I1032">
        <v>45</v>
      </c>
      <c r="J1032">
        <v>55</v>
      </c>
      <c r="K1032">
        <v>0</v>
      </c>
      <c r="L1032">
        <v>55</v>
      </c>
      <c r="M1032">
        <v>0</v>
      </c>
      <c r="N1032">
        <v>255</v>
      </c>
      <c r="O1032" s="3">
        <f>M1032/C1032*100</f>
        <v>0</v>
      </c>
      <c r="P1032">
        <f t="shared" si="54"/>
        <v>0</v>
      </c>
      <c r="Q1032">
        <f t="shared" si="55"/>
        <v>0</v>
      </c>
    </row>
    <row r="1033" spans="1:17" x14ac:dyDescent="0.2">
      <c r="A1033" t="s">
        <v>21</v>
      </c>
      <c r="B1033" t="s">
        <v>1036</v>
      </c>
      <c r="C1033">
        <v>250</v>
      </c>
      <c r="D1033" s="2">
        <v>0</v>
      </c>
      <c r="E1033">
        <v>0</v>
      </c>
      <c r="F1033">
        <v>0</v>
      </c>
      <c r="G1033">
        <v>0</v>
      </c>
      <c r="H1033">
        <v>0</v>
      </c>
      <c r="I1033">
        <v>55</v>
      </c>
      <c r="J1033">
        <v>69</v>
      </c>
      <c r="K1033">
        <v>0</v>
      </c>
      <c r="L1033">
        <v>69</v>
      </c>
      <c r="M1033">
        <v>0</v>
      </c>
      <c r="N1033">
        <v>319</v>
      </c>
      <c r="O1033" s="3">
        <f>M1033/C1033*100</f>
        <v>0</v>
      </c>
      <c r="P1033">
        <f t="shared" si="54"/>
        <v>0</v>
      </c>
      <c r="Q1033">
        <f t="shared" si="55"/>
        <v>0</v>
      </c>
    </row>
    <row r="1034" spans="1:17" x14ac:dyDescent="0.2">
      <c r="A1034" t="s">
        <v>21</v>
      </c>
      <c r="B1034" t="s">
        <v>1037</v>
      </c>
      <c r="C1034">
        <v>380</v>
      </c>
      <c r="D1034" s="2">
        <v>0</v>
      </c>
      <c r="E1034">
        <v>0</v>
      </c>
      <c r="F1034">
        <v>0</v>
      </c>
      <c r="G1034">
        <v>0</v>
      </c>
      <c r="H1034">
        <v>0</v>
      </c>
      <c r="I1034">
        <v>80</v>
      </c>
      <c r="J1034">
        <v>104</v>
      </c>
      <c r="K1034">
        <v>0</v>
      </c>
      <c r="L1034">
        <v>103</v>
      </c>
      <c r="M1034">
        <v>0</v>
      </c>
      <c r="N1034">
        <v>483</v>
      </c>
      <c r="O1034" s="3">
        <f>M1034/C1034*100</f>
        <v>0</v>
      </c>
      <c r="P1034">
        <f t="shared" si="54"/>
        <v>0</v>
      </c>
      <c r="Q1034">
        <f t="shared" si="55"/>
        <v>0</v>
      </c>
    </row>
    <row r="1035" spans="1:17" x14ac:dyDescent="0.2">
      <c r="A1035" t="s">
        <v>21</v>
      </c>
      <c r="B1035" t="s">
        <v>1038</v>
      </c>
      <c r="C1035">
        <v>0</v>
      </c>
      <c r="D1035" s="2">
        <v>0</v>
      </c>
      <c r="E1035">
        <v>0</v>
      </c>
      <c r="F1035">
        <v>0</v>
      </c>
      <c r="G1035">
        <v>0</v>
      </c>
      <c r="H1035">
        <v>0</v>
      </c>
      <c r="I1035">
        <v>45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f t="shared" si="54"/>
        <v>0</v>
      </c>
      <c r="Q1035">
        <f t="shared" si="55"/>
        <v>0</v>
      </c>
    </row>
    <row r="1036" spans="1:17" x14ac:dyDescent="0.2">
      <c r="A1036" t="s">
        <v>21</v>
      </c>
      <c r="B1036" t="s">
        <v>1039</v>
      </c>
      <c r="C1036">
        <v>0</v>
      </c>
      <c r="D1036" s="2">
        <v>0</v>
      </c>
      <c r="E1036">
        <v>0</v>
      </c>
      <c r="F1036">
        <v>0</v>
      </c>
      <c r="G1036">
        <v>0</v>
      </c>
      <c r="H1036">
        <v>0</v>
      </c>
      <c r="I1036">
        <v>65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f t="shared" si="54"/>
        <v>0</v>
      </c>
      <c r="Q1036">
        <f t="shared" si="55"/>
        <v>0</v>
      </c>
    </row>
    <row r="1037" spans="1:17" x14ac:dyDescent="0.2">
      <c r="A1037" t="s">
        <v>21</v>
      </c>
      <c r="B1037" t="s">
        <v>1040</v>
      </c>
      <c r="C1037">
        <v>0</v>
      </c>
      <c r="D1037" s="2">
        <v>0</v>
      </c>
      <c r="E1037">
        <v>0</v>
      </c>
      <c r="F1037">
        <v>0</v>
      </c>
      <c r="G1037">
        <v>0</v>
      </c>
      <c r="H1037">
        <v>0</v>
      </c>
      <c r="I1037">
        <v>80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f t="shared" si="54"/>
        <v>0</v>
      </c>
      <c r="Q1037">
        <f t="shared" si="55"/>
        <v>0</v>
      </c>
    </row>
    <row r="1038" spans="1:17" x14ac:dyDescent="0.2">
      <c r="A1038" t="s">
        <v>21</v>
      </c>
      <c r="B1038" t="s">
        <v>1041</v>
      </c>
      <c r="C1038">
        <v>5</v>
      </c>
      <c r="D1038" s="2">
        <v>0</v>
      </c>
      <c r="E1038">
        <v>0</v>
      </c>
      <c r="F1038">
        <v>0</v>
      </c>
      <c r="G1038">
        <v>0</v>
      </c>
      <c r="H1038">
        <v>0</v>
      </c>
      <c r="I1038">
        <v>120</v>
      </c>
      <c r="J1038">
        <v>1</v>
      </c>
      <c r="K1038">
        <v>0</v>
      </c>
      <c r="L1038">
        <v>0</v>
      </c>
      <c r="M1038">
        <v>0</v>
      </c>
      <c r="N1038">
        <v>5</v>
      </c>
      <c r="O1038" s="3">
        <f t="shared" ref="O1038:O1064" si="56">M1038/C1038*100</f>
        <v>0</v>
      </c>
      <c r="P1038">
        <f t="shared" si="54"/>
        <v>0</v>
      </c>
      <c r="Q1038">
        <f t="shared" si="55"/>
        <v>0</v>
      </c>
    </row>
    <row r="1039" spans="1:17" x14ac:dyDescent="0.2">
      <c r="A1039" t="s">
        <v>21</v>
      </c>
      <c r="B1039" t="s">
        <v>1042</v>
      </c>
      <c r="C1039">
        <v>950</v>
      </c>
      <c r="D1039" s="2">
        <v>0</v>
      </c>
      <c r="E1039">
        <v>0</v>
      </c>
      <c r="F1039">
        <v>0</v>
      </c>
      <c r="G1039">
        <v>0</v>
      </c>
      <c r="H1039">
        <v>0</v>
      </c>
      <c r="I1039">
        <v>790</v>
      </c>
      <c r="J1039">
        <v>270</v>
      </c>
      <c r="K1039">
        <v>0</v>
      </c>
      <c r="L1039">
        <v>264</v>
      </c>
      <c r="M1039">
        <v>0</v>
      </c>
      <c r="N1039">
        <v>1214</v>
      </c>
      <c r="O1039" s="3">
        <f t="shared" si="56"/>
        <v>0</v>
      </c>
      <c r="P1039">
        <f t="shared" si="54"/>
        <v>1</v>
      </c>
      <c r="Q1039">
        <f t="shared" si="55"/>
        <v>0</v>
      </c>
    </row>
    <row r="1040" spans="1:17" x14ac:dyDescent="0.2">
      <c r="A1040" t="s">
        <v>21</v>
      </c>
      <c r="B1040" t="s">
        <v>1043</v>
      </c>
      <c r="C1040">
        <v>170</v>
      </c>
      <c r="D1040" s="2">
        <v>0</v>
      </c>
      <c r="E1040">
        <v>0</v>
      </c>
      <c r="F1040">
        <v>0</v>
      </c>
      <c r="G1040">
        <v>0</v>
      </c>
      <c r="H1040">
        <v>0</v>
      </c>
      <c r="I1040">
        <v>130</v>
      </c>
      <c r="J1040">
        <v>45</v>
      </c>
      <c r="K1040">
        <v>0</v>
      </c>
      <c r="L1040">
        <v>44</v>
      </c>
      <c r="M1040">
        <v>0</v>
      </c>
      <c r="N1040">
        <v>214</v>
      </c>
      <c r="O1040" s="3">
        <f t="shared" si="56"/>
        <v>0</v>
      </c>
      <c r="P1040">
        <f t="shared" si="54"/>
        <v>0</v>
      </c>
      <c r="Q1040">
        <f t="shared" si="55"/>
        <v>0</v>
      </c>
    </row>
    <row r="1041" spans="1:17" x14ac:dyDescent="0.2">
      <c r="A1041" t="s">
        <v>21</v>
      </c>
      <c r="B1041" t="s">
        <v>1044</v>
      </c>
      <c r="C1041">
        <v>170</v>
      </c>
      <c r="D1041" s="2">
        <v>0</v>
      </c>
      <c r="E1041">
        <v>0</v>
      </c>
      <c r="F1041">
        <v>0</v>
      </c>
      <c r="G1041">
        <v>0</v>
      </c>
      <c r="H1041">
        <v>0</v>
      </c>
      <c r="I1041">
        <v>35</v>
      </c>
      <c r="J1041">
        <v>45</v>
      </c>
      <c r="K1041">
        <v>0</v>
      </c>
      <c r="L1041">
        <v>45</v>
      </c>
      <c r="M1041">
        <v>0</v>
      </c>
      <c r="N1041">
        <v>215</v>
      </c>
      <c r="O1041" s="3">
        <f t="shared" si="56"/>
        <v>0</v>
      </c>
      <c r="P1041">
        <f t="shared" si="54"/>
        <v>0</v>
      </c>
      <c r="Q1041">
        <f t="shared" si="55"/>
        <v>0</v>
      </c>
    </row>
    <row r="1042" spans="1:17" x14ac:dyDescent="0.2">
      <c r="A1042" t="s">
        <v>21</v>
      </c>
      <c r="B1042" t="s">
        <v>1045</v>
      </c>
      <c r="C1042">
        <v>230</v>
      </c>
      <c r="D1042" s="2">
        <v>0</v>
      </c>
      <c r="E1042">
        <v>0</v>
      </c>
      <c r="F1042">
        <v>0</v>
      </c>
      <c r="G1042">
        <v>0</v>
      </c>
      <c r="H1042">
        <v>0</v>
      </c>
      <c r="I1042">
        <v>45</v>
      </c>
      <c r="J1042">
        <v>60</v>
      </c>
      <c r="K1042">
        <v>0</v>
      </c>
      <c r="L1042">
        <v>60</v>
      </c>
      <c r="M1042">
        <v>0</v>
      </c>
      <c r="N1042">
        <v>290</v>
      </c>
      <c r="O1042" s="3">
        <f t="shared" si="56"/>
        <v>0</v>
      </c>
      <c r="P1042">
        <f t="shared" si="54"/>
        <v>0</v>
      </c>
      <c r="Q1042">
        <f t="shared" si="55"/>
        <v>0</v>
      </c>
    </row>
    <row r="1043" spans="1:17" x14ac:dyDescent="0.2">
      <c r="A1043" t="s">
        <v>21</v>
      </c>
      <c r="B1043" t="s">
        <v>1046</v>
      </c>
      <c r="C1043">
        <v>280</v>
      </c>
      <c r="D1043" s="2">
        <v>0</v>
      </c>
      <c r="E1043">
        <v>0</v>
      </c>
      <c r="F1043">
        <v>0</v>
      </c>
      <c r="G1043">
        <v>0</v>
      </c>
      <c r="H1043">
        <v>0</v>
      </c>
      <c r="I1043">
        <v>60</v>
      </c>
      <c r="J1043">
        <v>75</v>
      </c>
      <c r="K1043">
        <v>0</v>
      </c>
      <c r="L1043">
        <v>75</v>
      </c>
      <c r="M1043">
        <v>0</v>
      </c>
      <c r="N1043">
        <v>355</v>
      </c>
      <c r="O1043" s="3">
        <f t="shared" si="56"/>
        <v>0</v>
      </c>
      <c r="P1043">
        <f t="shared" si="54"/>
        <v>0</v>
      </c>
      <c r="Q1043">
        <f t="shared" si="55"/>
        <v>0</v>
      </c>
    </row>
    <row r="1044" spans="1:17" x14ac:dyDescent="0.2">
      <c r="A1044" t="s">
        <v>21</v>
      </c>
      <c r="B1044" t="s">
        <v>1047</v>
      </c>
      <c r="C1044">
        <v>420</v>
      </c>
      <c r="D1044" s="2">
        <v>0</v>
      </c>
      <c r="E1044">
        <v>0</v>
      </c>
      <c r="F1044">
        <v>0</v>
      </c>
      <c r="G1044">
        <v>0</v>
      </c>
      <c r="H1044">
        <v>0</v>
      </c>
      <c r="I1044">
        <v>90</v>
      </c>
      <c r="J1044">
        <v>113</v>
      </c>
      <c r="K1044">
        <v>0</v>
      </c>
      <c r="L1044">
        <v>112</v>
      </c>
      <c r="M1044">
        <v>0</v>
      </c>
      <c r="N1044">
        <v>532</v>
      </c>
      <c r="O1044" s="3">
        <f t="shared" si="56"/>
        <v>0</v>
      </c>
      <c r="P1044">
        <f t="shared" si="54"/>
        <v>0</v>
      </c>
      <c r="Q1044">
        <f t="shared" si="55"/>
        <v>0</v>
      </c>
    </row>
    <row r="1045" spans="1:17" x14ac:dyDescent="0.2">
      <c r="A1045" t="s">
        <v>21</v>
      </c>
      <c r="B1045" t="s">
        <v>1048</v>
      </c>
      <c r="C1045">
        <v>5</v>
      </c>
      <c r="D1045" s="2">
        <v>0</v>
      </c>
      <c r="E1045">
        <v>0</v>
      </c>
      <c r="F1045">
        <v>0</v>
      </c>
      <c r="G1045">
        <v>0</v>
      </c>
      <c r="H1045">
        <v>0</v>
      </c>
      <c r="I1045">
        <v>140</v>
      </c>
      <c r="J1045">
        <v>0</v>
      </c>
      <c r="K1045">
        <v>0</v>
      </c>
      <c r="L1045">
        <v>0</v>
      </c>
      <c r="M1045">
        <v>0</v>
      </c>
      <c r="N1045">
        <v>5</v>
      </c>
      <c r="O1045" s="3">
        <f t="shared" si="56"/>
        <v>0</v>
      </c>
      <c r="P1045">
        <f t="shared" si="54"/>
        <v>0</v>
      </c>
      <c r="Q1045">
        <f t="shared" si="55"/>
        <v>0</v>
      </c>
    </row>
    <row r="1046" spans="1:17" x14ac:dyDescent="0.2">
      <c r="A1046" t="s">
        <v>21</v>
      </c>
      <c r="B1046" t="s">
        <v>1049</v>
      </c>
      <c r="C1046">
        <v>10</v>
      </c>
      <c r="D1046" s="2">
        <v>0</v>
      </c>
      <c r="E1046">
        <v>0</v>
      </c>
      <c r="F1046">
        <v>0</v>
      </c>
      <c r="G1046">
        <v>0</v>
      </c>
      <c r="H1046">
        <v>0</v>
      </c>
      <c r="I1046">
        <v>190</v>
      </c>
      <c r="J1046">
        <v>0</v>
      </c>
      <c r="K1046">
        <v>0</v>
      </c>
      <c r="L1046">
        <v>0</v>
      </c>
      <c r="M1046">
        <v>0</v>
      </c>
      <c r="N1046">
        <v>10</v>
      </c>
      <c r="O1046" s="3">
        <f t="shared" si="56"/>
        <v>0</v>
      </c>
      <c r="P1046">
        <f t="shared" si="54"/>
        <v>0</v>
      </c>
      <c r="Q1046">
        <f t="shared" si="55"/>
        <v>0</v>
      </c>
    </row>
    <row r="1047" spans="1:17" x14ac:dyDescent="0.2">
      <c r="A1047" t="s">
        <v>21</v>
      </c>
      <c r="B1047" t="s">
        <v>1050</v>
      </c>
      <c r="C1047">
        <v>10</v>
      </c>
      <c r="D1047" s="2">
        <v>0</v>
      </c>
      <c r="E1047">
        <v>0</v>
      </c>
      <c r="F1047">
        <v>0</v>
      </c>
      <c r="G1047">
        <v>0</v>
      </c>
      <c r="H1047">
        <v>0</v>
      </c>
      <c r="I1047">
        <v>240</v>
      </c>
      <c r="J1047">
        <v>0</v>
      </c>
      <c r="K1047">
        <v>0</v>
      </c>
      <c r="L1047">
        <v>0</v>
      </c>
      <c r="M1047">
        <v>0</v>
      </c>
      <c r="N1047">
        <v>10</v>
      </c>
      <c r="O1047" s="3">
        <f t="shared" si="56"/>
        <v>0</v>
      </c>
      <c r="P1047">
        <f t="shared" si="54"/>
        <v>0</v>
      </c>
      <c r="Q1047">
        <f t="shared" si="55"/>
        <v>0</v>
      </c>
    </row>
    <row r="1048" spans="1:17" x14ac:dyDescent="0.2">
      <c r="A1048" t="s">
        <v>21</v>
      </c>
      <c r="B1048" t="s">
        <v>1051</v>
      </c>
      <c r="C1048">
        <v>15</v>
      </c>
      <c r="D1048" s="2">
        <v>0</v>
      </c>
      <c r="E1048">
        <v>0</v>
      </c>
      <c r="F1048">
        <v>0</v>
      </c>
      <c r="G1048">
        <v>0</v>
      </c>
      <c r="H1048">
        <v>0</v>
      </c>
      <c r="I1048">
        <v>350</v>
      </c>
      <c r="J1048">
        <v>1</v>
      </c>
      <c r="K1048">
        <v>0</v>
      </c>
      <c r="L1048">
        <v>0</v>
      </c>
      <c r="M1048">
        <v>0</v>
      </c>
      <c r="N1048">
        <v>15</v>
      </c>
      <c r="O1048" s="3">
        <f t="shared" si="56"/>
        <v>0</v>
      </c>
      <c r="P1048">
        <f t="shared" si="54"/>
        <v>0</v>
      </c>
      <c r="Q1048">
        <f t="shared" si="55"/>
        <v>0</v>
      </c>
    </row>
    <row r="1049" spans="1:17" x14ac:dyDescent="0.2">
      <c r="A1049" t="s">
        <v>21</v>
      </c>
      <c r="B1049" t="s">
        <v>1052</v>
      </c>
      <c r="C1049">
        <v>150</v>
      </c>
      <c r="D1049" s="2">
        <v>0</v>
      </c>
      <c r="E1049">
        <v>0</v>
      </c>
      <c r="F1049">
        <v>0</v>
      </c>
      <c r="G1049">
        <v>0</v>
      </c>
      <c r="H1049">
        <v>0</v>
      </c>
      <c r="I1049">
        <v>160</v>
      </c>
      <c r="J1049">
        <v>40</v>
      </c>
      <c r="K1049">
        <v>0</v>
      </c>
      <c r="L1049">
        <v>40</v>
      </c>
      <c r="M1049">
        <v>0</v>
      </c>
      <c r="N1049">
        <v>190</v>
      </c>
      <c r="O1049" s="3">
        <f t="shared" si="56"/>
        <v>0</v>
      </c>
      <c r="P1049">
        <f t="shared" si="54"/>
        <v>0</v>
      </c>
      <c r="Q1049">
        <f t="shared" si="55"/>
        <v>0</v>
      </c>
    </row>
    <row r="1050" spans="1:17" x14ac:dyDescent="0.2">
      <c r="A1050" t="s">
        <v>21</v>
      </c>
      <c r="B1050" t="s">
        <v>1053</v>
      </c>
      <c r="C1050">
        <v>210</v>
      </c>
      <c r="D1050" s="2">
        <v>0</v>
      </c>
      <c r="E1050">
        <v>0</v>
      </c>
      <c r="F1050">
        <v>0</v>
      </c>
      <c r="G1050">
        <v>0</v>
      </c>
      <c r="H1050">
        <v>0</v>
      </c>
      <c r="I1050">
        <v>210</v>
      </c>
      <c r="J1050">
        <v>53</v>
      </c>
      <c r="K1050">
        <v>0</v>
      </c>
      <c r="L1050">
        <v>53</v>
      </c>
      <c r="M1050">
        <v>0</v>
      </c>
      <c r="N1050">
        <v>263</v>
      </c>
      <c r="O1050" s="3">
        <f t="shared" si="56"/>
        <v>0</v>
      </c>
      <c r="P1050">
        <f t="shared" si="54"/>
        <v>0</v>
      </c>
      <c r="Q1050">
        <f t="shared" si="55"/>
        <v>0</v>
      </c>
    </row>
    <row r="1051" spans="1:17" x14ac:dyDescent="0.2">
      <c r="A1051" t="s">
        <v>21</v>
      </c>
      <c r="B1051" t="s">
        <v>1054</v>
      </c>
      <c r="C1051">
        <v>260</v>
      </c>
      <c r="D1051" s="2">
        <v>0</v>
      </c>
      <c r="E1051">
        <v>0</v>
      </c>
      <c r="F1051">
        <v>0</v>
      </c>
      <c r="G1051">
        <v>0</v>
      </c>
      <c r="H1051">
        <v>0</v>
      </c>
      <c r="I1051">
        <v>260</v>
      </c>
      <c r="J1051">
        <v>67</v>
      </c>
      <c r="K1051">
        <v>0</v>
      </c>
      <c r="L1051">
        <v>67</v>
      </c>
      <c r="M1051">
        <v>0</v>
      </c>
      <c r="N1051">
        <v>327</v>
      </c>
      <c r="O1051" s="3">
        <f t="shared" si="56"/>
        <v>0</v>
      </c>
      <c r="P1051">
        <f t="shared" si="54"/>
        <v>0</v>
      </c>
      <c r="Q1051">
        <f t="shared" si="55"/>
        <v>0</v>
      </c>
    </row>
    <row r="1052" spans="1:17" x14ac:dyDescent="0.2">
      <c r="A1052" t="s">
        <v>21</v>
      </c>
      <c r="B1052" t="s">
        <v>1055</v>
      </c>
      <c r="C1052">
        <v>390</v>
      </c>
      <c r="D1052" s="2">
        <v>0</v>
      </c>
      <c r="E1052">
        <v>0</v>
      </c>
      <c r="F1052">
        <v>0</v>
      </c>
      <c r="G1052">
        <v>0</v>
      </c>
      <c r="H1052">
        <v>0</v>
      </c>
      <c r="I1052">
        <v>390</v>
      </c>
      <c r="J1052">
        <v>100</v>
      </c>
      <c r="K1052">
        <v>0</v>
      </c>
      <c r="L1052">
        <v>100</v>
      </c>
      <c r="M1052">
        <v>0</v>
      </c>
      <c r="N1052">
        <v>490</v>
      </c>
      <c r="O1052" s="3">
        <f t="shared" si="56"/>
        <v>0</v>
      </c>
      <c r="P1052">
        <f t="shared" si="54"/>
        <v>0</v>
      </c>
      <c r="Q1052">
        <f t="shared" si="55"/>
        <v>0</v>
      </c>
    </row>
    <row r="1053" spans="1:17" x14ac:dyDescent="0.2">
      <c r="A1053" t="s">
        <v>21</v>
      </c>
      <c r="B1053" t="s">
        <v>1056</v>
      </c>
      <c r="C1053">
        <v>170</v>
      </c>
      <c r="D1053" s="2">
        <v>0</v>
      </c>
      <c r="E1053">
        <v>0</v>
      </c>
      <c r="F1053">
        <v>0</v>
      </c>
      <c r="G1053">
        <v>0</v>
      </c>
      <c r="H1053">
        <v>0</v>
      </c>
      <c r="I1053">
        <v>35</v>
      </c>
      <c r="J1053">
        <v>46</v>
      </c>
      <c r="K1053">
        <v>0</v>
      </c>
      <c r="L1053">
        <v>46</v>
      </c>
      <c r="M1053">
        <v>0</v>
      </c>
      <c r="N1053">
        <v>216</v>
      </c>
      <c r="O1053" s="3">
        <f t="shared" si="56"/>
        <v>0</v>
      </c>
      <c r="P1053">
        <f t="shared" si="54"/>
        <v>0</v>
      </c>
      <c r="Q1053">
        <f t="shared" si="55"/>
        <v>0</v>
      </c>
    </row>
    <row r="1054" spans="1:17" x14ac:dyDescent="0.2">
      <c r="A1054" t="s">
        <v>21</v>
      </c>
      <c r="B1054" t="s">
        <v>1057</v>
      </c>
      <c r="C1054">
        <v>230</v>
      </c>
      <c r="D1054" s="2">
        <v>0</v>
      </c>
      <c r="E1054">
        <v>0</v>
      </c>
      <c r="F1054">
        <v>0</v>
      </c>
      <c r="G1054">
        <v>0</v>
      </c>
      <c r="H1054">
        <v>0</v>
      </c>
      <c r="I1054">
        <v>50</v>
      </c>
      <c r="J1054">
        <v>61</v>
      </c>
      <c r="K1054">
        <v>0</v>
      </c>
      <c r="L1054">
        <v>61</v>
      </c>
      <c r="M1054">
        <v>0</v>
      </c>
      <c r="N1054">
        <v>291</v>
      </c>
      <c r="O1054" s="3">
        <f t="shared" si="56"/>
        <v>0</v>
      </c>
      <c r="P1054">
        <f t="shared" si="54"/>
        <v>0</v>
      </c>
      <c r="Q1054">
        <f t="shared" si="55"/>
        <v>0</v>
      </c>
    </row>
    <row r="1055" spans="1:17" x14ac:dyDescent="0.2">
      <c r="A1055" t="s">
        <v>21</v>
      </c>
      <c r="B1055" t="s">
        <v>1058</v>
      </c>
      <c r="C1055">
        <v>290</v>
      </c>
      <c r="D1055" s="2">
        <v>0</v>
      </c>
      <c r="E1055">
        <v>0</v>
      </c>
      <c r="F1055">
        <v>0</v>
      </c>
      <c r="G1055">
        <v>0</v>
      </c>
      <c r="H1055">
        <v>0</v>
      </c>
      <c r="I1055">
        <v>60</v>
      </c>
      <c r="J1055">
        <v>76</v>
      </c>
      <c r="K1055">
        <v>0</v>
      </c>
      <c r="L1055">
        <v>76</v>
      </c>
      <c r="M1055">
        <v>0</v>
      </c>
      <c r="N1055">
        <v>366</v>
      </c>
      <c r="O1055" s="3">
        <f t="shared" si="56"/>
        <v>0</v>
      </c>
      <c r="P1055">
        <f t="shared" si="54"/>
        <v>0</v>
      </c>
      <c r="Q1055">
        <f t="shared" si="55"/>
        <v>0</v>
      </c>
    </row>
    <row r="1056" spans="1:17" x14ac:dyDescent="0.2">
      <c r="A1056" t="s">
        <v>21</v>
      </c>
      <c r="B1056" t="s">
        <v>1059</v>
      </c>
      <c r="C1056">
        <v>430</v>
      </c>
      <c r="D1056" s="2">
        <v>0</v>
      </c>
      <c r="E1056">
        <v>0</v>
      </c>
      <c r="F1056">
        <v>0</v>
      </c>
      <c r="G1056">
        <v>0</v>
      </c>
      <c r="H1056">
        <v>0</v>
      </c>
      <c r="I1056">
        <v>90</v>
      </c>
      <c r="J1056">
        <v>115</v>
      </c>
      <c r="K1056">
        <v>0</v>
      </c>
      <c r="L1056">
        <v>114</v>
      </c>
      <c r="M1056">
        <v>0</v>
      </c>
      <c r="N1056">
        <v>544</v>
      </c>
      <c r="O1056" s="3">
        <f t="shared" si="56"/>
        <v>0</v>
      </c>
      <c r="P1056">
        <f t="shared" si="54"/>
        <v>0</v>
      </c>
      <c r="Q1056">
        <f t="shared" si="55"/>
        <v>0</v>
      </c>
    </row>
    <row r="1057" spans="1:17" x14ac:dyDescent="0.2">
      <c r="A1057" t="s">
        <v>21</v>
      </c>
      <c r="B1057" t="s">
        <v>1060</v>
      </c>
      <c r="C1057">
        <v>160</v>
      </c>
      <c r="D1057" s="2">
        <v>0</v>
      </c>
      <c r="E1057">
        <v>0</v>
      </c>
      <c r="F1057">
        <v>0</v>
      </c>
      <c r="G1057">
        <v>0</v>
      </c>
      <c r="H1057">
        <v>0</v>
      </c>
      <c r="I1057">
        <v>30</v>
      </c>
      <c r="J1057">
        <v>42</v>
      </c>
      <c r="K1057">
        <v>0</v>
      </c>
      <c r="L1057">
        <v>42</v>
      </c>
      <c r="M1057">
        <v>0</v>
      </c>
      <c r="N1057">
        <v>202</v>
      </c>
      <c r="O1057" s="3">
        <f t="shared" si="56"/>
        <v>0</v>
      </c>
      <c r="P1057">
        <f t="shared" si="54"/>
        <v>0</v>
      </c>
      <c r="Q1057">
        <f t="shared" si="55"/>
        <v>0</v>
      </c>
    </row>
    <row r="1058" spans="1:17" x14ac:dyDescent="0.2">
      <c r="A1058" t="s">
        <v>21</v>
      </c>
      <c r="B1058" t="s">
        <v>1061</v>
      </c>
      <c r="C1058">
        <v>210</v>
      </c>
      <c r="D1058" s="2">
        <v>0</v>
      </c>
      <c r="E1058">
        <v>0</v>
      </c>
      <c r="F1058">
        <v>0</v>
      </c>
      <c r="G1058">
        <v>0</v>
      </c>
      <c r="H1058">
        <v>0</v>
      </c>
      <c r="I1058">
        <v>40</v>
      </c>
      <c r="J1058">
        <v>56</v>
      </c>
      <c r="K1058">
        <v>0</v>
      </c>
      <c r="L1058">
        <v>56</v>
      </c>
      <c r="M1058">
        <v>0</v>
      </c>
      <c r="N1058">
        <v>266</v>
      </c>
      <c r="O1058" s="3">
        <f t="shared" si="56"/>
        <v>0</v>
      </c>
      <c r="P1058">
        <f t="shared" si="54"/>
        <v>0</v>
      </c>
      <c r="Q1058">
        <f t="shared" si="55"/>
        <v>0</v>
      </c>
    </row>
    <row r="1059" spans="1:17" x14ac:dyDescent="0.2">
      <c r="A1059" t="s">
        <v>21</v>
      </c>
      <c r="B1059" t="s">
        <v>1062</v>
      </c>
      <c r="C1059">
        <v>260</v>
      </c>
      <c r="D1059" s="2">
        <v>0</v>
      </c>
      <c r="E1059">
        <v>0</v>
      </c>
      <c r="F1059">
        <v>0</v>
      </c>
      <c r="G1059">
        <v>0</v>
      </c>
      <c r="H1059">
        <v>0</v>
      </c>
      <c r="I1059">
        <v>50</v>
      </c>
      <c r="J1059">
        <v>70</v>
      </c>
      <c r="K1059">
        <v>0</v>
      </c>
      <c r="L1059">
        <v>70</v>
      </c>
      <c r="M1059">
        <v>0</v>
      </c>
      <c r="N1059">
        <v>330</v>
      </c>
      <c r="O1059" s="3">
        <f t="shared" si="56"/>
        <v>0</v>
      </c>
      <c r="P1059">
        <f t="shared" si="54"/>
        <v>0</v>
      </c>
      <c r="Q1059">
        <f t="shared" si="55"/>
        <v>0</v>
      </c>
    </row>
    <row r="1060" spans="1:17" x14ac:dyDescent="0.2">
      <c r="A1060" t="s">
        <v>21</v>
      </c>
      <c r="B1060" t="s">
        <v>1063</v>
      </c>
      <c r="C1060">
        <v>390</v>
      </c>
      <c r="D1060" s="2">
        <v>0</v>
      </c>
      <c r="E1060">
        <v>0</v>
      </c>
      <c r="F1060">
        <v>0</v>
      </c>
      <c r="G1060">
        <v>0</v>
      </c>
      <c r="H1060">
        <v>0</v>
      </c>
      <c r="I1060">
        <v>80</v>
      </c>
      <c r="J1060">
        <v>105</v>
      </c>
      <c r="K1060">
        <v>0</v>
      </c>
      <c r="L1060">
        <v>105</v>
      </c>
      <c r="M1060">
        <v>0</v>
      </c>
      <c r="N1060">
        <v>495</v>
      </c>
      <c r="O1060" s="3">
        <f t="shared" si="56"/>
        <v>0</v>
      </c>
      <c r="P1060">
        <f t="shared" si="54"/>
        <v>0</v>
      </c>
      <c r="Q1060">
        <f t="shared" si="55"/>
        <v>0</v>
      </c>
    </row>
    <row r="1061" spans="1:17" x14ac:dyDescent="0.2">
      <c r="A1061" t="s">
        <v>17</v>
      </c>
      <c r="B1061" t="s">
        <v>1064</v>
      </c>
      <c r="C1061">
        <v>120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35</v>
      </c>
      <c r="J1061">
        <v>30</v>
      </c>
      <c r="K1061">
        <v>0</v>
      </c>
      <c r="L1061">
        <v>30</v>
      </c>
      <c r="M1061">
        <v>0</v>
      </c>
      <c r="O1061" s="3">
        <f t="shared" si="56"/>
        <v>0</v>
      </c>
      <c r="P1061">
        <f t="shared" si="54"/>
        <v>0</v>
      </c>
      <c r="Q1061">
        <f t="shared" si="55"/>
        <v>0</v>
      </c>
    </row>
    <row r="1062" spans="1:17" x14ac:dyDescent="0.2">
      <c r="A1062" t="s">
        <v>17</v>
      </c>
      <c r="B1062" t="s">
        <v>1065</v>
      </c>
      <c r="C1062">
        <v>150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40</v>
      </c>
      <c r="J1062">
        <v>38</v>
      </c>
      <c r="K1062">
        <v>0</v>
      </c>
      <c r="L1062">
        <v>38</v>
      </c>
      <c r="M1062">
        <v>0</v>
      </c>
      <c r="O1062" s="3">
        <f t="shared" si="56"/>
        <v>0</v>
      </c>
      <c r="P1062">
        <f t="shared" si="54"/>
        <v>0</v>
      </c>
      <c r="Q1062">
        <f t="shared" si="55"/>
        <v>0</v>
      </c>
    </row>
    <row r="1063" spans="1:17" x14ac:dyDescent="0.2">
      <c r="A1063" t="s">
        <v>17</v>
      </c>
      <c r="B1063" t="s">
        <v>1066</v>
      </c>
      <c r="C1063">
        <v>140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35</v>
      </c>
      <c r="J1063">
        <v>35</v>
      </c>
      <c r="K1063">
        <v>0</v>
      </c>
      <c r="L1063">
        <v>34</v>
      </c>
      <c r="M1063">
        <v>0</v>
      </c>
      <c r="O1063" s="3">
        <f t="shared" si="56"/>
        <v>0</v>
      </c>
      <c r="P1063">
        <f t="shared" si="54"/>
        <v>0</v>
      </c>
      <c r="Q1063">
        <f t="shared" si="55"/>
        <v>0</v>
      </c>
    </row>
    <row r="1064" spans="1:17" x14ac:dyDescent="0.2">
      <c r="A1064" t="s">
        <v>17</v>
      </c>
      <c r="B1064" t="s">
        <v>1067</v>
      </c>
      <c r="C1064">
        <v>170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40</v>
      </c>
      <c r="J1064">
        <v>43</v>
      </c>
      <c r="K1064">
        <v>0</v>
      </c>
      <c r="L1064">
        <v>42</v>
      </c>
      <c r="M1064">
        <v>0</v>
      </c>
      <c r="O1064" s="3">
        <f t="shared" si="56"/>
        <v>0</v>
      </c>
      <c r="P1064">
        <f t="shared" si="54"/>
        <v>0</v>
      </c>
      <c r="Q1064">
        <f t="shared" si="55"/>
        <v>0</v>
      </c>
    </row>
    <row r="1065" spans="1:17" x14ac:dyDescent="0.2">
      <c r="A1065" t="s">
        <v>17</v>
      </c>
      <c r="B1065" t="s">
        <v>1068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30</v>
      </c>
      <c r="J1065">
        <v>0</v>
      </c>
      <c r="K1065">
        <v>0</v>
      </c>
      <c r="L1065">
        <v>0</v>
      </c>
      <c r="M1065">
        <v>0</v>
      </c>
      <c r="O1065">
        <v>0</v>
      </c>
      <c r="P1065">
        <f t="shared" si="54"/>
        <v>0</v>
      </c>
      <c r="Q1065">
        <f t="shared" si="55"/>
        <v>0</v>
      </c>
    </row>
    <row r="1066" spans="1:17" x14ac:dyDescent="0.2">
      <c r="A1066" t="s">
        <v>17</v>
      </c>
      <c r="B1066" t="s">
        <v>1069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55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f t="shared" si="54"/>
        <v>0</v>
      </c>
      <c r="Q1066">
        <f t="shared" si="55"/>
        <v>0</v>
      </c>
    </row>
    <row r="1067" spans="1:17" x14ac:dyDescent="0.2">
      <c r="A1067" t="s">
        <v>17</v>
      </c>
      <c r="B1067" t="s">
        <v>1070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45</v>
      </c>
      <c r="J1067">
        <v>0</v>
      </c>
      <c r="K1067">
        <v>0</v>
      </c>
      <c r="L1067">
        <v>0</v>
      </c>
      <c r="M1067">
        <v>0</v>
      </c>
      <c r="O1067">
        <v>0</v>
      </c>
      <c r="P1067">
        <f t="shared" si="54"/>
        <v>0</v>
      </c>
      <c r="Q1067">
        <f t="shared" si="55"/>
        <v>0</v>
      </c>
    </row>
    <row r="1068" spans="1:17" x14ac:dyDescent="0.2">
      <c r="A1068" t="s">
        <v>17</v>
      </c>
      <c r="B1068" t="s">
        <v>1071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30</v>
      </c>
      <c r="J1068">
        <v>0</v>
      </c>
      <c r="K1068">
        <v>0</v>
      </c>
      <c r="L1068">
        <v>0</v>
      </c>
      <c r="M1068">
        <v>0</v>
      </c>
      <c r="O1068">
        <v>0</v>
      </c>
      <c r="P1068">
        <f t="shared" si="54"/>
        <v>0</v>
      </c>
      <c r="Q1068">
        <f t="shared" si="55"/>
        <v>0</v>
      </c>
    </row>
    <row r="1069" spans="1:17" x14ac:dyDescent="0.2">
      <c r="A1069" t="s">
        <v>17</v>
      </c>
      <c r="B1069" t="s">
        <v>1072</v>
      </c>
      <c r="C1069">
        <v>120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35</v>
      </c>
      <c r="J1069">
        <v>30</v>
      </c>
      <c r="K1069">
        <v>0</v>
      </c>
      <c r="L1069">
        <v>30</v>
      </c>
      <c r="M1069">
        <v>0</v>
      </c>
      <c r="O1069" s="3">
        <f t="shared" ref="O1069:O1076" si="57">M1069/C1069*100</f>
        <v>0</v>
      </c>
      <c r="P1069">
        <f t="shared" si="54"/>
        <v>0</v>
      </c>
      <c r="Q1069">
        <f t="shared" si="55"/>
        <v>0</v>
      </c>
    </row>
    <row r="1070" spans="1:17" x14ac:dyDescent="0.2">
      <c r="A1070" t="s">
        <v>17</v>
      </c>
      <c r="B1070" t="s">
        <v>1073</v>
      </c>
      <c r="C1070">
        <v>150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40</v>
      </c>
      <c r="J1070">
        <v>38</v>
      </c>
      <c r="K1070">
        <v>0</v>
      </c>
      <c r="L1070">
        <v>38</v>
      </c>
      <c r="M1070">
        <v>0</v>
      </c>
      <c r="O1070" s="3">
        <f t="shared" si="57"/>
        <v>0</v>
      </c>
      <c r="P1070">
        <f t="shared" si="54"/>
        <v>0</v>
      </c>
      <c r="Q1070">
        <f t="shared" si="55"/>
        <v>0</v>
      </c>
    </row>
    <row r="1071" spans="1:17" x14ac:dyDescent="0.2">
      <c r="A1071" t="s">
        <v>17</v>
      </c>
      <c r="B1071" t="s">
        <v>1074</v>
      </c>
      <c r="C1071">
        <v>190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50</v>
      </c>
      <c r="J1071">
        <v>49</v>
      </c>
      <c r="K1071">
        <v>0</v>
      </c>
      <c r="L1071">
        <v>47</v>
      </c>
      <c r="M1071">
        <v>0</v>
      </c>
      <c r="O1071" s="3">
        <f t="shared" si="57"/>
        <v>0</v>
      </c>
      <c r="P1071">
        <f t="shared" si="54"/>
        <v>0</v>
      </c>
      <c r="Q1071">
        <f t="shared" si="55"/>
        <v>0</v>
      </c>
    </row>
    <row r="1072" spans="1:17" x14ac:dyDescent="0.2">
      <c r="A1072" t="s">
        <v>17</v>
      </c>
      <c r="B1072" t="s">
        <v>1075</v>
      </c>
      <c r="C1072">
        <v>230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60</v>
      </c>
      <c r="J1072">
        <v>59</v>
      </c>
      <c r="K1072">
        <v>0</v>
      </c>
      <c r="L1072">
        <v>57</v>
      </c>
      <c r="M1072">
        <v>0</v>
      </c>
      <c r="O1072" s="3">
        <f t="shared" si="57"/>
        <v>0</v>
      </c>
      <c r="P1072">
        <f t="shared" si="54"/>
        <v>0</v>
      </c>
      <c r="Q1072">
        <f t="shared" si="55"/>
        <v>0</v>
      </c>
    </row>
    <row r="1073" spans="1:17" x14ac:dyDescent="0.2">
      <c r="A1073" t="s">
        <v>17</v>
      </c>
      <c r="B1073" t="s">
        <v>1076</v>
      </c>
      <c r="C1073">
        <v>140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35</v>
      </c>
      <c r="J1073">
        <v>35</v>
      </c>
      <c r="K1073">
        <v>0</v>
      </c>
      <c r="L1073">
        <v>34</v>
      </c>
      <c r="M1073">
        <v>0</v>
      </c>
      <c r="O1073" s="3">
        <f t="shared" si="57"/>
        <v>0</v>
      </c>
      <c r="P1073">
        <f t="shared" si="54"/>
        <v>0</v>
      </c>
      <c r="Q1073">
        <f t="shared" si="55"/>
        <v>0</v>
      </c>
    </row>
    <row r="1074" spans="1:17" x14ac:dyDescent="0.2">
      <c r="A1074" t="s">
        <v>17</v>
      </c>
      <c r="B1074" t="s">
        <v>1077</v>
      </c>
      <c r="C1074">
        <v>170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40</v>
      </c>
      <c r="J1074">
        <v>43</v>
      </c>
      <c r="K1074">
        <v>0</v>
      </c>
      <c r="L1074">
        <v>42</v>
      </c>
      <c r="M1074">
        <v>0</v>
      </c>
      <c r="O1074" s="3">
        <f t="shared" si="57"/>
        <v>0</v>
      </c>
      <c r="P1074">
        <f t="shared" si="54"/>
        <v>0</v>
      </c>
      <c r="Q1074">
        <f t="shared" si="55"/>
        <v>0</v>
      </c>
    </row>
    <row r="1075" spans="1:17" x14ac:dyDescent="0.2">
      <c r="A1075" t="s">
        <v>17</v>
      </c>
      <c r="B1075" t="s">
        <v>1078</v>
      </c>
      <c r="C1075">
        <v>150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45</v>
      </c>
      <c r="J1075">
        <v>41</v>
      </c>
      <c r="K1075">
        <v>0</v>
      </c>
      <c r="L1075">
        <v>41</v>
      </c>
      <c r="M1075">
        <v>0</v>
      </c>
      <c r="O1075" s="3">
        <f t="shared" si="57"/>
        <v>0</v>
      </c>
      <c r="P1075">
        <f t="shared" si="54"/>
        <v>0</v>
      </c>
      <c r="Q1075">
        <f t="shared" si="55"/>
        <v>0</v>
      </c>
    </row>
    <row r="1076" spans="1:17" x14ac:dyDescent="0.2">
      <c r="A1076" t="s">
        <v>17</v>
      </c>
      <c r="B1076" t="s">
        <v>1079</v>
      </c>
      <c r="C1076">
        <v>190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55</v>
      </c>
      <c r="J1076">
        <v>51</v>
      </c>
      <c r="K1076">
        <v>0</v>
      </c>
      <c r="L1076">
        <v>51</v>
      </c>
      <c r="M1076">
        <v>0</v>
      </c>
      <c r="O1076" s="3">
        <f t="shared" si="57"/>
        <v>0</v>
      </c>
      <c r="P1076">
        <f t="shared" si="54"/>
        <v>0</v>
      </c>
      <c r="Q1076">
        <f t="shared" si="55"/>
        <v>0</v>
      </c>
    </row>
    <row r="1077" spans="1:17" x14ac:dyDescent="0.2">
      <c r="A1077" t="s">
        <v>17</v>
      </c>
      <c r="B1077" t="s">
        <v>1080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0</v>
      </c>
      <c r="P1077">
        <f t="shared" si="54"/>
        <v>0</v>
      </c>
      <c r="Q1077">
        <f t="shared" si="55"/>
        <v>0</v>
      </c>
    </row>
    <row r="1078" spans="1:17" x14ac:dyDescent="0.2">
      <c r="A1078" t="s">
        <v>17</v>
      </c>
      <c r="B1078" t="s">
        <v>1081</v>
      </c>
      <c r="C1078">
        <v>150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40</v>
      </c>
      <c r="J1078">
        <v>41</v>
      </c>
      <c r="K1078">
        <v>0</v>
      </c>
      <c r="L1078">
        <v>41</v>
      </c>
      <c r="M1078">
        <v>0</v>
      </c>
      <c r="O1078" s="3">
        <f>M1078/C1078*100</f>
        <v>0</v>
      </c>
      <c r="P1078">
        <f t="shared" si="54"/>
        <v>0</v>
      </c>
      <c r="Q1078">
        <f t="shared" si="55"/>
        <v>0</v>
      </c>
    </row>
    <row r="1079" spans="1:17" x14ac:dyDescent="0.2">
      <c r="A1079" t="s">
        <v>17</v>
      </c>
      <c r="B1079" t="s">
        <v>1082</v>
      </c>
      <c r="C1079">
        <v>190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55</v>
      </c>
      <c r="J1079">
        <v>51</v>
      </c>
      <c r="K1079">
        <v>0</v>
      </c>
      <c r="L1079">
        <v>51</v>
      </c>
      <c r="M1079">
        <v>0</v>
      </c>
      <c r="O1079" s="3">
        <f>M1079/C1079*100</f>
        <v>0</v>
      </c>
      <c r="P1079">
        <f t="shared" si="54"/>
        <v>0</v>
      </c>
      <c r="Q1079">
        <f t="shared" si="55"/>
        <v>0</v>
      </c>
    </row>
    <row r="1080" spans="1:17" x14ac:dyDescent="0.2">
      <c r="A1080" t="s">
        <v>17</v>
      </c>
      <c r="B1080" t="s">
        <v>1083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50</v>
      </c>
      <c r="J1080">
        <v>0</v>
      </c>
      <c r="K1080">
        <v>0</v>
      </c>
      <c r="L1080">
        <v>0</v>
      </c>
      <c r="M1080">
        <v>0</v>
      </c>
      <c r="O1080">
        <v>0</v>
      </c>
      <c r="P1080">
        <f t="shared" si="54"/>
        <v>0</v>
      </c>
      <c r="Q1080">
        <f t="shared" si="55"/>
        <v>0</v>
      </c>
    </row>
    <row r="1081" spans="1:17" x14ac:dyDescent="0.2">
      <c r="A1081" t="s">
        <v>17</v>
      </c>
      <c r="B1081" t="s">
        <v>1084</v>
      </c>
      <c r="C1081">
        <v>190</v>
      </c>
      <c r="D1081" s="2">
        <v>0</v>
      </c>
      <c r="E1081" s="2">
        <v>0</v>
      </c>
      <c r="F1081" s="2">
        <v>0</v>
      </c>
      <c r="G1081" s="2">
        <v>0</v>
      </c>
      <c r="H1081">
        <v>70</v>
      </c>
      <c r="I1081">
        <v>46</v>
      </c>
      <c r="J1081" s="2">
        <v>0</v>
      </c>
      <c r="K1081" s="2">
        <v>0</v>
      </c>
      <c r="L1081">
        <v>46</v>
      </c>
      <c r="M1081" s="2">
        <v>0</v>
      </c>
      <c r="O1081" s="3">
        <f>M1081/C1081*100</f>
        <v>0</v>
      </c>
      <c r="P1081">
        <f t="shared" si="54"/>
        <v>0</v>
      </c>
      <c r="Q1081">
        <f t="shared" si="55"/>
        <v>0</v>
      </c>
    </row>
    <row r="1082" spans="1:17" x14ac:dyDescent="0.2">
      <c r="A1082" t="s">
        <v>17</v>
      </c>
      <c r="B1082" t="s">
        <v>1085</v>
      </c>
      <c r="C1082">
        <v>100</v>
      </c>
      <c r="D1082" s="2">
        <v>0</v>
      </c>
      <c r="E1082" s="2">
        <v>0</v>
      </c>
      <c r="F1082" s="2">
        <v>0</v>
      </c>
      <c r="G1082" s="2">
        <v>0</v>
      </c>
      <c r="H1082">
        <v>50</v>
      </c>
      <c r="I1082">
        <v>26</v>
      </c>
      <c r="J1082" s="2">
        <v>0</v>
      </c>
      <c r="K1082" s="2">
        <v>0</v>
      </c>
      <c r="L1082">
        <v>26</v>
      </c>
      <c r="M1082" s="2">
        <v>0</v>
      </c>
      <c r="O1082" s="3">
        <f>M1082/C1082*100</f>
        <v>0</v>
      </c>
      <c r="P1082">
        <f t="shared" si="54"/>
        <v>0</v>
      </c>
      <c r="Q1082">
        <f t="shared" si="55"/>
        <v>0</v>
      </c>
    </row>
    <row r="1083" spans="1:17" x14ac:dyDescent="0.2">
      <c r="A1083" t="s">
        <v>17</v>
      </c>
      <c r="B1083" t="s">
        <v>1086</v>
      </c>
      <c r="C1083">
        <v>0</v>
      </c>
      <c r="D1083" s="2">
        <v>0</v>
      </c>
      <c r="E1083" s="2">
        <v>0</v>
      </c>
      <c r="F1083" s="2">
        <v>0</v>
      </c>
      <c r="G1083" s="2">
        <v>0</v>
      </c>
      <c r="H1083">
        <v>60</v>
      </c>
      <c r="I1083">
        <v>0</v>
      </c>
      <c r="J1083" s="2">
        <v>0</v>
      </c>
      <c r="K1083" s="2">
        <v>0</v>
      </c>
      <c r="L1083">
        <v>0</v>
      </c>
      <c r="M1083" s="2">
        <v>0</v>
      </c>
      <c r="O1083">
        <v>0</v>
      </c>
      <c r="P1083">
        <f t="shared" si="54"/>
        <v>0</v>
      </c>
      <c r="Q1083">
        <f t="shared" si="55"/>
        <v>0</v>
      </c>
    </row>
    <row r="1084" spans="1:17" x14ac:dyDescent="0.2">
      <c r="A1084" t="s">
        <v>17</v>
      </c>
      <c r="B1084" t="s">
        <v>966</v>
      </c>
      <c r="C1084">
        <v>0</v>
      </c>
      <c r="D1084" s="2">
        <v>0</v>
      </c>
      <c r="E1084" s="2">
        <v>0</v>
      </c>
      <c r="F1084" s="2">
        <v>0</v>
      </c>
      <c r="G1084" s="2">
        <v>0</v>
      </c>
      <c r="H1084">
        <v>95</v>
      </c>
      <c r="I1084">
        <v>0</v>
      </c>
      <c r="J1084" s="2">
        <v>0</v>
      </c>
      <c r="K1084" s="2">
        <v>0</v>
      </c>
      <c r="L1084">
        <v>0</v>
      </c>
      <c r="M1084" s="2">
        <v>0</v>
      </c>
      <c r="O1084">
        <v>0</v>
      </c>
      <c r="P1084">
        <f t="shared" si="54"/>
        <v>0</v>
      </c>
      <c r="Q1084">
        <f t="shared" si="55"/>
        <v>0</v>
      </c>
    </row>
    <row r="1085" spans="1:17" x14ac:dyDescent="0.2">
      <c r="A1085" t="s">
        <v>17</v>
      </c>
      <c r="B1085" t="s">
        <v>1087</v>
      </c>
      <c r="C1085">
        <v>5</v>
      </c>
      <c r="D1085" s="2">
        <v>0</v>
      </c>
      <c r="E1085" s="2">
        <v>0</v>
      </c>
      <c r="F1085" s="2">
        <v>0</v>
      </c>
      <c r="G1085" s="2">
        <v>0</v>
      </c>
      <c r="H1085">
        <v>75</v>
      </c>
      <c r="I1085">
        <v>1</v>
      </c>
      <c r="J1085" s="2">
        <v>0</v>
      </c>
      <c r="K1085" s="2">
        <v>0</v>
      </c>
      <c r="L1085">
        <v>1</v>
      </c>
      <c r="M1085" s="2">
        <v>0</v>
      </c>
      <c r="O1085" s="3">
        <f>M1085/C1085*100</f>
        <v>0</v>
      </c>
      <c r="P1085">
        <f t="shared" si="54"/>
        <v>0</v>
      </c>
      <c r="Q1085">
        <f t="shared" si="55"/>
        <v>0</v>
      </c>
    </row>
    <row r="1086" spans="1:17" x14ac:dyDescent="0.2">
      <c r="A1086" t="s">
        <v>17</v>
      </c>
      <c r="B1086" t="s">
        <v>978</v>
      </c>
      <c r="C1086">
        <v>0</v>
      </c>
      <c r="D1086" s="2">
        <v>0</v>
      </c>
      <c r="E1086" s="2">
        <v>0</v>
      </c>
      <c r="F1086" s="2">
        <v>0</v>
      </c>
      <c r="G1086" s="2">
        <v>0</v>
      </c>
      <c r="H1086">
        <v>75</v>
      </c>
      <c r="I1086">
        <v>0</v>
      </c>
      <c r="J1086" s="2">
        <v>0</v>
      </c>
      <c r="K1086" s="2">
        <v>0</v>
      </c>
      <c r="L1086">
        <v>0</v>
      </c>
      <c r="M1086" s="2">
        <v>0</v>
      </c>
      <c r="O1086">
        <v>0</v>
      </c>
      <c r="P1086">
        <f t="shared" si="54"/>
        <v>0</v>
      </c>
      <c r="Q1086">
        <f t="shared" si="55"/>
        <v>0</v>
      </c>
    </row>
    <row r="1087" spans="1:17" x14ac:dyDescent="0.2">
      <c r="A1087" t="s">
        <v>17</v>
      </c>
      <c r="B1087" t="s">
        <v>986</v>
      </c>
      <c r="C1087">
        <v>190</v>
      </c>
      <c r="D1087" s="2">
        <v>0</v>
      </c>
      <c r="E1087" s="2">
        <v>0</v>
      </c>
      <c r="F1087" s="2">
        <v>0</v>
      </c>
      <c r="G1087" s="2">
        <v>0</v>
      </c>
      <c r="H1087">
        <v>60</v>
      </c>
      <c r="I1087">
        <v>52</v>
      </c>
      <c r="J1087" s="2">
        <v>0</v>
      </c>
      <c r="K1087" s="2">
        <v>0</v>
      </c>
      <c r="L1087">
        <v>51</v>
      </c>
      <c r="M1087" s="2">
        <v>0</v>
      </c>
      <c r="O1087" s="3">
        <f t="shared" ref="O1087:O1095" si="58">M1087/C1087*100</f>
        <v>0</v>
      </c>
      <c r="P1087">
        <f t="shared" si="54"/>
        <v>0</v>
      </c>
      <c r="Q1087">
        <f t="shared" si="55"/>
        <v>0</v>
      </c>
    </row>
    <row r="1088" spans="1:17" x14ac:dyDescent="0.2">
      <c r="A1088" t="s">
        <v>17</v>
      </c>
      <c r="B1088" t="s">
        <v>1088</v>
      </c>
      <c r="C1088">
        <v>30</v>
      </c>
      <c r="D1088" s="2">
        <v>0</v>
      </c>
      <c r="E1088" s="2">
        <v>0</v>
      </c>
      <c r="F1088" s="2">
        <v>0</v>
      </c>
      <c r="G1088" s="2">
        <v>0</v>
      </c>
      <c r="H1088">
        <v>140</v>
      </c>
      <c r="I1088">
        <v>7</v>
      </c>
      <c r="J1088" s="2">
        <v>0</v>
      </c>
      <c r="K1088" s="2">
        <v>0</v>
      </c>
      <c r="L1088">
        <v>6</v>
      </c>
      <c r="M1088" s="2">
        <v>0</v>
      </c>
      <c r="O1088" s="3">
        <f t="shared" si="58"/>
        <v>0</v>
      </c>
      <c r="P1088">
        <f t="shared" si="54"/>
        <v>0</v>
      </c>
      <c r="Q1088">
        <f t="shared" si="55"/>
        <v>0</v>
      </c>
    </row>
    <row r="1089" spans="1:17" x14ac:dyDescent="0.2">
      <c r="A1089" t="s">
        <v>17</v>
      </c>
      <c r="B1089" t="s">
        <v>1089</v>
      </c>
      <c r="C1089">
        <v>220</v>
      </c>
      <c r="D1089" s="2">
        <v>0</v>
      </c>
      <c r="E1089" s="2">
        <v>0</v>
      </c>
      <c r="F1089" s="2">
        <v>0</v>
      </c>
      <c r="G1089" s="2">
        <v>0</v>
      </c>
      <c r="H1089">
        <v>70</v>
      </c>
      <c r="I1089">
        <v>59</v>
      </c>
      <c r="J1089" s="2">
        <v>0</v>
      </c>
      <c r="K1089" s="2">
        <v>0</v>
      </c>
      <c r="L1089">
        <v>58</v>
      </c>
      <c r="M1089" s="2">
        <v>0</v>
      </c>
      <c r="O1089" s="3">
        <f t="shared" si="58"/>
        <v>0</v>
      </c>
      <c r="P1089">
        <f t="shared" si="54"/>
        <v>0</v>
      </c>
      <c r="Q1089">
        <f t="shared" si="55"/>
        <v>0</v>
      </c>
    </row>
    <row r="1090" spans="1:17" x14ac:dyDescent="0.2">
      <c r="A1090" t="s">
        <v>17</v>
      </c>
      <c r="B1090" t="s">
        <v>1090</v>
      </c>
      <c r="C1090">
        <v>220</v>
      </c>
      <c r="D1090" s="2">
        <v>0</v>
      </c>
      <c r="E1090" s="2">
        <v>0</v>
      </c>
      <c r="F1090" s="2">
        <v>0</v>
      </c>
      <c r="G1090" s="2">
        <v>0</v>
      </c>
      <c r="H1090">
        <v>65</v>
      </c>
      <c r="I1090">
        <v>59</v>
      </c>
      <c r="J1090" s="2">
        <v>0</v>
      </c>
      <c r="K1090" s="2">
        <v>0</v>
      </c>
      <c r="L1090">
        <v>59</v>
      </c>
      <c r="M1090" s="2">
        <v>0</v>
      </c>
      <c r="O1090" s="3">
        <f t="shared" si="58"/>
        <v>0</v>
      </c>
      <c r="P1090">
        <f t="shared" ref="P1090:P1134" si="59">IF(I1090&gt;2300*0.2,1,0)</f>
        <v>0</v>
      </c>
      <c r="Q1090">
        <f t="shared" ref="Q1090:Q1134" si="60">IF(H1090&gt;300,1,0)</f>
        <v>0</v>
      </c>
    </row>
    <row r="1091" spans="1:17" x14ac:dyDescent="0.2">
      <c r="A1091" t="s">
        <v>17</v>
      </c>
      <c r="B1091" t="s">
        <v>1091</v>
      </c>
      <c r="C1091">
        <v>5</v>
      </c>
      <c r="D1091" s="2">
        <v>0</v>
      </c>
      <c r="E1091" s="2">
        <v>0</v>
      </c>
      <c r="F1091" s="2">
        <v>0</v>
      </c>
      <c r="G1091" s="2">
        <v>0</v>
      </c>
      <c r="H1091">
        <v>70</v>
      </c>
      <c r="I1091">
        <v>0</v>
      </c>
      <c r="J1091" s="2">
        <v>0</v>
      </c>
      <c r="K1091" s="2">
        <v>0</v>
      </c>
      <c r="L1091">
        <v>0</v>
      </c>
      <c r="M1091" s="2">
        <v>0</v>
      </c>
      <c r="O1091" s="3">
        <f t="shared" si="58"/>
        <v>0</v>
      </c>
      <c r="P1091">
        <f t="shared" si="59"/>
        <v>0</v>
      </c>
      <c r="Q1091">
        <f t="shared" si="60"/>
        <v>0</v>
      </c>
    </row>
    <row r="1092" spans="1:17" x14ac:dyDescent="0.2">
      <c r="A1092" t="s">
        <v>17</v>
      </c>
      <c r="B1092" t="s">
        <v>1092</v>
      </c>
      <c r="C1092">
        <v>70</v>
      </c>
      <c r="D1092" s="2">
        <v>0</v>
      </c>
      <c r="E1092" s="2">
        <v>0</v>
      </c>
      <c r="F1092" s="2">
        <v>0</v>
      </c>
      <c r="G1092" s="2">
        <v>0</v>
      </c>
      <c r="H1092">
        <v>75</v>
      </c>
      <c r="I1092">
        <v>18</v>
      </c>
      <c r="J1092" s="2">
        <v>0</v>
      </c>
      <c r="K1092" s="2">
        <v>0</v>
      </c>
      <c r="L1092">
        <v>18</v>
      </c>
      <c r="M1092" s="2">
        <v>0</v>
      </c>
      <c r="O1092" s="3">
        <f t="shared" si="58"/>
        <v>0</v>
      </c>
      <c r="P1092">
        <f t="shared" si="59"/>
        <v>0</v>
      </c>
      <c r="Q1092">
        <f t="shared" si="60"/>
        <v>0</v>
      </c>
    </row>
    <row r="1093" spans="1:17" x14ac:dyDescent="0.2">
      <c r="A1093" t="s">
        <v>17</v>
      </c>
      <c r="B1093" t="s">
        <v>1093</v>
      </c>
      <c r="C1093">
        <v>190</v>
      </c>
      <c r="D1093" s="2">
        <v>0</v>
      </c>
      <c r="E1093" s="2">
        <v>0</v>
      </c>
      <c r="F1093" s="2">
        <v>0</v>
      </c>
      <c r="G1093" s="2">
        <v>0</v>
      </c>
      <c r="H1093">
        <v>60</v>
      </c>
      <c r="I1093">
        <v>52</v>
      </c>
      <c r="J1093" s="2">
        <v>0</v>
      </c>
      <c r="K1093" s="2">
        <v>0</v>
      </c>
      <c r="L1093">
        <v>52</v>
      </c>
      <c r="M1093" s="2">
        <v>0</v>
      </c>
      <c r="O1093" s="3">
        <f t="shared" si="58"/>
        <v>0</v>
      </c>
      <c r="P1093">
        <f t="shared" si="59"/>
        <v>0</v>
      </c>
      <c r="Q1093">
        <f t="shared" si="60"/>
        <v>0</v>
      </c>
    </row>
    <row r="1094" spans="1:17" x14ac:dyDescent="0.2">
      <c r="A1094" t="s">
        <v>17</v>
      </c>
      <c r="B1094" t="s">
        <v>1035</v>
      </c>
      <c r="C1094">
        <v>200</v>
      </c>
      <c r="D1094" s="2">
        <v>0</v>
      </c>
      <c r="E1094" s="2">
        <v>0</v>
      </c>
      <c r="F1094" s="2">
        <v>0</v>
      </c>
      <c r="G1094" s="2">
        <v>0</v>
      </c>
      <c r="H1094">
        <v>45</v>
      </c>
      <c r="I1094">
        <v>55</v>
      </c>
      <c r="J1094" s="2">
        <v>0</v>
      </c>
      <c r="K1094" s="2">
        <v>0</v>
      </c>
      <c r="L1094">
        <v>55</v>
      </c>
      <c r="M1094" s="2">
        <v>0</v>
      </c>
      <c r="O1094" s="3">
        <f t="shared" si="58"/>
        <v>0</v>
      </c>
      <c r="P1094">
        <f t="shared" si="59"/>
        <v>0</v>
      </c>
      <c r="Q1094">
        <f t="shared" si="60"/>
        <v>0</v>
      </c>
    </row>
    <row r="1095" spans="1:17" x14ac:dyDescent="0.2">
      <c r="A1095" t="s">
        <v>17</v>
      </c>
      <c r="B1095" t="s">
        <v>1094</v>
      </c>
      <c r="C1095">
        <v>210</v>
      </c>
      <c r="D1095" s="2">
        <v>0</v>
      </c>
      <c r="E1095" s="2">
        <v>0</v>
      </c>
      <c r="F1095" s="2">
        <v>0</v>
      </c>
      <c r="G1095" s="2">
        <v>0</v>
      </c>
      <c r="H1095">
        <v>40</v>
      </c>
      <c r="I1095">
        <v>56</v>
      </c>
      <c r="J1095" s="2">
        <v>0</v>
      </c>
      <c r="K1095" s="2">
        <v>0</v>
      </c>
      <c r="L1095">
        <v>56</v>
      </c>
      <c r="M1095" s="2">
        <v>0</v>
      </c>
      <c r="O1095" s="3">
        <f t="shared" si="58"/>
        <v>0</v>
      </c>
      <c r="P1095">
        <f t="shared" si="59"/>
        <v>0</v>
      </c>
      <c r="Q1095">
        <f t="shared" si="60"/>
        <v>0</v>
      </c>
    </row>
    <row r="1096" spans="1:17" x14ac:dyDescent="0.2">
      <c r="A1096" t="s">
        <v>17</v>
      </c>
      <c r="B1096" t="s">
        <v>1095</v>
      </c>
      <c r="C1096">
        <v>0</v>
      </c>
      <c r="D1096" s="2">
        <v>0</v>
      </c>
      <c r="E1096" s="2">
        <v>0</v>
      </c>
      <c r="F1096" s="2">
        <v>0</v>
      </c>
      <c r="G1096" s="2">
        <v>0</v>
      </c>
      <c r="H1096">
        <v>85</v>
      </c>
      <c r="I1096">
        <v>0</v>
      </c>
      <c r="J1096" s="2">
        <v>0</v>
      </c>
      <c r="K1096" s="2">
        <v>0</v>
      </c>
      <c r="L1096">
        <v>0</v>
      </c>
      <c r="M1096" s="2">
        <v>0</v>
      </c>
      <c r="O1096">
        <v>0</v>
      </c>
      <c r="P1096">
        <f t="shared" si="59"/>
        <v>0</v>
      </c>
      <c r="Q1096">
        <f t="shared" si="60"/>
        <v>0</v>
      </c>
    </row>
    <row r="1097" spans="1:17" x14ac:dyDescent="0.2">
      <c r="A1097" t="s">
        <v>17</v>
      </c>
      <c r="B1097" t="s">
        <v>1096</v>
      </c>
      <c r="C1097">
        <v>200</v>
      </c>
      <c r="D1097" s="2">
        <v>0</v>
      </c>
      <c r="E1097" s="2">
        <v>0</v>
      </c>
      <c r="F1097" s="2">
        <v>0</v>
      </c>
      <c r="G1097" s="2">
        <v>0</v>
      </c>
      <c r="H1097">
        <v>45</v>
      </c>
      <c r="I1097">
        <v>54</v>
      </c>
      <c r="J1097" s="2">
        <v>0</v>
      </c>
      <c r="K1097" s="2">
        <v>0</v>
      </c>
      <c r="L1097">
        <v>54</v>
      </c>
      <c r="M1097" s="2">
        <v>0</v>
      </c>
      <c r="O1097" s="3">
        <f>M1097/C1097*100</f>
        <v>0</v>
      </c>
      <c r="P1097">
        <f t="shared" si="59"/>
        <v>0</v>
      </c>
      <c r="Q1097">
        <f t="shared" si="60"/>
        <v>0</v>
      </c>
    </row>
    <row r="1098" spans="1:17" x14ac:dyDescent="0.2">
      <c r="A1098" t="s">
        <v>17</v>
      </c>
      <c r="B1098" t="s">
        <v>1053</v>
      </c>
      <c r="C1098">
        <v>210</v>
      </c>
      <c r="D1098" s="2">
        <v>0</v>
      </c>
      <c r="E1098" s="2">
        <v>0</v>
      </c>
      <c r="F1098" s="2">
        <v>0</v>
      </c>
      <c r="G1098" s="2">
        <v>0</v>
      </c>
      <c r="H1098">
        <v>210</v>
      </c>
      <c r="I1098">
        <v>53</v>
      </c>
      <c r="J1098" s="2">
        <v>0</v>
      </c>
      <c r="K1098" s="2">
        <v>0</v>
      </c>
      <c r="L1098">
        <v>53</v>
      </c>
      <c r="M1098" s="2">
        <v>0</v>
      </c>
      <c r="O1098" s="3">
        <f>M1098/C1098*100</f>
        <v>0</v>
      </c>
      <c r="P1098">
        <f t="shared" si="59"/>
        <v>0</v>
      </c>
      <c r="Q1098">
        <f t="shared" si="60"/>
        <v>0</v>
      </c>
    </row>
    <row r="1099" spans="1:17" x14ac:dyDescent="0.2">
      <c r="A1099" t="s">
        <v>17</v>
      </c>
      <c r="B1099" t="s">
        <v>1097</v>
      </c>
      <c r="C1099">
        <v>240</v>
      </c>
      <c r="D1099" s="2">
        <v>0</v>
      </c>
      <c r="E1099" s="2">
        <v>0</v>
      </c>
      <c r="F1099" s="2">
        <v>0</v>
      </c>
      <c r="G1099" s="2">
        <v>0</v>
      </c>
      <c r="H1099">
        <v>85</v>
      </c>
      <c r="I1099">
        <v>58</v>
      </c>
      <c r="J1099" s="2">
        <v>0</v>
      </c>
      <c r="K1099" s="2">
        <v>0</v>
      </c>
      <c r="L1099">
        <v>58</v>
      </c>
      <c r="M1099" s="2">
        <v>0</v>
      </c>
      <c r="O1099" s="3">
        <f>M1099/C1099*100</f>
        <v>0</v>
      </c>
      <c r="P1099">
        <f t="shared" si="59"/>
        <v>0</v>
      </c>
      <c r="Q1099">
        <f t="shared" si="60"/>
        <v>0</v>
      </c>
    </row>
    <row r="1100" spans="1:17" x14ac:dyDescent="0.2">
      <c r="A1100" t="s">
        <v>17</v>
      </c>
      <c r="B1100" t="s">
        <v>1098</v>
      </c>
      <c r="C1100">
        <v>120</v>
      </c>
      <c r="D1100" s="2">
        <v>0</v>
      </c>
      <c r="E1100" s="2">
        <v>0</v>
      </c>
      <c r="F1100" s="2">
        <v>0</v>
      </c>
      <c r="G1100" s="2">
        <v>0</v>
      </c>
      <c r="H1100">
        <v>60</v>
      </c>
      <c r="I1100">
        <v>32</v>
      </c>
      <c r="J1100" s="2">
        <v>0</v>
      </c>
      <c r="K1100" s="2">
        <v>0</v>
      </c>
      <c r="L1100">
        <v>32</v>
      </c>
      <c r="M1100" s="2">
        <v>0</v>
      </c>
      <c r="O1100" s="3">
        <f>M1100/C1100*100</f>
        <v>0</v>
      </c>
      <c r="P1100">
        <f t="shared" si="59"/>
        <v>0</v>
      </c>
      <c r="Q1100">
        <f t="shared" si="60"/>
        <v>0</v>
      </c>
    </row>
    <row r="1101" spans="1:17" x14ac:dyDescent="0.2">
      <c r="A1101" t="s">
        <v>17</v>
      </c>
      <c r="B1101" t="s">
        <v>1099</v>
      </c>
      <c r="C1101">
        <v>0</v>
      </c>
      <c r="D1101" s="2">
        <v>0</v>
      </c>
      <c r="E1101" s="2">
        <v>0</v>
      </c>
      <c r="F1101" s="2">
        <v>0</v>
      </c>
      <c r="G1101" s="2">
        <v>0</v>
      </c>
      <c r="H1101">
        <v>75</v>
      </c>
      <c r="I1101">
        <v>0</v>
      </c>
      <c r="J1101" s="2">
        <v>0</v>
      </c>
      <c r="K1101" s="2">
        <v>0</v>
      </c>
      <c r="L1101">
        <v>0</v>
      </c>
      <c r="M1101" s="2">
        <v>0</v>
      </c>
      <c r="O1101">
        <v>0</v>
      </c>
      <c r="P1101">
        <f t="shared" si="59"/>
        <v>0</v>
      </c>
      <c r="Q1101">
        <f t="shared" si="60"/>
        <v>0</v>
      </c>
    </row>
    <row r="1102" spans="1:17" x14ac:dyDescent="0.2">
      <c r="A1102" t="s">
        <v>17</v>
      </c>
      <c r="B1102" t="s">
        <v>967</v>
      </c>
      <c r="C1102">
        <v>0</v>
      </c>
      <c r="D1102" s="2">
        <v>0</v>
      </c>
      <c r="E1102" s="2">
        <v>0</v>
      </c>
      <c r="F1102" s="2">
        <v>0</v>
      </c>
      <c r="G1102" s="2">
        <v>0</v>
      </c>
      <c r="H1102">
        <v>120</v>
      </c>
      <c r="I1102">
        <v>0</v>
      </c>
      <c r="J1102" s="2">
        <v>0</v>
      </c>
      <c r="K1102" s="2">
        <v>0</v>
      </c>
      <c r="L1102">
        <v>0</v>
      </c>
      <c r="M1102" s="2">
        <v>0</v>
      </c>
      <c r="O1102">
        <v>0</v>
      </c>
      <c r="P1102">
        <f t="shared" si="59"/>
        <v>0</v>
      </c>
      <c r="Q1102">
        <f t="shared" si="60"/>
        <v>0</v>
      </c>
    </row>
    <row r="1103" spans="1:17" x14ac:dyDescent="0.2">
      <c r="A1103" t="s">
        <v>17</v>
      </c>
      <c r="B1103" t="s">
        <v>1100</v>
      </c>
      <c r="C1103">
        <v>10</v>
      </c>
      <c r="D1103" s="2">
        <v>0</v>
      </c>
      <c r="E1103" s="2">
        <v>0</v>
      </c>
      <c r="F1103" s="2">
        <v>0</v>
      </c>
      <c r="G1103" s="2">
        <v>0</v>
      </c>
      <c r="H1103">
        <v>90</v>
      </c>
      <c r="I1103">
        <v>1</v>
      </c>
      <c r="J1103" s="2">
        <v>0</v>
      </c>
      <c r="K1103" s="2">
        <v>0</v>
      </c>
      <c r="L1103">
        <v>1</v>
      </c>
      <c r="M1103" s="2">
        <v>0</v>
      </c>
      <c r="O1103" s="3">
        <f>M1103/C1103*100</f>
        <v>0</v>
      </c>
      <c r="P1103">
        <f t="shared" si="59"/>
        <v>0</v>
      </c>
      <c r="Q1103">
        <f t="shared" si="60"/>
        <v>0</v>
      </c>
    </row>
    <row r="1104" spans="1:17" x14ac:dyDescent="0.2">
      <c r="A1104" t="s">
        <v>17</v>
      </c>
      <c r="B1104" t="s">
        <v>979</v>
      </c>
      <c r="C1104">
        <v>0</v>
      </c>
      <c r="D1104" s="2">
        <v>0</v>
      </c>
      <c r="E1104" s="2">
        <v>0</v>
      </c>
      <c r="F1104" s="2">
        <v>0</v>
      </c>
      <c r="G1104" s="2">
        <v>0</v>
      </c>
      <c r="H1104">
        <v>95</v>
      </c>
      <c r="I1104">
        <v>0</v>
      </c>
      <c r="J1104" s="2">
        <v>0</v>
      </c>
      <c r="K1104" s="2">
        <v>0</v>
      </c>
      <c r="L1104">
        <v>0</v>
      </c>
      <c r="M1104" s="2">
        <v>0</v>
      </c>
      <c r="O1104">
        <v>0</v>
      </c>
      <c r="P1104">
        <f t="shared" si="59"/>
        <v>0</v>
      </c>
      <c r="Q1104">
        <f t="shared" si="60"/>
        <v>0</v>
      </c>
    </row>
    <row r="1105" spans="1:17" x14ac:dyDescent="0.2">
      <c r="A1105" t="s">
        <v>17</v>
      </c>
      <c r="B1105" t="s">
        <v>987</v>
      </c>
      <c r="C1105">
        <v>240</v>
      </c>
      <c r="D1105" s="2">
        <v>0</v>
      </c>
      <c r="E1105" s="2">
        <v>0</v>
      </c>
      <c r="F1105" s="2">
        <v>0</v>
      </c>
      <c r="G1105" s="2">
        <v>0</v>
      </c>
      <c r="H1105">
        <v>75</v>
      </c>
      <c r="I1105">
        <v>65</v>
      </c>
      <c r="J1105" s="2">
        <v>0</v>
      </c>
      <c r="K1105" s="2">
        <v>0</v>
      </c>
      <c r="L1105">
        <v>64</v>
      </c>
      <c r="M1105" s="2">
        <v>0</v>
      </c>
      <c r="O1105" s="3">
        <f t="shared" ref="O1105:O1113" si="61">M1105/C1105*100</f>
        <v>0</v>
      </c>
      <c r="P1105">
        <f t="shared" si="59"/>
        <v>0</v>
      </c>
      <c r="Q1105">
        <f t="shared" si="60"/>
        <v>0</v>
      </c>
    </row>
    <row r="1106" spans="1:17" x14ac:dyDescent="0.2">
      <c r="A1106" t="s">
        <v>17</v>
      </c>
      <c r="B1106" t="s">
        <v>1101</v>
      </c>
      <c r="C1106">
        <v>35</v>
      </c>
      <c r="D1106" s="2">
        <v>0</v>
      </c>
      <c r="E1106" s="2">
        <v>0</v>
      </c>
      <c r="F1106" s="2">
        <v>0</v>
      </c>
      <c r="G1106" s="2">
        <v>0</v>
      </c>
      <c r="H1106">
        <v>180</v>
      </c>
      <c r="I1106">
        <v>9</v>
      </c>
      <c r="J1106" s="2">
        <v>0</v>
      </c>
      <c r="K1106" s="2">
        <v>0</v>
      </c>
      <c r="L1106">
        <v>8</v>
      </c>
      <c r="M1106" s="2">
        <v>0</v>
      </c>
      <c r="O1106" s="3">
        <f t="shared" si="61"/>
        <v>0</v>
      </c>
      <c r="P1106">
        <f t="shared" si="59"/>
        <v>0</v>
      </c>
      <c r="Q1106">
        <f t="shared" si="60"/>
        <v>0</v>
      </c>
    </row>
    <row r="1107" spans="1:17" x14ac:dyDescent="0.2">
      <c r="A1107" t="s">
        <v>17</v>
      </c>
      <c r="B1107" t="s">
        <v>1102</v>
      </c>
      <c r="C1107">
        <v>270</v>
      </c>
      <c r="D1107" s="2">
        <v>0</v>
      </c>
      <c r="E1107" s="2">
        <v>0</v>
      </c>
      <c r="F1107" s="2">
        <v>0</v>
      </c>
      <c r="G1107" s="2">
        <v>0</v>
      </c>
      <c r="H1107">
        <v>85</v>
      </c>
      <c r="I1107">
        <v>73</v>
      </c>
      <c r="J1107" s="2">
        <v>0</v>
      </c>
      <c r="K1107" s="2">
        <v>0</v>
      </c>
      <c r="L1107">
        <v>73</v>
      </c>
      <c r="M1107" s="2">
        <v>0</v>
      </c>
      <c r="O1107" s="3">
        <f t="shared" si="61"/>
        <v>0</v>
      </c>
      <c r="P1107">
        <f t="shared" si="59"/>
        <v>0</v>
      </c>
      <c r="Q1107">
        <f t="shared" si="60"/>
        <v>0</v>
      </c>
    </row>
    <row r="1108" spans="1:17" x14ac:dyDescent="0.2">
      <c r="A1108" t="s">
        <v>17</v>
      </c>
      <c r="B1108" t="s">
        <v>1103</v>
      </c>
      <c r="C1108">
        <v>280</v>
      </c>
      <c r="D1108" s="2">
        <v>0</v>
      </c>
      <c r="E1108" s="2">
        <v>0</v>
      </c>
      <c r="F1108" s="2">
        <v>0</v>
      </c>
      <c r="G1108" s="2">
        <v>0</v>
      </c>
      <c r="H1108">
        <v>80</v>
      </c>
      <c r="I1108">
        <v>74</v>
      </c>
      <c r="J1108" s="2">
        <v>0</v>
      </c>
      <c r="K1108" s="2">
        <v>0</v>
      </c>
      <c r="L1108">
        <v>73</v>
      </c>
      <c r="M1108" s="2">
        <v>0</v>
      </c>
      <c r="O1108" s="3">
        <f t="shared" si="61"/>
        <v>0</v>
      </c>
      <c r="P1108">
        <f t="shared" si="59"/>
        <v>0</v>
      </c>
      <c r="Q1108">
        <f t="shared" si="60"/>
        <v>0</v>
      </c>
    </row>
    <row r="1109" spans="1:17" x14ac:dyDescent="0.2">
      <c r="A1109" t="s">
        <v>17</v>
      </c>
      <c r="B1109" t="s">
        <v>1104</v>
      </c>
      <c r="C1109">
        <v>10</v>
      </c>
      <c r="D1109" s="2">
        <v>0</v>
      </c>
      <c r="E1109" s="2">
        <v>0</v>
      </c>
      <c r="F1109" s="2">
        <v>0</v>
      </c>
      <c r="G1109" s="2">
        <v>0</v>
      </c>
      <c r="H1109">
        <v>85</v>
      </c>
      <c r="I1109">
        <v>0</v>
      </c>
      <c r="J1109" s="2">
        <v>0</v>
      </c>
      <c r="K1109" s="2">
        <v>0</v>
      </c>
      <c r="L1109">
        <v>0</v>
      </c>
      <c r="M1109" s="2">
        <v>0</v>
      </c>
      <c r="O1109" s="3">
        <f t="shared" si="61"/>
        <v>0</v>
      </c>
      <c r="P1109">
        <f t="shared" si="59"/>
        <v>0</v>
      </c>
      <c r="Q1109">
        <f t="shared" si="60"/>
        <v>0</v>
      </c>
    </row>
    <row r="1110" spans="1:17" x14ac:dyDescent="0.2">
      <c r="A1110" t="s">
        <v>17</v>
      </c>
      <c r="B1110" t="s">
        <v>1105</v>
      </c>
      <c r="C1110">
        <v>90</v>
      </c>
      <c r="D1110" s="2">
        <v>0</v>
      </c>
      <c r="E1110" s="2">
        <v>0</v>
      </c>
      <c r="F1110" s="2">
        <v>0</v>
      </c>
      <c r="G1110" s="2">
        <v>0</v>
      </c>
      <c r="H1110">
        <v>90</v>
      </c>
      <c r="I1110">
        <v>23</v>
      </c>
      <c r="J1110" s="2">
        <v>0</v>
      </c>
      <c r="K1110" s="2">
        <v>0</v>
      </c>
      <c r="L1110">
        <v>22</v>
      </c>
      <c r="M1110" s="2">
        <v>0</v>
      </c>
      <c r="O1110" s="3">
        <f t="shared" si="61"/>
        <v>0</v>
      </c>
      <c r="P1110">
        <f t="shared" si="59"/>
        <v>0</v>
      </c>
      <c r="Q1110">
        <f t="shared" si="60"/>
        <v>0</v>
      </c>
    </row>
    <row r="1111" spans="1:17" x14ac:dyDescent="0.2">
      <c r="A1111" t="s">
        <v>17</v>
      </c>
      <c r="B1111" t="s">
        <v>1106</v>
      </c>
      <c r="C1111">
        <v>240</v>
      </c>
      <c r="D1111" s="2">
        <v>0</v>
      </c>
      <c r="E1111" s="2">
        <v>0</v>
      </c>
      <c r="F1111" s="2">
        <v>0</v>
      </c>
      <c r="G1111" s="2">
        <v>0</v>
      </c>
      <c r="H1111">
        <v>75</v>
      </c>
      <c r="I1111">
        <v>65</v>
      </c>
      <c r="J1111" s="2">
        <v>0</v>
      </c>
      <c r="K1111" s="2">
        <v>0</v>
      </c>
      <c r="L1111">
        <v>65</v>
      </c>
      <c r="M1111" s="2">
        <v>0</v>
      </c>
      <c r="O1111" s="3">
        <f t="shared" si="61"/>
        <v>0</v>
      </c>
      <c r="P1111">
        <f t="shared" si="59"/>
        <v>0</v>
      </c>
      <c r="Q1111">
        <f t="shared" si="60"/>
        <v>0</v>
      </c>
    </row>
    <row r="1112" spans="1:17" x14ac:dyDescent="0.2">
      <c r="A1112" t="s">
        <v>17</v>
      </c>
      <c r="B1112" t="s">
        <v>1036</v>
      </c>
      <c r="C1112">
        <v>250</v>
      </c>
      <c r="D1112" s="2">
        <v>0</v>
      </c>
      <c r="E1112" s="2">
        <v>0</v>
      </c>
      <c r="F1112" s="2">
        <v>0</v>
      </c>
      <c r="G1112" s="2">
        <v>0</v>
      </c>
      <c r="H1112">
        <v>55</v>
      </c>
      <c r="I1112">
        <v>69</v>
      </c>
      <c r="J1112" s="2">
        <v>0</v>
      </c>
      <c r="K1112" s="2">
        <v>0</v>
      </c>
      <c r="L1112">
        <v>69</v>
      </c>
      <c r="M1112" s="2">
        <v>0</v>
      </c>
      <c r="O1112" s="3">
        <f t="shared" si="61"/>
        <v>0</v>
      </c>
      <c r="P1112">
        <f t="shared" si="59"/>
        <v>0</v>
      </c>
      <c r="Q1112">
        <f t="shared" si="60"/>
        <v>0</v>
      </c>
    </row>
    <row r="1113" spans="1:17" x14ac:dyDescent="0.2">
      <c r="A1113" t="s">
        <v>17</v>
      </c>
      <c r="B1113" t="s">
        <v>1107</v>
      </c>
      <c r="C1113">
        <v>260</v>
      </c>
      <c r="D1113" s="2">
        <v>0</v>
      </c>
      <c r="E1113" s="2">
        <v>0</v>
      </c>
      <c r="F1113" s="2">
        <v>0</v>
      </c>
      <c r="G1113" s="2">
        <v>0</v>
      </c>
      <c r="H1113">
        <v>50</v>
      </c>
      <c r="I1113">
        <v>70</v>
      </c>
      <c r="J1113" s="2">
        <v>0</v>
      </c>
      <c r="K1113" s="2">
        <v>0</v>
      </c>
      <c r="L1113">
        <v>70</v>
      </c>
      <c r="M1113" s="2">
        <v>0</v>
      </c>
      <c r="O1113" s="3">
        <f t="shared" si="61"/>
        <v>0</v>
      </c>
      <c r="P1113">
        <f t="shared" si="59"/>
        <v>0</v>
      </c>
      <c r="Q1113">
        <f t="shared" si="60"/>
        <v>0</v>
      </c>
    </row>
    <row r="1114" spans="1:17" x14ac:dyDescent="0.2">
      <c r="A1114" t="s">
        <v>17</v>
      </c>
      <c r="B1114" t="s">
        <v>1108</v>
      </c>
      <c r="C1114">
        <v>0</v>
      </c>
      <c r="D1114" s="2">
        <v>0</v>
      </c>
      <c r="E1114" s="2">
        <v>0</v>
      </c>
      <c r="F1114" s="2">
        <v>0</v>
      </c>
      <c r="G1114" s="2">
        <v>0</v>
      </c>
      <c r="H1114">
        <v>105</v>
      </c>
      <c r="I1114">
        <v>0</v>
      </c>
      <c r="J1114" s="2">
        <v>0</v>
      </c>
      <c r="K1114" s="2">
        <v>0</v>
      </c>
      <c r="L1114">
        <v>0</v>
      </c>
      <c r="M1114" s="2">
        <v>0</v>
      </c>
      <c r="O1114">
        <v>0</v>
      </c>
      <c r="P1114">
        <f t="shared" si="59"/>
        <v>0</v>
      </c>
      <c r="Q1114">
        <f t="shared" si="60"/>
        <v>0</v>
      </c>
    </row>
    <row r="1115" spans="1:17" x14ac:dyDescent="0.2">
      <c r="A1115" t="s">
        <v>17</v>
      </c>
      <c r="B1115" t="s">
        <v>1109</v>
      </c>
      <c r="C1115">
        <v>260</v>
      </c>
      <c r="D1115" s="2">
        <v>0</v>
      </c>
      <c r="E1115" s="2">
        <v>0</v>
      </c>
      <c r="F1115" s="2">
        <v>0</v>
      </c>
      <c r="G1115" s="2">
        <v>0</v>
      </c>
      <c r="H1115">
        <v>55</v>
      </c>
      <c r="I1115">
        <v>68</v>
      </c>
      <c r="J1115" s="2">
        <v>0</v>
      </c>
      <c r="K1115" s="2">
        <v>0</v>
      </c>
      <c r="L1115">
        <v>68</v>
      </c>
      <c r="M1115" s="2">
        <v>0</v>
      </c>
      <c r="O1115" s="3">
        <f>M1115/C1115*100</f>
        <v>0</v>
      </c>
      <c r="P1115">
        <f t="shared" si="59"/>
        <v>0</v>
      </c>
      <c r="Q1115">
        <f t="shared" si="60"/>
        <v>0</v>
      </c>
    </row>
    <row r="1116" spans="1:17" x14ac:dyDescent="0.2">
      <c r="A1116" t="s">
        <v>17</v>
      </c>
      <c r="B1116" t="s">
        <v>1054</v>
      </c>
      <c r="C1116">
        <v>260</v>
      </c>
      <c r="D1116" s="2">
        <v>0</v>
      </c>
      <c r="E1116" s="2">
        <v>0</v>
      </c>
      <c r="F1116" s="2">
        <v>0</v>
      </c>
      <c r="G1116" s="2">
        <v>0</v>
      </c>
      <c r="H1116">
        <v>260</v>
      </c>
      <c r="I1116">
        <v>67</v>
      </c>
      <c r="J1116" s="2">
        <v>0</v>
      </c>
      <c r="K1116" s="2">
        <v>0</v>
      </c>
      <c r="L1116">
        <v>67</v>
      </c>
      <c r="M1116" s="2">
        <v>0</v>
      </c>
      <c r="O1116" s="3">
        <f>M1116/C1116*100</f>
        <v>0</v>
      </c>
      <c r="P1116">
        <f t="shared" si="59"/>
        <v>0</v>
      </c>
      <c r="Q1116">
        <f t="shared" si="60"/>
        <v>0</v>
      </c>
    </row>
    <row r="1117" spans="1:17" x14ac:dyDescent="0.2">
      <c r="A1117" t="s">
        <v>17</v>
      </c>
      <c r="B1117" t="s">
        <v>1110</v>
      </c>
      <c r="C1117">
        <v>350</v>
      </c>
      <c r="D1117" s="2">
        <v>0</v>
      </c>
      <c r="E1117" s="2">
        <v>0</v>
      </c>
      <c r="F1117" s="2">
        <v>0</v>
      </c>
      <c r="G1117" s="2">
        <v>0</v>
      </c>
      <c r="H1117">
        <v>125</v>
      </c>
      <c r="I1117">
        <v>87</v>
      </c>
      <c r="J1117" s="2">
        <v>0</v>
      </c>
      <c r="K1117" s="2">
        <v>0</v>
      </c>
      <c r="L1117">
        <v>87</v>
      </c>
      <c r="M1117" s="2">
        <v>0</v>
      </c>
      <c r="O1117" s="3">
        <f>M1117/C1117*100</f>
        <v>0</v>
      </c>
      <c r="P1117">
        <f t="shared" si="59"/>
        <v>0</v>
      </c>
      <c r="Q1117">
        <f t="shared" si="60"/>
        <v>0</v>
      </c>
    </row>
    <row r="1118" spans="1:17" x14ac:dyDescent="0.2">
      <c r="A1118" t="s">
        <v>17</v>
      </c>
      <c r="B1118" t="s">
        <v>1111</v>
      </c>
      <c r="C1118">
        <v>180</v>
      </c>
      <c r="D1118" s="2">
        <v>0</v>
      </c>
      <c r="E1118" s="2">
        <v>0</v>
      </c>
      <c r="F1118" s="2">
        <v>0</v>
      </c>
      <c r="G1118" s="2">
        <v>0</v>
      </c>
      <c r="H1118">
        <v>90</v>
      </c>
      <c r="I1118">
        <v>48</v>
      </c>
      <c r="J1118" s="2">
        <v>0</v>
      </c>
      <c r="K1118" s="2">
        <v>0</v>
      </c>
      <c r="L1118">
        <v>48</v>
      </c>
      <c r="M1118" s="2">
        <v>0</v>
      </c>
      <c r="O1118" s="3">
        <f>M1118/C1118*100</f>
        <v>0</v>
      </c>
      <c r="P1118">
        <f t="shared" si="59"/>
        <v>0</v>
      </c>
      <c r="Q1118">
        <f t="shared" si="60"/>
        <v>0</v>
      </c>
    </row>
    <row r="1119" spans="1:17" x14ac:dyDescent="0.2">
      <c r="A1119" t="s">
        <v>17</v>
      </c>
      <c r="B1119" t="s">
        <v>1112</v>
      </c>
      <c r="C1119">
        <v>0</v>
      </c>
      <c r="D1119" s="2">
        <v>0</v>
      </c>
      <c r="E1119" s="2">
        <v>0</v>
      </c>
      <c r="F1119" s="2">
        <v>0</v>
      </c>
      <c r="G1119" s="2">
        <v>0</v>
      </c>
      <c r="H1119">
        <v>115</v>
      </c>
      <c r="I1119">
        <v>0</v>
      </c>
      <c r="J1119" s="2">
        <v>0</v>
      </c>
      <c r="K1119" s="2">
        <v>0</v>
      </c>
      <c r="L1119">
        <v>0</v>
      </c>
      <c r="M1119" s="2">
        <v>0</v>
      </c>
      <c r="O1119">
        <v>0</v>
      </c>
      <c r="P1119">
        <f t="shared" si="59"/>
        <v>0</v>
      </c>
      <c r="Q1119">
        <f t="shared" si="60"/>
        <v>0</v>
      </c>
    </row>
    <row r="1120" spans="1:17" x14ac:dyDescent="0.2">
      <c r="A1120" t="s">
        <v>17</v>
      </c>
      <c r="B1120" t="s">
        <v>968</v>
      </c>
      <c r="C1120">
        <v>0</v>
      </c>
      <c r="D1120" s="2">
        <v>0</v>
      </c>
      <c r="E1120" s="2">
        <v>0</v>
      </c>
      <c r="F1120" s="2">
        <v>0</v>
      </c>
      <c r="G1120" s="2">
        <v>0</v>
      </c>
      <c r="H1120">
        <v>180</v>
      </c>
      <c r="I1120">
        <v>1</v>
      </c>
      <c r="J1120" s="2">
        <v>0</v>
      </c>
      <c r="K1120" s="2">
        <v>0</v>
      </c>
      <c r="L1120">
        <v>0</v>
      </c>
      <c r="M1120" s="2">
        <v>0</v>
      </c>
      <c r="O1120">
        <v>0</v>
      </c>
      <c r="P1120">
        <f t="shared" si="59"/>
        <v>0</v>
      </c>
      <c r="Q1120">
        <f t="shared" si="60"/>
        <v>0</v>
      </c>
    </row>
    <row r="1121" spans="1:17" x14ac:dyDescent="0.2">
      <c r="A1121" t="s">
        <v>17</v>
      </c>
      <c r="B1121" t="s">
        <v>1113</v>
      </c>
      <c r="C1121">
        <v>10</v>
      </c>
      <c r="D1121" s="2">
        <v>0</v>
      </c>
      <c r="E1121" s="2">
        <v>0</v>
      </c>
      <c r="F1121" s="2">
        <v>0</v>
      </c>
      <c r="G1121" s="2">
        <v>0</v>
      </c>
      <c r="H1121">
        <v>140</v>
      </c>
      <c r="I1121">
        <v>1</v>
      </c>
      <c r="J1121" s="2">
        <v>0</v>
      </c>
      <c r="K1121" s="2">
        <v>0</v>
      </c>
      <c r="L1121">
        <v>1</v>
      </c>
      <c r="M1121" s="2">
        <v>0</v>
      </c>
      <c r="O1121" s="3">
        <f>M1121/C1121*100</f>
        <v>0</v>
      </c>
      <c r="P1121">
        <f t="shared" si="59"/>
        <v>0</v>
      </c>
      <c r="Q1121">
        <f t="shared" si="60"/>
        <v>0</v>
      </c>
    </row>
    <row r="1122" spans="1:17" x14ac:dyDescent="0.2">
      <c r="A1122" t="s">
        <v>17</v>
      </c>
      <c r="B1122" t="s">
        <v>980</v>
      </c>
      <c r="C1122">
        <v>0</v>
      </c>
      <c r="D1122" s="2">
        <v>0</v>
      </c>
      <c r="E1122" s="2">
        <v>0</v>
      </c>
      <c r="F1122" s="2">
        <v>0</v>
      </c>
      <c r="G1122" s="2">
        <v>0</v>
      </c>
      <c r="H1122">
        <v>140</v>
      </c>
      <c r="I1122">
        <v>0</v>
      </c>
      <c r="J1122" s="2">
        <v>0</v>
      </c>
      <c r="K1122" s="2">
        <v>0</v>
      </c>
      <c r="L1122">
        <v>0</v>
      </c>
      <c r="M1122" s="2">
        <v>0</v>
      </c>
      <c r="O1122">
        <v>0</v>
      </c>
      <c r="P1122">
        <f t="shared" si="59"/>
        <v>0</v>
      </c>
      <c r="Q1122">
        <f t="shared" si="60"/>
        <v>0</v>
      </c>
    </row>
    <row r="1123" spans="1:17" x14ac:dyDescent="0.2">
      <c r="A1123" t="s">
        <v>17</v>
      </c>
      <c r="B1123" t="s">
        <v>988</v>
      </c>
      <c r="C1123">
        <v>360</v>
      </c>
      <c r="D1123" s="2">
        <v>0</v>
      </c>
      <c r="E1123" s="2">
        <v>0</v>
      </c>
      <c r="F1123" s="2">
        <v>0</v>
      </c>
      <c r="G1123" s="2">
        <v>0</v>
      </c>
      <c r="H1123">
        <v>110</v>
      </c>
      <c r="I1123">
        <v>98</v>
      </c>
      <c r="J1123" s="2">
        <v>0</v>
      </c>
      <c r="K1123" s="2">
        <v>0</v>
      </c>
      <c r="L1123">
        <v>96</v>
      </c>
      <c r="M1123" s="2">
        <v>0</v>
      </c>
      <c r="O1123" s="3">
        <f t="shared" ref="O1123:O1131" si="62">M1123/C1123*100</f>
        <v>0</v>
      </c>
      <c r="P1123">
        <f t="shared" si="59"/>
        <v>0</v>
      </c>
      <c r="Q1123">
        <f t="shared" si="60"/>
        <v>0</v>
      </c>
    </row>
    <row r="1124" spans="1:17" x14ac:dyDescent="0.2">
      <c r="A1124" t="s">
        <v>17</v>
      </c>
      <c r="B1124" t="s">
        <v>1114</v>
      </c>
      <c r="C1124">
        <v>50</v>
      </c>
      <c r="D1124" s="2">
        <v>0</v>
      </c>
      <c r="E1124" s="2">
        <v>0</v>
      </c>
      <c r="F1124" s="2">
        <v>0</v>
      </c>
      <c r="G1124" s="2">
        <v>0</v>
      </c>
      <c r="H1124">
        <v>270</v>
      </c>
      <c r="I1124">
        <v>13</v>
      </c>
      <c r="J1124" s="2">
        <v>0</v>
      </c>
      <c r="K1124" s="2">
        <v>0</v>
      </c>
      <c r="L1124">
        <v>12</v>
      </c>
      <c r="M1124" s="2">
        <v>0</v>
      </c>
      <c r="O1124" s="3">
        <f t="shared" si="62"/>
        <v>0</v>
      </c>
      <c r="P1124">
        <f t="shared" si="59"/>
        <v>0</v>
      </c>
      <c r="Q1124">
        <f t="shared" si="60"/>
        <v>0</v>
      </c>
    </row>
    <row r="1125" spans="1:17" x14ac:dyDescent="0.2">
      <c r="A1125" t="s">
        <v>17</v>
      </c>
      <c r="B1125" t="s">
        <v>1115</v>
      </c>
      <c r="C1125">
        <v>410</v>
      </c>
      <c r="D1125" s="2">
        <v>0</v>
      </c>
      <c r="E1125" s="2">
        <v>0</v>
      </c>
      <c r="F1125" s="2">
        <v>0</v>
      </c>
      <c r="G1125" s="2">
        <v>0</v>
      </c>
      <c r="H1125">
        <v>125</v>
      </c>
      <c r="I1125">
        <v>110</v>
      </c>
      <c r="J1125" s="2">
        <v>0</v>
      </c>
      <c r="K1125" s="2">
        <v>0</v>
      </c>
      <c r="L1125">
        <v>109</v>
      </c>
      <c r="M1125" s="2">
        <v>0</v>
      </c>
      <c r="O1125" s="3">
        <f t="shared" si="62"/>
        <v>0</v>
      </c>
      <c r="P1125">
        <f t="shared" si="59"/>
        <v>0</v>
      </c>
      <c r="Q1125">
        <f t="shared" si="60"/>
        <v>0</v>
      </c>
    </row>
    <row r="1126" spans="1:17" x14ac:dyDescent="0.2">
      <c r="A1126" t="s">
        <v>17</v>
      </c>
      <c r="B1126" t="s">
        <v>1116</v>
      </c>
      <c r="C1126">
        <v>420</v>
      </c>
      <c r="D1126" s="2">
        <v>0</v>
      </c>
      <c r="E1126" s="2">
        <v>0</v>
      </c>
      <c r="F1126" s="2">
        <v>0</v>
      </c>
      <c r="G1126" s="2">
        <v>0</v>
      </c>
      <c r="H1126">
        <v>120</v>
      </c>
      <c r="I1126">
        <v>110</v>
      </c>
      <c r="J1126" s="2">
        <v>0</v>
      </c>
      <c r="K1126" s="2">
        <v>0</v>
      </c>
      <c r="L1126">
        <v>110</v>
      </c>
      <c r="M1126" s="2">
        <v>0</v>
      </c>
      <c r="O1126" s="3">
        <f t="shared" si="62"/>
        <v>0</v>
      </c>
      <c r="P1126">
        <f t="shared" si="59"/>
        <v>0</v>
      </c>
      <c r="Q1126">
        <f t="shared" si="60"/>
        <v>0</v>
      </c>
    </row>
    <row r="1127" spans="1:17" x14ac:dyDescent="0.2">
      <c r="A1127" t="s">
        <v>17</v>
      </c>
      <c r="B1127" t="s">
        <v>1117</v>
      </c>
      <c r="C1127">
        <v>15</v>
      </c>
      <c r="D1127" s="2">
        <v>0</v>
      </c>
      <c r="E1127" s="2">
        <v>0</v>
      </c>
      <c r="F1127" s="2">
        <v>0</v>
      </c>
      <c r="G1127" s="2">
        <v>0</v>
      </c>
      <c r="H1127">
        <v>125</v>
      </c>
      <c r="I1127">
        <v>0</v>
      </c>
      <c r="J1127" s="2">
        <v>0</v>
      </c>
      <c r="K1127" s="2">
        <v>0</v>
      </c>
      <c r="L1127">
        <v>0</v>
      </c>
      <c r="M1127" s="2">
        <v>0</v>
      </c>
      <c r="O1127" s="3">
        <f t="shared" si="62"/>
        <v>0</v>
      </c>
      <c r="P1127">
        <f t="shared" si="59"/>
        <v>0</v>
      </c>
      <c r="Q1127">
        <f t="shared" si="60"/>
        <v>0</v>
      </c>
    </row>
    <row r="1128" spans="1:17" x14ac:dyDescent="0.2">
      <c r="A1128" t="s">
        <v>17</v>
      </c>
      <c r="B1128" t="s">
        <v>1118</v>
      </c>
      <c r="C1128">
        <v>130</v>
      </c>
      <c r="D1128" s="2">
        <v>0</v>
      </c>
      <c r="E1128" s="2">
        <v>0</v>
      </c>
      <c r="F1128" s="2">
        <v>0</v>
      </c>
      <c r="G1128" s="2">
        <v>0</v>
      </c>
      <c r="H1128">
        <v>140</v>
      </c>
      <c r="I1128">
        <v>34</v>
      </c>
      <c r="J1128" s="2">
        <v>0</v>
      </c>
      <c r="K1128" s="2">
        <v>0</v>
      </c>
      <c r="L1128">
        <v>33</v>
      </c>
      <c r="M1128" s="2">
        <v>0</v>
      </c>
      <c r="O1128" s="3">
        <f t="shared" si="62"/>
        <v>0</v>
      </c>
      <c r="P1128">
        <f t="shared" si="59"/>
        <v>0</v>
      </c>
      <c r="Q1128">
        <f t="shared" si="60"/>
        <v>0</v>
      </c>
    </row>
    <row r="1129" spans="1:17" x14ac:dyDescent="0.2">
      <c r="A1129" t="s">
        <v>17</v>
      </c>
      <c r="B1129" t="s">
        <v>1119</v>
      </c>
      <c r="C1129">
        <v>360</v>
      </c>
      <c r="D1129" s="2">
        <v>0</v>
      </c>
      <c r="E1129" s="2">
        <v>0</v>
      </c>
      <c r="F1129" s="2">
        <v>0</v>
      </c>
      <c r="G1129" s="2">
        <v>0</v>
      </c>
      <c r="H1129">
        <v>110</v>
      </c>
      <c r="I1129">
        <v>98</v>
      </c>
      <c r="J1129" s="2">
        <v>0</v>
      </c>
      <c r="K1129" s="2">
        <v>0</v>
      </c>
      <c r="L1129">
        <v>98</v>
      </c>
      <c r="M1129" s="2">
        <v>0</v>
      </c>
      <c r="O1129" s="3">
        <f t="shared" si="62"/>
        <v>0</v>
      </c>
      <c r="P1129">
        <f t="shared" si="59"/>
        <v>0</v>
      </c>
      <c r="Q1129">
        <f t="shared" si="60"/>
        <v>0</v>
      </c>
    </row>
    <row r="1130" spans="1:17" x14ac:dyDescent="0.2">
      <c r="A1130" t="s">
        <v>17</v>
      </c>
      <c r="B1130" t="s">
        <v>1037</v>
      </c>
      <c r="C1130">
        <v>380</v>
      </c>
      <c r="D1130" s="2">
        <v>0</v>
      </c>
      <c r="E1130" s="2">
        <v>0</v>
      </c>
      <c r="F1130" s="2">
        <v>0</v>
      </c>
      <c r="G1130" s="2">
        <v>0</v>
      </c>
      <c r="H1130">
        <v>80</v>
      </c>
      <c r="I1130">
        <v>104</v>
      </c>
      <c r="J1130" s="2">
        <v>0</v>
      </c>
      <c r="K1130" s="2">
        <v>0</v>
      </c>
      <c r="L1130">
        <v>103</v>
      </c>
      <c r="M1130" s="2">
        <v>0</v>
      </c>
      <c r="O1130" s="3">
        <f t="shared" si="62"/>
        <v>0</v>
      </c>
      <c r="P1130">
        <f t="shared" si="59"/>
        <v>0</v>
      </c>
      <c r="Q1130">
        <f t="shared" si="60"/>
        <v>0</v>
      </c>
    </row>
    <row r="1131" spans="1:17" x14ac:dyDescent="0.2">
      <c r="A1131" t="s">
        <v>17</v>
      </c>
      <c r="B1131" t="s">
        <v>1120</v>
      </c>
      <c r="C1131">
        <v>390</v>
      </c>
      <c r="D1131" s="2">
        <v>0</v>
      </c>
      <c r="E1131" s="2">
        <v>0</v>
      </c>
      <c r="F1131" s="2">
        <v>0</v>
      </c>
      <c r="G1131" s="2">
        <v>0</v>
      </c>
      <c r="H1131">
        <v>80</v>
      </c>
      <c r="I1131">
        <v>105</v>
      </c>
      <c r="J1131" s="2">
        <v>0</v>
      </c>
      <c r="K1131" s="2">
        <v>0</v>
      </c>
      <c r="L1131">
        <v>105</v>
      </c>
      <c r="M1131" s="2">
        <v>0</v>
      </c>
      <c r="O1131" s="3">
        <f t="shared" si="62"/>
        <v>0</v>
      </c>
      <c r="P1131">
        <f t="shared" si="59"/>
        <v>0</v>
      </c>
      <c r="Q1131">
        <f t="shared" si="60"/>
        <v>0</v>
      </c>
    </row>
    <row r="1132" spans="1:17" x14ac:dyDescent="0.2">
      <c r="A1132" t="s">
        <v>17</v>
      </c>
      <c r="B1132" t="s">
        <v>1121</v>
      </c>
      <c r="C1132">
        <v>0</v>
      </c>
      <c r="D1132" s="2">
        <v>0</v>
      </c>
      <c r="E1132" s="2">
        <v>0</v>
      </c>
      <c r="F1132" s="2">
        <v>0</v>
      </c>
      <c r="G1132" s="2">
        <v>0</v>
      </c>
      <c r="H1132">
        <v>160</v>
      </c>
      <c r="I1132">
        <v>0</v>
      </c>
      <c r="J1132" s="2">
        <v>0</v>
      </c>
      <c r="K1132" s="2">
        <v>0</v>
      </c>
      <c r="L1132">
        <v>0</v>
      </c>
      <c r="M1132" s="2">
        <v>0</v>
      </c>
      <c r="O1132">
        <v>0</v>
      </c>
      <c r="P1132">
        <f t="shared" si="59"/>
        <v>0</v>
      </c>
      <c r="Q1132">
        <f t="shared" si="60"/>
        <v>0</v>
      </c>
    </row>
    <row r="1133" spans="1:17" x14ac:dyDescent="0.2">
      <c r="A1133" t="s">
        <v>17</v>
      </c>
      <c r="B1133" t="s">
        <v>1122</v>
      </c>
      <c r="C1133">
        <v>380</v>
      </c>
      <c r="D1133" s="2">
        <v>0</v>
      </c>
      <c r="E1133" s="2">
        <v>0</v>
      </c>
      <c r="F1133" s="2">
        <v>0</v>
      </c>
      <c r="G1133" s="2">
        <v>0</v>
      </c>
      <c r="H1133">
        <v>80</v>
      </c>
      <c r="I1133">
        <v>101</v>
      </c>
      <c r="J1133" s="2">
        <v>0</v>
      </c>
      <c r="K1133" s="2">
        <v>0</v>
      </c>
      <c r="L1133">
        <v>101</v>
      </c>
      <c r="M1133" s="2">
        <v>0</v>
      </c>
      <c r="O1133" s="3">
        <f>M1133/C1133*100</f>
        <v>0</v>
      </c>
      <c r="P1133">
        <f t="shared" si="59"/>
        <v>0</v>
      </c>
      <c r="Q1133">
        <f t="shared" si="60"/>
        <v>0</v>
      </c>
    </row>
    <row r="1134" spans="1:17" x14ac:dyDescent="0.2">
      <c r="A1134" t="s">
        <v>17</v>
      </c>
      <c r="B1134" t="s">
        <v>1055</v>
      </c>
      <c r="C1134">
        <v>390</v>
      </c>
      <c r="D1134" s="2">
        <v>0</v>
      </c>
      <c r="E1134" s="2">
        <v>0</v>
      </c>
      <c r="F1134" s="2">
        <v>0</v>
      </c>
      <c r="G1134" s="2">
        <v>0</v>
      </c>
      <c r="H1134">
        <v>390</v>
      </c>
      <c r="I1134">
        <v>100</v>
      </c>
      <c r="J1134" s="2">
        <v>0</v>
      </c>
      <c r="K1134" s="2">
        <v>0</v>
      </c>
      <c r="L1134">
        <v>100</v>
      </c>
      <c r="M1134" s="2">
        <v>0</v>
      </c>
      <c r="O1134" s="3">
        <f>M1134/C1134*100</f>
        <v>0</v>
      </c>
      <c r="P1134">
        <f t="shared" si="59"/>
        <v>0</v>
      </c>
      <c r="Q1134">
        <f t="shared" si="60"/>
        <v>1</v>
      </c>
    </row>
  </sheetData>
  <autoFilter ref="A1:Q1134" xr:uid="{2CF966E2-9023-BD42-8BDE-92E18FD94308}">
    <sortState xmlns:xlrd2="http://schemas.microsoft.com/office/spreadsheetml/2017/richdata2" ref="A2:Q1134">
      <sortCondition descending="1" ref="O1:O1134"/>
    </sortState>
  </autoFilter>
  <mergeCells count="1">
    <mergeCell ref="AB3:A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5A58-00F0-9D40-818D-DECFABB77B29}">
  <dimension ref="A1:Q977"/>
  <sheetViews>
    <sheetView workbookViewId="0">
      <pane ySplit="1" topLeftCell="A531" activePane="bottomLeft" state="frozen"/>
      <selection pane="bottomLeft" activeCell="E981" sqref="E981"/>
    </sheetView>
  </sheetViews>
  <sheetFormatPr baseColWidth="10" defaultColWidth="11" defaultRowHeight="16" x14ac:dyDescent="0.2"/>
  <cols>
    <col min="1" max="1" width="15.83203125" customWidth="1"/>
    <col min="2" max="2" width="52.1640625" customWidth="1"/>
  </cols>
  <sheetData>
    <row r="1" spans="1:17" ht="51" x14ac:dyDescent="0.2">
      <c r="A1" t="s">
        <v>0</v>
      </c>
      <c r="B1" t="s">
        <v>1</v>
      </c>
      <c r="C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5" t="s">
        <v>12</v>
      </c>
      <c r="N1" s="1" t="s">
        <v>13</v>
      </c>
      <c r="O1" s="4" t="s">
        <v>14</v>
      </c>
      <c r="P1" s="4" t="s">
        <v>1123</v>
      </c>
      <c r="Q1" s="4" t="s">
        <v>1124</v>
      </c>
    </row>
    <row r="2" spans="1:17" x14ac:dyDescent="0.2">
      <c r="A2" t="s">
        <v>51</v>
      </c>
      <c r="B2" t="s">
        <v>52</v>
      </c>
      <c r="C2">
        <v>90</v>
      </c>
      <c r="D2">
        <v>0</v>
      </c>
      <c r="E2">
        <v>0</v>
      </c>
      <c r="F2">
        <v>0</v>
      </c>
      <c r="G2">
        <v>0</v>
      </c>
      <c r="H2">
        <v>5</v>
      </c>
      <c r="I2">
        <v>125</v>
      </c>
      <c r="J2">
        <v>13</v>
      </c>
      <c r="K2">
        <v>0</v>
      </c>
      <c r="L2">
        <v>12</v>
      </c>
      <c r="M2">
        <v>9</v>
      </c>
      <c r="N2">
        <v>93</v>
      </c>
      <c r="O2" s="3">
        <f t="shared" ref="O2:O33" si="0">M2/C2*100</f>
        <v>10</v>
      </c>
      <c r="P2">
        <f t="shared" ref="P2:P65" si="1">IF(I2&gt;2300*0.2,1,0)</f>
        <v>0</v>
      </c>
      <c r="Q2">
        <f t="shared" ref="Q2:Q65" si="2">IF(H2&gt;300,1,0)</f>
        <v>0</v>
      </c>
    </row>
    <row r="3" spans="1:17" x14ac:dyDescent="0.2">
      <c r="A3" t="s">
        <v>51</v>
      </c>
      <c r="B3" t="s">
        <v>99</v>
      </c>
      <c r="C3">
        <v>60</v>
      </c>
      <c r="D3">
        <v>35</v>
      </c>
      <c r="E3">
        <v>4</v>
      </c>
      <c r="F3">
        <v>2.5</v>
      </c>
      <c r="G3">
        <v>0</v>
      </c>
      <c r="H3">
        <v>10</v>
      </c>
      <c r="I3">
        <v>95</v>
      </c>
      <c r="J3">
        <v>3</v>
      </c>
      <c r="K3">
        <v>1</v>
      </c>
      <c r="L3">
        <v>2</v>
      </c>
      <c r="M3">
        <v>4</v>
      </c>
      <c r="N3">
        <v>61</v>
      </c>
      <c r="O3" s="3">
        <f t="shared" si="0"/>
        <v>6.666666666666667</v>
      </c>
      <c r="P3">
        <f t="shared" si="1"/>
        <v>0</v>
      </c>
      <c r="Q3">
        <f t="shared" si="2"/>
        <v>0</v>
      </c>
    </row>
    <row r="4" spans="1:17" x14ac:dyDescent="0.2">
      <c r="A4" t="s">
        <v>51</v>
      </c>
      <c r="B4" t="s">
        <v>110</v>
      </c>
      <c r="C4">
        <v>900</v>
      </c>
      <c r="D4">
        <v>480</v>
      </c>
      <c r="E4">
        <v>54</v>
      </c>
      <c r="F4">
        <v>25</v>
      </c>
      <c r="G4">
        <v>3</v>
      </c>
      <c r="H4">
        <v>210</v>
      </c>
      <c r="I4">
        <v>1740</v>
      </c>
      <c r="J4">
        <v>50</v>
      </c>
      <c r="K4">
        <v>2</v>
      </c>
      <c r="L4">
        <v>11</v>
      </c>
      <c r="M4">
        <v>56</v>
      </c>
      <c r="N4">
        <v>880</v>
      </c>
      <c r="O4" s="3">
        <f t="shared" si="0"/>
        <v>6.2222222222222223</v>
      </c>
      <c r="P4">
        <f t="shared" si="1"/>
        <v>1</v>
      </c>
      <c r="Q4">
        <f t="shared" si="2"/>
        <v>0</v>
      </c>
    </row>
    <row r="5" spans="1:17" x14ac:dyDescent="0.2">
      <c r="A5" t="s">
        <v>51</v>
      </c>
      <c r="B5" t="s">
        <v>117</v>
      </c>
      <c r="C5">
        <v>350</v>
      </c>
      <c r="D5">
        <v>160</v>
      </c>
      <c r="E5">
        <v>18</v>
      </c>
      <c r="F5">
        <v>7</v>
      </c>
      <c r="G5">
        <v>1</v>
      </c>
      <c r="H5">
        <v>70</v>
      </c>
      <c r="I5">
        <v>410</v>
      </c>
      <c r="J5">
        <v>26</v>
      </c>
      <c r="K5">
        <v>1</v>
      </c>
      <c r="L5">
        <v>6</v>
      </c>
      <c r="M5">
        <v>21</v>
      </c>
      <c r="N5">
        <v>342</v>
      </c>
      <c r="O5" s="3">
        <f t="shared" si="0"/>
        <v>6</v>
      </c>
      <c r="P5">
        <f t="shared" si="1"/>
        <v>0</v>
      </c>
      <c r="Q5">
        <f t="shared" si="2"/>
        <v>0</v>
      </c>
    </row>
    <row r="6" spans="1:17" x14ac:dyDescent="0.2">
      <c r="A6" t="s">
        <v>51</v>
      </c>
      <c r="B6" t="s">
        <v>118</v>
      </c>
      <c r="C6">
        <v>420</v>
      </c>
      <c r="D6">
        <v>210</v>
      </c>
      <c r="E6">
        <v>24</v>
      </c>
      <c r="F6">
        <v>10</v>
      </c>
      <c r="G6">
        <v>1.5</v>
      </c>
      <c r="H6">
        <v>90</v>
      </c>
      <c r="I6">
        <v>740</v>
      </c>
      <c r="J6">
        <v>27</v>
      </c>
      <c r="K6">
        <v>1</v>
      </c>
      <c r="L6">
        <v>7</v>
      </c>
      <c r="M6">
        <v>25</v>
      </c>
      <c r="N6">
        <v>412</v>
      </c>
      <c r="O6" s="3">
        <f t="shared" si="0"/>
        <v>5.9523809523809517</v>
      </c>
      <c r="P6">
        <f t="shared" si="1"/>
        <v>1</v>
      </c>
      <c r="Q6">
        <f t="shared" si="2"/>
        <v>0</v>
      </c>
    </row>
    <row r="7" spans="1:17" x14ac:dyDescent="0.2">
      <c r="A7" t="s">
        <v>51</v>
      </c>
      <c r="B7" t="s">
        <v>119</v>
      </c>
      <c r="C7">
        <v>1130</v>
      </c>
      <c r="D7">
        <v>680</v>
      </c>
      <c r="E7">
        <v>75</v>
      </c>
      <c r="F7">
        <v>28</v>
      </c>
      <c r="G7">
        <v>4</v>
      </c>
      <c r="H7">
        <v>255</v>
      </c>
      <c r="I7">
        <v>1120</v>
      </c>
      <c r="J7">
        <v>49</v>
      </c>
      <c r="K7">
        <v>2</v>
      </c>
      <c r="L7">
        <v>11</v>
      </c>
      <c r="M7">
        <v>67</v>
      </c>
      <c r="N7">
        <v>1102</v>
      </c>
      <c r="O7" s="3">
        <f t="shared" si="0"/>
        <v>5.9292035398230087</v>
      </c>
      <c r="P7">
        <f t="shared" si="1"/>
        <v>1</v>
      </c>
      <c r="Q7">
        <f t="shared" si="2"/>
        <v>0</v>
      </c>
    </row>
    <row r="8" spans="1:17" x14ac:dyDescent="0.2">
      <c r="A8" t="s">
        <v>51</v>
      </c>
      <c r="B8" t="s">
        <v>120</v>
      </c>
      <c r="C8">
        <v>390</v>
      </c>
      <c r="D8">
        <v>190</v>
      </c>
      <c r="E8">
        <v>21</v>
      </c>
      <c r="F8">
        <v>9</v>
      </c>
      <c r="G8">
        <v>1.5</v>
      </c>
      <c r="H8">
        <v>85</v>
      </c>
      <c r="I8">
        <v>590</v>
      </c>
      <c r="J8">
        <v>27</v>
      </c>
      <c r="K8">
        <v>1</v>
      </c>
      <c r="L8">
        <v>7</v>
      </c>
      <c r="M8">
        <v>23</v>
      </c>
      <c r="N8">
        <v>383</v>
      </c>
      <c r="O8" s="3">
        <f t="shared" si="0"/>
        <v>5.8974358974358969</v>
      </c>
      <c r="P8">
        <f t="shared" si="1"/>
        <v>1</v>
      </c>
      <c r="Q8">
        <f t="shared" si="2"/>
        <v>0</v>
      </c>
    </row>
    <row r="9" spans="1:17" x14ac:dyDescent="0.2">
      <c r="A9" t="s">
        <v>51</v>
      </c>
      <c r="B9" t="s">
        <v>126</v>
      </c>
      <c r="C9">
        <v>1220</v>
      </c>
      <c r="D9">
        <v>740</v>
      </c>
      <c r="E9">
        <v>82</v>
      </c>
      <c r="F9">
        <v>32</v>
      </c>
      <c r="G9">
        <v>4.5</v>
      </c>
      <c r="H9">
        <v>280</v>
      </c>
      <c r="I9">
        <v>1470</v>
      </c>
      <c r="J9">
        <v>50</v>
      </c>
      <c r="K9">
        <v>2</v>
      </c>
      <c r="L9">
        <v>11</v>
      </c>
      <c r="M9">
        <v>71</v>
      </c>
      <c r="N9">
        <v>1192</v>
      </c>
      <c r="O9" s="3">
        <f t="shared" si="0"/>
        <v>5.8196721311475406</v>
      </c>
      <c r="P9">
        <f t="shared" si="1"/>
        <v>1</v>
      </c>
      <c r="Q9">
        <f t="shared" si="2"/>
        <v>0</v>
      </c>
    </row>
    <row r="10" spans="1:17" x14ac:dyDescent="0.2">
      <c r="A10" t="s">
        <v>51</v>
      </c>
      <c r="B10" t="s">
        <v>127</v>
      </c>
      <c r="C10">
        <v>1050</v>
      </c>
      <c r="D10">
        <v>610</v>
      </c>
      <c r="E10">
        <v>68</v>
      </c>
      <c r="F10">
        <v>28</v>
      </c>
      <c r="G10">
        <v>3.5</v>
      </c>
      <c r="H10">
        <v>235</v>
      </c>
      <c r="I10">
        <v>1870</v>
      </c>
      <c r="J10">
        <v>49</v>
      </c>
      <c r="K10">
        <v>1</v>
      </c>
      <c r="L10">
        <v>11</v>
      </c>
      <c r="M10">
        <v>61</v>
      </c>
      <c r="N10">
        <v>1028</v>
      </c>
      <c r="O10" s="3">
        <f t="shared" si="0"/>
        <v>5.8095238095238093</v>
      </c>
      <c r="P10">
        <f t="shared" si="1"/>
        <v>1</v>
      </c>
      <c r="Q10">
        <f t="shared" si="2"/>
        <v>0</v>
      </c>
    </row>
    <row r="11" spans="1:17" x14ac:dyDescent="0.2">
      <c r="A11" t="s">
        <v>51</v>
      </c>
      <c r="B11" t="s">
        <v>132</v>
      </c>
      <c r="C11">
        <v>540</v>
      </c>
      <c r="D11">
        <v>300</v>
      </c>
      <c r="E11">
        <v>33</v>
      </c>
      <c r="F11">
        <v>10</v>
      </c>
      <c r="G11">
        <v>0</v>
      </c>
      <c r="H11">
        <v>95</v>
      </c>
      <c r="I11">
        <v>1380</v>
      </c>
      <c r="J11">
        <v>31</v>
      </c>
      <c r="K11">
        <v>3</v>
      </c>
      <c r="L11">
        <v>5</v>
      </c>
      <c r="M11">
        <v>31</v>
      </c>
      <c r="N11">
        <v>524</v>
      </c>
      <c r="O11" s="3">
        <f t="shared" si="0"/>
        <v>5.7407407407407405</v>
      </c>
      <c r="P11">
        <f t="shared" si="1"/>
        <v>1</v>
      </c>
      <c r="Q11">
        <f t="shared" si="2"/>
        <v>0</v>
      </c>
    </row>
    <row r="12" spans="1:17" x14ac:dyDescent="0.2">
      <c r="A12" t="s">
        <v>51</v>
      </c>
      <c r="B12" t="s">
        <v>139</v>
      </c>
      <c r="C12">
        <v>440</v>
      </c>
      <c r="D12">
        <v>220</v>
      </c>
      <c r="E12">
        <v>25</v>
      </c>
      <c r="F12">
        <v>7</v>
      </c>
      <c r="G12">
        <v>0</v>
      </c>
      <c r="H12">
        <v>75</v>
      </c>
      <c r="I12">
        <v>930</v>
      </c>
      <c r="J12">
        <v>31</v>
      </c>
      <c r="K12">
        <v>3</v>
      </c>
      <c r="L12">
        <v>4</v>
      </c>
      <c r="M12">
        <v>25</v>
      </c>
      <c r="N12">
        <v>426</v>
      </c>
      <c r="O12" s="3">
        <f t="shared" si="0"/>
        <v>5.6818181818181817</v>
      </c>
      <c r="P12">
        <f t="shared" si="1"/>
        <v>1</v>
      </c>
      <c r="Q12">
        <f t="shared" si="2"/>
        <v>0</v>
      </c>
    </row>
    <row r="13" spans="1:17" x14ac:dyDescent="0.2">
      <c r="A13" t="s">
        <v>51</v>
      </c>
      <c r="B13" t="s">
        <v>151</v>
      </c>
      <c r="C13">
        <v>580</v>
      </c>
      <c r="D13">
        <v>260</v>
      </c>
      <c r="E13">
        <v>29</v>
      </c>
      <c r="F13">
        <v>13</v>
      </c>
      <c r="G13">
        <v>1.5</v>
      </c>
      <c r="H13">
        <v>105</v>
      </c>
      <c r="I13">
        <v>1310</v>
      </c>
      <c r="J13">
        <v>49</v>
      </c>
      <c r="K13">
        <v>2</v>
      </c>
      <c r="L13">
        <v>10</v>
      </c>
      <c r="M13">
        <v>32</v>
      </c>
      <c r="N13">
        <v>571</v>
      </c>
      <c r="O13" s="3">
        <f t="shared" si="0"/>
        <v>5.5172413793103452</v>
      </c>
      <c r="P13">
        <f t="shared" si="1"/>
        <v>1</v>
      </c>
      <c r="Q13">
        <f t="shared" si="2"/>
        <v>0</v>
      </c>
    </row>
    <row r="14" spans="1:17" x14ac:dyDescent="0.2">
      <c r="A14" t="s">
        <v>51</v>
      </c>
      <c r="B14" t="s">
        <v>154</v>
      </c>
      <c r="C14">
        <v>240</v>
      </c>
      <c r="D14">
        <v>90</v>
      </c>
      <c r="E14">
        <v>10</v>
      </c>
      <c r="F14">
        <v>3.5</v>
      </c>
      <c r="G14">
        <v>0.5</v>
      </c>
      <c r="H14">
        <v>35</v>
      </c>
      <c r="I14">
        <v>380</v>
      </c>
      <c r="J14">
        <v>26</v>
      </c>
      <c r="K14">
        <v>1</v>
      </c>
      <c r="L14">
        <v>6</v>
      </c>
      <c r="M14">
        <v>13</v>
      </c>
      <c r="N14">
        <v>237</v>
      </c>
      <c r="O14" s="3">
        <f t="shared" si="0"/>
        <v>5.416666666666667</v>
      </c>
      <c r="P14">
        <f t="shared" si="1"/>
        <v>0</v>
      </c>
      <c r="Q14">
        <f t="shared" si="2"/>
        <v>0</v>
      </c>
    </row>
    <row r="15" spans="1:17" x14ac:dyDescent="0.2">
      <c r="A15" t="s">
        <v>51</v>
      </c>
      <c r="B15" t="s">
        <v>161</v>
      </c>
      <c r="C15">
        <v>1190</v>
      </c>
      <c r="D15">
        <v>750</v>
      </c>
      <c r="E15">
        <v>84</v>
      </c>
      <c r="F15">
        <v>33</v>
      </c>
      <c r="G15">
        <v>3.5</v>
      </c>
      <c r="H15">
        <v>235</v>
      </c>
      <c r="I15">
        <v>1930</v>
      </c>
      <c r="J15">
        <v>50</v>
      </c>
      <c r="K15">
        <v>2</v>
      </c>
      <c r="L15">
        <v>11</v>
      </c>
      <c r="M15">
        <v>64</v>
      </c>
      <c r="N15">
        <v>1170</v>
      </c>
      <c r="O15" s="3">
        <f t="shared" si="0"/>
        <v>5.3781512605042021</v>
      </c>
      <c r="P15">
        <f t="shared" si="1"/>
        <v>1</v>
      </c>
      <c r="Q15">
        <f t="shared" si="2"/>
        <v>0</v>
      </c>
    </row>
    <row r="16" spans="1:17" x14ac:dyDescent="0.2">
      <c r="A16" t="s">
        <v>51</v>
      </c>
      <c r="B16" t="s">
        <v>162</v>
      </c>
      <c r="C16">
        <v>280</v>
      </c>
      <c r="D16">
        <v>120</v>
      </c>
      <c r="E16">
        <v>13</v>
      </c>
      <c r="F16">
        <v>6</v>
      </c>
      <c r="G16">
        <v>0.5</v>
      </c>
      <c r="H16">
        <v>45</v>
      </c>
      <c r="I16">
        <v>560</v>
      </c>
      <c r="J16">
        <v>27</v>
      </c>
      <c r="K16">
        <v>1</v>
      </c>
      <c r="L16">
        <v>7</v>
      </c>
      <c r="M16">
        <v>15</v>
      </c>
      <c r="N16">
        <v>278</v>
      </c>
      <c r="O16" s="3">
        <f t="shared" si="0"/>
        <v>5.3571428571428568</v>
      </c>
      <c r="P16">
        <f t="shared" si="1"/>
        <v>1</v>
      </c>
      <c r="Q16">
        <f t="shared" si="2"/>
        <v>0</v>
      </c>
    </row>
    <row r="17" spans="1:17" x14ac:dyDescent="0.2">
      <c r="A17" t="s">
        <v>51</v>
      </c>
      <c r="B17" t="s">
        <v>168</v>
      </c>
      <c r="C17">
        <v>900</v>
      </c>
      <c r="D17">
        <v>520</v>
      </c>
      <c r="E17">
        <v>58</v>
      </c>
      <c r="F17">
        <v>20</v>
      </c>
      <c r="G17">
        <v>3</v>
      </c>
      <c r="H17">
        <v>175</v>
      </c>
      <c r="I17">
        <v>1050</v>
      </c>
      <c r="J17">
        <v>49</v>
      </c>
      <c r="K17">
        <v>2</v>
      </c>
      <c r="L17">
        <v>11</v>
      </c>
      <c r="M17">
        <v>48</v>
      </c>
      <c r="N17">
        <v>883</v>
      </c>
      <c r="O17" s="3">
        <f t="shared" si="0"/>
        <v>5.3333333333333339</v>
      </c>
      <c r="P17">
        <f t="shared" si="1"/>
        <v>1</v>
      </c>
      <c r="Q17">
        <f t="shared" si="2"/>
        <v>0</v>
      </c>
    </row>
    <row r="18" spans="1:17" x14ac:dyDescent="0.2">
      <c r="A18" t="s">
        <v>51</v>
      </c>
      <c r="B18" t="s">
        <v>170</v>
      </c>
      <c r="C18">
        <v>320</v>
      </c>
      <c r="D18">
        <v>140</v>
      </c>
      <c r="E18">
        <v>16</v>
      </c>
      <c r="F18">
        <v>7</v>
      </c>
      <c r="G18">
        <v>0.5</v>
      </c>
      <c r="H18">
        <v>55</v>
      </c>
      <c r="I18">
        <v>710</v>
      </c>
      <c r="J18">
        <v>27</v>
      </c>
      <c r="K18">
        <v>1</v>
      </c>
      <c r="L18">
        <v>7</v>
      </c>
      <c r="M18">
        <v>17</v>
      </c>
      <c r="N18">
        <v>317</v>
      </c>
      <c r="O18" s="3">
        <f t="shared" si="0"/>
        <v>5.3125</v>
      </c>
      <c r="P18">
        <f t="shared" si="1"/>
        <v>1</v>
      </c>
      <c r="Q18">
        <f t="shared" si="2"/>
        <v>0</v>
      </c>
    </row>
    <row r="19" spans="1:17" x14ac:dyDescent="0.2">
      <c r="A19" t="s">
        <v>51</v>
      </c>
      <c r="B19" t="s">
        <v>171</v>
      </c>
      <c r="C19">
        <v>980</v>
      </c>
      <c r="D19">
        <v>580</v>
      </c>
      <c r="E19">
        <v>64</v>
      </c>
      <c r="F19">
        <v>24</v>
      </c>
      <c r="G19">
        <v>3</v>
      </c>
      <c r="H19">
        <v>195</v>
      </c>
      <c r="I19">
        <v>1410</v>
      </c>
      <c r="J19">
        <v>50</v>
      </c>
      <c r="K19">
        <v>2</v>
      </c>
      <c r="L19">
        <v>11</v>
      </c>
      <c r="M19">
        <v>52</v>
      </c>
      <c r="N19">
        <v>963</v>
      </c>
      <c r="O19" s="3">
        <f t="shared" si="0"/>
        <v>5.3061224489795915</v>
      </c>
      <c r="P19">
        <f t="shared" si="1"/>
        <v>1</v>
      </c>
      <c r="Q19">
        <f t="shared" si="2"/>
        <v>0</v>
      </c>
    </row>
    <row r="20" spans="1:17" x14ac:dyDescent="0.2">
      <c r="A20" t="s">
        <v>51</v>
      </c>
      <c r="B20" t="s">
        <v>172</v>
      </c>
      <c r="C20">
        <v>1150</v>
      </c>
      <c r="D20">
        <v>710</v>
      </c>
      <c r="E20">
        <v>79</v>
      </c>
      <c r="F20">
        <v>31</v>
      </c>
      <c r="G20">
        <v>3.5</v>
      </c>
      <c r="H20">
        <v>240</v>
      </c>
      <c r="I20">
        <v>2150</v>
      </c>
      <c r="J20">
        <v>49</v>
      </c>
      <c r="K20">
        <v>2</v>
      </c>
      <c r="L20">
        <v>10</v>
      </c>
      <c r="M20">
        <v>61</v>
      </c>
      <c r="N20">
        <v>1130</v>
      </c>
      <c r="O20" s="3">
        <f t="shared" si="0"/>
        <v>5.304347826086957</v>
      </c>
      <c r="P20">
        <f t="shared" si="1"/>
        <v>1</v>
      </c>
      <c r="Q20">
        <f t="shared" si="2"/>
        <v>0</v>
      </c>
    </row>
    <row r="21" spans="1:17" x14ac:dyDescent="0.2">
      <c r="A21" t="s">
        <v>51</v>
      </c>
      <c r="B21" t="s">
        <v>205</v>
      </c>
      <c r="C21">
        <v>700</v>
      </c>
      <c r="D21">
        <v>380</v>
      </c>
      <c r="E21">
        <v>42</v>
      </c>
      <c r="F21">
        <v>16</v>
      </c>
      <c r="G21">
        <v>2</v>
      </c>
      <c r="H21">
        <v>125</v>
      </c>
      <c r="I21">
        <v>1360</v>
      </c>
      <c r="J21">
        <v>48</v>
      </c>
      <c r="K21">
        <v>1</v>
      </c>
      <c r="L21">
        <v>10</v>
      </c>
      <c r="M21">
        <v>35</v>
      </c>
      <c r="N21">
        <v>691</v>
      </c>
      <c r="O21" s="3">
        <f t="shared" si="0"/>
        <v>5</v>
      </c>
      <c r="P21">
        <f t="shared" si="1"/>
        <v>1</v>
      </c>
      <c r="Q21">
        <f t="shared" si="2"/>
        <v>0</v>
      </c>
    </row>
    <row r="22" spans="1:17" x14ac:dyDescent="0.2">
      <c r="A22" t="s">
        <v>51</v>
      </c>
      <c r="B22" t="s">
        <v>206</v>
      </c>
      <c r="C22">
        <v>160</v>
      </c>
      <c r="D22">
        <v>25</v>
      </c>
      <c r="E22">
        <v>2.5</v>
      </c>
      <c r="F22">
        <v>1.5</v>
      </c>
      <c r="G22">
        <v>0</v>
      </c>
      <c r="H22">
        <v>15</v>
      </c>
      <c r="I22">
        <v>150</v>
      </c>
      <c r="J22">
        <v>26</v>
      </c>
      <c r="K22">
        <v>0</v>
      </c>
      <c r="L22">
        <v>25</v>
      </c>
      <c r="M22">
        <v>8</v>
      </c>
      <c r="N22">
        <v>179</v>
      </c>
      <c r="O22" s="3">
        <f t="shared" si="0"/>
        <v>5</v>
      </c>
      <c r="P22">
        <f t="shared" si="1"/>
        <v>0</v>
      </c>
      <c r="Q22">
        <f t="shared" si="2"/>
        <v>0</v>
      </c>
    </row>
    <row r="23" spans="1:17" x14ac:dyDescent="0.2">
      <c r="A23" t="s">
        <v>51</v>
      </c>
      <c r="B23" t="s">
        <v>207</v>
      </c>
      <c r="C23">
        <v>40</v>
      </c>
      <c r="D23">
        <v>30</v>
      </c>
      <c r="E23">
        <v>3.5</v>
      </c>
      <c r="F23">
        <v>2</v>
      </c>
      <c r="G23">
        <v>0</v>
      </c>
      <c r="H23">
        <v>10</v>
      </c>
      <c r="I23">
        <v>180</v>
      </c>
      <c r="J23">
        <v>1</v>
      </c>
      <c r="K23">
        <v>0</v>
      </c>
      <c r="L23">
        <v>0</v>
      </c>
      <c r="M23">
        <v>2</v>
      </c>
      <c r="N23">
        <v>40</v>
      </c>
      <c r="O23" s="3">
        <f t="shared" si="0"/>
        <v>5</v>
      </c>
      <c r="P23">
        <f t="shared" si="1"/>
        <v>0</v>
      </c>
      <c r="Q23">
        <f t="shared" si="2"/>
        <v>0</v>
      </c>
    </row>
    <row r="24" spans="1:17" x14ac:dyDescent="0.2">
      <c r="A24" t="s">
        <v>51</v>
      </c>
      <c r="B24" t="s">
        <v>241</v>
      </c>
      <c r="C24">
        <v>170</v>
      </c>
      <c r="D24">
        <v>100</v>
      </c>
      <c r="E24">
        <v>11</v>
      </c>
      <c r="F24">
        <v>1.5</v>
      </c>
      <c r="G24">
        <v>0</v>
      </c>
      <c r="H24">
        <v>25</v>
      </c>
      <c r="I24">
        <v>310</v>
      </c>
      <c r="J24">
        <v>11</v>
      </c>
      <c r="K24">
        <v>1</v>
      </c>
      <c r="L24">
        <v>0</v>
      </c>
      <c r="M24">
        <v>8</v>
      </c>
      <c r="N24">
        <v>164</v>
      </c>
      <c r="O24" s="3">
        <f t="shared" si="0"/>
        <v>4.7058823529411766</v>
      </c>
      <c r="P24">
        <f t="shared" si="1"/>
        <v>0</v>
      </c>
      <c r="Q24">
        <f t="shared" si="2"/>
        <v>0</v>
      </c>
    </row>
    <row r="25" spans="1:17" x14ac:dyDescent="0.2">
      <c r="A25" t="s">
        <v>51</v>
      </c>
      <c r="B25" t="s">
        <v>257</v>
      </c>
      <c r="C25">
        <v>580</v>
      </c>
      <c r="D25">
        <v>340</v>
      </c>
      <c r="E25">
        <v>38</v>
      </c>
      <c r="F25">
        <v>16</v>
      </c>
      <c r="G25">
        <v>0.5</v>
      </c>
      <c r="H25">
        <v>220</v>
      </c>
      <c r="I25">
        <v>1530</v>
      </c>
      <c r="J25">
        <v>31</v>
      </c>
      <c r="K25">
        <v>1</v>
      </c>
      <c r="L25">
        <v>5</v>
      </c>
      <c r="M25">
        <v>27</v>
      </c>
      <c r="N25">
        <v>574</v>
      </c>
      <c r="O25" s="3">
        <f t="shared" si="0"/>
        <v>4.6551724137931041</v>
      </c>
      <c r="P25">
        <f t="shared" si="1"/>
        <v>1</v>
      </c>
      <c r="Q25">
        <f t="shared" si="2"/>
        <v>0</v>
      </c>
    </row>
    <row r="26" spans="1:17" x14ac:dyDescent="0.2">
      <c r="A26" t="s">
        <v>51</v>
      </c>
      <c r="B26" t="s">
        <v>258</v>
      </c>
      <c r="C26">
        <v>430</v>
      </c>
      <c r="D26">
        <v>240</v>
      </c>
      <c r="E26">
        <v>27</v>
      </c>
      <c r="F26">
        <v>4.5</v>
      </c>
      <c r="G26">
        <v>0</v>
      </c>
      <c r="H26">
        <v>55</v>
      </c>
      <c r="I26">
        <v>780</v>
      </c>
      <c r="J26">
        <v>27</v>
      </c>
      <c r="K26">
        <v>2</v>
      </c>
      <c r="L26">
        <v>0</v>
      </c>
      <c r="M26">
        <v>20</v>
      </c>
      <c r="N26">
        <v>415</v>
      </c>
      <c r="O26" s="3">
        <f t="shared" si="0"/>
        <v>4.6511627906976747</v>
      </c>
      <c r="P26">
        <f t="shared" si="1"/>
        <v>1</v>
      </c>
      <c r="Q26">
        <f t="shared" si="2"/>
        <v>0</v>
      </c>
    </row>
    <row r="27" spans="1:17" x14ac:dyDescent="0.2">
      <c r="A27" t="s">
        <v>51</v>
      </c>
      <c r="B27" t="s">
        <v>260</v>
      </c>
      <c r="C27">
        <v>280</v>
      </c>
      <c r="D27">
        <v>150</v>
      </c>
      <c r="E27">
        <v>17</v>
      </c>
      <c r="F27">
        <v>2.5</v>
      </c>
      <c r="G27">
        <v>0</v>
      </c>
      <c r="H27">
        <v>35</v>
      </c>
      <c r="I27">
        <v>850</v>
      </c>
      <c r="J27">
        <v>20</v>
      </c>
      <c r="K27">
        <v>1</v>
      </c>
      <c r="L27">
        <v>1</v>
      </c>
      <c r="M27">
        <v>13</v>
      </c>
      <c r="N27">
        <v>271</v>
      </c>
      <c r="O27" s="3">
        <f t="shared" si="0"/>
        <v>4.6428571428571432</v>
      </c>
      <c r="P27">
        <f t="shared" si="1"/>
        <v>1</v>
      </c>
      <c r="Q27">
        <f t="shared" si="2"/>
        <v>0</v>
      </c>
    </row>
    <row r="28" spans="1:17" x14ac:dyDescent="0.2">
      <c r="A28" t="s">
        <v>51</v>
      </c>
      <c r="B28" t="s">
        <v>265</v>
      </c>
      <c r="C28">
        <v>260</v>
      </c>
      <c r="D28">
        <v>150</v>
      </c>
      <c r="E28">
        <v>16</v>
      </c>
      <c r="F28">
        <v>2.5</v>
      </c>
      <c r="G28">
        <v>0</v>
      </c>
      <c r="H28">
        <v>35</v>
      </c>
      <c r="I28">
        <v>470</v>
      </c>
      <c r="J28">
        <v>16</v>
      </c>
      <c r="K28">
        <v>1</v>
      </c>
      <c r="L28">
        <v>0</v>
      </c>
      <c r="M28">
        <v>12</v>
      </c>
      <c r="N28">
        <v>251</v>
      </c>
      <c r="O28" s="3">
        <f t="shared" si="0"/>
        <v>4.6153846153846159</v>
      </c>
      <c r="P28">
        <f t="shared" si="1"/>
        <v>1</v>
      </c>
      <c r="Q28">
        <f t="shared" si="2"/>
        <v>0</v>
      </c>
    </row>
    <row r="29" spans="1:17" x14ac:dyDescent="0.2">
      <c r="A29" t="s">
        <v>51</v>
      </c>
      <c r="B29" t="s">
        <v>270</v>
      </c>
      <c r="C29">
        <v>630</v>
      </c>
      <c r="D29">
        <v>330</v>
      </c>
      <c r="E29">
        <v>37</v>
      </c>
      <c r="F29">
        <v>14</v>
      </c>
      <c r="G29">
        <v>1.5</v>
      </c>
      <c r="H29">
        <v>100</v>
      </c>
      <c r="I29">
        <v>1050</v>
      </c>
      <c r="J29">
        <v>45</v>
      </c>
      <c r="K29">
        <v>2</v>
      </c>
      <c r="L29">
        <v>9</v>
      </c>
      <c r="M29">
        <v>29</v>
      </c>
      <c r="N29">
        <v>624</v>
      </c>
      <c r="O29" s="3">
        <f t="shared" si="0"/>
        <v>4.6031746031746037</v>
      </c>
      <c r="P29">
        <f t="shared" si="1"/>
        <v>1</v>
      </c>
      <c r="Q29">
        <f t="shared" si="2"/>
        <v>0</v>
      </c>
    </row>
    <row r="30" spans="1:17" x14ac:dyDescent="0.2">
      <c r="A30" t="s">
        <v>51</v>
      </c>
      <c r="B30" t="s">
        <v>271</v>
      </c>
      <c r="C30">
        <v>370</v>
      </c>
      <c r="D30">
        <v>170</v>
      </c>
      <c r="E30">
        <v>19</v>
      </c>
      <c r="F30">
        <v>8</v>
      </c>
      <c r="G30">
        <v>0</v>
      </c>
      <c r="H30">
        <v>175</v>
      </c>
      <c r="I30">
        <v>1030</v>
      </c>
      <c r="J30">
        <v>30</v>
      </c>
      <c r="K30">
        <v>1</v>
      </c>
      <c r="L30">
        <v>5</v>
      </c>
      <c r="M30">
        <v>17</v>
      </c>
      <c r="N30">
        <v>366</v>
      </c>
      <c r="O30" s="3">
        <f t="shared" si="0"/>
        <v>4.5945945945945947</v>
      </c>
      <c r="P30">
        <f t="shared" si="1"/>
        <v>1</v>
      </c>
      <c r="Q30">
        <f t="shared" si="2"/>
        <v>0</v>
      </c>
    </row>
    <row r="31" spans="1:17" x14ac:dyDescent="0.2">
      <c r="A31" t="s">
        <v>51</v>
      </c>
      <c r="B31" t="s">
        <v>273</v>
      </c>
      <c r="C31">
        <v>610</v>
      </c>
      <c r="D31">
        <v>360</v>
      </c>
      <c r="E31">
        <v>40</v>
      </c>
      <c r="F31">
        <v>17</v>
      </c>
      <c r="G31">
        <v>0.5</v>
      </c>
      <c r="H31">
        <v>225</v>
      </c>
      <c r="I31">
        <v>1680</v>
      </c>
      <c r="J31">
        <v>31</v>
      </c>
      <c r="K31">
        <v>1</v>
      </c>
      <c r="L31">
        <v>5</v>
      </c>
      <c r="M31">
        <v>28</v>
      </c>
      <c r="N31">
        <v>604</v>
      </c>
      <c r="O31" s="3">
        <f t="shared" si="0"/>
        <v>4.5901639344262293</v>
      </c>
      <c r="P31">
        <f t="shared" si="1"/>
        <v>1</v>
      </c>
      <c r="Q31">
        <f t="shared" si="2"/>
        <v>0</v>
      </c>
    </row>
    <row r="32" spans="1:17" x14ac:dyDescent="0.2">
      <c r="A32" t="s">
        <v>51</v>
      </c>
      <c r="B32" t="s">
        <v>281</v>
      </c>
      <c r="C32">
        <v>860</v>
      </c>
      <c r="D32">
        <v>490</v>
      </c>
      <c r="E32">
        <v>54</v>
      </c>
      <c r="F32">
        <v>9</v>
      </c>
      <c r="G32">
        <v>0</v>
      </c>
      <c r="H32">
        <v>115</v>
      </c>
      <c r="I32">
        <v>1570</v>
      </c>
      <c r="J32">
        <v>53</v>
      </c>
      <c r="K32">
        <v>3</v>
      </c>
      <c r="L32">
        <v>1</v>
      </c>
      <c r="M32">
        <v>39</v>
      </c>
      <c r="N32">
        <v>831</v>
      </c>
      <c r="O32" s="3">
        <f t="shared" si="0"/>
        <v>4.5348837209302326</v>
      </c>
      <c r="P32">
        <f t="shared" si="1"/>
        <v>1</v>
      </c>
      <c r="Q32">
        <f t="shared" si="2"/>
        <v>0</v>
      </c>
    </row>
    <row r="33" spans="1:17" x14ac:dyDescent="0.2">
      <c r="A33" t="s">
        <v>51</v>
      </c>
      <c r="B33" t="s">
        <v>297</v>
      </c>
      <c r="C33">
        <v>790</v>
      </c>
      <c r="D33">
        <v>460</v>
      </c>
      <c r="E33">
        <v>51</v>
      </c>
      <c r="F33">
        <v>17</v>
      </c>
      <c r="G33">
        <v>2</v>
      </c>
      <c r="H33">
        <v>125</v>
      </c>
      <c r="I33">
        <v>1560</v>
      </c>
      <c r="J33">
        <v>50</v>
      </c>
      <c r="K33">
        <v>2</v>
      </c>
      <c r="L33">
        <v>11</v>
      </c>
      <c r="M33">
        <v>35</v>
      </c>
      <c r="N33">
        <v>783</v>
      </c>
      <c r="O33" s="3">
        <f t="shared" si="0"/>
        <v>4.4303797468354427</v>
      </c>
      <c r="P33">
        <f t="shared" si="1"/>
        <v>1</v>
      </c>
      <c r="Q33">
        <f t="shared" si="2"/>
        <v>0</v>
      </c>
    </row>
    <row r="34" spans="1:17" x14ac:dyDescent="0.2">
      <c r="A34" t="s">
        <v>51</v>
      </c>
      <c r="B34" t="s">
        <v>304</v>
      </c>
      <c r="C34">
        <v>640</v>
      </c>
      <c r="D34">
        <v>400</v>
      </c>
      <c r="E34">
        <v>45</v>
      </c>
      <c r="F34">
        <v>20</v>
      </c>
      <c r="G34">
        <v>0</v>
      </c>
      <c r="H34">
        <v>225</v>
      </c>
      <c r="I34">
        <v>2190</v>
      </c>
      <c r="J34">
        <v>31</v>
      </c>
      <c r="K34">
        <v>1</v>
      </c>
      <c r="L34">
        <v>4</v>
      </c>
      <c r="M34">
        <v>28</v>
      </c>
      <c r="N34">
        <v>636</v>
      </c>
      <c r="O34" s="3">
        <f t="shared" ref="O34:O65" si="3">M34/C34*100</f>
        <v>4.375</v>
      </c>
      <c r="P34">
        <f t="shared" si="1"/>
        <v>1</v>
      </c>
      <c r="Q34">
        <f t="shared" si="2"/>
        <v>0</v>
      </c>
    </row>
    <row r="35" spans="1:17" x14ac:dyDescent="0.2">
      <c r="A35" t="s">
        <v>51</v>
      </c>
      <c r="B35" t="s">
        <v>316</v>
      </c>
      <c r="C35">
        <v>740</v>
      </c>
      <c r="D35">
        <v>420</v>
      </c>
      <c r="E35">
        <v>46</v>
      </c>
      <c r="F35">
        <v>16</v>
      </c>
      <c r="G35">
        <v>2</v>
      </c>
      <c r="H35">
        <v>115</v>
      </c>
      <c r="I35">
        <v>1340</v>
      </c>
      <c r="J35">
        <v>50</v>
      </c>
      <c r="K35">
        <v>2</v>
      </c>
      <c r="L35">
        <v>11</v>
      </c>
      <c r="M35">
        <v>32</v>
      </c>
      <c r="N35">
        <v>735</v>
      </c>
      <c r="O35" s="3">
        <f t="shared" si="3"/>
        <v>4.3243243243243246</v>
      </c>
      <c r="P35">
        <f t="shared" si="1"/>
        <v>1</v>
      </c>
      <c r="Q35">
        <f t="shared" si="2"/>
        <v>0</v>
      </c>
    </row>
    <row r="36" spans="1:17" x14ac:dyDescent="0.2">
      <c r="A36" t="s">
        <v>51</v>
      </c>
      <c r="B36" t="s">
        <v>328</v>
      </c>
      <c r="C36">
        <v>400</v>
      </c>
      <c r="D36">
        <v>210</v>
      </c>
      <c r="E36">
        <v>24</v>
      </c>
      <c r="F36">
        <v>12</v>
      </c>
      <c r="G36">
        <v>0</v>
      </c>
      <c r="H36">
        <v>175</v>
      </c>
      <c r="I36">
        <v>1550</v>
      </c>
      <c r="J36">
        <v>29</v>
      </c>
      <c r="K36">
        <v>1</v>
      </c>
      <c r="L36">
        <v>3</v>
      </c>
      <c r="M36">
        <v>17</v>
      </c>
      <c r="N36">
        <v>398</v>
      </c>
      <c r="O36" s="3">
        <f t="shared" si="3"/>
        <v>4.25</v>
      </c>
      <c r="P36">
        <f t="shared" si="1"/>
        <v>1</v>
      </c>
      <c r="Q36">
        <f t="shared" si="2"/>
        <v>0</v>
      </c>
    </row>
    <row r="37" spans="1:17" x14ac:dyDescent="0.2">
      <c r="A37" t="s">
        <v>51</v>
      </c>
      <c r="B37" t="s">
        <v>331</v>
      </c>
      <c r="C37">
        <v>660</v>
      </c>
      <c r="D37">
        <v>360</v>
      </c>
      <c r="E37">
        <v>40</v>
      </c>
      <c r="F37">
        <v>12</v>
      </c>
      <c r="G37">
        <v>1.5</v>
      </c>
      <c r="H37">
        <v>90</v>
      </c>
      <c r="I37">
        <v>980</v>
      </c>
      <c r="J37">
        <v>49</v>
      </c>
      <c r="K37">
        <v>2</v>
      </c>
      <c r="L37">
        <v>11</v>
      </c>
      <c r="M37">
        <v>28</v>
      </c>
      <c r="N37">
        <v>655</v>
      </c>
      <c r="O37" s="3">
        <f t="shared" si="3"/>
        <v>4.2424242424242431</v>
      </c>
      <c r="P37">
        <f t="shared" si="1"/>
        <v>1</v>
      </c>
      <c r="Q37">
        <f t="shared" si="2"/>
        <v>0</v>
      </c>
    </row>
    <row r="38" spans="1:17" x14ac:dyDescent="0.2">
      <c r="A38" t="s">
        <v>51</v>
      </c>
      <c r="B38" t="s">
        <v>332</v>
      </c>
      <c r="C38">
        <v>660</v>
      </c>
      <c r="D38">
        <v>360</v>
      </c>
      <c r="E38">
        <v>40</v>
      </c>
      <c r="F38">
        <v>7</v>
      </c>
      <c r="G38">
        <v>0</v>
      </c>
      <c r="H38">
        <v>75</v>
      </c>
      <c r="I38">
        <v>1170</v>
      </c>
      <c r="J38">
        <v>48</v>
      </c>
      <c r="K38">
        <v>2</v>
      </c>
      <c r="L38">
        <v>5</v>
      </c>
      <c r="M38">
        <v>28</v>
      </c>
      <c r="N38">
        <v>644</v>
      </c>
      <c r="O38" s="3">
        <f t="shared" si="3"/>
        <v>4.2424242424242431</v>
      </c>
      <c r="P38">
        <f t="shared" si="1"/>
        <v>1</v>
      </c>
      <c r="Q38">
        <f t="shared" si="2"/>
        <v>0</v>
      </c>
    </row>
    <row r="39" spans="1:17" x14ac:dyDescent="0.2">
      <c r="A39" t="s">
        <v>51</v>
      </c>
      <c r="B39" t="s">
        <v>341</v>
      </c>
      <c r="C39">
        <v>310</v>
      </c>
      <c r="D39">
        <v>160</v>
      </c>
      <c r="E39">
        <v>18</v>
      </c>
      <c r="F39">
        <v>5</v>
      </c>
      <c r="G39">
        <v>0.5</v>
      </c>
      <c r="H39">
        <v>40</v>
      </c>
      <c r="I39">
        <v>390</v>
      </c>
      <c r="J39">
        <v>27</v>
      </c>
      <c r="K39">
        <v>1</v>
      </c>
      <c r="L39">
        <v>7</v>
      </c>
      <c r="M39">
        <v>13</v>
      </c>
      <c r="N39">
        <v>309</v>
      </c>
      <c r="O39" s="3">
        <f t="shared" si="3"/>
        <v>4.1935483870967749</v>
      </c>
      <c r="P39">
        <f t="shared" si="1"/>
        <v>0</v>
      </c>
      <c r="Q39">
        <f t="shared" si="2"/>
        <v>0</v>
      </c>
    </row>
    <row r="40" spans="1:17" x14ac:dyDescent="0.2">
      <c r="A40" t="s">
        <v>51</v>
      </c>
      <c r="B40" t="s">
        <v>353</v>
      </c>
      <c r="C40">
        <v>780</v>
      </c>
      <c r="D40">
        <v>380</v>
      </c>
      <c r="E40">
        <v>42</v>
      </c>
      <c r="F40">
        <v>15</v>
      </c>
      <c r="G40">
        <v>0</v>
      </c>
      <c r="H40">
        <v>355</v>
      </c>
      <c r="I40">
        <v>1960</v>
      </c>
      <c r="J40">
        <v>68</v>
      </c>
      <c r="K40">
        <v>3</v>
      </c>
      <c r="L40">
        <v>4</v>
      </c>
      <c r="M40">
        <v>32</v>
      </c>
      <c r="N40">
        <v>767</v>
      </c>
      <c r="O40" s="3">
        <f t="shared" si="3"/>
        <v>4.1025641025641022</v>
      </c>
      <c r="P40">
        <f t="shared" si="1"/>
        <v>1</v>
      </c>
      <c r="Q40">
        <f t="shared" si="2"/>
        <v>1</v>
      </c>
    </row>
    <row r="41" spans="1:17" x14ac:dyDescent="0.2">
      <c r="A41" t="s">
        <v>51</v>
      </c>
      <c r="B41" t="s">
        <v>360</v>
      </c>
      <c r="C41">
        <v>710</v>
      </c>
      <c r="D41">
        <v>470</v>
      </c>
      <c r="E41">
        <v>52</v>
      </c>
      <c r="F41">
        <v>20</v>
      </c>
      <c r="G41">
        <v>0.5</v>
      </c>
      <c r="H41">
        <v>240</v>
      </c>
      <c r="I41">
        <v>1420</v>
      </c>
      <c r="J41">
        <v>31</v>
      </c>
      <c r="K41">
        <v>1</v>
      </c>
      <c r="L41">
        <v>5</v>
      </c>
      <c r="M41">
        <v>29</v>
      </c>
      <c r="N41">
        <v>706</v>
      </c>
      <c r="O41" s="3">
        <f t="shared" si="3"/>
        <v>4.084507042253521</v>
      </c>
      <c r="P41">
        <f t="shared" si="1"/>
        <v>1</v>
      </c>
      <c r="Q41">
        <f t="shared" si="2"/>
        <v>0</v>
      </c>
    </row>
    <row r="42" spans="1:17" x14ac:dyDescent="0.2">
      <c r="A42" t="s">
        <v>51</v>
      </c>
      <c r="B42" t="s">
        <v>365</v>
      </c>
      <c r="C42">
        <v>370</v>
      </c>
      <c r="D42">
        <v>210</v>
      </c>
      <c r="E42">
        <v>23</v>
      </c>
      <c r="F42">
        <v>8</v>
      </c>
      <c r="G42">
        <v>0</v>
      </c>
      <c r="H42">
        <v>150</v>
      </c>
      <c r="I42">
        <v>930</v>
      </c>
      <c r="J42">
        <v>27</v>
      </c>
      <c r="K42">
        <v>3</v>
      </c>
      <c r="L42">
        <v>2</v>
      </c>
      <c r="M42">
        <v>15</v>
      </c>
      <c r="N42">
        <v>365</v>
      </c>
      <c r="O42" s="3">
        <f t="shared" si="3"/>
        <v>4.0540540540540544</v>
      </c>
      <c r="P42">
        <f t="shared" si="1"/>
        <v>1</v>
      </c>
      <c r="Q42">
        <f t="shared" si="2"/>
        <v>0</v>
      </c>
    </row>
    <row r="43" spans="1:17" x14ac:dyDescent="0.2">
      <c r="A43" t="s">
        <v>51</v>
      </c>
      <c r="B43" t="s">
        <v>387</v>
      </c>
      <c r="C43">
        <v>630</v>
      </c>
      <c r="D43">
        <v>310</v>
      </c>
      <c r="E43">
        <v>34</v>
      </c>
      <c r="F43">
        <v>11</v>
      </c>
      <c r="G43">
        <v>0</v>
      </c>
      <c r="H43">
        <v>10</v>
      </c>
      <c r="I43">
        <v>1080</v>
      </c>
      <c r="J43">
        <v>58</v>
      </c>
      <c r="K43">
        <v>4</v>
      </c>
      <c r="L43">
        <v>12</v>
      </c>
      <c r="M43">
        <v>25</v>
      </c>
      <c r="N43">
        <v>628</v>
      </c>
      <c r="O43" s="3">
        <f t="shared" si="3"/>
        <v>3.9682539682539679</v>
      </c>
      <c r="P43">
        <f t="shared" si="1"/>
        <v>1</v>
      </c>
      <c r="Q43">
        <f t="shared" si="2"/>
        <v>0</v>
      </c>
    </row>
    <row r="44" spans="1:17" x14ac:dyDescent="0.2">
      <c r="A44" t="s">
        <v>51</v>
      </c>
      <c r="B44" t="s">
        <v>388</v>
      </c>
      <c r="C44">
        <v>580</v>
      </c>
      <c r="D44">
        <v>340</v>
      </c>
      <c r="E44">
        <v>40</v>
      </c>
      <c r="F44">
        <v>16</v>
      </c>
      <c r="G44">
        <v>0.5</v>
      </c>
      <c r="H44">
        <v>215</v>
      </c>
      <c r="I44">
        <v>1260</v>
      </c>
      <c r="J44">
        <v>31</v>
      </c>
      <c r="K44">
        <v>1</v>
      </c>
      <c r="L44">
        <v>5</v>
      </c>
      <c r="M44">
        <v>23</v>
      </c>
      <c r="N44">
        <v>578</v>
      </c>
      <c r="O44" s="3">
        <f t="shared" si="3"/>
        <v>3.9655172413793105</v>
      </c>
      <c r="P44">
        <f t="shared" si="1"/>
        <v>1</v>
      </c>
      <c r="Q44">
        <f t="shared" si="2"/>
        <v>0</v>
      </c>
    </row>
    <row r="45" spans="1:17" x14ac:dyDescent="0.2">
      <c r="A45" t="s">
        <v>51</v>
      </c>
      <c r="B45" t="s">
        <v>401</v>
      </c>
      <c r="C45">
        <v>210</v>
      </c>
      <c r="D45">
        <v>130</v>
      </c>
      <c r="E45">
        <v>15</v>
      </c>
      <c r="F45">
        <v>3</v>
      </c>
      <c r="G45">
        <v>0</v>
      </c>
      <c r="H45">
        <v>20</v>
      </c>
      <c r="I45">
        <v>570</v>
      </c>
      <c r="J45">
        <v>11</v>
      </c>
      <c r="K45">
        <v>2</v>
      </c>
      <c r="L45">
        <v>0</v>
      </c>
      <c r="M45">
        <v>8</v>
      </c>
      <c r="N45">
        <v>205</v>
      </c>
      <c r="O45" s="3">
        <f t="shared" si="3"/>
        <v>3.8095238095238098</v>
      </c>
      <c r="P45">
        <f t="shared" si="1"/>
        <v>1</v>
      </c>
      <c r="Q45">
        <f t="shared" si="2"/>
        <v>0</v>
      </c>
    </row>
    <row r="46" spans="1:17" x14ac:dyDescent="0.2">
      <c r="A46" t="s">
        <v>51</v>
      </c>
      <c r="B46" t="s">
        <v>402</v>
      </c>
      <c r="C46">
        <v>1050</v>
      </c>
      <c r="D46">
        <v>670</v>
      </c>
      <c r="E46">
        <v>74</v>
      </c>
      <c r="F46">
        <v>15</v>
      </c>
      <c r="G46">
        <v>0</v>
      </c>
      <c r="H46">
        <v>110</v>
      </c>
      <c r="I46">
        <v>2840</v>
      </c>
      <c r="J46">
        <v>56</v>
      </c>
      <c r="K46">
        <v>9</v>
      </c>
      <c r="L46">
        <v>1</v>
      </c>
      <c r="M46">
        <v>40</v>
      </c>
      <c r="N46">
        <v>1026</v>
      </c>
      <c r="O46" s="3">
        <f t="shared" si="3"/>
        <v>3.8095238095238098</v>
      </c>
      <c r="P46">
        <f t="shared" si="1"/>
        <v>1</v>
      </c>
      <c r="Q46">
        <f t="shared" si="2"/>
        <v>0</v>
      </c>
    </row>
    <row r="47" spans="1:17" x14ac:dyDescent="0.2">
      <c r="A47" t="s">
        <v>51</v>
      </c>
      <c r="B47" t="s">
        <v>404</v>
      </c>
      <c r="C47">
        <v>500</v>
      </c>
      <c r="D47">
        <v>300</v>
      </c>
      <c r="E47">
        <v>33</v>
      </c>
      <c r="F47">
        <v>13</v>
      </c>
      <c r="G47">
        <v>0</v>
      </c>
      <c r="H47">
        <v>195</v>
      </c>
      <c r="I47">
        <v>930</v>
      </c>
      <c r="J47">
        <v>30</v>
      </c>
      <c r="K47">
        <v>1</v>
      </c>
      <c r="L47">
        <v>4</v>
      </c>
      <c r="M47">
        <v>19</v>
      </c>
      <c r="N47">
        <v>498</v>
      </c>
      <c r="O47" s="3">
        <f t="shared" si="3"/>
        <v>3.8</v>
      </c>
      <c r="P47">
        <f t="shared" si="1"/>
        <v>1</v>
      </c>
      <c r="Q47">
        <f t="shared" si="2"/>
        <v>0</v>
      </c>
    </row>
    <row r="48" spans="1:17" x14ac:dyDescent="0.2">
      <c r="A48" t="s">
        <v>51</v>
      </c>
      <c r="B48" t="s">
        <v>408</v>
      </c>
      <c r="C48">
        <v>370</v>
      </c>
      <c r="D48">
        <v>190</v>
      </c>
      <c r="E48">
        <v>21</v>
      </c>
      <c r="F48">
        <v>9</v>
      </c>
      <c r="G48">
        <v>0</v>
      </c>
      <c r="H48">
        <v>170</v>
      </c>
      <c r="I48">
        <v>760</v>
      </c>
      <c r="J48">
        <v>30</v>
      </c>
      <c r="K48">
        <v>1</v>
      </c>
      <c r="L48">
        <v>4</v>
      </c>
      <c r="M48">
        <v>14</v>
      </c>
      <c r="N48">
        <v>369</v>
      </c>
      <c r="O48" s="3">
        <f t="shared" si="3"/>
        <v>3.7837837837837842</v>
      </c>
      <c r="P48">
        <f t="shared" si="1"/>
        <v>1</v>
      </c>
      <c r="Q48">
        <f t="shared" si="2"/>
        <v>0</v>
      </c>
    </row>
    <row r="49" spans="1:17" x14ac:dyDescent="0.2">
      <c r="A49" t="s">
        <v>51</v>
      </c>
      <c r="B49" t="s">
        <v>409</v>
      </c>
      <c r="C49">
        <v>530</v>
      </c>
      <c r="D49">
        <v>330</v>
      </c>
      <c r="E49">
        <v>37</v>
      </c>
      <c r="F49">
        <v>7</v>
      </c>
      <c r="G49">
        <v>0</v>
      </c>
      <c r="H49">
        <v>55</v>
      </c>
      <c r="I49">
        <v>1420</v>
      </c>
      <c r="J49">
        <v>28</v>
      </c>
      <c r="K49">
        <v>4</v>
      </c>
      <c r="L49">
        <v>1</v>
      </c>
      <c r="M49">
        <v>20</v>
      </c>
      <c r="N49">
        <v>518</v>
      </c>
      <c r="O49" s="3">
        <f t="shared" si="3"/>
        <v>3.7735849056603774</v>
      </c>
      <c r="P49">
        <f t="shared" si="1"/>
        <v>1</v>
      </c>
      <c r="Q49">
        <f t="shared" si="2"/>
        <v>0</v>
      </c>
    </row>
    <row r="50" spans="1:17" x14ac:dyDescent="0.2">
      <c r="A50" t="s">
        <v>51</v>
      </c>
      <c r="B50" t="s">
        <v>412</v>
      </c>
      <c r="C50">
        <v>800</v>
      </c>
      <c r="D50">
        <v>460</v>
      </c>
      <c r="E50">
        <v>52</v>
      </c>
      <c r="F50">
        <v>13</v>
      </c>
      <c r="G50">
        <v>1</v>
      </c>
      <c r="H50">
        <v>95</v>
      </c>
      <c r="I50">
        <v>1650</v>
      </c>
      <c r="J50">
        <v>55</v>
      </c>
      <c r="K50">
        <v>2</v>
      </c>
      <c r="L50">
        <v>8</v>
      </c>
      <c r="M50">
        <v>30</v>
      </c>
      <c r="N50">
        <v>791</v>
      </c>
      <c r="O50" s="3">
        <f t="shared" si="3"/>
        <v>3.75</v>
      </c>
      <c r="P50">
        <f t="shared" si="1"/>
        <v>1</v>
      </c>
      <c r="Q50">
        <f t="shared" si="2"/>
        <v>0</v>
      </c>
    </row>
    <row r="51" spans="1:17" x14ac:dyDescent="0.2">
      <c r="A51" t="s">
        <v>51</v>
      </c>
      <c r="B51" t="s">
        <v>413</v>
      </c>
      <c r="C51">
        <v>320</v>
      </c>
      <c r="D51">
        <v>200</v>
      </c>
      <c r="E51">
        <v>22</v>
      </c>
      <c r="F51">
        <v>4.5</v>
      </c>
      <c r="G51">
        <v>0</v>
      </c>
      <c r="H51">
        <v>35</v>
      </c>
      <c r="I51">
        <v>850</v>
      </c>
      <c r="J51">
        <v>17</v>
      </c>
      <c r="K51">
        <v>3</v>
      </c>
      <c r="L51">
        <v>0</v>
      </c>
      <c r="M51">
        <v>12</v>
      </c>
      <c r="N51">
        <v>313</v>
      </c>
      <c r="O51" s="3">
        <f t="shared" si="3"/>
        <v>3.75</v>
      </c>
      <c r="P51">
        <f t="shared" si="1"/>
        <v>1</v>
      </c>
      <c r="Q51">
        <f t="shared" si="2"/>
        <v>0</v>
      </c>
    </row>
    <row r="52" spans="1:17" x14ac:dyDescent="0.2">
      <c r="A52" t="s">
        <v>51</v>
      </c>
      <c r="B52" t="s">
        <v>423</v>
      </c>
      <c r="C52">
        <v>300</v>
      </c>
      <c r="D52">
        <v>140</v>
      </c>
      <c r="E52">
        <v>16</v>
      </c>
      <c r="F52">
        <v>3</v>
      </c>
      <c r="G52">
        <v>0</v>
      </c>
      <c r="H52">
        <v>0</v>
      </c>
      <c r="I52">
        <v>290</v>
      </c>
      <c r="J52">
        <v>33</v>
      </c>
      <c r="K52">
        <v>4</v>
      </c>
      <c r="L52">
        <v>11</v>
      </c>
      <c r="M52">
        <v>11</v>
      </c>
      <c r="N52">
        <v>303</v>
      </c>
      <c r="O52" s="3">
        <f t="shared" si="3"/>
        <v>3.6666666666666665</v>
      </c>
      <c r="P52">
        <f t="shared" si="1"/>
        <v>0</v>
      </c>
      <c r="Q52">
        <f t="shared" si="2"/>
        <v>0</v>
      </c>
    </row>
    <row r="53" spans="1:17" x14ac:dyDescent="0.2">
      <c r="A53" t="s">
        <v>51</v>
      </c>
      <c r="B53" t="s">
        <v>429</v>
      </c>
      <c r="C53">
        <v>530</v>
      </c>
      <c r="D53">
        <v>340</v>
      </c>
      <c r="E53">
        <v>38</v>
      </c>
      <c r="F53">
        <v>17</v>
      </c>
      <c r="G53">
        <v>0</v>
      </c>
      <c r="H53">
        <v>195</v>
      </c>
      <c r="I53">
        <v>1440</v>
      </c>
      <c r="J53">
        <v>29</v>
      </c>
      <c r="K53">
        <v>1</v>
      </c>
      <c r="L53">
        <v>3</v>
      </c>
      <c r="M53">
        <v>19</v>
      </c>
      <c r="N53">
        <v>531</v>
      </c>
      <c r="O53" s="3">
        <f t="shared" si="3"/>
        <v>3.5849056603773586</v>
      </c>
      <c r="P53">
        <f t="shared" si="1"/>
        <v>1</v>
      </c>
      <c r="Q53">
        <f t="shared" si="2"/>
        <v>0</v>
      </c>
    </row>
    <row r="54" spans="1:17" x14ac:dyDescent="0.2">
      <c r="A54" t="s">
        <v>51</v>
      </c>
      <c r="B54" t="s">
        <v>433</v>
      </c>
      <c r="C54">
        <v>700</v>
      </c>
      <c r="D54">
        <v>370</v>
      </c>
      <c r="E54">
        <v>42</v>
      </c>
      <c r="F54">
        <v>7</v>
      </c>
      <c r="G54">
        <v>0</v>
      </c>
      <c r="H54">
        <v>65</v>
      </c>
      <c r="I54">
        <v>1140</v>
      </c>
      <c r="J54">
        <v>57</v>
      </c>
      <c r="K54">
        <v>3</v>
      </c>
      <c r="L54">
        <v>8</v>
      </c>
      <c r="M54">
        <v>25</v>
      </c>
      <c r="N54">
        <v>690</v>
      </c>
      <c r="O54" s="3">
        <f t="shared" si="3"/>
        <v>3.5714285714285712</v>
      </c>
      <c r="P54">
        <f t="shared" si="1"/>
        <v>1</v>
      </c>
      <c r="Q54">
        <f t="shared" si="2"/>
        <v>0</v>
      </c>
    </row>
    <row r="55" spans="1:17" x14ac:dyDescent="0.2">
      <c r="A55" t="s">
        <v>51</v>
      </c>
      <c r="B55" t="s">
        <v>437</v>
      </c>
      <c r="C55">
        <v>790</v>
      </c>
      <c r="D55">
        <v>440</v>
      </c>
      <c r="E55">
        <v>49</v>
      </c>
      <c r="F55">
        <v>10</v>
      </c>
      <c r="G55">
        <v>0.5</v>
      </c>
      <c r="H55">
        <v>80</v>
      </c>
      <c r="I55">
        <v>1630</v>
      </c>
      <c r="J55">
        <v>60</v>
      </c>
      <c r="K55">
        <v>2</v>
      </c>
      <c r="L55">
        <v>13</v>
      </c>
      <c r="M55">
        <v>28</v>
      </c>
      <c r="N55">
        <v>785</v>
      </c>
      <c r="O55" s="3">
        <f t="shared" si="3"/>
        <v>3.5443037974683547</v>
      </c>
      <c r="P55">
        <f t="shared" si="1"/>
        <v>1</v>
      </c>
      <c r="Q55">
        <f t="shared" si="2"/>
        <v>0</v>
      </c>
    </row>
    <row r="56" spans="1:17" x14ac:dyDescent="0.2">
      <c r="A56" t="s">
        <v>51</v>
      </c>
      <c r="B56" t="s">
        <v>439</v>
      </c>
      <c r="C56">
        <v>340</v>
      </c>
      <c r="D56">
        <v>170</v>
      </c>
      <c r="E56">
        <v>18</v>
      </c>
      <c r="F56">
        <v>8</v>
      </c>
      <c r="G56">
        <v>0</v>
      </c>
      <c r="H56">
        <v>160</v>
      </c>
      <c r="I56">
        <v>610</v>
      </c>
      <c r="J56">
        <v>29</v>
      </c>
      <c r="K56">
        <v>1</v>
      </c>
      <c r="L56">
        <v>4</v>
      </c>
      <c r="M56">
        <v>12</v>
      </c>
      <c r="N56">
        <v>340</v>
      </c>
      <c r="O56" s="3">
        <f t="shared" si="3"/>
        <v>3.5294117647058822</v>
      </c>
      <c r="P56">
        <f t="shared" si="1"/>
        <v>1</v>
      </c>
      <c r="Q56">
        <f t="shared" si="2"/>
        <v>0</v>
      </c>
    </row>
    <row r="57" spans="1:17" x14ac:dyDescent="0.2">
      <c r="A57" t="s">
        <v>51</v>
      </c>
      <c r="B57" t="s">
        <v>333</v>
      </c>
      <c r="C57">
        <v>670</v>
      </c>
      <c r="D57">
        <v>370</v>
      </c>
      <c r="E57">
        <v>41</v>
      </c>
      <c r="F57">
        <v>7</v>
      </c>
      <c r="G57">
        <v>0</v>
      </c>
      <c r="H57">
        <v>60</v>
      </c>
      <c r="I57">
        <v>1080</v>
      </c>
      <c r="J57">
        <v>54</v>
      </c>
      <c r="K57">
        <v>2</v>
      </c>
      <c r="L57">
        <v>8</v>
      </c>
      <c r="M57">
        <v>23</v>
      </c>
      <c r="N57">
        <v>662</v>
      </c>
      <c r="O57" s="3">
        <f t="shared" si="3"/>
        <v>3.4328358208955225</v>
      </c>
      <c r="P57">
        <f t="shared" si="1"/>
        <v>1</v>
      </c>
      <c r="Q57">
        <f t="shared" si="2"/>
        <v>0</v>
      </c>
    </row>
    <row r="58" spans="1:17" x14ac:dyDescent="0.2">
      <c r="A58" t="s">
        <v>51</v>
      </c>
      <c r="B58" t="s">
        <v>461</v>
      </c>
      <c r="C58">
        <v>400</v>
      </c>
      <c r="D58">
        <v>230</v>
      </c>
      <c r="E58">
        <v>26</v>
      </c>
      <c r="F58">
        <v>13</v>
      </c>
      <c r="G58">
        <v>0</v>
      </c>
      <c r="H58">
        <v>170</v>
      </c>
      <c r="I58">
        <v>1270</v>
      </c>
      <c r="J58">
        <v>29</v>
      </c>
      <c r="K58">
        <v>1</v>
      </c>
      <c r="L58">
        <v>3</v>
      </c>
      <c r="M58">
        <v>13</v>
      </c>
      <c r="N58">
        <v>403</v>
      </c>
      <c r="O58" s="3">
        <f t="shared" si="3"/>
        <v>3.25</v>
      </c>
      <c r="P58">
        <f t="shared" si="1"/>
        <v>1</v>
      </c>
      <c r="Q58">
        <f t="shared" si="2"/>
        <v>0</v>
      </c>
    </row>
    <row r="59" spans="1:17" x14ac:dyDescent="0.2">
      <c r="A59" t="s">
        <v>51</v>
      </c>
      <c r="B59" t="s">
        <v>474</v>
      </c>
      <c r="C59">
        <v>510</v>
      </c>
      <c r="D59">
        <v>250</v>
      </c>
      <c r="E59">
        <v>28</v>
      </c>
      <c r="F59">
        <v>4.5</v>
      </c>
      <c r="G59">
        <v>0</v>
      </c>
      <c r="H59">
        <v>30</v>
      </c>
      <c r="I59">
        <v>1180</v>
      </c>
      <c r="J59">
        <v>51</v>
      </c>
      <c r="K59">
        <v>2</v>
      </c>
      <c r="L59">
        <v>7</v>
      </c>
      <c r="M59">
        <v>16</v>
      </c>
      <c r="N59">
        <v>506</v>
      </c>
      <c r="O59" s="3">
        <f t="shared" si="3"/>
        <v>3.1372549019607843</v>
      </c>
      <c r="P59">
        <f t="shared" si="1"/>
        <v>1</v>
      </c>
      <c r="Q59">
        <f t="shared" si="2"/>
        <v>0</v>
      </c>
    </row>
    <row r="60" spans="1:17" x14ac:dyDescent="0.2">
      <c r="A60" t="s">
        <v>51</v>
      </c>
      <c r="B60" t="s">
        <v>479</v>
      </c>
      <c r="C60">
        <v>390</v>
      </c>
      <c r="D60">
        <v>190</v>
      </c>
      <c r="E60">
        <v>21</v>
      </c>
      <c r="F60">
        <v>3.5</v>
      </c>
      <c r="G60">
        <v>0</v>
      </c>
      <c r="H60">
        <v>30</v>
      </c>
      <c r="I60">
        <v>740</v>
      </c>
      <c r="J60">
        <v>37</v>
      </c>
      <c r="K60">
        <v>2</v>
      </c>
      <c r="L60">
        <v>6</v>
      </c>
      <c r="M60">
        <v>12</v>
      </c>
      <c r="N60">
        <v>388</v>
      </c>
      <c r="O60" s="3">
        <f t="shared" si="3"/>
        <v>3.0769230769230771</v>
      </c>
      <c r="P60">
        <f t="shared" si="1"/>
        <v>1</v>
      </c>
      <c r="Q60">
        <f t="shared" si="2"/>
        <v>0</v>
      </c>
    </row>
    <row r="61" spans="1:17" x14ac:dyDescent="0.2">
      <c r="A61" t="s">
        <v>51</v>
      </c>
      <c r="B61" t="s">
        <v>498</v>
      </c>
      <c r="C61">
        <v>170</v>
      </c>
      <c r="D61">
        <v>80</v>
      </c>
      <c r="E61">
        <v>9</v>
      </c>
      <c r="F61">
        <v>3</v>
      </c>
      <c r="G61">
        <v>0</v>
      </c>
      <c r="H61">
        <v>10</v>
      </c>
      <c r="I61">
        <v>410</v>
      </c>
      <c r="J61">
        <v>19</v>
      </c>
      <c r="K61">
        <v>2</v>
      </c>
      <c r="L61">
        <v>1</v>
      </c>
      <c r="M61">
        <v>5</v>
      </c>
      <c r="N61">
        <v>169</v>
      </c>
      <c r="O61" s="3">
        <f t="shared" si="3"/>
        <v>2.9411764705882351</v>
      </c>
      <c r="P61">
        <f t="shared" si="1"/>
        <v>0</v>
      </c>
      <c r="Q61">
        <f t="shared" si="2"/>
        <v>0</v>
      </c>
    </row>
    <row r="62" spans="1:17" x14ac:dyDescent="0.2">
      <c r="A62" t="s">
        <v>51</v>
      </c>
      <c r="B62" t="s">
        <v>499</v>
      </c>
      <c r="C62">
        <v>170</v>
      </c>
      <c r="D62">
        <v>40</v>
      </c>
      <c r="E62">
        <v>4.5</v>
      </c>
      <c r="F62">
        <v>3</v>
      </c>
      <c r="G62">
        <v>0</v>
      </c>
      <c r="H62">
        <v>20</v>
      </c>
      <c r="I62">
        <v>150</v>
      </c>
      <c r="J62">
        <v>28</v>
      </c>
      <c r="K62">
        <v>0</v>
      </c>
      <c r="L62">
        <v>24</v>
      </c>
      <c r="M62">
        <v>5</v>
      </c>
      <c r="N62">
        <v>192</v>
      </c>
      <c r="O62" s="3">
        <f t="shared" si="3"/>
        <v>2.9411764705882351</v>
      </c>
      <c r="P62">
        <f t="shared" si="1"/>
        <v>0</v>
      </c>
      <c r="Q62">
        <f t="shared" si="2"/>
        <v>0</v>
      </c>
    </row>
    <row r="63" spans="1:17" x14ac:dyDescent="0.2">
      <c r="A63" t="s">
        <v>51</v>
      </c>
      <c r="B63" t="s">
        <v>509</v>
      </c>
      <c r="C63">
        <v>420</v>
      </c>
      <c r="D63">
        <v>250</v>
      </c>
      <c r="E63">
        <v>28</v>
      </c>
      <c r="F63">
        <v>6</v>
      </c>
      <c r="G63">
        <v>0</v>
      </c>
      <c r="H63">
        <v>35</v>
      </c>
      <c r="I63">
        <v>1050</v>
      </c>
      <c r="J63">
        <v>28</v>
      </c>
      <c r="K63">
        <v>1</v>
      </c>
      <c r="L63">
        <v>2</v>
      </c>
      <c r="M63">
        <v>12</v>
      </c>
      <c r="N63">
        <v>416</v>
      </c>
      <c r="O63" s="3">
        <f t="shared" si="3"/>
        <v>2.8571428571428572</v>
      </c>
      <c r="P63">
        <f t="shared" si="1"/>
        <v>1</v>
      </c>
      <c r="Q63">
        <f t="shared" si="2"/>
        <v>0</v>
      </c>
    </row>
    <row r="64" spans="1:17" x14ac:dyDescent="0.2">
      <c r="A64" t="s">
        <v>51</v>
      </c>
      <c r="B64" t="s">
        <v>524</v>
      </c>
      <c r="C64">
        <v>900</v>
      </c>
      <c r="D64">
        <v>420</v>
      </c>
      <c r="E64">
        <v>46</v>
      </c>
      <c r="F64">
        <v>12</v>
      </c>
      <c r="G64">
        <v>0</v>
      </c>
      <c r="H64">
        <v>380</v>
      </c>
      <c r="I64">
        <v>1760</v>
      </c>
      <c r="J64">
        <v>95</v>
      </c>
      <c r="K64">
        <v>5</v>
      </c>
      <c r="L64">
        <v>31</v>
      </c>
      <c r="M64">
        <v>25</v>
      </c>
      <c r="N64">
        <v>918</v>
      </c>
      <c r="O64" s="3">
        <f t="shared" si="3"/>
        <v>2.7777777777777777</v>
      </c>
      <c r="P64">
        <f t="shared" si="1"/>
        <v>1</v>
      </c>
      <c r="Q64">
        <f t="shared" si="2"/>
        <v>1</v>
      </c>
    </row>
    <row r="65" spans="1:17" x14ac:dyDescent="0.2">
      <c r="A65" t="s">
        <v>51</v>
      </c>
      <c r="B65" t="s">
        <v>535</v>
      </c>
      <c r="C65">
        <v>450</v>
      </c>
      <c r="D65">
        <v>270</v>
      </c>
      <c r="E65">
        <v>30</v>
      </c>
      <c r="F65">
        <v>5</v>
      </c>
      <c r="G65">
        <v>0</v>
      </c>
      <c r="H65">
        <v>30</v>
      </c>
      <c r="I65">
        <v>780</v>
      </c>
      <c r="J65">
        <v>34</v>
      </c>
      <c r="K65">
        <v>2</v>
      </c>
      <c r="L65">
        <v>5</v>
      </c>
      <c r="M65">
        <v>12</v>
      </c>
      <c r="N65">
        <v>448</v>
      </c>
      <c r="O65" s="3">
        <f t="shared" si="3"/>
        <v>2.666666666666667</v>
      </c>
      <c r="P65">
        <f t="shared" si="1"/>
        <v>1</v>
      </c>
      <c r="Q65">
        <f t="shared" si="2"/>
        <v>0</v>
      </c>
    </row>
    <row r="66" spans="1:17" x14ac:dyDescent="0.2">
      <c r="A66" t="s">
        <v>51</v>
      </c>
      <c r="B66" t="s">
        <v>543</v>
      </c>
      <c r="C66">
        <v>190</v>
      </c>
      <c r="D66">
        <v>40</v>
      </c>
      <c r="E66">
        <v>4.5</v>
      </c>
      <c r="F66">
        <v>3</v>
      </c>
      <c r="G66">
        <v>0</v>
      </c>
      <c r="H66">
        <v>20</v>
      </c>
      <c r="I66">
        <v>150</v>
      </c>
      <c r="J66">
        <v>32</v>
      </c>
      <c r="K66">
        <v>0</v>
      </c>
      <c r="L66">
        <v>24</v>
      </c>
      <c r="M66">
        <v>5</v>
      </c>
      <c r="N66">
        <v>212</v>
      </c>
      <c r="O66" s="3">
        <f t="shared" ref="O66:O97" si="4">M66/C66*100</f>
        <v>2.6315789473684208</v>
      </c>
      <c r="P66">
        <f t="shared" ref="P66:P129" si="5">IF(I66&gt;2300*0.2,1,0)</f>
        <v>0</v>
      </c>
      <c r="Q66">
        <f t="shared" ref="Q66:Q129" si="6">IF(H66&gt;300,1,0)</f>
        <v>0</v>
      </c>
    </row>
    <row r="67" spans="1:17" x14ac:dyDescent="0.2">
      <c r="A67" t="s">
        <v>51</v>
      </c>
      <c r="B67" t="s">
        <v>552</v>
      </c>
      <c r="C67">
        <v>930</v>
      </c>
      <c r="D67">
        <v>390</v>
      </c>
      <c r="E67">
        <v>44</v>
      </c>
      <c r="F67">
        <v>11</v>
      </c>
      <c r="G67">
        <v>0</v>
      </c>
      <c r="H67">
        <v>390</v>
      </c>
      <c r="I67">
        <v>2230</v>
      </c>
      <c r="J67">
        <v>110</v>
      </c>
      <c r="K67">
        <v>4</v>
      </c>
      <c r="L67">
        <v>40</v>
      </c>
      <c r="M67">
        <v>24</v>
      </c>
      <c r="N67">
        <v>957</v>
      </c>
      <c r="O67" s="3">
        <f t="shared" si="4"/>
        <v>2.5806451612903225</v>
      </c>
      <c r="P67">
        <f t="shared" si="5"/>
        <v>1</v>
      </c>
      <c r="Q67">
        <f t="shared" si="6"/>
        <v>1</v>
      </c>
    </row>
    <row r="68" spans="1:17" x14ac:dyDescent="0.2">
      <c r="A68" t="s">
        <v>51</v>
      </c>
      <c r="B68" t="s">
        <v>569</v>
      </c>
      <c r="C68">
        <v>580</v>
      </c>
      <c r="D68">
        <v>140</v>
      </c>
      <c r="E68">
        <v>15</v>
      </c>
      <c r="F68">
        <v>10</v>
      </c>
      <c r="G68">
        <v>0</v>
      </c>
      <c r="H68">
        <v>60</v>
      </c>
      <c r="I68">
        <v>420</v>
      </c>
      <c r="J68">
        <v>98</v>
      </c>
      <c r="K68">
        <v>0</v>
      </c>
      <c r="L68">
        <v>85</v>
      </c>
      <c r="M68">
        <v>14</v>
      </c>
      <c r="N68">
        <v>661</v>
      </c>
      <c r="O68" s="3">
        <f t="shared" si="4"/>
        <v>2.4137931034482758</v>
      </c>
      <c r="P68">
        <f t="shared" si="5"/>
        <v>0</v>
      </c>
      <c r="Q68">
        <f t="shared" si="6"/>
        <v>0</v>
      </c>
    </row>
    <row r="69" spans="1:17" x14ac:dyDescent="0.2">
      <c r="A69" t="s">
        <v>51</v>
      </c>
      <c r="B69" t="s">
        <v>576</v>
      </c>
      <c r="C69">
        <v>170</v>
      </c>
      <c r="D69">
        <v>30</v>
      </c>
      <c r="E69">
        <v>3</v>
      </c>
      <c r="F69">
        <v>1.5</v>
      </c>
      <c r="G69">
        <v>0</v>
      </c>
      <c r="H69">
        <v>5</v>
      </c>
      <c r="I69">
        <v>260</v>
      </c>
      <c r="J69">
        <v>32</v>
      </c>
      <c r="K69">
        <v>3</v>
      </c>
      <c r="L69">
        <v>12</v>
      </c>
      <c r="M69">
        <v>4</v>
      </c>
      <c r="N69">
        <v>180</v>
      </c>
      <c r="O69" s="3">
        <f t="shared" si="4"/>
        <v>2.3529411764705883</v>
      </c>
      <c r="P69">
        <f t="shared" si="5"/>
        <v>0</v>
      </c>
      <c r="Q69">
        <f t="shared" si="6"/>
        <v>0</v>
      </c>
    </row>
    <row r="70" spans="1:17" x14ac:dyDescent="0.2">
      <c r="A70" t="s">
        <v>51</v>
      </c>
      <c r="B70" t="s">
        <v>577</v>
      </c>
      <c r="C70">
        <v>510</v>
      </c>
      <c r="D70">
        <v>110</v>
      </c>
      <c r="E70">
        <v>13</v>
      </c>
      <c r="F70">
        <v>8</v>
      </c>
      <c r="G70">
        <v>0</v>
      </c>
      <c r="H70">
        <v>50</v>
      </c>
      <c r="I70">
        <v>350</v>
      </c>
      <c r="J70">
        <v>87</v>
      </c>
      <c r="K70">
        <v>1</v>
      </c>
      <c r="L70">
        <v>71</v>
      </c>
      <c r="M70">
        <v>12</v>
      </c>
      <c r="N70">
        <v>577</v>
      </c>
      <c r="O70" s="3">
        <f t="shared" si="4"/>
        <v>2.3529411764705883</v>
      </c>
      <c r="P70">
        <f t="shared" si="5"/>
        <v>0</v>
      </c>
      <c r="Q70">
        <f t="shared" si="6"/>
        <v>0</v>
      </c>
    </row>
    <row r="71" spans="1:17" x14ac:dyDescent="0.2">
      <c r="A71" t="s">
        <v>51</v>
      </c>
      <c r="B71" t="s">
        <v>581</v>
      </c>
      <c r="C71">
        <v>300</v>
      </c>
      <c r="D71">
        <v>80</v>
      </c>
      <c r="E71">
        <v>8</v>
      </c>
      <c r="F71">
        <v>5</v>
      </c>
      <c r="G71">
        <v>0</v>
      </c>
      <c r="H71">
        <v>30</v>
      </c>
      <c r="I71">
        <v>200</v>
      </c>
      <c r="J71">
        <v>50</v>
      </c>
      <c r="K71">
        <v>1</v>
      </c>
      <c r="L71">
        <v>41</v>
      </c>
      <c r="M71">
        <v>7</v>
      </c>
      <c r="N71">
        <v>339</v>
      </c>
      <c r="O71" s="3">
        <f t="shared" si="4"/>
        <v>2.3333333333333335</v>
      </c>
      <c r="P71">
        <f t="shared" si="5"/>
        <v>0</v>
      </c>
      <c r="Q71">
        <f t="shared" si="6"/>
        <v>0</v>
      </c>
    </row>
    <row r="72" spans="1:17" x14ac:dyDescent="0.2">
      <c r="A72" t="s">
        <v>51</v>
      </c>
      <c r="B72" t="s">
        <v>582</v>
      </c>
      <c r="C72">
        <v>300</v>
      </c>
      <c r="D72">
        <v>80</v>
      </c>
      <c r="E72">
        <v>8</v>
      </c>
      <c r="F72">
        <v>5</v>
      </c>
      <c r="G72">
        <v>0</v>
      </c>
      <c r="H72">
        <v>35</v>
      </c>
      <c r="I72">
        <v>210</v>
      </c>
      <c r="J72">
        <v>50</v>
      </c>
      <c r="K72">
        <v>0</v>
      </c>
      <c r="L72">
        <v>41</v>
      </c>
      <c r="M72">
        <v>7</v>
      </c>
      <c r="N72">
        <v>339</v>
      </c>
      <c r="O72" s="3">
        <f t="shared" si="4"/>
        <v>2.3333333333333335</v>
      </c>
      <c r="P72">
        <f t="shared" si="5"/>
        <v>0</v>
      </c>
      <c r="Q72">
        <f t="shared" si="6"/>
        <v>0</v>
      </c>
    </row>
    <row r="73" spans="1:17" x14ac:dyDescent="0.2">
      <c r="A73" t="s">
        <v>51</v>
      </c>
      <c r="B73" t="s">
        <v>588</v>
      </c>
      <c r="C73">
        <v>740</v>
      </c>
      <c r="D73">
        <v>190</v>
      </c>
      <c r="E73">
        <v>22</v>
      </c>
      <c r="F73">
        <v>13</v>
      </c>
      <c r="G73">
        <v>0.5</v>
      </c>
      <c r="H73">
        <v>70</v>
      </c>
      <c r="I73">
        <v>680</v>
      </c>
      <c r="J73">
        <v>121</v>
      </c>
      <c r="K73">
        <v>1</v>
      </c>
      <c r="L73">
        <v>101</v>
      </c>
      <c r="M73">
        <v>17</v>
      </c>
      <c r="N73">
        <v>837</v>
      </c>
      <c r="O73" s="3">
        <f t="shared" si="4"/>
        <v>2.2972972972972974</v>
      </c>
      <c r="P73">
        <f t="shared" si="5"/>
        <v>1</v>
      </c>
      <c r="Q73">
        <f t="shared" si="6"/>
        <v>0</v>
      </c>
    </row>
    <row r="74" spans="1:17" x14ac:dyDescent="0.2">
      <c r="A74" t="s">
        <v>51</v>
      </c>
      <c r="B74" t="s">
        <v>589</v>
      </c>
      <c r="C74">
        <v>610</v>
      </c>
      <c r="D74">
        <v>140</v>
      </c>
      <c r="E74">
        <v>16</v>
      </c>
      <c r="F74">
        <v>10</v>
      </c>
      <c r="G74">
        <v>0</v>
      </c>
      <c r="H74">
        <v>60</v>
      </c>
      <c r="I74">
        <v>500</v>
      </c>
      <c r="J74">
        <v>103</v>
      </c>
      <c r="K74">
        <v>1</v>
      </c>
      <c r="L74">
        <v>88</v>
      </c>
      <c r="M74">
        <v>14</v>
      </c>
      <c r="N74">
        <v>694</v>
      </c>
      <c r="O74" s="3">
        <f t="shared" si="4"/>
        <v>2.2950819672131146</v>
      </c>
      <c r="P74">
        <f t="shared" si="5"/>
        <v>1</v>
      </c>
      <c r="Q74">
        <f t="shared" si="6"/>
        <v>0</v>
      </c>
    </row>
    <row r="75" spans="1:17" x14ac:dyDescent="0.2">
      <c r="A75" t="s">
        <v>51</v>
      </c>
      <c r="B75" t="s">
        <v>596</v>
      </c>
      <c r="C75">
        <v>400</v>
      </c>
      <c r="D75">
        <v>90</v>
      </c>
      <c r="E75">
        <v>10</v>
      </c>
      <c r="F75">
        <v>7</v>
      </c>
      <c r="G75">
        <v>0</v>
      </c>
      <c r="H75">
        <v>40</v>
      </c>
      <c r="I75">
        <v>270</v>
      </c>
      <c r="J75">
        <v>68</v>
      </c>
      <c r="K75">
        <v>1</v>
      </c>
      <c r="L75">
        <v>58</v>
      </c>
      <c r="M75">
        <v>9</v>
      </c>
      <c r="N75">
        <v>456</v>
      </c>
      <c r="O75" s="3">
        <f t="shared" si="4"/>
        <v>2.25</v>
      </c>
      <c r="P75">
        <f t="shared" si="5"/>
        <v>0</v>
      </c>
      <c r="Q75">
        <f t="shared" si="6"/>
        <v>0</v>
      </c>
    </row>
    <row r="76" spans="1:17" x14ac:dyDescent="0.2">
      <c r="A76" t="s">
        <v>51</v>
      </c>
      <c r="B76" t="s">
        <v>597</v>
      </c>
      <c r="C76">
        <v>400</v>
      </c>
      <c r="D76">
        <v>90</v>
      </c>
      <c r="E76">
        <v>10</v>
      </c>
      <c r="F76">
        <v>7</v>
      </c>
      <c r="G76">
        <v>0</v>
      </c>
      <c r="H76">
        <v>40</v>
      </c>
      <c r="I76">
        <v>280</v>
      </c>
      <c r="J76">
        <v>68</v>
      </c>
      <c r="K76">
        <v>0</v>
      </c>
      <c r="L76">
        <v>56</v>
      </c>
      <c r="M76">
        <v>9</v>
      </c>
      <c r="N76">
        <v>454</v>
      </c>
      <c r="O76" s="3">
        <f t="shared" si="4"/>
        <v>2.25</v>
      </c>
      <c r="P76">
        <f t="shared" si="5"/>
        <v>0</v>
      </c>
      <c r="Q76">
        <f t="shared" si="6"/>
        <v>0</v>
      </c>
    </row>
    <row r="77" spans="1:17" x14ac:dyDescent="0.2">
      <c r="A77" t="s">
        <v>51</v>
      </c>
      <c r="B77" t="s">
        <v>604</v>
      </c>
      <c r="C77">
        <v>720</v>
      </c>
      <c r="D77">
        <v>180</v>
      </c>
      <c r="E77">
        <v>20</v>
      </c>
      <c r="F77">
        <v>12</v>
      </c>
      <c r="G77">
        <v>0.5</v>
      </c>
      <c r="H77">
        <v>65</v>
      </c>
      <c r="I77">
        <v>540</v>
      </c>
      <c r="J77">
        <v>118</v>
      </c>
      <c r="K77">
        <v>1</v>
      </c>
      <c r="L77">
        <v>98</v>
      </c>
      <c r="M77">
        <v>16</v>
      </c>
      <c r="N77">
        <v>814</v>
      </c>
      <c r="O77" s="3">
        <f t="shared" si="4"/>
        <v>2.2222222222222223</v>
      </c>
      <c r="P77">
        <f t="shared" si="5"/>
        <v>1</v>
      </c>
      <c r="Q77">
        <f t="shared" si="6"/>
        <v>0</v>
      </c>
    </row>
    <row r="78" spans="1:17" x14ac:dyDescent="0.2">
      <c r="A78" t="s">
        <v>51</v>
      </c>
      <c r="B78" t="s">
        <v>606</v>
      </c>
      <c r="C78">
        <v>500</v>
      </c>
      <c r="D78">
        <v>110</v>
      </c>
      <c r="E78">
        <v>12</v>
      </c>
      <c r="F78">
        <v>8</v>
      </c>
      <c r="G78">
        <v>0</v>
      </c>
      <c r="H78">
        <v>50</v>
      </c>
      <c r="I78">
        <v>350</v>
      </c>
      <c r="J78">
        <v>86</v>
      </c>
      <c r="K78">
        <v>0</v>
      </c>
      <c r="L78">
        <v>71</v>
      </c>
      <c r="M78">
        <v>11</v>
      </c>
      <c r="N78">
        <v>568</v>
      </c>
      <c r="O78" s="3">
        <f t="shared" si="4"/>
        <v>2.1999999999999997</v>
      </c>
      <c r="P78">
        <f t="shared" si="5"/>
        <v>0</v>
      </c>
      <c r="Q78">
        <f t="shared" si="6"/>
        <v>0</v>
      </c>
    </row>
    <row r="79" spans="1:17" x14ac:dyDescent="0.2">
      <c r="A79" t="s">
        <v>51</v>
      </c>
      <c r="B79" t="s">
        <v>607</v>
      </c>
      <c r="C79">
        <v>640</v>
      </c>
      <c r="D79">
        <v>140</v>
      </c>
      <c r="E79">
        <v>15</v>
      </c>
      <c r="F79">
        <v>10</v>
      </c>
      <c r="G79">
        <v>0</v>
      </c>
      <c r="H79">
        <v>60</v>
      </c>
      <c r="I79">
        <v>440</v>
      </c>
      <c r="J79">
        <v>113</v>
      </c>
      <c r="K79">
        <v>0</v>
      </c>
      <c r="L79">
        <v>99</v>
      </c>
      <c r="M79">
        <v>14</v>
      </c>
      <c r="N79">
        <v>735</v>
      </c>
      <c r="O79" s="3">
        <f t="shared" si="4"/>
        <v>2.1875</v>
      </c>
      <c r="P79">
        <f t="shared" si="5"/>
        <v>0</v>
      </c>
      <c r="Q79">
        <f t="shared" si="6"/>
        <v>0</v>
      </c>
    </row>
    <row r="80" spans="1:17" x14ac:dyDescent="0.2">
      <c r="A80" t="s">
        <v>51</v>
      </c>
      <c r="B80" t="s">
        <v>621</v>
      </c>
      <c r="C80">
        <v>240</v>
      </c>
      <c r="D80">
        <v>50</v>
      </c>
      <c r="E80">
        <v>5</v>
      </c>
      <c r="F80">
        <v>3.5</v>
      </c>
      <c r="G80">
        <v>0</v>
      </c>
      <c r="H80">
        <v>20</v>
      </c>
      <c r="I80">
        <v>210</v>
      </c>
      <c r="J80">
        <v>42</v>
      </c>
      <c r="K80">
        <v>0</v>
      </c>
      <c r="L80">
        <v>33</v>
      </c>
      <c r="M80">
        <v>5</v>
      </c>
      <c r="N80">
        <v>272</v>
      </c>
      <c r="O80" s="3">
        <f t="shared" si="4"/>
        <v>2.083333333333333</v>
      </c>
      <c r="P80">
        <f t="shared" si="5"/>
        <v>0</v>
      </c>
      <c r="Q80">
        <f t="shared" si="6"/>
        <v>0</v>
      </c>
    </row>
    <row r="81" spans="1:17" x14ac:dyDescent="0.2">
      <c r="A81" t="s">
        <v>51</v>
      </c>
      <c r="B81" t="s">
        <v>628</v>
      </c>
      <c r="C81">
        <v>610</v>
      </c>
      <c r="D81">
        <v>280</v>
      </c>
      <c r="E81">
        <v>31</v>
      </c>
      <c r="F81">
        <v>9</v>
      </c>
      <c r="G81">
        <v>0</v>
      </c>
      <c r="H81">
        <v>80</v>
      </c>
      <c r="I81">
        <v>1010</v>
      </c>
      <c r="J81">
        <v>72</v>
      </c>
      <c r="K81">
        <v>1</v>
      </c>
      <c r="L81">
        <v>30</v>
      </c>
      <c r="M81">
        <v>12</v>
      </c>
      <c r="N81">
        <v>637</v>
      </c>
      <c r="O81" s="3">
        <f t="shared" si="4"/>
        <v>1.9672131147540985</v>
      </c>
      <c r="P81">
        <f t="shared" si="5"/>
        <v>1</v>
      </c>
      <c r="Q81">
        <f t="shared" si="6"/>
        <v>0</v>
      </c>
    </row>
    <row r="82" spans="1:17" x14ac:dyDescent="0.2">
      <c r="A82" t="s">
        <v>51</v>
      </c>
      <c r="B82" t="s">
        <v>632</v>
      </c>
      <c r="C82">
        <v>260</v>
      </c>
      <c r="D82">
        <v>45</v>
      </c>
      <c r="E82">
        <v>5</v>
      </c>
      <c r="F82">
        <v>3</v>
      </c>
      <c r="G82">
        <v>0</v>
      </c>
      <c r="H82">
        <v>20</v>
      </c>
      <c r="I82">
        <v>160</v>
      </c>
      <c r="J82">
        <v>49</v>
      </c>
      <c r="K82">
        <v>1</v>
      </c>
      <c r="L82">
        <v>43</v>
      </c>
      <c r="M82">
        <v>5</v>
      </c>
      <c r="N82">
        <v>301</v>
      </c>
      <c r="O82" s="3">
        <f t="shared" si="4"/>
        <v>1.9230769230769231</v>
      </c>
      <c r="P82">
        <f t="shared" si="5"/>
        <v>0</v>
      </c>
      <c r="Q82">
        <f t="shared" si="6"/>
        <v>0</v>
      </c>
    </row>
    <row r="83" spans="1:17" x14ac:dyDescent="0.2">
      <c r="A83" t="s">
        <v>51</v>
      </c>
      <c r="B83" t="s">
        <v>643</v>
      </c>
      <c r="C83">
        <v>350</v>
      </c>
      <c r="D83">
        <v>170</v>
      </c>
      <c r="E83">
        <v>18</v>
      </c>
      <c r="F83">
        <v>8</v>
      </c>
      <c r="G83">
        <v>0</v>
      </c>
      <c r="H83">
        <v>35</v>
      </c>
      <c r="I83">
        <v>310</v>
      </c>
      <c r="J83">
        <v>41</v>
      </c>
      <c r="K83">
        <v>1</v>
      </c>
      <c r="L83">
        <v>25</v>
      </c>
      <c r="M83">
        <v>6</v>
      </c>
      <c r="N83">
        <v>377</v>
      </c>
      <c r="O83" s="3">
        <f t="shared" si="4"/>
        <v>1.7142857142857144</v>
      </c>
      <c r="P83">
        <f t="shared" si="5"/>
        <v>0</v>
      </c>
      <c r="Q83">
        <f t="shared" si="6"/>
        <v>0</v>
      </c>
    </row>
    <row r="84" spans="1:17" x14ac:dyDescent="0.2">
      <c r="A84" t="s">
        <v>51</v>
      </c>
      <c r="B84" t="s">
        <v>648</v>
      </c>
      <c r="C84">
        <v>60</v>
      </c>
      <c r="D84">
        <v>20</v>
      </c>
      <c r="E84">
        <v>2.5</v>
      </c>
      <c r="F84">
        <v>0</v>
      </c>
      <c r="G84">
        <v>0</v>
      </c>
      <c r="H84">
        <v>10</v>
      </c>
      <c r="I84">
        <v>180</v>
      </c>
      <c r="J84">
        <v>9</v>
      </c>
      <c r="K84">
        <v>0</v>
      </c>
      <c r="L84">
        <v>1</v>
      </c>
      <c r="M84">
        <v>1</v>
      </c>
      <c r="N84">
        <v>60</v>
      </c>
      <c r="O84" s="3">
        <f t="shared" si="4"/>
        <v>1.6666666666666667</v>
      </c>
      <c r="P84">
        <f t="shared" si="5"/>
        <v>0</v>
      </c>
      <c r="Q84">
        <f t="shared" si="6"/>
        <v>0</v>
      </c>
    </row>
    <row r="85" spans="1:17" x14ac:dyDescent="0.2">
      <c r="A85" t="s">
        <v>51</v>
      </c>
      <c r="B85" t="s">
        <v>663</v>
      </c>
      <c r="C85">
        <v>140</v>
      </c>
      <c r="D85">
        <v>0</v>
      </c>
      <c r="E85">
        <v>0</v>
      </c>
      <c r="F85">
        <v>0</v>
      </c>
      <c r="G85">
        <v>0</v>
      </c>
      <c r="H85">
        <v>0</v>
      </c>
      <c r="I85">
        <v>20</v>
      </c>
      <c r="J85">
        <v>33</v>
      </c>
      <c r="K85">
        <v>0</v>
      </c>
      <c r="L85">
        <v>30</v>
      </c>
      <c r="M85">
        <v>2</v>
      </c>
      <c r="N85">
        <v>168</v>
      </c>
      <c r="O85" s="3">
        <f t="shared" si="4"/>
        <v>1.4285714285714286</v>
      </c>
      <c r="P85">
        <f t="shared" si="5"/>
        <v>0</v>
      </c>
      <c r="Q85">
        <f t="shared" si="6"/>
        <v>0</v>
      </c>
    </row>
    <row r="86" spans="1:17" x14ac:dyDescent="0.2">
      <c r="A86" t="s">
        <v>51</v>
      </c>
      <c r="B86" t="s">
        <v>676</v>
      </c>
      <c r="C86">
        <v>380</v>
      </c>
      <c r="D86">
        <v>160</v>
      </c>
      <c r="E86">
        <v>18</v>
      </c>
      <c r="F86">
        <v>3</v>
      </c>
      <c r="G86">
        <v>0</v>
      </c>
      <c r="H86">
        <v>0</v>
      </c>
      <c r="I86">
        <v>430</v>
      </c>
      <c r="J86">
        <v>49</v>
      </c>
      <c r="K86">
        <v>2</v>
      </c>
      <c r="L86">
        <v>13</v>
      </c>
      <c r="M86">
        <v>5</v>
      </c>
      <c r="N86">
        <v>391</v>
      </c>
      <c r="O86" s="3">
        <f t="shared" si="4"/>
        <v>1.3157894736842104</v>
      </c>
      <c r="P86">
        <f t="shared" si="5"/>
        <v>0</v>
      </c>
      <c r="Q86">
        <f t="shared" si="6"/>
        <v>0</v>
      </c>
    </row>
    <row r="87" spans="1:17" x14ac:dyDescent="0.2">
      <c r="A87" t="s">
        <v>51</v>
      </c>
      <c r="B87" t="s">
        <v>679</v>
      </c>
      <c r="C87">
        <v>230</v>
      </c>
      <c r="D87">
        <v>100</v>
      </c>
      <c r="E87">
        <v>11</v>
      </c>
      <c r="F87">
        <v>2</v>
      </c>
      <c r="G87">
        <v>0</v>
      </c>
      <c r="H87">
        <v>0</v>
      </c>
      <c r="I87">
        <v>260</v>
      </c>
      <c r="J87">
        <v>29</v>
      </c>
      <c r="K87">
        <v>1</v>
      </c>
      <c r="L87">
        <v>8</v>
      </c>
      <c r="M87">
        <v>3</v>
      </c>
      <c r="N87">
        <v>237</v>
      </c>
      <c r="O87" s="3">
        <f t="shared" si="4"/>
        <v>1.3043478260869565</v>
      </c>
      <c r="P87">
        <f t="shared" si="5"/>
        <v>0</v>
      </c>
      <c r="Q87">
        <f t="shared" si="6"/>
        <v>0</v>
      </c>
    </row>
    <row r="88" spans="1:17" x14ac:dyDescent="0.2">
      <c r="A88" t="s">
        <v>51</v>
      </c>
      <c r="B88" t="s">
        <v>682</v>
      </c>
      <c r="C88">
        <v>310</v>
      </c>
      <c r="D88">
        <v>10</v>
      </c>
      <c r="E88">
        <v>1</v>
      </c>
      <c r="F88">
        <v>0</v>
      </c>
      <c r="G88">
        <v>0</v>
      </c>
      <c r="H88">
        <v>0</v>
      </c>
      <c r="I88">
        <v>55</v>
      </c>
      <c r="J88">
        <v>71</v>
      </c>
      <c r="K88">
        <v>3</v>
      </c>
      <c r="L88">
        <v>50</v>
      </c>
      <c r="M88">
        <v>4</v>
      </c>
      <c r="N88">
        <v>356</v>
      </c>
      <c r="O88" s="3">
        <f t="shared" si="4"/>
        <v>1.2903225806451613</v>
      </c>
      <c r="P88">
        <f t="shared" si="5"/>
        <v>0</v>
      </c>
      <c r="Q88">
        <f t="shared" si="6"/>
        <v>0</v>
      </c>
    </row>
    <row r="89" spans="1:17" x14ac:dyDescent="0.2">
      <c r="A89" t="s">
        <v>51</v>
      </c>
      <c r="B89" t="s">
        <v>685</v>
      </c>
      <c r="C89">
        <v>320</v>
      </c>
      <c r="D89">
        <v>120</v>
      </c>
      <c r="E89">
        <v>13</v>
      </c>
      <c r="F89">
        <v>2</v>
      </c>
      <c r="G89">
        <v>0</v>
      </c>
      <c r="H89">
        <v>0</v>
      </c>
      <c r="I89">
        <v>300</v>
      </c>
      <c r="J89">
        <v>49</v>
      </c>
      <c r="K89">
        <v>5</v>
      </c>
      <c r="L89">
        <v>1</v>
      </c>
      <c r="M89">
        <v>4</v>
      </c>
      <c r="N89">
        <v>319</v>
      </c>
      <c r="O89" s="3">
        <f t="shared" si="4"/>
        <v>1.25</v>
      </c>
      <c r="P89">
        <f t="shared" si="5"/>
        <v>0</v>
      </c>
      <c r="Q89">
        <f t="shared" si="6"/>
        <v>0</v>
      </c>
    </row>
    <row r="90" spans="1:17" x14ac:dyDescent="0.2">
      <c r="A90" t="s">
        <v>51</v>
      </c>
      <c r="B90" t="s">
        <v>686</v>
      </c>
      <c r="C90">
        <v>160</v>
      </c>
      <c r="D90">
        <v>70</v>
      </c>
      <c r="E90">
        <v>8</v>
      </c>
      <c r="F90">
        <v>4</v>
      </c>
      <c r="G90">
        <v>0</v>
      </c>
      <c r="H90">
        <v>10</v>
      </c>
      <c r="I90">
        <v>125</v>
      </c>
      <c r="J90">
        <v>24</v>
      </c>
      <c r="K90">
        <v>1</v>
      </c>
      <c r="L90">
        <v>15</v>
      </c>
      <c r="M90">
        <v>2</v>
      </c>
      <c r="N90">
        <v>177</v>
      </c>
      <c r="O90" s="3">
        <f t="shared" si="4"/>
        <v>1.25</v>
      </c>
      <c r="P90">
        <f t="shared" si="5"/>
        <v>0</v>
      </c>
      <c r="Q90">
        <f t="shared" si="6"/>
        <v>0</v>
      </c>
    </row>
    <row r="91" spans="1:17" x14ac:dyDescent="0.2">
      <c r="A91" t="s">
        <v>51</v>
      </c>
      <c r="B91" t="s">
        <v>698</v>
      </c>
      <c r="C91">
        <v>430</v>
      </c>
      <c r="D91">
        <v>160</v>
      </c>
      <c r="E91">
        <v>18</v>
      </c>
      <c r="F91">
        <v>2.5</v>
      </c>
      <c r="G91">
        <v>0</v>
      </c>
      <c r="H91">
        <v>0</v>
      </c>
      <c r="I91">
        <v>410</v>
      </c>
      <c r="J91">
        <v>66</v>
      </c>
      <c r="K91">
        <v>7</v>
      </c>
      <c r="L91">
        <v>2</v>
      </c>
      <c r="M91">
        <v>5</v>
      </c>
      <c r="N91">
        <v>430</v>
      </c>
      <c r="O91" s="3">
        <f t="shared" si="4"/>
        <v>1.1627906976744187</v>
      </c>
      <c r="P91">
        <f t="shared" si="5"/>
        <v>0</v>
      </c>
      <c r="Q91">
        <f t="shared" si="6"/>
        <v>0</v>
      </c>
    </row>
    <row r="92" spans="1:17" x14ac:dyDescent="0.2">
      <c r="A92" t="s">
        <v>51</v>
      </c>
      <c r="B92" t="s">
        <v>700</v>
      </c>
      <c r="C92">
        <v>180</v>
      </c>
      <c r="D92">
        <v>70</v>
      </c>
      <c r="E92">
        <v>8</v>
      </c>
      <c r="F92">
        <v>4</v>
      </c>
      <c r="G92">
        <v>0</v>
      </c>
      <c r="H92">
        <v>25</v>
      </c>
      <c r="I92">
        <v>40</v>
      </c>
      <c r="J92">
        <v>27</v>
      </c>
      <c r="K92">
        <v>1</v>
      </c>
      <c r="L92">
        <v>25</v>
      </c>
      <c r="M92">
        <v>2</v>
      </c>
      <c r="N92">
        <v>207</v>
      </c>
      <c r="O92" s="3">
        <f t="shared" si="4"/>
        <v>1.1111111111111112</v>
      </c>
      <c r="P92">
        <f t="shared" si="5"/>
        <v>0</v>
      </c>
      <c r="Q92">
        <f t="shared" si="6"/>
        <v>0</v>
      </c>
    </row>
    <row r="93" spans="1:17" x14ac:dyDescent="0.2">
      <c r="A93" t="s">
        <v>51</v>
      </c>
      <c r="B93" t="s">
        <v>702</v>
      </c>
      <c r="C93">
        <v>370</v>
      </c>
      <c r="D93">
        <v>180</v>
      </c>
      <c r="E93">
        <v>20</v>
      </c>
      <c r="F93">
        <v>13</v>
      </c>
      <c r="G93">
        <v>0</v>
      </c>
      <c r="H93">
        <v>10</v>
      </c>
      <c r="I93">
        <v>330</v>
      </c>
      <c r="J93">
        <v>45</v>
      </c>
      <c r="K93">
        <v>1</v>
      </c>
      <c r="L93">
        <v>30</v>
      </c>
      <c r="M93">
        <v>4</v>
      </c>
      <c r="N93">
        <v>409</v>
      </c>
      <c r="O93" s="3">
        <f t="shared" si="4"/>
        <v>1.0810810810810811</v>
      </c>
      <c r="P93">
        <f t="shared" si="5"/>
        <v>0</v>
      </c>
      <c r="Q93">
        <f t="shared" si="6"/>
        <v>0</v>
      </c>
    </row>
    <row r="94" spans="1:17" x14ac:dyDescent="0.2">
      <c r="A94" t="s">
        <v>51</v>
      </c>
      <c r="B94" t="s">
        <v>708</v>
      </c>
      <c r="C94">
        <v>380</v>
      </c>
      <c r="D94">
        <v>140</v>
      </c>
      <c r="E94">
        <v>16</v>
      </c>
      <c r="F94">
        <v>2</v>
      </c>
      <c r="G94">
        <v>0</v>
      </c>
      <c r="H94">
        <v>0</v>
      </c>
      <c r="I94">
        <v>360</v>
      </c>
      <c r="J94">
        <v>58</v>
      </c>
      <c r="K94">
        <v>6</v>
      </c>
      <c r="L94">
        <v>1</v>
      </c>
      <c r="M94">
        <v>4</v>
      </c>
      <c r="N94">
        <v>379</v>
      </c>
      <c r="O94" s="3">
        <f t="shared" si="4"/>
        <v>1.0526315789473684</v>
      </c>
      <c r="P94">
        <f t="shared" si="5"/>
        <v>0</v>
      </c>
      <c r="Q94">
        <f t="shared" si="6"/>
        <v>0</v>
      </c>
    </row>
    <row r="95" spans="1:17" x14ac:dyDescent="0.2">
      <c r="A95" t="s">
        <v>51</v>
      </c>
      <c r="B95" t="s">
        <v>711</v>
      </c>
      <c r="C95">
        <v>500</v>
      </c>
      <c r="D95">
        <v>230</v>
      </c>
      <c r="E95">
        <v>25</v>
      </c>
      <c r="F95">
        <v>4.5</v>
      </c>
      <c r="G95">
        <v>0</v>
      </c>
      <c r="H95">
        <v>0</v>
      </c>
      <c r="I95">
        <v>1310</v>
      </c>
      <c r="J95">
        <v>64</v>
      </c>
      <c r="K95">
        <v>5</v>
      </c>
      <c r="L95">
        <v>7</v>
      </c>
      <c r="M95">
        <v>5</v>
      </c>
      <c r="N95">
        <v>507</v>
      </c>
      <c r="O95" s="3">
        <f t="shared" si="4"/>
        <v>1</v>
      </c>
      <c r="P95">
        <f t="shared" si="5"/>
        <v>1</v>
      </c>
      <c r="Q95">
        <f t="shared" si="6"/>
        <v>0</v>
      </c>
    </row>
    <row r="96" spans="1:17" x14ac:dyDescent="0.2">
      <c r="A96" t="s">
        <v>51</v>
      </c>
      <c r="B96" t="s">
        <v>712</v>
      </c>
      <c r="C96">
        <v>200</v>
      </c>
      <c r="D96">
        <v>90</v>
      </c>
      <c r="E96">
        <v>10</v>
      </c>
      <c r="F96">
        <v>5</v>
      </c>
      <c r="G96">
        <v>0</v>
      </c>
      <c r="H96">
        <v>30</v>
      </c>
      <c r="I96">
        <v>40</v>
      </c>
      <c r="J96">
        <v>27</v>
      </c>
      <c r="K96">
        <v>0</v>
      </c>
      <c r="L96">
        <v>27</v>
      </c>
      <c r="M96">
        <v>2</v>
      </c>
      <c r="N96">
        <v>230</v>
      </c>
      <c r="O96" s="3">
        <f t="shared" si="4"/>
        <v>1</v>
      </c>
      <c r="P96">
        <f t="shared" si="5"/>
        <v>0</v>
      </c>
      <c r="Q96">
        <f t="shared" si="6"/>
        <v>0</v>
      </c>
    </row>
    <row r="97" spans="1:17" x14ac:dyDescent="0.2">
      <c r="A97" t="s">
        <v>51</v>
      </c>
      <c r="B97" t="s">
        <v>713</v>
      </c>
      <c r="C97">
        <v>300</v>
      </c>
      <c r="D97">
        <v>120</v>
      </c>
      <c r="E97">
        <v>13</v>
      </c>
      <c r="F97">
        <v>7</v>
      </c>
      <c r="G97">
        <v>0</v>
      </c>
      <c r="H97">
        <v>40</v>
      </c>
      <c r="I97">
        <v>70</v>
      </c>
      <c r="J97">
        <v>45</v>
      </c>
      <c r="K97">
        <v>2</v>
      </c>
      <c r="L97">
        <v>41</v>
      </c>
      <c r="M97">
        <v>3</v>
      </c>
      <c r="N97">
        <v>345</v>
      </c>
      <c r="O97" s="3">
        <f t="shared" si="4"/>
        <v>1</v>
      </c>
      <c r="P97">
        <f t="shared" si="5"/>
        <v>0</v>
      </c>
      <c r="Q97">
        <f t="shared" si="6"/>
        <v>0</v>
      </c>
    </row>
    <row r="98" spans="1:17" x14ac:dyDescent="0.2">
      <c r="A98" t="s">
        <v>51</v>
      </c>
      <c r="B98" t="s">
        <v>716</v>
      </c>
      <c r="C98">
        <v>410</v>
      </c>
      <c r="D98">
        <v>190</v>
      </c>
      <c r="E98">
        <v>21</v>
      </c>
      <c r="F98">
        <v>3.5</v>
      </c>
      <c r="G98">
        <v>0</v>
      </c>
      <c r="H98">
        <v>0</v>
      </c>
      <c r="I98">
        <v>1080</v>
      </c>
      <c r="J98">
        <v>53</v>
      </c>
      <c r="K98">
        <v>4</v>
      </c>
      <c r="L98">
        <v>5</v>
      </c>
      <c r="M98">
        <v>4</v>
      </c>
      <c r="N98">
        <v>415</v>
      </c>
      <c r="O98" s="3">
        <f t="shared" ref="O98:O129" si="7">M98/C98*100</f>
        <v>0.97560975609756095</v>
      </c>
      <c r="P98">
        <f t="shared" si="5"/>
        <v>1</v>
      </c>
      <c r="Q98">
        <f t="shared" si="6"/>
        <v>0</v>
      </c>
    </row>
    <row r="99" spans="1:17" x14ac:dyDescent="0.2">
      <c r="A99" t="s">
        <v>51</v>
      </c>
      <c r="B99" t="s">
        <v>717</v>
      </c>
      <c r="C99">
        <v>310</v>
      </c>
      <c r="D99">
        <v>170</v>
      </c>
      <c r="E99">
        <v>19</v>
      </c>
      <c r="F99">
        <v>12</v>
      </c>
      <c r="G99">
        <v>0</v>
      </c>
      <c r="H99">
        <v>10</v>
      </c>
      <c r="I99">
        <v>220</v>
      </c>
      <c r="J99">
        <v>32</v>
      </c>
      <c r="K99">
        <v>1</v>
      </c>
      <c r="L99">
        <v>22</v>
      </c>
      <c r="M99">
        <v>3</v>
      </c>
      <c r="N99">
        <v>341</v>
      </c>
      <c r="O99" s="3">
        <f t="shared" si="7"/>
        <v>0.967741935483871</v>
      </c>
      <c r="P99">
        <f t="shared" si="5"/>
        <v>0</v>
      </c>
      <c r="Q99">
        <f t="shared" si="6"/>
        <v>0</v>
      </c>
    </row>
    <row r="100" spans="1:17" x14ac:dyDescent="0.2">
      <c r="A100" t="s">
        <v>51</v>
      </c>
      <c r="B100" t="s">
        <v>725</v>
      </c>
      <c r="C100">
        <v>320</v>
      </c>
      <c r="D100">
        <v>150</v>
      </c>
      <c r="E100">
        <v>16</v>
      </c>
      <c r="F100">
        <v>3</v>
      </c>
      <c r="G100">
        <v>0</v>
      </c>
      <c r="H100">
        <v>0</v>
      </c>
      <c r="I100">
        <v>840</v>
      </c>
      <c r="J100">
        <v>41</v>
      </c>
      <c r="K100">
        <v>3</v>
      </c>
      <c r="L100">
        <v>4</v>
      </c>
      <c r="M100">
        <v>3</v>
      </c>
      <c r="N100">
        <v>324</v>
      </c>
      <c r="O100" s="3">
        <f t="shared" si="7"/>
        <v>0.9375</v>
      </c>
      <c r="P100">
        <f t="shared" si="5"/>
        <v>1</v>
      </c>
      <c r="Q100">
        <f t="shared" si="6"/>
        <v>0</v>
      </c>
    </row>
    <row r="101" spans="1:17" x14ac:dyDescent="0.2">
      <c r="A101" t="s">
        <v>51</v>
      </c>
      <c r="B101" t="s">
        <v>727</v>
      </c>
      <c r="C101">
        <v>220</v>
      </c>
      <c r="D101">
        <v>80</v>
      </c>
      <c r="E101">
        <v>9</v>
      </c>
      <c r="F101">
        <v>1.5</v>
      </c>
      <c r="G101">
        <v>0</v>
      </c>
      <c r="H101">
        <v>0</v>
      </c>
      <c r="I101">
        <v>210</v>
      </c>
      <c r="J101">
        <v>34</v>
      </c>
      <c r="K101">
        <v>3</v>
      </c>
      <c r="L101">
        <v>1</v>
      </c>
      <c r="M101">
        <v>2</v>
      </c>
      <c r="N101">
        <v>221</v>
      </c>
      <c r="O101" s="3">
        <f t="shared" si="7"/>
        <v>0.90909090909090906</v>
      </c>
      <c r="P101">
        <f t="shared" si="5"/>
        <v>0</v>
      </c>
      <c r="Q101">
        <f t="shared" si="6"/>
        <v>0</v>
      </c>
    </row>
    <row r="102" spans="1:17" x14ac:dyDescent="0.2">
      <c r="A102" t="s">
        <v>51</v>
      </c>
      <c r="B102" t="s">
        <v>732</v>
      </c>
      <c r="C102">
        <v>340</v>
      </c>
      <c r="D102">
        <v>130</v>
      </c>
      <c r="E102">
        <v>14</v>
      </c>
      <c r="F102">
        <v>6</v>
      </c>
      <c r="G102">
        <v>0</v>
      </c>
      <c r="H102">
        <v>0</v>
      </c>
      <c r="I102">
        <v>310</v>
      </c>
      <c r="J102">
        <v>51</v>
      </c>
      <c r="K102">
        <v>1</v>
      </c>
      <c r="L102">
        <v>25</v>
      </c>
      <c r="M102">
        <v>3</v>
      </c>
      <c r="N102">
        <v>368</v>
      </c>
      <c r="O102" s="3">
        <f t="shared" si="7"/>
        <v>0.88235294117647056</v>
      </c>
      <c r="P102">
        <f t="shared" si="5"/>
        <v>0</v>
      </c>
      <c r="Q102">
        <f t="shared" si="6"/>
        <v>0</v>
      </c>
    </row>
    <row r="103" spans="1:17" x14ac:dyDescent="0.2">
      <c r="A103" t="s">
        <v>51</v>
      </c>
      <c r="B103" t="s">
        <v>734</v>
      </c>
      <c r="C103">
        <v>240</v>
      </c>
      <c r="D103">
        <v>90</v>
      </c>
      <c r="E103">
        <v>10</v>
      </c>
      <c r="F103">
        <v>6</v>
      </c>
      <c r="G103">
        <v>0</v>
      </c>
      <c r="H103">
        <v>30</v>
      </c>
      <c r="I103">
        <v>55</v>
      </c>
      <c r="J103">
        <v>35</v>
      </c>
      <c r="K103">
        <v>1</v>
      </c>
      <c r="L103">
        <v>32</v>
      </c>
      <c r="M103">
        <v>2</v>
      </c>
      <c r="N103">
        <v>276</v>
      </c>
      <c r="O103" s="3">
        <f t="shared" si="7"/>
        <v>0.83333333333333337</v>
      </c>
      <c r="P103">
        <f t="shared" si="5"/>
        <v>0</v>
      </c>
      <c r="Q103">
        <f t="shared" si="6"/>
        <v>0</v>
      </c>
    </row>
    <row r="104" spans="1:17" x14ac:dyDescent="0.2">
      <c r="A104" t="s">
        <v>51</v>
      </c>
      <c r="B104" t="s">
        <v>737</v>
      </c>
      <c r="C104">
        <v>250</v>
      </c>
      <c r="D104">
        <v>150</v>
      </c>
      <c r="E104">
        <v>16</v>
      </c>
      <c r="F104">
        <v>3.5</v>
      </c>
      <c r="G104">
        <v>0</v>
      </c>
      <c r="H104">
        <v>0</v>
      </c>
      <c r="I104">
        <v>580</v>
      </c>
      <c r="J104">
        <v>24</v>
      </c>
      <c r="K104">
        <v>3</v>
      </c>
      <c r="L104">
        <v>0</v>
      </c>
      <c r="M104">
        <v>2</v>
      </c>
      <c r="N104">
        <v>252</v>
      </c>
      <c r="O104" s="3">
        <f t="shared" si="7"/>
        <v>0.8</v>
      </c>
      <c r="P104">
        <f t="shared" si="5"/>
        <v>1</v>
      </c>
      <c r="Q104">
        <f t="shared" si="6"/>
        <v>0</v>
      </c>
    </row>
    <row r="105" spans="1:17" x14ac:dyDescent="0.2">
      <c r="A105" t="s">
        <v>51</v>
      </c>
      <c r="B105" t="s">
        <v>738</v>
      </c>
      <c r="C105">
        <v>500</v>
      </c>
      <c r="D105">
        <v>290</v>
      </c>
      <c r="E105">
        <v>33</v>
      </c>
      <c r="F105">
        <v>7</v>
      </c>
      <c r="G105">
        <v>0</v>
      </c>
      <c r="H105">
        <v>0</v>
      </c>
      <c r="I105">
        <v>1140</v>
      </c>
      <c r="J105">
        <v>48</v>
      </c>
      <c r="K105">
        <v>7</v>
      </c>
      <c r="L105">
        <v>0</v>
      </c>
      <c r="M105">
        <v>4</v>
      </c>
      <c r="N105">
        <v>503</v>
      </c>
      <c r="O105" s="3">
        <f t="shared" si="7"/>
        <v>0.8</v>
      </c>
      <c r="P105">
        <f t="shared" si="5"/>
        <v>1</v>
      </c>
      <c r="Q105">
        <f t="shared" si="6"/>
        <v>0</v>
      </c>
    </row>
    <row r="106" spans="1:17" x14ac:dyDescent="0.2">
      <c r="A106" t="s">
        <v>51</v>
      </c>
      <c r="B106" t="s">
        <v>743</v>
      </c>
      <c r="C106">
        <v>260</v>
      </c>
      <c r="D106">
        <v>110</v>
      </c>
      <c r="E106">
        <v>13</v>
      </c>
      <c r="F106">
        <v>7</v>
      </c>
      <c r="G106">
        <v>0</v>
      </c>
      <c r="H106">
        <v>40</v>
      </c>
      <c r="I106">
        <v>50</v>
      </c>
      <c r="J106">
        <v>34</v>
      </c>
      <c r="K106">
        <v>0</v>
      </c>
      <c r="L106">
        <v>34</v>
      </c>
      <c r="M106">
        <v>2</v>
      </c>
      <c r="N106">
        <v>299</v>
      </c>
      <c r="O106" s="3">
        <f t="shared" si="7"/>
        <v>0.76923076923076927</v>
      </c>
      <c r="P106">
        <f t="shared" si="5"/>
        <v>0</v>
      </c>
      <c r="Q106">
        <f t="shared" si="6"/>
        <v>0</v>
      </c>
    </row>
    <row r="107" spans="1:17" x14ac:dyDescent="0.2">
      <c r="A107" t="s">
        <v>51</v>
      </c>
      <c r="B107" t="s">
        <v>745</v>
      </c>
      <c r="C107">
        <v>670</v>
      </c>
      <c r="D107">
        <v>390</v>
      </c>
      <c r="E107">
        <v>44</v>
      </c>
      <c r="F107">
        <v>9</v>
      </c>
      <c r="G107">
        <v>0</v>
      </c>
      <c r="H107">
        <v>0</v>
      </c>
      <c r="I107">
        <v>1530</v>
      </c>
      <c r="J107">
        <v>65</v>
      </c>
      <c r="K107">
        <v>9</v>
      </c>
      <c r="L107">
        <v>0</v>
      </c>
      <c r="M107">
        <v>5</v>
      </c>
      <c r="N107">
        <v>674</v>
      </c>
      <c r="O107" s="3">
        <f t="shared" si="7"/>
        <v>0.74626865671641784</v>
      </c>
      <c r="P107">
        <f t="shared" si="5"/>
        <v>1</v>
      </c>
      <c r="Q107">
        <f t="shared" si="6"/>
        <v>0</v>
      </c>
    </row>
    <row r="108" spans="1:17" x14ac:dyDescent="0.2">
      <c r="A108" t="s">
        <v>51</v>
      </c>
      <c r="B108" t="s">
        <v>751</v>
      </c>
      <c r="C108">
        <v>140</v>
      </c>
      <c r="D108">
        <v>140</v>
      </c>
      <c r="E108">
        <v>15</v>
      </c>
      <c r="F108">
        <v>2.5</v>
      </c>
      <c r="G108">
        <v>0</v>
      </c>
      <c r="H108">
        <v>10</v>
      </c>
      <c r="I108">
        <v>85</v>
      </c>
      <c r="J108">
        <v>1</v>
      </c>
      <c r="K108">
        <v>0</v>
      </c>
      <c r="L108">
        <v>1</v>
      </c>
      <c r="M108">
        <v>1</v>
      </c>
      <c r="N108">
        <v>143</v>
      </c>
      <c r="O108" s="3">
        <f t="shared" si="7"/>
        <v>0.7142857142857143</v>
      </c>
      <c r="P108">
        <f t="shared" si="5"/>
        <v>0</v>
      </c>
      <c r="Q108">
        <f t="shared" si="6"/>
        <v>0</v>
      </c>
    </row>
    <row r="109" spans="1:17" x14ac:dyDescent="0.2">
      <c r="A109" t="s">
        <v>51</v>
      </c>
      <c r="B109" t="s">
        <v>755</v>
      </c>
      <c r="C109">
        <v>150</v>
      </c>
      <c r="D109">
        <v>70</v>
      </c>
      <c r="E109">
        <v>8</v>
      </c>
      <c r="F109">
        <v>1.5</v>
      </c>
      <c r="G109">
        <v>0</v>
      </c>
      <c r="H109">
        <v>0</v>
      </c>
      <c r="I109">
        <v>400</v>
      </c>
      <c r="J109">
        <v>19</v>
      </c>
      <c r="K109">
        <v>1</v>
      </c>
      <c r="L109">
        <v>2</v>
      </c>
      <c r="M109">
        <v>1</v>
      </c>
      <c r="N109">
        <v>153</v>
      </c>
      <c r="O109" s="3">
        <f t="shared" si="7"/>
        <v>0.66666666666666674</v>
      </c>
      <c r="P109">
        <f t="shared" si="5"/>
        <v>0</v>
      </c>
      <c r="Q109">
        <f t="shared" si="6"/>
        <v>0</v>
      </c>
    </row>
    <row r="110" spans="1:17" x14ac:dyDescent="0.2">
      <c r="A110" t="s">
        <v>51</v>
      </c>
      <c r="B110" t="s">
        <v>756</v>
      </c>
      <c r="C110">
        <v>150</v>
      </c>
      <c r="D110">
        <v>70</v>
      </c>
      <c r="E110">
        <v>8</v>
      </c>
      <c r="F110">
        <v>4</v>
      </c>
      <c r="G110">
        <v>0</v>
      </c>
      <c r="H110">
        <v>25</v>
      </c>
      <c r="I110">
        <v>30</v>
      </c>
      <c r="J110">
        <v>21</v>
      </c>
      <c r="K110">
        <v>0</v>
      </c>
      <c r="L110">
        <v>21</v>
      </c>
      <c r="M110">
        <v>1</v>
      </c>
      <c r="N110">
        <v>174</v>
      </c>
      <c r="O110" s="3">
        <f t="shared" si="7"/>
        <v>0.66666666666666674</v>
      </c>
      <c r="P110">
        <f t="shared" si="5"/>
        <v>0</v>
      </c>
      <c r="Q110">
        <f t="shared" si="6"/>
        <v>0</v>
      </c>
    </row>
    <row r="111" spans="1:17" x14ac:dyDescent="0.2">
      <c r="A111" t="s">
        <v>51</v>
      </c>
      <c r="B111" t="s">
        <v>768</v>
      </c>
      <c r="C111">
        <v>260</v>
      </c>
      <c r="D111">
        <v>250</v>
      </c>
      <c r="E111">
        <v>28</v>
      </c>
      <c r="F111">
        <v>4</v>
      </c>
      <c r="G111">
        <v>0</v>
      </c>
      <c r="H111">
        <v>10</v>
      </c>
      <c r="I111">
        <v>240</v>
      </c>
      <c r="J111">
        <v>2</v>
      </c>
      <c r="K111">
        <v>0</v>
      </c>
      <c r="L111">
        <v>2</v>
      </c>
      <c r="M111">
        <v>1</v>
      </c>
      <c r="N111">
        <v>265</v>
      </c>
      <c r="O111" s="3">
        <f t="shared" si="7"/>
        <v>0.38461538461538464</v>
      </c>
      <c r="P111">
        <f t="shared" si="5"/>
        <v>0</v>
      </c>
      <c r="Q111">
        <f t="shared" si="6"/>
        <v>0</v>
      </c>
    </row>
    <row r="112" spans="1:17" x14ac:dyDescent="0.2">
      <c r="A112" t="s">
        <v>51</v>
      </c>
      <c r="B112" t="s">
        <v>819</v>
      </c>
      <c r="C112">
        <v>160</v>
      </c>
      <c r="D112">
        <v>150</v>
      </c>
      <c r="E112">
        <v>17</v>
      </c>
      <c r="F112">
        <v>2.5</v>
      </c>
      <c r="G112">
        <v>0</v>
      </c>
      <c r="H112">
        <v>0</v>
      </c>
      <c r="I112">
        <v>380</v>
      </c>
      <c r="J112">
        <v>4</v>
      </c>
      <c r="K112">
        <v>0</v>
      </c>
      <c r="L112">
        <v>3</v>
      </c>
      <c r="M112">
        <v>0</v>
      </c>
      <c r="N112">
        <v>166</v>
      </c>
      <c r="O112" s="3">
        <f t="shared" si="7"/>
        <v>0</v>
      </c>
      <c r="P112">
        <f t="shared" si="5"/>
        <v>0</v>
      </c>
      <c r="Q112">
        <f t="shared" si="6"/>
        <v>0</v>
      </c>
    </row>
    <row r="113" spans="1:17" x14ac:dyDescent="0.2">
      <c r="A113" t="s">
        <v>51</v>
      </c>
      <c r="B113" t="s">
        <v>820</v>
      </c>
      <c r="C113">
        <v>120</v>
      </c>
      <c r="D113">
        <v>70</v>
      </c>
      <c r="E113">
        <v>8</v>
      </c>
      <c r="F113">
        <v>1</v>
      </c>
      <c r="G113">
        <v>0</v>
      </c>
      <c r="H113">
        <v>0</v>
      </c>
      <c r="I113">
        <v>220</v>
      </c>
      <c r="J113">
        <v>14</v>
      </c>
      <c r="K113">
        <v>0</v>
      </c>
      <c r="L113">
        <v>11</v>
      </c>
      <c r="M113">
        <v>0</v>
      </c>
      <c r="N113">
        <v>132</v>
      </c>
      <c r="O113" s="3">
        <f t="shared" si="7"/>
        <v>0</v>
      </c>
      <c r="P113">
        <f t="shared" si="5"/>
        <v>0</v>
      </c>
      <c r="Q113">
        <f t="shared" si="6"/>
        <v>0</v>
      </c>
    </row>
    <row r="114" spans="1:17" x14ac:dyDescent="0.2">
      <c r="A114" t="s">
        <v>51</v>
      </c>
      <c r="B114" t="s">
        <v>821</v>
      </c>
      <c r="C114">
        <v>50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13</v>
      </c>
      <c r="K114">
        <v>1</v>
      </c>
      <c r="L114">
        <v>11</v>
      </c>
      <c r="M114">
        <v>0</v>
      </c>
      <c r="N114">
        <v>61</v>
      </c>
      <c r="O114" s="3">
        <f t="shared" si="7"/>
        <v>0</v>
      </c>
      <c r="P114">
        <f t="shared" si="5"/>
        <v>0</v>
      </c>
      <c r="Q114">
        <f t="shared" si="6"/>
        <v>0</v>
      </c>
    </row>
    <row r="115" spans="1:17" x14ac:dyDescent="0.2">
      <c r="A115" t="s">
        <v>51</v>
      </c>
      <c r="B115" t="s">
        <v>822</v>
      </c>
      <c r="C115">
        <v>80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25</v>
      </c>
      <c r="J115">
        <v>20</v>
      </c>
      <c r="K115">
        <v>0</v>
      </c>
      <c r="L115">
        <v>20</v>
      </c>
      <c r="M115">
        <v>0</v>
      </c>
      <c r="N115">
        <v>100</v>
      </c>
      <c r="O115" s="3">
        <f t="shared" si="7"/>
        <v>0</v>
      </c>
      <c r="P115">
        <f t="shared" si="5"/>
        <v>0</v>
      </c>
      <c r="Q115">
        <f t="shared" si="6"/>
        <v>0</v>
      </c>
    </row>
    <row r="116" spans="1:17" x14ac:dyDescent="0.2">
      <c r="A116" t="s">
        <v>51</v>
      </c>
      <c r="B116" t="s">
        <v>823</v>
      </c>
      <c r="C116">
        <v>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125</v>
      </c>
      <c r="J116">
        <v>3</v>
      </c>
      <c r="K116">
        <v>0</v>
      </c>
      <c r="L116">
        <v>2</v>
      </c>
      <c r="M116">
        <v>0</v>
      </c>
      <c r="N116">
        <v>12</v>
      </c>
      <c r="O116" s="3">
        <f t="shared" si="7"/>
        <v>0</v>
      </c>
      <c r="P116">
        <f t="shared" si="5"/>
        <v>0</v>
      </c>
      <c r="Q116">
        <f t="shared" si="6"/>
        <v>0</v>
      </c>
    </row>
    <row r="117" spans="1:17" x14ac:dyDescent="0.2">
      <c r="A117" t="s">
        <v>51</v>
      </c>
      <c r="B117" t="s">
        <v>824</v>
      </c>
      <c r="C117">
        <v>80</v>
      </c>
      <c r="D117">
        <v>80</v>
      </c>
      <c r="E117">
        <v>9</v>
      </c>
      <c r="F117">
        <v>0.5</v>
      </c>
      <c r="G117">
        <v>0</v>
      </c>
      <c r="H117">
        <v>10</v>
      </c>
      <c r="I117">
        <v>75</v>
      </c>
      <c r="J117">
        <v>1</v>
      </c>
      <c r="K117">
        <v>0</v>
      </c>
      <c r="L117">
        <v>0</v>
      </c>
      <c r="M117">
        <v>0</v>
      </c>
      <c r="N117">
        <v>81</v>
      </c>
      <c r="O117" s="3">
        <f t="shared" si="7"/>
        <v>0</v>
      </c>
      <c r="P117">
        <f t="shared" si="5"/>
        <v>0</v>
      </c>
      <c r="Q117">
        <f t="shared" si="6"/>
        <v>0</v>
      </c>
    </row>
    <row r="118" spans="1:17" x14ac:dyDescent="0.2">
      <c r="A118" t="s">
        <v>51</v>
      </c>
      <c r="B118" t="s">
        <v>825</v>
      </c>
      <c r="C118">
        <v>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7</v>
      </c>
      <c r="K118">
        <v>0</v>
      </c>
      <c r="L118">
        <v>6</v>
      </c>
      <c r="M118">
        <v>0</v>
      </c>
      <c r="N118">
        <v>36</v>
      </c>
      <c r="O118" s="3">
        <f t="shared" si="7"/>
        <v>0</v>
      </c>
      <c r="P118">
        <f t="shared" si="5"/>
        <v>0</v>
      </c>
      <c r="Q118">
        <f t="shared" si="6"/>
        <v>0</v>
      </c>
    </row>
    <row r="119" spans="1:17" x14ac:dyDescent="0.2">
      <c r="A119" t="s">
        <v>51</v>
      </c>
      <c r="B119" t="s">
        <v>826</v>
      </c>
      <c r="C119">
        <v>120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15</v>
      </c>
      <c r="J119">
        <v>30</v>
      </c>
      <c r="K119">
        <v>0</v>
      </c>
      <c r="L119">
        <v>18</v>
      </c>
      <c r="M119">
        <v>0</v>
      </c>
      <c r="N119">
        <v>138</v>
      </c>
      <c r="O119" s="3">
        <f t="shared" si="7"/>
        <v>0</v>
      </c>
      <c r="P119">
        <f t="shared" si="5"/>
        <v>0</v>
      </c>
      <c r="Q119">
        <f t="shared" si="6"/>
        <v>0</v>
      </c>
    </row>
    <row r="120" spans="1:17" x14ac:dyDescent="0.2">
      <c r="A120" t="s">
        <v>51</v>
      </c>
      <c r="B120" t="s">
        <v>827</v>
      </c>
      <c r="C120">
        <v>40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310</v>
      </c>
      <c r="J120">
        <v>11</v>
      </c>
      <c r="K120">
        <v>0</v>
      </c>
      <c r="L120">
        <v>10</v>
      </c>
      <c r="M120">
        <v>0</v>
      </c>
      <c r="N120">
        <v>50</v>
      </c>
      <c r="O120" s="3">
        <f t="shared" si="7"/>
        <v>0</v>
      </c>
      <c r="P120">
        <f t="shared" si="5"/>
        <v>0</v>
      </c>
      <c r="Q120">
        <f t="shared" si="6"/>
        <v>0</v>
      </c>
    </row>
    <row r="121" spans="1:17" x14ac:dyDescent="0.2">
      <c r="A121" t="s">
        <v>51</v>
      </c>
      <c r="B121" t="s">
        <v>828</v>
      </c>
      <c r="C121">
        <v>80</v>
      </c>
      <c r="D121">
        <v>70</v>
      </c>
      <c r="E121">
        <v>8</v>
      </c>
      <c r="F121">
        <v>1.5</v>
      </c>
      <c r="G121">
        <v>0</v>
      </c>
      <c r="H121">
        <v>5</v>
      </c>
      <c r="I121">
        <v>360</v>
      </c>
      <c r="J121">
        <v>2</v>
      </c>
      <c r="K121">
        <v>0</v>
      </c>
      <c r="L121">
        <v>1</v>
      </c>
      <c r="M121">
        <v>0</v>
      </c>
      <c r="N121">
        <v>83</v>
      </c>
      <c r="O121" s="3">
        <f t="shared" si="7"/>
        <v>0</v>
      </c>
      <c r="P121">
        <f t="shared" si="5"/>
        <v>0</v>
      </c>
      <c r="Q121">
        <f t="shared" si="6"/>
        <v>0</v>
      </c>
    </row>
    <row r="122" spans="1:17" x14ac:dyDescent="0.2">
      <c r="A122" t="s">
        <v>51</v>
      </c>
      <c r="B122" t="s">
        <v>829</v>
      </c>
      <c r="C122">
        <v>150</v>
      </c>
      <c r="D122">
        <v>140</v>
      </c>
      <c r="E122">
        <v>15</v>
      </c>
      <c r="F122">
        <v>2.5</v>
      </c>
      <c r="G122">
        <v>0</v>
      </c>
      <c r="H122">
        <v>20</v>
      </c>
      <c r="I122">
        <v>240</v>
      </c>
      <c r="J122">
        <v>3</v>
      </c>
      <c r="K122">
        <v>0</v>
      </c>
      <c r="L122">
        <v>0</v>
      </c>
      <c r="M122">
        <v>0</v>
      </c>
      <c r="N122">
        <v>153</v>
      </c>
      <c r="O122" s="3">
        <f t="shared" si="7"/>
        <v>0</v>
      </c>
      <c r="P122">
        <f t="shared" si="5"/>
        <v>0</v>
      </c>
      <c r="Q122">
        <f t="shared" si="6"/>
        <v>0</v>
      </c>
    </row>
    <row r="123" spans="1:17" x14ac:dyDescent="0.2">
      <c r="A123" t="s">
        <v>51</v>
      </c>
      <c r="B123" t="s">
        <v>830</v>
      </c>
      <c r="C123">
        <v>90</v>
      </c>
      <c r="D123">
        <v>60</v>
      </c>
      <c r="E123">
        <v>6</v>
      </c>
      <c r="F123">
        <v>1</v>
      </c>
      <c r="G123">
        <v>0</v>
      </c>
      <c r="H123">
        <v>10</v>
      </c>
      <c r="I123">
        <v>180</v>
      </c>
      <c r="J123">
        <v>8</v>
      </c>
      <c r="K123">
        <v>0</v>
      </c>
      <c r="L123">
        <v>7</v>
      </c>
      <c r="M123">
        <v>0</v>
      </c>
      <c r="N123">
        <v>98</v>
      </c>
      <c r="O123" s="3">
        <f t="shared" si="7"/>
        <v>0</v>
      </c>
      <c r="P123">
        <f t="shared" si="5"/>
        <v>0</v>
      </c>
      <c r="Q123">
        <f t="shared" si="6"/>
        <v>0</v>
      </c>
    </row>
    <row r="124" spans="1:17" x14ac:dyDescent="0.2">
      <c r="A124" t="s">
        <v>51</v>
      </c>
      <c r="B124" t="s">
        <v>831</v>
      </c>
      <c r="C124">
        <v>210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50</v>
      </c>
      <c r="J124">
        <v>58</v>
      </c>
      <c r="K124">
        <v>0</v>
      </c>
      <c r="L124">
        <v>58</v>
      </c>
      <c r="M124">
        <v>0</v>
      </c>
      <c r="N124">
        <v>268</v>
      </c>
      <c r="O124" s="3">
        <f t="shared" si="7"/>
        <v>0</v>
      </c>
      <c r="P124">
        <f t="shared" si="5"/>
        <v>0</v>
      </c>
      <c r="Q124">
        <f t="shared" si="6"/>
        <v>0</v>
      </c>
    </row>
    <row r="125" spans="1:17" x14ac:dyDescent="0.2">
      <c r="A125" t="s">
        <v>51</v>
      </c>
      <c r="B125" t="s">
        <v>832</v>
      </c>
      <c r="C125">
        <v>270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60</v>
      </c>
      <c r="J125">
        <v>73</v>
      </c>
      <c r="K125">
        <v>0</v>
      </c>
      <c r="L125">
        <v>73</v>
      </c>
      <c r="M125">
        <v>0</v>
      </c>
      <c r="N125">
        <v>343</v>
      </c>
      <c r="O125" s="3">
        <f t="shared" si="7"/>
        <v>0</v>
      </c>
      <c r="P125">
        <f t="shared" si="5"/>
        <v>0</v>
      </c>
      <c r="Q125">
        <f t="shared" si="6"/>
        <v>0</v>
      </c>
    </row>
    <row r="126" spans="1:17" x14ac:dyDescent="0.2">
      <c r="A126" t="s">
        <v>51</v>
      </c>
      <c r="B126" t="s">
        <v>833</v>
      </c>
      <c r="C126">
        <v>290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85</v>
      </c>
      <c r="J126">
        <v>105</v>
      </c>
      <c r="K126">
        <v>0</v>
      </c>
      <c r="L126">
        <v>105</v>
      </c>
      <c r="M126">
        <v>0</v>
      </c>
      <c r="N126">
        <v>395</v>
      </c>
      <c r="O126" s="3">
        <f t="shared" si="7"/>
        <v>0</v>
      </c>
      <c r="P126">
        <f t="shared" si="5"/>
        <v>0</v>
      </c>
      <c r="Q126">
        <f t="shared" si="6"/>
        <v>0</v>
      </c>
    </row>
    <row r="127" spans="1:17" x14ac:dyDescent="0.2">
      <c r="A127" t="s">
        <v>51</v>
      </c>
      <c r="B127" t="s">
        <v>834</v>
      </c>
      <c r="C127">
        <v>510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115</v>
      </c>
      <c r="J127">
        <v>138</v>
      </c>
      <c r="K127">
        <v>0</v>
      </c>
      <c r="L127">
        <v>138</v>
      </c>
      <c r="M127">
        <v>0</v>
      </c>
      <c r="N127">
        <v>648</v>
      </c>
      <c r="O127" s="3">
        <f t="shared" si="7"/>
        <v>0</v>
      </c>
      <c r="P127">
        <f t="shared" si="5"/>
        <v>0</v>
      </c>
      <c r="Q127">
        <f t="shared" si="6"/>
        <v>0</v>
      </c>
    </row>
    <row r="128" spans="1:17" x14ac:dyDescent="0.2">
      <c r="A128" t="s">
        <v>51</v>
      </c>
      <c r="B128" t="s">
        <v>839</v>
      </c>
      <c r="C128">
        <v>210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95</v>
      </c>
      <c r="J128">
        <v>56</v>
      </c>
      <c r="K128">
        <v>0</v>
      </c>
      <c r="L128">
        <v>56</v>
      </c>
      <c r="M128">
        <v>0</v>
      </c>
      <c r="N128">
        <v>266</v>
      </c>
      <c r="O128" s="3">
        <f t="shared" si="7"/>
        <v>0</v>
      </c>
      <c r="P128">
        <f t="shared" si="5"/>
        <v>0</v>
      </c>
      <c r="Q128">
        <f t="shared" si="6"/>
        <v>0</v>
      </c>
    </row>
    <row r="129" spans="1:17" x14ac:dyDescent="0.2">
      <c r="A129" t="s">
        <v>51</v>
      </c>
      <c r="B129" t="s">
        <v>840</v>
      </c>
      <c r="C129">
        <v>260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120</v>
      </c>
      <c r="J129">
        <v>70</v>
      </c>
      <c r="K129">
        <v>0</v>
      </c>
      <c r="L129">
        <v>70</v>
      </c>
      <c r="M129">
        <v>0</v>
      </c>
      <c r="N129">
        <v>330</v>
      </c>
      <c r="O129" s="3">
        <f t="shared" si="7"/>
        <v>0</v>
      </c>
      <c r="P129">
        <f t="shared" si="5"/>
        <v>0</v>
      </c>
      <c r="Q129">
        <f t="shared" si="6"/>
        <v>0</v>
      </c>
    </row>
    <row r="130" spans="1:17" x14ac:dyDescent="0.2">
      <c r="A130" t="s">
        <v>51</v>
      </c>
      <c r="B130" t="s">
        <v>841</v>
      </c>
      <c r="C130">
        <v>380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170</v>
      </c>
      <c r="J130">
        <v>102</v>
      </c>
      <c r="K130">
        <v>0</v>
      </c>
      <c r="L130">
        <v>102</v>
      </c>
      <c r="M130">
        <v>0</v>
      </c>
      <c r="N130">
        <v>482</v>
      </c>
      <c r="O130" s="3">
        <f t="shared" ref="O130:O160" si="8">M130/C130*100</f>
        <v>0</v>
      </c>
      <c r="P130">
        <f t="shared" ref="P130:P193" si="9">IF(I130&gt;2300*0.2,1,0)</f>
        <v>0</v>
      </c>
      <c r="Q130">
        <f t="shared" ref="Q130:Q193" si="10">IF(H130&gt;300,1,0)</f>
        <v>0</v>
      </c>
    </row>
    <row r="131" spans="1:17" x14ac:dyDescent="0.2">
      <c r="A131" t="s">
        <v>51</v>
      </c>
      <c r="B131" t="s">
        <v>842</v>
      </c>
      <c r="C131">
        <v>500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230</v>
      </c>
      <c r="J131">
        <v>133</v>
      </c>
      <c r="K131">
        <v>0</v>
      </c>
      <c r="L131">
        <v>133</v>
      </c>
      <c r="M131">
        <v>0</v>
      </c>
      <c r="N131">
        <v>633</v>
      </c>
      <c r="O131" s="3">
        <f t="shared" si="8"/>
        <v>0</v>
      </c>
      <c r="P131">
        <f t="shared" si="9"/>
        <v>0</v>
      </c>
      <c r="Q131">
        <f t="shared" si="10"/>
        <v>0</v>
      </c>
    </row>
    <row r="132" spans="1:17" x14ac:dyDescent="0.2">
      <c r="A132" t="s">
        <v>51</v>
      </c>
      <c r="B132" t="s">
        <v>843</v>
      </c>
      <c r="C132">
        <v>190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60</v>
      </c>
      <c r="J132">
        <v>52</v>
      </c>
      <c r="K132">
        <v>0</v>
      </c>
      <c r="L132">
        <v>51</v>
      </c>
      <c r="M132">
        <v>0</v>
      </c>
      <c r="N132">
        <v>241</v>
      </c>
      <c r="O132" s="3">
        <f t="shared" si="8"/>
        <v>0</v>
      </c>
      <c r="P132">
        <f t="shared" si="9"/>
        <v>0</v>
      </c>
      <c r="Q132">
        <f t="shared" si="10"/>
        <v>0</v>
      </c>
    </row>
    <row r="133" spans="1:17" x14ac:dyDescent="0.2">
      <c r="A133" t="s">
        <v>51</v>
      </c>
      <c r="B133" t="s">
        <v>844</v>
      </c>
      <c r="C133">
        <v>240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75</v>
      </c>
      <c r="J133">
        <v>65</v>
      </c>
      <c r="K133">
        <v>0</v>
      </c>
      <c r="L133">
        <v>64</v>
      </c>
      <c r="M133">
        <v>0</v>
      </c>
      <c r="N133">
        <v>304</v>
      </c>
      <c r="O133" s="3">
        <f t="shared" si="8"/>
        <v>0</v>
      </c>
      <c r="P133">
        <f t="shared" si="9"/>
        <v>0</v>
      </c>
      <c r="Q133">
        <f t="shared" si="10"/>
        <v>0</v>
      </c>
    </row>
    <row r="134" spans="1:17" x14ac:dyDescent="0.2">
      <c r="A134" t="s">
        <v>51</v>
      </c>
      <c r="B134" t="s">
        <v>845</v>
      </c>
      <c r="C134">
        <v>350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105</v>
      </c>
      <c r="J134">
        <v>94</v>
      </c>
      <c r="K134">
        <v>0</v>
      </c>
      <c r="L134">
        <v>93</v>
      </c>
      <c r="M134">
        <v>0</v>
      </c>
      <c r="N134">
        <v>443</v>
      </c>
      <c r="O134" s="3">
        <f t="shared" si="8"/>
        <v>0</v>
      </c>
      <c r="P134">
        <f t="shared" si="9"/>
        <v>0</v>
      </c>
      <c r="Q134">
        <f t="shared" si="10"/>
        <v>0</v>
      </c>
    </row>
    <row r="135" spans="1:17" x14ac:dyDescent="0.2">
      <c r="A135" t="s">
        <v>51</v>
      </c>
      <c r="B135" t="s">
        <v>846</v>
      </c>
      <c r="C135">
        <v>450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140</v>
      </c>
      <c r="J135">
        <v>124</v>
      </c>
      <c r="K135">
        <v>0</v>
      </c>
      <c r="L135">
        <v>121</v>
      </c>
      <c r="M135">
        <v>0</v>
      </c>
      <c r="N135">
        <v>571</v>
      </c>
      <c r="O135" s="3">
        <f t="shared" si="8"/>
        <v>0</v>
      </c>
      <c r="P135">
        <f t="shared" si="9"/>
        <v>0</v>
      </c>
      <c r="Q135">
        <f t="shared" si="10"/>
        <v>0</v>
      </c>
    </row>
    <row r="136" spans="1:17" x14ac:dyDescent="0.2">
      <c r="A136" t="s">
        <v>51</v>
      </c>
      <c r="B136" t="s">
        <v>847</v>
      </c>
      <c r="C136">
        <v>240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100</v>
      </c>
      <c r="J136">
        <v>65</v>
      </c>
      <c r="K136">
        <v>0</v>
      </c>
      <c r="L136">
        <v>65</v>
      </c>
      <c r="M136">
        <v>0</v>
      </c>
      <c r="N136">
        <v>305</v>
      </c>
      <c r="O136" s="3">
        <f t="shared" si="8"/>
        <v>0</v>
      </c>
      <c r="P136">
        <f t="shared" si="9"/>
        <v>0</v>
      </c>
      <c r="Q136">
        <f t="shared" si="10"/>
        <v>0</v>
      </c>
    </row>
    <row r="137" spans="1:17" x14ac:dyDescent="0.2">
      <c r="A137" t="s">
        <v>51</v>
      </c>
      <c r="B137" t="s">
        <v>848</v>
      </c>
      <c r="C137">
        <v>300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120</v>
      </c>
      <c r="J137">
        <v>81</v>
      </c>
      <c r="K137">
        <v>0</v>
      </c>
      <c r="L137">
        <v>81</v>
      </c>
      <c r="M137">
        <v>0</v>
      </c>
      <c r="N137">
        <v>381</v>
      </c>
      <c r="O137" s="3">
        <f t="shared" si="8"/>
        <v>0</v>
      </c>
      <c r="P137">
        <f t="shared" si="9"/>
        <v>0</v>
      </c>
      <c r="Q137">
        <f t="shared" si="10"/>
        <v>0</v>
      </c>
    </row>
    <row r="138" spans="1:17" x14ac:dyDescent="0.2">
      <c r="A138" t="s">
        <v>51</v>
      </c>
      <c r="B138" t="s">
        <v>849</v>
      </c>
      <c r="C138">
        <v>350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180</v>
      </c>
      <c r="J138">
        <v>118</v>
      </c>
      <c r="K138">
        <v>0</v>
      </c>
      <c r="L138">
        <v>118</v>
      </c>
      <c r="M138">
        <v>0</v>
      </c>
      <c r="N138">
        <v>468</v>
      </c>
      <c r="O138" s="3">
        <f t="shared" si="8"/>
        <v>0</v>
      </c>
      <c r="P138">
        <f t="shared" si="9"/>
        <v>0</v>
      </c>
      <c r="Q138">
        <f t="shared" si="10"/>
        <v>0</v>
      </c>
    </row>
    <row r="139" spans="1:17" x14ac:dyDescent="0.2">
      <c r="A139" t="s">
        <v>51</v>
      </c>
      <c r="B139" t="s">
        <v>850</v>
      </c>
      <c r="C139">
        <v>450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230</v>
      </c>
      <c r="J139">
        <v>155</v>
      </c>
      <c r="K139">
        <v>0</v>
      </c>
      <c r="L139">
        <v>155</v>
      </c>
      <c r="M139">
        <v>0</v>
      </c>
      <c r="N139">
        <v>605</v>
      </c>
      <c r="O139" s="3">
        <f t="shared" si="8"/>
        <v>0</v>
      </c>
      <c r="P139">
        <f t="shared" si="9"/>
        <v>0</v>
      </c>
      <c r="Q139">
        <f t="shared" si="10"/>
        <v>0</v>
      </c>
    </row>
    <row r="140" spans="1:17" x14ac:dyDescent="0.2">
      <c r="A140" t="s">
        <v>51</v>
      </c>
      <c r="B140" t="s">
        <v>851</v>
      </c>
      <c r="C140">
        <v>220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55</v>
      </c>
      <c r="J140">
        <v>61</v>
      </c>
      <c r="K140">
        <v>0</v>
      </c>
      <c r="L140">
        <v>61</v>
      </c>
      <c r="M140">
        <v>0</v>
      </c>
      <c r="N140">
        <v>281</v>
      </c>
      <c r="O140" s="3">
        <f t="shared" si="8"/>
        <v>0</v>
      </c>
      <c r="P140">
        <f t="shared" si="9"/>
        <v>0</v>
      </c>
      <c r="Q140">
        <f t="shared" si="10"/>
        <v>0</v>
      </c>
    </row>
    <row r="141" spans="1:17" x14ac:dyDescent="0.2">
      <c r="A141" t="s">
        <v>51</v>
      </c>
      <c r="B141" t="s">
        <v>852</v>
      </c>
      <c r="C141">
        <v>280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70</v>
      </c>
      <c r="J141">
        <v>76</v>
      </c>
      <c r="K141">
        <v>0</v>
      </c>
      <c r="L141">
        <v>76</v>
      </c>
      <c r="M141">
        <v>0</v>
      </c>
      <c r="N141">
        <v>356</v>
      </c>
      <c r="O141" s="3">
        <f t="shared" si="8"/>
        <v>0</v>
      </c>
      <c r="P141">
        <f t="shared" si="9"/>
        <v>0</v>
      </c>
      <c r="Q141">
        <f t="shared" si="10"/>
        <v>0</v>
      </c>
    </row>
    <row r="142" spans="1:17" x14ac:dyDescent="0.2">
      <c r="A142" t="s">
        <v>51</v>
      </c>
      <c r="B142" t="s">
        <v>853</v>
      </c>
      <c r="C142">
        <v>410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100</v>
      </c>
      <c r="J142">
        <v>110</v>
      </c>
      <c r="K142">
        <v>0</v>
      </c>
      <c r="L142">
        <v>110</v>
      </c>
      <c r="M142">
        <v>0</v>
      </c>
      <c r="N142">
        <v>520</v>
      </c>
      <c r="O142" s="3">
        <f t="shared" si="8"/>
        <v>0</v>
      </c>
      <c r="P142">
        <f t="shared" si="9"/>
        <v>0</v>
      </c>
      <c r="Q142">
        <f t="shared" si="10"/>
        <v>0</v>
      </c>
    </row>
    <row r="143" spans="1:17" x14ac:dyDescent="0.2">
      <c r="A143" t="s">
        <v>51</v>
      </c>
      <c r="B143" t="s">
        <v>854</v>
      </c>
      <c r="C143">
        <v>450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130</v>
      </c>
      <c r="J143">
        <v>145</v>
      </c>
      <c r="K143">
        <v>0</v>
      </c>
      <c r="L143">
        <v>145</v>
      </c>
      <c r="M143">
        <v>0</v>
      </c>
      <c r="N143">
        <v>595</v>
      </c>
      <c r="O143" s="3">
        <f t="shared" si="8"/>
        <v>0</v>
      </c>
      <c r="P143">
        <f t="shared" si="9"/>
        <v>0</v>
      </c>
      <c r="Q143">
        <f t="shared" si="10"/>
        <v>0</v>
      </c>
    </row>
    <row r="144" spans="1:17" x14ac:dyDescent="0.2">
      <c r="A144" t="s">
        <v>51</v>
      </c>
      <c r="B144" t="s">
        <v>855</v>
      </c>
      <c r="C144">
        <v>230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60</v>
      </c>
      <c r="J144">
        <v>62</v>
      </c>
      <c r="K144">
        <v>0</v>
      </c>
      <c r="L144">
        <v>61</v>
      </c>
      <c r="M144">
        <v>0</v>
      </c>
      <c r="N144">
        <v>291</v>
      </c>
      <c r="O144" s="3">
        <f t="shared" si="8"/>
        <v>0</v>
      </c>
      <c r="P144">
        <f t="shared" si="9"/>
        <v>0</v>
      </c>
      <c r="Q144">
        <f t="shared" si="10"/>
        <v>0</v>
      </c>
    </row>
    <row r="145" spans="1:17" x14ac:dyDescent="0.2">
      <c r="A145" t="s">
        <v>51</v>
      </c>
      <c r="B145" t="s">
        <v>856</v>
      </c>
      <c r="C145">
        <v>280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70</v>
      </c>
      <c r="J145">
        <v>78</v>
      </c>
      <c r="K145">
        <v>0</v>
      </c>
      <c r="L145">
        <v>77</v>
      </c>
      <c r="M145">
        <v>0</v>
      </c>
      <c r="N145">
        <v>357</v>
      </c>
      <c r="O145" s="3">
        <f t="shared" si="8"/>
        <v>0</v>
      </c>
      <c r="P145">
        <f t="shared" si="9"/>
        <v>0</v>
      </c>
      <c r="Q145">
        <f t="shared" si="10"/>
        <v>0</v>
      </c>
    </row>
    <row r="146" spans="1:17" x14ac:dyDescent="0.2">
      <c r="A146" t="s">
        <v>51</v>
      </c>
      <c r="B146" t="s">
        <v>857</v>
      </c>
      <c r="C146">
        <v>410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105</v>
      </c>
      <c r="J146">
        <v>113</v>
      </c>
      <c r="K146">
        <v>0</v>
      </c>
      <c r="L146">
        <v>111</v>
      </c>
      <c r="M146">
        <v>0</v>
      </c>
      <c r="N146">
        <v>521</v>
      </c>
      <c r="O146" s="3">
        <f t="shared" si="8"/>
        <v>0</v>
      </c>
      <c r="P146">
        <f t="shared" si="9"/>
        <v>0</v>
      </c>
      <c r="Q146">
        <f t="shared" si="10"/>
        <v>0</v>
      </c>
    </row>
    <row r="147" spans="1:17" x14ac:dyDescent="0.2">
      <c r="A147" t="s">
        <v>51</v>
      </c>
      <c r="B147" t="s">
        <v>858</v>
      </c>
      <c r="C147">
        <v>530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135</v>
      </c>
      <c r="J147">
        <v>148</v>
      </c>
      <c r="K147">
        <v>0</v>
      </c>
      <c r="L147">
        <v>146</v>
      </c>
      <c r="M147">
        <v>0</v>
      </c>
      <c r="N147">
        <v>676</v>
      </c>
      <c r="O147" s="3">
        <f t="shared" si="8"/>
        <v>0</v>
      </c>
      <c r="P147">
        <f t="shared" si="9"/>
        <v>0</v>
      </c>
      <c r="Q147">
        <f t="shared" si="10"/>
        <v>0</v>
      </c>
    </row>
    <row r="148" spans="1:17" x14ac:dyDescent="0.2">
      <c r="A148" t="s">
        <v>51</v>
      </c>
      <c r="B148" t="s">
        <v>859</v>
      </c>
      <c r="C148">
        <v>220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62</v>
      </c>
      <c r="K148">
        <v>0</v>
      </c>
      <c r="L148">
        <v>60</v>
      </c>
      <c r="M148">
        <v>0</v>
      </c>
      <c r="N148">
        <v>280</v>
      </c>
      <c r="O148" s="3">
        <f t="shared" si="8"/>
        <v>0</v>
      </c>
      <c r="P148">
        <f t="shared" si="9"/>
        <v>0</v>
      </c>
      <c r="Q148">
        <f t="shared" si="10"/>
        <v>0</v>
      </c>
    </row>
    <row r="149" spans="1:17" x14ac:dyDescent="0.2">
      <c r="A149" t="s">
        <v>51</v>
      </c>
      <c r="B149" t="s">
        <v>860</v>
      </c>
      <c r="C149">
        <v>280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95</v>
      </c>
      <c r="J149">
        <v>77</v>
      </c>
      <c r="K149">
        <v>0</v>
      </c>
      <c r="L149">
        <v>75</v>
      </c>
      <c r="M149">
        <v>0</v>
      </c>
      <c r="N149">
        <v>355</v>
      </c>
      <c r="O149" s="3">
        <f t="shared" si="8"/>
        <v>0</v>
      </c>
      <c r="P149">
        <f t="shared" si="9"/>
        <v>0</v>
      </c>
      <c r="Q149">
        <f t="shared" si="10"/>
        <v>0</v>
      </c>
    </row>
    <row r="150" spans="1:17" x14ac:dyDescent="0.2">
      <c r="A150" t="s">
        <v>51</v>
      </c>
      <c r="B150" t="s">
        <v>861</v>
      </c>
      <c r="C150">
        <v>410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135</v>
      </c>
      <c r="J150">
        <v>111</v>
      </c>
      <c r="K150">
        <v>0</v>
      </c>
      <c r="L150">
        <v>109</v>
      </c>
      <c r="M150">
        <v>0</v>
      </c>
      <c r="N150">
        <v>519</v>
      </c>
      <c r="O150" s="3">
        <f t="shared" si="8"/>
        <v>0</v>
      </c>
      <c r="P150">
        <f t="shared" si="9"/>
        <v>0</v>
      </c>
      <c r="Q150">
        <f t="shared" si="10"/>
        <v>0</v>
      </c>
    </row>
    <row r="151" spans="1:17" x14ac:dyDescent="0.2">
      <c r="A151" t="s">
        <v>51</v>
      </c>
      <c r="B151" t="s">
        <v>862</v>
      </c>
      <c r="C151">
        <v>450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180</v>
      </c>
      <c r="J151">
        <v>146</v>
      </c>
      <c r="K151">
        <v>0</v>
      </c>
      <c r="L151">
        <v>143</v>
      </c>
      <c r="M151">
        <v>0</v>
      </c>
      <c r="N151">
        <v>593</v>
      </c>
      <c r="O151" s="3">
        <f t="shared" si="8"/>
        <v>0</v>
      </c>
      <c r="P151">
        <f t="shared" si="9"/>
        <v>0</v>
      </c>
      <c r="Q151">
        <f t="shared" si="10"/>
        <v>0</v>
      </c>
    </row>
    <row r="152" spans="1:17" x14ac:dyDescent="0.2">
      <c r="A152" t="s">
        <v>51</v>
      </c>
      <c r="B152" t="s">
        <v>863</v>
      </c>
      <c r="C152">
        <v>10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60</v>
      </c>
      <c r="J152">
        <v>3</v>
      </c>
      <c r="K152">
        <v>0</v>
      </c>
      <c r="L152">
        <v>0</v>
      </c>
      <c r="M152">
        <v>0</v>
      </c>
      <c r="N152">
        <v>0</v>
      </c>
      <c r="O152" s="3">
        <f t="shared" si="8"/>
        <v>0</v>
      </c>
      <c r="P152">
        <f t="shared" si="9"/>
        <v>0</v>
      </c>
      <c r="Q152">
        <f t="shared" si="10"/>
        <v>0</v>
      </c>
    </row>
    <row r="153" spans="1:17" x14ac:dyDescent="0.2">
      <c r="A153" t="s">
        <v>51</v>
      </c>
      <c r="B153" t="s">
        <v>864</v>
      </c>
      <c r="C153">
        <v>10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70</v>
      </c>
      <c r="J153">
        <v>4</v>
      </c>
      <c r="K153">
        <v>0</v>
      </c>
      <c r="L153">
        <v>0</v>
      </c>
      <c r="M153">
        <v>0</v>
      </c>
      <c r="N153">
        <v>0</v>
      </c>
      <c r="O153" s="3">
        <f t="shared" si="8"/>
        <v>0</v>
      </c>
      <c r="P153">
        <f t="shared" si="9"/>
        <v>0</v>
      </c>
      <c r="Q153">
        <f t="shared" si="10"/>
        <v>0</v>
      </c>
    </row>
    <row r="154" spans="1:17" x14ac:dyDescent="0.2">
      <c r="A154" t="s">
        <v>51</v>
      </c>
      <c r="B154" t="s">
        <v>865</v>
      </c>
      <c r="C154">
        <v>15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105</v>
      </c>
      <c r="J154">
        <v>5</v>
      </c>
      <c r="K154">
        <v>0</v>
      </c>
      <c r="L154">
        <v>0</v>
      </c>
      <c r="M154">
        <v>0</v>
      </c>
      <c r="N154">
        <v>0</v>
      </c>
      <c r="O154" s="3">
        <f t="shared" si="8"/>
        <v>0</v>
      </c>
      <c r="P154">
        <f t="shared" si="9"/>
        <v>0</v>
      </c>
      <c r="Q154">
        <f t="shared" si="10"/>
        <v>0</v>
      </c>
    </row>
    <row r="155" spans="1:17" x14ac:dyDescent="0.2">
      <c r="A155" t="s">
        <v>51</v>
      </c>
      <c r="B155" t="s">
        <v>866</v>
      </c>
      <c r="C155">
        <v>20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135</v>
      </c>
      <c r="J155">
        <v>7</v>
      </c>
      <c r="K155">
        <v>0</v>
      </c>
      <c r="L155">
        <v>0</v>
      </c>
      <c r="M155">
        <v>0</v>
      </c>
      <c r="N155">
        <v>0</v>
      </c>
      <c r="O155" s="3">
        <f t="shared" si="8"/>
        <v>0</v>
      </c>
      <c r="P155">
        <f t="shared" si="9"/>
        <v>0</v>
      </c>
      <c r="Q155">
        <f t="shared" si="10"/>
        <v>0</v>
      </c>
    </row>
    <row r="156" spans="1:17" x14ac:dyDescent="0.2">
      <c r="A156" t="s">
        <v>51</v>
      </c>
      <c r="B156" t="s">
        <v>867</v>
      </c>
      <c r="C156">
        <v>120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35</v>
      </c>
      <c r="K156">
        <v>0</v>
      </c>
      <c r="L156">
        <v>35</v>
      </c>
      <c r="M156">
        <v>0</v>
      </c>
      <c r="N156">
        <v>155</v>
      </c>
      <c r="O156" s="3">
        <f t="shared" si="8"/>
        <v>0</v>
      </c>
      <c r="P156">
        <f t="shared" si="9"/>
        <v>0</v>
      </c>
      <c r="Q156">
        <f t="shared" si="10"/>
        <v>0</v>
      </c>
    </row>
    <row r="157" spans="1:17" x14ac:dyDescent="0.2">
      <c r="A157" t="s">
        <v>51</v>
      </c>
      <c r="B157" t="s">
        <v>868</v>
      </c>
      <c r="C157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49</v>
      </c>
      <c r="K157">
        <v>0</v>
      </c>
      <c r="L157">
        <v>49</v>
      </c>
      <c r="M157">
        <v>0</v>
      </c>
      <c r="N157">
        <v>209</v>
      </c>
      <c r="O157" s="3">
        <f t="shared" si="8"/>
        <v>0</v>
      </c>
      <c r="P157">
        <f t="shared" si="9"/>
        <v>0</v>
      </c>
      <c r="Q157">
        <f t="shared" si="10"/>
        <v>0</v>
      </c>
    </row>
    <row r="158" spans="1:17" x14ac:dyDescent="0.2">
      <c r="A158" t="s">
        <v>51</v>
      </c>
      <c r="B158" t="s">
        <v>869</v>
      </c>
      <c r="C158">
        <v>240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71</v>
      </c>
      <c r="K158">
        <v>0</v>
      </c>
      <c r="L158">
        <v>71</v>
      </c>
      <c r="M158">
        <v>0</v>
      </c>
      <c r="N158">
        <v>311</v>
      </c>
      <c r="O158" s="3">
        <f t="shared" si="8"/>
        <v>0</v>
      </c>
      <c r="P158">
        <f t="shared" si="9"/>
        <v>0</v>
      </c>
      <c r="Q158">
        <f t="shared" si="10"/>
        <v>0</v>
      </c>
    </row>
    <row r="159" spans="1:17" x14ac:dyDescent="0.2">
      <c r="A159" t="s">
        <v>51</v>
      </c>
      <c r="B159" t="s">
        <v>873</v>
      </c>
      <c r="C159">
        <v>80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25</v>
      </c>
      <c r="J159">
        <v>20</v>
      </c>
      <c r="K159">
        <v>0</v>
      </c>
      <c r="L159">
        <v>20</v>
      </c>
      <c r="M159">
        <v>0</v>
      </c>
      <c r="N159">
        <v>100</v>
      </c>
      <c r="O159" s="3">
        <f t="shared" si="8"/>
        <v>0</v>
      </c>
      <c r="P159">
        <f t="shared" si="9"/>
        <v>0</v>
      </c>
      <c r="Q159">
        <f t="shared" si="10"/>
        <v>0</v>
      </c>
    </row>
    <row r="160" spans="1:17" x14ac:dyDescent="0.2">
      <c r="A160" t="s">
        <v>51</v>
      </c>
      <c r="B160" t="s">
        <v>874</v>
      </c>
      <c r="C160">
        <v>130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50</v>
      </c>
      <c r="J160">
        <v>35</v>
      </c>
      <c r="K160">
        <v>0</v>
      </c>
      <c r="L160">
        <v>35</v>
      </c>
      <c r="M160">
        <v>0</v>
      </c>
      <c r="N160">
        <v>165</v>
      </c>
      <c r="O160" s="3">
        <f t="shared" si="8"/>
        <v>0</v>
      </c>
      <c r="P160">
        <f t="shared" si="9"/>
        <v>0</v>
      </c>
      <c r="Q160">
        <f t="shared" si="10"/>
        <v>0</v>
      </c>
    </row>
    <row r="161" spans="1:17" x14ac:dyDescent="0.2">
      <c r="A161" t="s">
        <v>21</v>
      </c>
      <c r="B161" t="s">
        <v>22</v>
      </c>
      <c r="C161">
        <v>210</v>
      </c>
      <c r="D161" s="2">
        <v>0</v>
      </c>
      <c r="E161">
        <v>7</v>
      </c>
      <c r="F161">
        <v>2</v>
      </c>
      <c r="G161">
        <v>0</v>
      </c>
      <c r="H161">
        <v>130</v>
      </c>
      <c r="I161">
        <v>710</v>
      </c>
      <c r="J161">
        <v>0</v>
      </c>
      <c r="K161">
        <v>0</v>
      </c>
      <c r="L161">
        <v>0</v>
      </c>
      <c r="M161">
        <v>38</v>
      </c>
      <c r="N161">
        <v>174</v>
      </c>
      <c r="O161" s="3">
        <f>(M161/C161)*100</f>
        <v>18.095238095238095</v>
      </c>
      <c r="P161">
        <f t="shared" si="9"/>
        <v>1</v>
      </c>
      <c r="Q161">
        <f t="shared" si="10"/>
        <v>0</v>
      </c>
    </row>
    <row r="162" spans="1:17" x14ac:dyDescent="0.2">
      <c r="A162" t="s">
        <v>21</v>
      </c>
      <c r="B162" t="s">
        <v>23</v>
      </c>
      <c r="C162">
        <v>260</v>
      </c>
      <c r="D162" s="2">
        <v>0</v>
      </c>
      <c r="E162">
        <v>12</v>
      </c>
      <c r="F162">
        <v>3</v>
      </c>
      <c r="G162">
        <v>0</v>
      </c>
      <c r="H162">
        <v>130</v>
      </c>
      <c r="I162">
        <v>790</v>
      </c>
      <c r="J162">
        <v>1</v>
      </c>
      <c r="K162">
        <v>0</v>
      </c>
      <c r="L162">
        <v>0</v>
      </c>
      <c r="M162">
        <v>38</v>
      </c>
      <c r="N162">
        <v>225</v>
      </c>
      <c r="O162" s="3">
        <f>(M162/C162)*100</f>
        <v>14.615384615384617</v>
      </c>
      <c r="P162">
        <f t="shared" si="9"/>
        <v>1</v>
      </c>
      <c r="Q162">
        <f t="shared" si="10"/>
        <v>0</v>
      </c>
    </row>
    <row r="163" spans="1:17" x14ac:dyDescent="0.2">
      <c r="A163" t="s">
        <v>21</v>
      </c>
      <c r="B163" t="s">
        <v>24</v>
      </c>
      <c r="C163">
        <v>80</v>
      </c>
      <c r="D163" s="2">
        <v>0</v>
      </c>
      <c r="E163">
        <v>4</v>
      </c>
      <c r="F163">
        <v>1</v>
      </c>
      <c r="G163">
        <v>0</v>
      </c>
      <c r="H163">
        <v>55</v>
      </c>
      <c r="I163">
        <v>220</v>
      </c>
      <c r="J163">
        <v>0</v>
      </c>
      <c r="K163">
        <v>0</v>
      </c>
      <c r="L163">
        <v>0</v>
      </c>
      <c r="M163">
        <v>11</v>
      </c>
      <c r="N163">
        <v>70</v>
      </c>
      <c r="O163" s="3">
        <f t="shared" ref="O163:O194" si="11">M163/C163*100</f>
        <v>13.750000000000002</v>
      </c>
      <c r="P163">
        <f t="shared" si="9"/>
        <v>0</v>
      </c>
      <c r="Q163">
        <f t="shared" si="10"/>
        <v>0</v>
      </c>
    </row>
    <row r="164" spans="1:17" x14ac:dyDescent="0.2">
      <c r="A164" t="s">
        <v>21</v>
      </c>
      <c r="B164" t="s">
        <v>27</v>
      </c>
      <c r="C164">
        <v>70</v>
      </c>
      <c r="D164" s="2">
        <v>0</v>
      </c>
      <c r="E164">
        <v>3</v>
      </c>
      <c r="F164">
        <v>1</v>
      </c>
      <c r="G164">
        <v>0</v>
      </c>
      <c r="H164">
        <v>45</v>
      </c>
      <c r="I164">
        <v>180</v>
      </c>
      <c r="J164">
        <v>0</v>
      </c>
      <c r="K164">
        <v>0</v>
      </c>
      <c r="L164">
        <v>0</v>
      </c>
      <c r="M164">
        <v>9</v>
      </c>
      <c r="N164">
        <v>62</v>
      </c>
      <c r="O164" s="3">
        <f t="shared" si="11"/>
        <v>12.857142857142856</v>
      </c>
      <c r="P164">
        <f t="shared" si="9"/>
        <v>0</v>
      </c>
      <c r="Q164">
        <f t="shared" si="10"/>
        <v>0</v>
      </c>
    </row>
    <row r="165" spans="1:17" x14ac:dyDescent="0.2">
      <c r="A165" t="s">
        <v>21</v>
      </c>
      <c r="B165" t="s">
        <v>29</v>
      </c>
      <c r="C165">
        <v>150</v>
      </c>
      <c r="D165" s="2">
        <v>0</v>
      </c>
      <c r="E165">
        <v>9</v>
      </c>
      <c r="F165">
        <v>3</v>
      </c>
      <c r="G165">
        <v>0</v>
      </c>
      <c r="H165">
        <v>90</v>
      </c>
      <c r="I165">
        <v>420</v>
      </c>
      <c r="J165">
        <v>0</v>
      </c>
      <c r="K165">
        <v>0</v>
      </c>
      <c r="L165">
        <v>0</v>
      </c>
      <c r="M165">
        <v>17</v>
      </c>
      <c r="N165">
        <v>136</v>
      </c>
      <c r="O165" s="3">
        <f t="shared" si="11"/>
        <v>11.333333333333332</v>
      </c>
      <c r="P165">
        <f t="shared" si="9"/>
        <v>0</v>
      </c>
      <c r="Q165">
        <f t="shared" si="10"/>
        <v>0</v>
      </c>
    </row>
    <row r="166" spans="1:17" x14ac:dyDescent="0.2">
      <c r="A166" t="s">
        <v>21</v>
      </c>
      <c r="B166" t="s">
        <v>30</v>
      </c>
      <c r="C166">
        <v>100</v>
      </c>
      <c r="D166" s="2">
        <v>0</v>
      </c>
      <c r="E166">
        <v>6</v>
      </c>
      <c r="F166">
        <v>1.5</v>
      </c>
      <c r="G166">
        <v>0</v>
      </c>
      <c r="H166">
        <v>55</v>
      </c>
      <c r="I166">
        <v>260</v>
      </c>
      <c r="J166">
        <v>0</v>
      </c>
      <c r="K166">
        <v>0</v>
      </c>
      <c r="L166">
        <v>0</v>
      </c>
      <c r="M166">
        <v>11</v>
      </c>
      <c r="N166">
        <v>90.5</v>
      </c>
      <c r="O166" s="3">
        <f t="shared" si="11"/>
        <v>11</v>
      </c>
      <c r="P166">
        <f t="shared" si="9"/>
        <v>0</v>
      </c>
      <c r="Q166">
        <f t="shared" si="10"/>
        <v>0</v>
      </c>
    </row>
    <row r="167" spans="1:17" x14ac:dyDescent="0.2">
      <c r="A167" t="s">
        <v>21</v>
      </c>
      <c r="B167" t="s">
        <v>53</v>
      </c>
      <c r="C167">
        <v>390</v>
      </c>
      <c r="D167" s="2">
        <v>0</v>
      </c>
      <c r="E167">
        <v>21</v>
      </c>
      <c r="F167">
        <v>4</v>
      </c>
      <c r="G167">
        <v>0</v>
      </c>
      <c r="H167">
        <v>120</v>
      </c>
      <c r="I167">
        <v>1190</v>
      </c>
      <c r="J167">
        <v>11</v>
      </c>
      <c r="K167">
        <v>2</v>
      </c>
      <c r="L167">
        <v>0</v>
      </c>
      <c r="M167">
        <v>39</v>
      </c>
      <c r="N167">
        <v>355</v>
      </c>
      <c r="O167" s="3">
        <f t="shared" si="11"/>
        <v>10</v>
      </c>
      <c r="P167">
        <f t="shared" si="9"/>
        <v>1</v>
      </c>
      <c r="Q167">
        <f t="shared" si="10"/>
        <v>0</v>
      </c>
    </row>
    <row r="168" spans="1:17" x14ac:dyDescent="0.2">
      <c r="A168" t="s">
        <v>21</v>
      </c>
      <c r="B168" t="s">
        <v>54</v>
      </c>
      <c r="C168">
        <v>90</v>
      </c>
      <c r="D168" s="2">
        <v>0</v>
      </c>
      <c r="E168">
        <v>6</v>
      </c>
      <c r="F168">
        <v>1.5</v>
      </c>
      <c r="G168">
        <v>0</v>
      </c>
      <c r="H168">
        <v>45</v>
      </c>
      <c r="I168">
        <v>210</v>
      </c>
      <c r="J168">
        <v>1</v>
      </c>
      <c r="K168">
        <v>0</v>
      </c>
      <c r="L168">
        <v>0</v>
      </c>
      <c r="M168">
        <v>9</v>
      </c>
      <c r="N168">
        <v>82.5</v>
      </c>
      <c r="O168" s="3">
        <f t="shared" si="11"/>
        <v>10</v>
      </c>
      <c r="P168">
        <f t="shared" si="9"/>
        <v>0</v>
      </c>
      <c r="Q168">
        <f t="shared" si="10"/>
        <v>0</v>
      </c>
    </row>
    <row r="169" spans="1:17" x14ac:dyDescent="0.2">
      <c r="A169" t="s">
        <v>21</v>
      </c>
      <c r="B169" t="s">
        <v>55</v>
      </c>
      <c r="C169">
        <v>180</v>
      </c>
      <c r="D169" s="2">
        <v>0</v>
      </c>
      <c r="E169">
        <v>12</v>
      </c>
      <c r="F169">
        <v>3.5</v>
      </c>
      <c r="G169">
        <v>0</v>
      </c>
      <c r="H169">
        <v>90</v>
      </c>
      <c r="I169">
        <v>470</v>
      </c>
      <c r="J169">
        <v>0</v>
      </c>
      <c r="K169">
        <v>0</v>
      </c>
      <c r="L169">
        <v>0</v>
      </c>
      <c r="M169">
        <v>17</v>
      </c>
      <c r="N169">
        <v>166.5</v>
      </c>
      <c r="O169" s="3">
        <f t="shared" si="11"/>
        <v>9.4444444444444446</v>
      </c>
      <c r="P169">
        <f t="shared" si="9"/>
        <v>1</v>
      </c>
      <c r="Q169">
        <f t="shared" si="10"/>
        <v>0</v>
      </c>
    </row>
    <row r="170" spans="1:17" x14ac:dyDescent="0.2">
      <c r="A170" t="s">
        <v>21</v>
      </c>
      <c r="B170" t="s">
        <v>57</v>
      </c>
      <c r="C170">
        <v>130</v>
      </c>
      <c r="D170" s="2">
        <v>0</v>
      </c>
      <c r="E170">
        <v>8</v>
      </c>
      <c r="F170">
        <v>1.5</v>
      </c>
      <c r="G170">
        <v>0</v>
      </c>
      <c r="H170">
        <v>55</v>
      </c>
      <c r="I170">
        <v>430</v>
      </c>
      <c r="J170">
        <v>4</v>
      </c>
      <c r="K170">
        <v>1</v>
      </c>
      <c r="L170">
        <v>0</v>
      </c>
      <c r="M170">
        <v>12</v>
      </c>
      <c r="N170">
        <v>119.5</v>
      </c>
      <c r="O170" s="3">
        <f t="shared" si="11"/>
        <v>9.2307692307692317</v>
      </c>
      <c r="P170">
        <f t="shared" si="9"/>
        <v>0</v>
      </c>
      <c r="Q170">
        <f t="shared" si="10"/>
        <v>0</v>
      </c>
    </row>
    <row r="171" spans="1:17" x14ac:dyDescent="0.2">
      <c r="A171" t="s">
        <v>21</v>
      </c>
      <c r="B171" t="s">
        <v>67</v>
      </c>
      <c r="C171">
        <v>350</v>
      </c>
      <c r="D171" s="2">
        <v>0</v>
      </c>
      <c r="E171">
        <v>20</v>
      </c>
      <c r="F171">
        <v>3.5</v>
      </c>
      <c r="G171">
        <v>0</v>
      </c>
      <c r="H171">
        <v>100</v>
      </c>
      <c r="I171">
        <v>1100</v>
      </c>
      <c r="J171">
        <v>11</v>
      </c>
      <c r="K171">
        <v>1</v>
      </c>
      <c r="L171">
        <v>0</v>
      </c>
      <c r="M171">
        <v>30</v>
      </c>
      <c r="N171">
        <v>323.5</v>
      </c>
      <c r="O171" s="3">
        <f t="shared" si="11"/>
        <v>8.5714285714285712</v>
      </c>
      <c r="P171">
        <f t="shared" si="9"/>
        <v>1</v>
      </c>
      <c r="Q171">
        <f t="shared" si="10"/>
        <v>0</v>
      </c>
    </row>
    <row r="172" spans="1:17" x14ac:dyDescent="0.2">
      <c r="A172" t="s">
        <v>21</v>
      </c>
      <c r="B172" t="s">
        <v>76</v>
      </c>
      <c r="C172">
        <v>90</v>
      </c>
      <c r="D172" s="2">
        <v>0</v>
      </c>
      <c r="E172">
        <v>2</v>
      </c>
      <c r="F172">
        <v>1.5</v>
      </c>
      <c r="G172">
        <v>0</v>
      </c>
      <c r="H172">
        <v>10</v>
      </c>
      <c r="I172">
        <v>105</v>
      </c>
      <c r="J172">
        <v>10</v>
      </c>
      <c r="K172">
        <v>0</v>
      </c>
      <c r="L172">
        <v>10</v>
      </c>
      <c r="M172">
        <v>7</v>
      </c>
      <c r="N172">
        <v>94.5</v>
      </c>
      <c r="O172" s="3">
        <f t="shared" si="11"/>
        <v>7.7777777777777777</v>
      </c>
      <c r="P172">
        <f t="shared" si="9"/>
        <v>0</v>
      </c>
      <c r="Q172">
        <f t="shared" si="10"/>
        <v>0</v>
      </c>
    </row>
    <row r="173" spans="1:17" x14ac:dyDescent="0.2">
      <c r="A173" t="s">
        <v>21</v>
      </c>
      <c r="B173" t="s">
        <v>77</v>
      </c>
      <c r="C173">
        <v>130</v>
      </c>
      <c r="D173" s="2">
        <v>0</v>
      </c>
      <c r="E173">
        <v>8</v>
      </c>
      <c r="F173">
        <v>2</v>
      </c>
      <c r="G173">
        <v>0</v>
      </c>
      <c r="H173">
        <v>55</v>
      </c>
      <c r="I173">
        <v>380</v>
      </c>
      <c r="J173">
        <v>3</v>
      </c>
      <c r="K173">
        <v>0</v>
      </c>
      <c r="L173">
        <v>0</v>
      </c>
      <c r="M173">
        <v>10</v>
      </c>
      <c r="N173">
        <v>122</v>
      </c>
      <c r="O173" s="3">
        <f t="shared" si="11"/>
        <v>7.6923076923076925</v>
      </c>
      <c r="P173">
        <f t="shared" si="9"/>
        <v>0</v>
      </c>
      <c r="Q173">
        <f t="shared" si="10"/>
        <v>0</v>
      </c>
    </row>
    <row r="174" spans="1:17" x14ac:dyDescent="0.2">
      <c r="A174" t="s">
        <v>21</v>
      </c>
      <c r="B174" t="s">
        <v>81</v>
      </c>
      <c r="C174">
        <v>40</v>
      </c>
      <c r="D174" s="2">
        <v>0</v>
      </c>
      <c r="E174">
        <v>2</v>
      </c>
      <c r="F174">
        <v>1</v>
      </c>
      <c r="G174">
        <v>0</v>
      </c>
      <c r="H174">
        <v>5</v>
      </c>
      <c r="I174">
        <v>90</v>
      </c>
      <c r="J174">
        <v>2</v>
      </c>
      <c r="K174">
        <v>1</v>
      </c>
      <c r="L174">
        <v>1</v>
      </c>
      <c r="M174">
        <v>3</v>
      </c>
      <c r="N174">
        <v>39</v>
      </c>
      <c r="O174" s="3">
        <f t="shared" si="11"/>
        <v>7.5</v>
      </c>
      <c r="P174">
        <f t="shared" si="9"/>
        <v>0</v>
      </c>
      <c r="Q174">
        <f t="shared" si="10"/>
        <v>0</v>
      </c>
    </row>
    <row r="175" spans="1:17" x14ac:dyDescent="0.2">
      <c r="A175" t="s">
        <v>21</v>
      </c>
      <c r="B175" t="s">
        <v>86</v>
      </c>
      <c r="C175">
        <v>230</v>
      </c>
      <c r="D175" s="2">
        <v>0</v>
      </c>
      <c r="E175">
        <v>13</v>
      </c>
      <c r="F175">
        <v>2.5</v>
      </c>
      <c r="G175">
        <v>0</v>
      </c>
      <c r="H175">
        <v>285</v>
      </c>
      <c r="I175">
        <v>750</v>
      </c>
      <c r="J175">
        <v>12</v>
      </c>
      <c r="K175">
        <v>0</v>
      </c>
      <c r="L175">
        <v>0</v>
      </c>
      <c r="M175">
        <v>17</v>
      </c>
      <c r="N175">
        <v>215.5</v>
      </c>
      <c r="O175" s="3">
        <f t="shared" si="11"/>
        <v>7.3913043478260869</v>
      </c>
      <c r="P175">
        <f t="shared" si="9"/>
        <v>1</v>
      </c>
      <c r="Q175">
        <f t="shared" si="10"/>
        <v>0</v>
      </c>
    </row>
    <row r="176" spans="1:17" x14ac:dyDescent="0.2">
      <c r="A176" t="s">
        <v>21</v>
      </c>
      <c r="B176" t="s">
        <v>88</v>
      </c>
      <c r="C176">
        <v>260</v>
      </c>
      <c r="D176" s="2">
        <v>0</v>
      </c>
      <c r="E176">
        <v>14</v>
      </c>
      <c r="F176">
        <v>2</v>
      </c>
      <c r="G176">
        <v>0</v>
      </c>
      <c r="H176">
        <v>50</v>
      </c>
      <c r="I176">
        <v>610</v>
      </c>
      <c r="J176">
        <v>15</v>
      </c>
      <c r="K176" s="2">
        <v>0</v>
      </c>
      <c r="L176">
        <v>0</v>
      </c>
      <c r="M176">
        <v>19</v>
      </c>
      <c r="N176">
        <v>243</v>
      </c>
      <c r="O176" s="3">
        <f t="shared" si="11"/>
        <v>7.3076923076923084</v>
      </c>
      <c r="P176">
        <f t="shared" si="9"/>
        <v>1</v>
      </c>
      <c r="Q176">
        <f t="shared" si="10"/>
        <v>0</v>
      </c>
    </row>
    <row r="177" spans="1:17" x14ac:dyDescent="0.2">
      <c r="A177" t="s">
        <v>21</v>
      </c>
      <c r="B177" t="s">
        <v>94</v>
      </c>
      <c r="C177">
        <v>130</v>
      </c>
      <c r="D177" s="2">
        <v>0</v>
      </c>
      <c r="E177">
        <v>8</v>
      </c>
      <c r="F177">
        <v>1.5</v>
      </c>
      <c r="G177">
        <v>0</v>
      </c>
      <c r="H177">
        <v>40</v>
      </c>
      <c r="I177">
        <v>420</v>
      </c>
      <c r="J177">
        <v>5</v>
      </c>
      <c r="K177">
        <v>1</v>
      </c>
      <c r="L177">
        <v>0</v>
      </c>
      <c r="M177">
        <v>9</v>
      </c>
      <c r="N177">
        <v>122.5</v>
      </c>
      <c r="O177" s="3">
        <f t="shared" si="11"/>
        <v>6.9230769230769234</v>
      </c>
      <c r="P177">
        <f t="shared" si="9"/>
        <v>0</v>
      </c>
      <c r="Q177">
        <f t="shared" si="10"/>
        <v>0</v>
      </c>
    </row>
    <row r="178" spans="1:17" x14ac:dyDescent="0.2">
      <c r="A178" t="s">
        <v>21</v>
      </c>
      <c r="B178" t="s">
        <v>95</v>
      </c>
      <c r="C178">
        <v>350</v>
      </c>
      <c r="D178" s="2">
        <v>0</v>
      </c>
      <c r="E178">
        <v>3.5</v>
      </c>
      <c r="F178">
        <v>0.5</v>
      </c>
      <c r="G178">
        <v>0</v>
      </c>
      <c r="H178">
        <v>55</v>
      </c>
      <c r="I178">
        <v>1350</v>
      </c>
      <c r="J178">
        <v>55</v>
      </c>
      <c r="K178">
        <v>2</v>
      </c>
      <c r="L178">
        <v>22</v>
      </c>
      <c r="M178">
        <v>24</v>
      </c>
      <c r="N178">
        <v>348.5</v>
      </c>
      <c r="O178" s="3">
        <f t="shared" si="11"/>
        <v>6.8571428571428577</v>
      </c>
      <c r="P178">
        <f t="shared" si="9"/>
        <v>1</v>
      </c>
      <c r="Q178">
        <f t="shared" si="10"/>
        <v>0</v>
      </c>
    </row>
    <row r="179" spans="1:17" x14ac:dyDescent="0.2">
      <c r="A179" t="s">
        <v>21</v>
      </c>
      <c r="B179" t="s">
        <v>97</v>
      </c>
      <c r="C179">
        <v>280</v>
      </c>
      <c r="D179" s="2">
        <v>0</v>
      </c>
      <c r="E179">
        <v>19</v>
      </c>
      <c r="F179">
        <v>4.5</v>
      </c>
      <c r="G179">
        <v>0</v>
      </c>
      <c r="H179">
        <v>100</v>
      </c>
      <c r="I179">
        <v>910</v>
      </c>
      <c r="J179">
        <v>8</v>
      </c>
      <c r="K179">
        <v>1</v>
      </c>
      <c r="L179">
        <v>0</v>
      </c>
      <c r="M179">
        <v>19</v>
      </c>
      <c r="N179">
        <v>265.5</v>
      </c>
      <c r="O179" s="3">
        <f t="shared" si="11"/>
        <v>6.7857142857142856</v>
      </c>
      <c r="P179">
        <f t="shared" si="9"/>
        <v>1</v>
      </c>
      <c r="Q179">
        <f t="shared" si="10"/>
        <v>0</v>
      </c>
    </row>
    <row r="180" spans="1:17" x14ac:dyDescent="0.2">
      <c r="A180" t="s">
        <v>21</v>
      </c>
      <c r="B180" t="s">
        <v>100</v>
      </c>
      <c r="C180">
        <v>330</v>
      </c>
      <c r="D180" s="2">
        <v>0</v>
      </c>
      <c r="E180">
        <v>23</v>
      </c>
      <c r="F180">
        <v>4.5</v>
      </c>
      <c r="G180">
        <v>0</v>
      </c>
      <c r="H180">
        <v>100</v>
      </c>
      <c r="I180">
        <v>700</v>
      </c>
      <c r="J180">
        <v>9</v>
      </c>
      <c r="K180">
        <v>0</v>
      </c>
      <c r="L180">
        <v>0</v>
      </c>
      <c r="M180">
        <v>22</v>
      </c>
      <c r="N180">
        <v>312.5</v>
      </c>
      <c r="O180" s="3">
        <f t="shared" si="11"/>
        <v>6.666666666666667</v>
      </c>
      <c r="P180">
        <f t="shared" si="9"/>
        <v>1</v>
      </c>
      <c r="Q180">
        <f t="shared" si="10"/>
        <v>0</v>
      </c>
    </row>
    <row r="181" spans="1:17" x14ac:dyDescent="0.2">
      <c r="A181" t="s">
        <v>21</v>
      </c>
      <c r="B181" t="s">
        <v>101</v>
      </c>
      <c r="C181">
        <v>15</v>
      </c>
      <c r="D181" s="2">
        <v>0</v>
      </c>
      <c r="E181">
        <v>0</v>
      </c>
      <c r="F181">
        <v>0</v>
      </c>
      <c r="G181">
        <v>0</v>
      </c>
      <c r="H181">
        <v>0</v>
      </c>
      <c r="I181">
        <v>10</v>
      </c>
      <c r="J181">
        <v>3</v>
      </c>
      <c r="K181">
        <v>2</v>
      </c>
      <c r="L181">
        <v>2</v>
      </c>
      <c r="M181">
        <v>1</v>
      </c>
      <c r="N181">
        <v>16</v>
      </c>
      <c r="O181" s="3">
        <f t="shared" si="11"/>
        <v>6.666666666666667</v>
      </c>
      <c r="P181">
        <f t="shared" si="9"/>
        <v>0</v>
      </c>
      <c r="Q181">
        <f t="shared" si="10"/>
        <v>0</v>
      </c>
    </row>
    <row r="182" spans="1:17" x14ac:dyDescent="0.2">
      <c r="A182" t="s">
        <v>21</v>
      </c>
      <c r="B182" t="s">
        <v>102</v>
      </c>
      <c r="C182">
        <v>300</v>
      </c>
      <c r="D182" s="2">
        <v>0</v>
      </c>
      <c r="E182">
        <v>16</v>
      </c>
      <c r="F182">
        <v>2</v>
      </c>
      <c r="G182">
        <v>0</v>
      </c>
      <c r="H182">
        <v>210</v>
      </c>
      <c r="I182">
        <v>770</v>
      </c>
      <c r="J182">
        <v>18</v>
      </c>
      <c r="K182" s="2">
        <v>0</v>
      </c>
      <c r="L182">
        <v>0</v>
      </c>
      <c r="M182">
        <v>20</v>
      </c>
      <c r="N182">
        <v>282</v>
      </c>
      <c r="O182" s="3">
        <f t="shared" si="11"/>
        <v>6.666666666666667</v>
      </c>
      <c r="P182">
        <f t="shared" si="9"/>
        <v>1</v>
      </c>
      <c r="Q182">
        <f t="shared" si="10"/>
        <v>0</v>
      </c>
    </row>
    <row r="183" spans="1:17" x14ac:dyDescent="0.2">
      <c r="A183" t="s">
        <v>21</v>
      </c>
      <c r="B183" t="s">
        <v>103</v>
      </c>
      <c r="C183">
        <v>530</v>
      </c>
      <c r="D183" s="2">
        <v>0</v>
      </c>
      <c r="E183">
        <v>35</v>
      </c>
      <c r="F183">
        <v>6</v>
      </c>
      <c r="G183">
        <v>0</v>
      </c>
      <c r="H183">
        <v>105</v>
      </c>
      <c r="I183">
        <v>1150</v>
      </c>
      <c r="J183">
        <v>18</v>
      </c>
      <c r="K183">
        <v>0</v>
      </c>
      <c r="L183">
        <v>0</v>
      </c>
      <c r="M183">
        <v>35</v>
      </c>
      <c r="N183">
        <v>501</v>
      </c>
      <c r="O183" s="3">
        <f t="shared" si="11"/>
        <v>6.6037735849056602</v>
      </c>
      <c r="P183">
        <f t="shared" si="9"/>
        <v>1</v>
      </c>
      <c r="Q183">
        <f t="shared" si="10"/>
        <v>0</v>
      </c>
    </row>
    <row r="184" spans="1:17" x14ac:dyDescent="0.2">
      <c r="A184" t="s">
        <v>21</v>
      </c>
      <c r="B184" t="s">
        <v>109</v>
      </c>
      <c r="C184">
        <v>80</v>
      </c>
      <c r="D184" s="2">
        <v>0</v>
      </c>
      <c r="E184">
        <v>6</v>
      </c>
      <c r="F184">
        <v>1</v>
      </c>
      <c r="G184">
        <v>0</v>
      </c>
      <c r="H184">
        <v>20</v>
      </c>
      <c r="I184">
        <v>150</v>
      </c>
      <c r="J184">
        <v>3</v>
      </c>
      <c r="K184">
        <v>0</v>
      </c>
      <c r="L184">
        <v>0</v>
      </c>
      <c r="M184">
        <v>5</v>
      </c>
      <c r="N184">
        <v>76</v>
      </c>
      <c r="O184" s="3">
        <f t="shared" si="11"/>
        <v>6.25</v>
      </c>
      <c r="P184">
        <f t="shared" si="9"/>
        <v>0</v>
      </c>
      <c r="Q184">
        <f t="shared" si="10"/>
        <v>0</v>
      </c>
    </row>
    <row r="185" spans="1:17" x14ac:dyDescent="0.2">
      <c r="A185" t="s">
        <v>21</v>
      </c>
      <c r="B185" t="s">
        <v>122</v>
      </c>
      <c r="C185">
        <v>170</v>
      </c>
      <c r="D185" s="2">
        <v>0</v>
      </c>
      <c r="E185">
        <v>12</v>
      </c>
      <c r="F185">
        <v>2</v>
      </c>
      <c r="G185">
        <v>0</v>
      </c>
      <c r="H185">
        <v>50</v>
      </c>
      <c r="I185">
        <v>390</v>
      </c>
      <c r="J185">
        <v>5</v>
      </c>
      <c r="K185">
        <v>0</v>
      </c>
      <c r="L185">
        <v>0</v>
      </c>
      <c r="M185">
        <v>10</v>
      </c>
      <c r="N185">
        <v>162</v>
      </c>
      <c r="O185" s="3">
        <f t="shared" si="11"/>
        <v>5.8823529411764701</v>
      </c>
      <c r="P185">
        <f t="shared" si="9"/>
        <v>0</v>
      </c>
      <c r="Q185">
        <f t="shared" si="10"/>
        <v>0</v>
      </c>
    </row>
    <row r="186" spans="1:17" x14ac:dyDescent="0.2">
      <c r="A186" t="s">
        <v>21</v>
      </c>
      <c r="B186" t="s">
        <v>123</v>
      </c>
      <c r="C186">
        <v>170</v>
      </c>
      <c r="D186" s="2">
        <v>0</v>
      </c>
      <c r="E186">
        <v>13</v>
      </c>
      <c r="F186">
        <v>2</v>
      </c>
      <c r="G186">
        <v>0</v>
      </c>
      <c r="H186">
        <v>45</v>
      </c>
      <c r="I186">
        <v>340</v>
      </c>
      <c r="J186">
        <v>5</v>
      </c>
      <c r="K186">
        <v>0</v>
      </c>
      <c r="L186">
        <v>0</v>
      </c>
      <c r="M186">
        <v>10</v>
      </c>
      <c r="N186">
        <v>162</v>
      </c>
      <c r="O186" s="3">
        <f t="shared" si="11"/>
        <v>5.8823529411764701</v>
      </c>
      <c r="P186">
        <f t="shared" si="9"/>
        <v>0</v>
      </c>
      <c r="Q186">
        <f t="shared" si="10"/>
        <v>0</v>
      </c>
    </row>
    <row r="187" spans="1:17" x14ac:dyDescent="0.2">
      <c r="A187" t="s">
        <v>21</v>
      </c>
      <c r="B187" t="s">
        <v>125</v>
      </c>
      <c r="C187">
        <v>120</v>
      </c>
      <c r="D187" s="2">
        <v>0</v>
      </c>
      <c r="E187">
        <v>8</v>
      </c>
      <c r="F187">
        <v>1.5</v>
      </c>
      <c r="G187">
        <v>0</v>
      </c>
      <c r="H187">
        <v>35</v>
      </c>
      <c r="I187">
        <v>350</v>
      </c>
      <c r="J187">
        <v>5</v>
      </c>
      <c r="K187">
        <v>0</v>
      </c>
      <c r="L187">
        <v>0</v>
      </c>
      <c r="M187">
        <v>7</v>
      </c>
      <c r="N187">
        <v>114.5</v>
      </c>
      <c r="O187" s="3">
        <f t="shared" si="11"/>
        <v>5.833333333333333</v>
      </c>
      <c r="P187">
        <f t="shared" si="9"/>
        <v>0</v>
      </c>
      <c r="Q187">
        <f t="shared" si="10"/>
        <v>0</v>
      </c>
    </row>
    <row r="188" spans="1:17" x14ac:dyDescent="0.2">
      <c r="A188" t="s">
        <v>21</v>
      </c>
      <c r="B188" t="s">
        <v>128</v>
      </c>
      <c r="C188">
        <v>190</v>
      </c>
      <c r="D188" s="2">
        <v>0</v>
      </c>
      <c r="E188">
        <v>1</v>
      </c>
      <c r="F188">
        <v>0</v>
      </c>
      <c r="G188">
        <v>0</v>
      </c>
      <c r="H188">
        <v>0</v>
      </c>
      <c r="I188">
        <v>650</v>
      </c>
      <c r="J188">
        <v>34</v>
      </c>
      <c r="K188">
        <v>7</v>
      </c>
      <c r="L188">
        <v>15</v>
      </c>
      <c r="M188">
        <v>11</v>
      </c>
      <c r="N188">
        <v>194</v>
      </c>
      <c r="O188" s="3">
        <f t="shared" si="11"/>
        <v>5.7894736842105265</v>
      </c>
      <c r="P188">
        <f t="shared" si="9"/>
        <v>1</v>
      </c>
      <c r="Q188">
        <f t="shared" si="10"/>
        <v>0</v>
      </c>
    </row>
    <row r="189" spans="1:17" x14ac:dyDescent="0.2">
      <c r="A189" t="s">
        <v>21</v>
      </c>
      <c r="B189" t="s">
        <v>23</v>
      </c>
      <c r="C189">
        <v>540</v>
      </c>
      <c r="D189" s="2">
        <v>0</v>
      </c>
      <c r="E189">
        <v>40</v>
      </c>
      <c r="F189">
        <v>7</v>
      </c>
      <c r="G189">
        <v>0</v>
      </c>
      <c r="H189">
        <v>100</v>
      </c>
      <c r="I189">
        <v>1390</v>
      </c>
      <c r="J189">
        <v>14</v>
      </c>
      <c r="K189">
        <v>2</v>
      </c>
      <c r="L189">
        <v>1</v>
      </c>
      <c r="M189">
        <v>31</v>
      </c>
      <c r="N189">
        <v>517</v>
      </c>
      <c r="O189" s="3">
        <f t="shared" si="11"/>
        <v>5.7407407407407405</v>
      </c>
      <c r="P189">
        <f t="shared" si="9"/>
        <v>1</v>
      </c>
      <c r="Q189">
        <f t="shared" si="10"/>
        <v>0</v>
      </c>
    </row>
    <row r="190" spans="1:17" x14ac:dyDescent="0.2">
      <c r="A190" t="s">
        <v>21</v>
      </c>
      <c r="B190" t="s">
        <v>141</v>
      </c>
      <c r="C190">
        <v>830</v>
      </c>
      <c r="D190" s="2">
        <v>0</v>
      </c>
      <c r="E190">
        <v>5</v>
      </c>
      <c r="F190">
        <v>1</v>
      </c>
      <c r="G190">
        <v>0</v>
      </c>
      <c r="H190">
        <v>0</v>
      </c>
      <c r="I190">
        <v>2810</v>
      </c>
      <c r="J190">
        <v>148</v>
      </c>
      <c r="K190">
        <v>31</v>
      </c>
      <c r="L190">
        <v>63</v>
      </c>
      <c r="M190">
        <v>47</v>
      </c>
      <c r="N190">
        <v>847</v>
      </c>
      <c r="O190" s="3">
        <f t="shared" si="11"/>
        <v>5.6626506024096388</v>
      </c>
      <c r="P190">
        <f t="shared" si="9"/>
        <v>1</v>
      </c>
      <c r="Q190">
        <f t="shared" si="10"/>
        <v>0</v>
      </c>
    </row>
    <row r="191" spans="1:17" x14ac:dyDescent="0.2">
      <c r="A191" t="s">
        <v>21</v>
      </c>
      <c r="B191" t="s">
        <v>138</v>
      </c>
      <c r="C191">
        <v>620</v>
      </c>
      <c r="D191" s="2">
        <v>0</v>
      </c>
      <c r="E191">
        <v>33</v>
      </c>
      <c r="F191">
        <v>4</v>
      </c>
      <c r="G191">
        <v>0</v>
      </c>
      <c r="H191">
        <v>85</v>
      </c>
      <c r="I191">
        <v>2140</v>
      </c>
      <c r="J191">
        <v>49</v>
      </c>
      <c r="K191">
        <v>1</v>
      </c>
      <c r="L191">
        <v>6</v>
      </c>
      <c r="M191">
        <v>34</v>
      </c>
      <c r="N191">
        <v>596</v>
      </c>
      <c r="O191" s="3">
        <f t="shared" si="11"/>
        <v>5.4838709677419359</v>
      </c>
      <c r="P191">
        <f t="shared" si="9"/>
        <v>1</v>
      </c>
      <c r="Q191">
        <f t="shared" si="10"/>
        <v>0</v>
      </c>
    </row>
    <row r="192" spans="1:17" x14ac:dyDescent="0.2">
      <c r="A192" t="s">
        <v>21</v>
      </c>
      <c r="B192" t="s">
        <v>183</v>
      </c>
      <c r="C192">
        <v>650</v>
      </c>
      <c r="D192" s="2">
        <v>0</v>
      </c>
      <c r="E192">
        <v>35</v>
      </c>
      <c r="F192">
        <v>4.5</v>
      </c>
      <c r="G192">
        <v>0</v>
      </c>
      <c r="H192">
        <v>90</v>
      </c>
      <c r="I192">
        <v>1260</v>
      </c>
      <c r="J192">
        <v>49</v>
      </c>
      <c r="K192">
        <v>1</v>
      </c>
      <c r="L192">
        <v>6</v>
      </c>
      <c r="M192">
        <v>34</v>
      </c>
      <c r="N192">
        <v>626.5</v>
      </c>
      <c r="O192" s="3">
        <f t="shared" si="11"/>
        <v>5.2307692307692308</v>
      </c>
      <c r="P192">
        <f t="shared" si="9"/>
        <v>1</v>
      </c>
      <c r="Q192">
        <f t="shared" si="10"/>
        <v>0</v>
      </c>
    </row>
    <row r="193" spans="1:17" x14ac:dyDescent="0.2">
      <c r="A193" t="s">
        <v>21</v>
      </c>
      <c r="B193" t="s">
        <v>191</v>
      </c>
      <c r="C193">
        <v>470</v>
      </c>
      <c r="D193" s="2">
        <v>0</v>
      </c>
      <c r="E193">
        <v>24</v>
      </c>
      <c r="F193">
        <v>3.5</v>
      </c>
      <c r="G193">
        <v>0</v>
      </c>
      <c r="H193">
        <v>60</v>
      </c>
      <c r="I193">
        <v>1170</v>
      </c>
      <c r="J193">
        <v>39</v>
      </c>
      <c r="K193" s="2">
        <v>0</v>
      </c>
      <c r="L193">
        <v>4</v>
      </c>
      <c r="M193">
        <v>24</v>
      </c>
      <c r="N193">
        <v>453.5</v>
      </c>
      <c r="O193" s="3">
        <f t="shared" si="11"/>
        <v>5.1063829787234036</v>
      </c>
      <c r="P193">
        <f t="shared" si="9"/>
        <v>1</v>
      </c>
      <c r="Q193">
        <f t="shared" si="10"/>
        <v>0</v>
      </c>
    </row>
    <row r="194" spans="1:17" x14ac:dyDescent="0.2">
      <c r="A194" t="s">
        <v>21</v>
      </c>
      <c r="B194" t="s">
        <v>209</v>
      </c>
      <c r="C194">
        <v>100</v>
      </c>
      <c r="D194" s="2">
        <v>0</v>
      </c>
      <c r="E194">
        <v>7</v>
      </c>
      <c r="F194">
        <v>1.5</v>
      </c>
      <c r="G194">
        <v>0</v>
      </c>
      <c r="H194">
        <v>20</v>
      </c>
      <c r="I194">
        <v>310</v>
      </c>
      <c r="J194">
        <v>3</v>
      </c>
      <c r="K194">
        <v>0</v>
      </c>
      <c r="L194">
        <v>0</v>
      </c>
      <c r="M194">
        <v>5</v>
      </c>
      <c r="N194">
        <v>96.5</v>
      </c>
      <c r="O194" s="3">
        <f t="shared" si="11"/>
        <v>5</v>
      </c>
      <c r="P194">
        <f t="shared" ref="P194:P257" si="12">IF(I194&gt;2300*0.2,1,0)</f>
        <v>0</v>
      </c>
      <c r="Q194">
        <f t="shared" ref="Q194:Q257" si="13">IF(H194&gt;300,1,0)</f>
        <v>0</v>
      </c>
    </row>
    <row r="195" spans="1:17" x14ac:dyDescent="0.2">
      <c r="A195" t="s">
        <v>21</v>
      </c>
      <c r="B195" t="s">
        <v>210</v>
      </c>
      <c r="C195">
        <v>100</v>
      </c>
      <c r="D195" s="2">
        <v>0</v>
      </c>
      <c r="E195">
        <v>6</v>
      </c>
      <c r="F195">
        <v>1</v>
      </c>
      <c r="G195">
        <v>0</v>
      </c>
      <c r="H195">
        <v>20</v>
      </c>
      <c r="I195">
        <v>210</v>
      </c>
      <c r="J195">
        <v>8</v>
      </c>
      <c r="K195">
        <v>0</v>
      </c>
      <c r="L195">
        <v>4</v>
      </c>
      <c r="M195">
        <v>5</v>
      </c>
      <c r="N195">
        <v>100</v>
      </c>
      <c r="O195" s="3">
        <f t="shared" ref="O195:O226" si="14">M195/C195*100</f>
        <v>5</v>
      </c>
      <c r="P195">
        <f t="shared" si="12"/>
        <v>0</v>
      </c>
      <c r="Q195">
        <f t="shared" si="13"/>
        <v>0</v>
      </c>
    </row>
    <row r="196" spans="1:17" x14ac:dyDescent="0.2">
      <c r="A196" t="s">
        <v>21</v>
      </c>
      <c r="B196" t="s">
        <v>211</v>
      </c>
      <c r="C196">
        <v>80</v>
      </c>
      <c r="D196" s="2">
        <v>0</v>
      </c>
      <c r="E196">
        <v>0</v>
      </c>
      <c r="F196">
        <v>0</v>
      </c>
      <c r="G196">
        <v>0</v>
      </c>
      <c r="H196">
        <v>0</v>
      </c>
      <c r="I196">
        <v>930</v>
      </c>
      <c r="J196">
        <v>15</v>
      </c>
      <c r="K196">
        <v>9</v>
      </c>
      <c r="L196">
        <v>3</v>
      </c>
      <c r="M196">
        <v>4</v>
      </c>
      <c r="N196">
        <v>79</v>
      </c>
      <c r="O196" s="3">
        <f t="shared" si="14"/>
        <v>5</v>
      </c>
      <c r="P196">
        <f t="shared" si="12"/>
        <v>1</v>
      </c>
      <c r="Q196">
        <f t="shared" si="13"/>
        <v>0</v>
      </c>
    </row>
    <row r="197" spans="1:17" x14ac:dyDescent="0.2">
      <c r="A197" t="s">
        <v>21</v>
      </c>
      <c r="B197" t="s">
        <v>227</v>
      </c>
      <c r="C197">
        <v>270</v>
      </c>
      <c r="D197" s="2">
        <v>0</v>
      </c>
      <c r="E197">
        <v>20</v>
      </c>
      <c r="F197">
        <v>3.5</v>
      </c>
      <c r="G197">
        <v>0</v>
      </c>
      <c r="H197">
        <v>65</v>
      </c>
      <c r="I197">
        <v>720</v>
      </c>
      <c r="J197">
        <v>10</v>
      </c>
      <c r="K197">
        <v>1</v>
      </c>
      <c r="L197">
        <v>0</v>
      </c>
      <c r="M197">
        <v>13</v>
      </c>
      <c r="N197">
        <v>260.5</v>
      </c>
      <c r="O197" s="3">
        <f t="shared" si="14"/>
        <v>4.8148148148148149</v>
      </c>
      <c r="P197">
        <f t="shared" si="12"/>
        <v>1</v>
      </c>
      <c r="Q197">
        <f t="shared" si="13"/>
        <v>0</v>
      </c>
    </row>
    <row r="198" spans="1:17" x14ac:dyDescent="0.2">
      <c r="A198" t="s">
        <v>21</v>
      </c>
      <c r="B198" t="s">
        <v>230</v>
      </c>
      <c r="C198">
        <v>500</v>
      </c>
      <c r="D198" s="2">
        <v>0</v>
      </c>
      <c r="E198">
        <v>27</v>
      </c>
      <c r="F198">
        <v>4</v>
      </c>
      <c r="G198">
        <v>0</v>
      </c>
      <c r="H198">
        <v>60</v>
      </c>
      <c r="I198">
        <v>1500</v>
      </c>
      <c r="J198">
        <v>39</v>
      </c>
      <c r="K198" s="2">
        <v>0</v>
      </c>
      <c r="L198">
        <v>4</v>
      </c>
      <c r="M198">
        <v>24</v>
      </c>
      <c r="N198">
        <v>484</v>
      </c>
      <c r="O198" s="3">
        <f t="shared" si="14"/>
        <v>4.8</v>
      </c>
      <c r="P198">
        <f t="shared" si="12"/>
        <v>1</v>
      </c>
      <c r="Q198">
        <f t="shared" si="13"/>
        <v>0</v>
      </c>
    </row>
    <row r="199" spans="1:17" x14ac:dyDescent="0.2">
      <c r="A199" t="s">
        <v>21</v>
      </c>
      <c r="B199" t="s">
        <v>30</v>
      </c>
      <c r="C199">
        <v>190</v>
      </c>
      <c r="D199" s="2">
        <v>0</v>
      </c>
      <c r="E199">
        <v>14</v>
      </c>
      <c r="F199">
        <v>2.5</v>
      </c>
      <c r="G199">
        <v>0</v>
      </c>
      <c r="H199">
        <v>40</v>
      </c>
      <c r="I199">
        <v>510</v>
      </c>
      <c r="J199">
        <v>6</v>
      </c>
      <c r="K199">
        <v>1</v>
      </c>
      <c r="L199">
        <v>0</v>
      </c>
      <c r="M199">
        <v>9</v>
      </c>
      <c r="N199">
        <v>183.5</v>
      </c>
      <c r="O199" s="3">
        <f t="shared" si="14"/>
        <v>4.7368421052631584</v>
      </c>
      <c r="P199">
        <f t="shared" si="12"/>
        <v>1</v>
      </c>
      <c r="Q199">
        <f t="shared" si="13"/>
        <v>0</v>
      </c>
    </row>
    <row r="200" spans="1:17" x14ac:dyDescent="0.2">
      <c r="A200" t="s">
        <v>21</v>
      </c>
      <c r="B200" t="s">
        <v>243</v>
      </c>
      <c r="C200">
        <v>510</v>
      </c>
      <c r="D200" s="2">
        <v>0</v>
      </c>
      <c r="E200">
        <v>25</v>
      </c>
      <c r="F200">
        <v>3.5</v>
      </c>
      <c r="G200">
        <v>0</v>
      </c>
      <c r="H200">
        <v>60</v>
      </c>
      <c r="I200">
        <v>1290</v>
      </c>
      <c r="J200">
        <v>48</v>
      </c>
      <c r="K200" s="2">
        <v>0</v>
      </c>
      <c r="L200">
        <v>12</v>
      </c>
      <c r="M200">
        <v>24</v>
      </c>
      <c r="N200">
        <v>501.5</v>
      </c>
      <c r="O200" s="3">
        <f t="shared" si="14"/>
        <v>4.7058823529411766</v>
      </c>
      <c r="P200">
        <f t="shared" si="12"/>
        <v>1</v>
      </c>
      <c r="Q200">
        <f t="shared" si="13"/>
        <v>0</v>
      </c>
    </row>
    <row r="201" spans="1:17" x14ac:dyDescent="0.2">
      <c r="A201" t="s">
        <v>21</v>
      </c>
      <c r="B201" t="s">
        <v>252</v>
      </c>
      <c r="C201">
        <v>300</v>
      </c>
      <c r="D201" s="2">
        <v>0</v>
      </c>
      <c r="E201">
        <v>15</v>
      </c>
      <c r="F201">
        <v>2.5</v>
      </c>
      <c r="G201">
        <v>0</v>
      </c>
      <c r="H201">
        <v>30</v>
      </c>
      <c r="I201">
        <v>620</v>
      </c>
      <c r="J201">
        <v>27</v>
      </c>
      <c r="K201">
        <v>1</v>
      </c>
      <c r="L201">
        <v>3</v>
      </c>
      <c r="M201">
        <v>14</v>
      </c>
      <c r="N201">
        <v>291.5</v>
      </c>
      <c r="O201" s="3">
        <f t="shared" si="14"/>
        <v>4.666666666666667</v>
      </c>
      <c r="P201">
        <f t="shared" si="12"/>
        <v>1</v>
      </c>
      <c r="Q201">
        <f t="shared" si="13"/>
        <v>0</v>
      </c>
    </row>
    <row r="202" spans="1:17" x14ac:dyDescent="0.2">
      <c r="A202" t="s">
        <v>21</v>
      </c>
      <c r="B202" t="s">
        <v>253</v>
      </c>
      <c r="C202">
        <v>150</v>
      </c>
      <c r="D202" s="2">
        <v>0</v>
      </c>
      <c r="E202">
        <v>2.5</v>
      </c>
      <c r="F202">
        <v>1.5</v>
      </c>
      <c r="G202">
        <v>0</v>
      </c>
      <c r="H202">
        <v>10</v>
      </c>
      <c r="I202">
        <v>170</v>
      </c>
      <c r="J202">
        <v>26</v>
      </c>
      <c r="K202">
        <v>0</v>
      </c>
      <c r="L202">
        <v>23</v>
      </c>
      <c r="M202">
        <v>7</v>
      </c>
      <c r="N202">
        <v>167.5</v>
      </c>
      <c r="O202" s="3">
        <f t="shared" si="14"/>
        <v>4.666666666666667</v>
      </c>
      <c r="P202">
        <f t="shared" si="12"/>
        <v>0</v>
      </c>
      <c r="Q202">
        <f t="shared" si="13"/>
        <v>0</v>
      </c>
    </row>
    <row r="203" spans="1:17" x14ac:dyDescent="0.2">
      <c r="A203" t="s">
        <v>21</v>
      </c>
      <c r="B203" t="s">
        <v>276</v>
      </c>
      <c r="C203">
        <v>770</v>
      </c>
      <c r="D203" s="2">
        <v>0</v>
      </c>
      <c r="E203">
        <v>60</v>
      </c>
      <c r="F203">
        <v>10</v>
      </c>
      <c r="G203">
        <v>0</v>
      </c>
      <c r="H203">
        <v>105</v>
      </c>
      <c r="I203">
        <v>1530</v>
      </c>
      <c r="J203">
        <v>21</v>
      </c>
      <c r="K203">
        <v>1</v>
      </c>
      <c r="L203">
        <v>1</v>
      </c>
      <c r="M203">
        <v>35</v>
      </c>
      <c r="N203">
        <v>746</v>
      </c>
      <c r="O203" s="3">
        <f t="shared" si="14"/>
        <v>4.5454545454545459</v>
      </c>
      <c r="P203">
        <f t="shared" si="12"/>
        <v>1</v>
      </c>
      <c r="Q203">
        <f t="shared" si="13"/>
        <v>0</v>
      </c>
    </row>
    <row r="204" spans="1:17" x14ac:dyDescent="0.2">
      <c r="A204" t="s">
        <v>21</v>
      </c>
      <c r="B204" t="s">
        <v>88</v>
      </c>
      <c r="C204">
        <v>220</v>
      </c>
      <c r="D204" s="2">
        <v>0</v>
      </c>
      <c r="E204">
        <v>16</v>
      </c>
      <c r="F204">
        <v>2.5</v>
      </c>
      <c r="G204">
        <v>0</v>
      </c>
      <c r="H204">
        <v>25</v>
      </c>
      <c r="I204">
        <v>460</v>
      </c>
      <c r="J204">
        <v>9</v>
      </c>
      <c r="K204" s="2">
        <v>0</v>
      </c>
      <c r="L204">
        <v>0</v>
      </c>
      <c r="M204">
        <v>10</v>
      </c>
      <c r="N204">
        <v>212.5</v>
      </c>
      <c r="O204" s="3">
        <f t="shared" si="14"/>
        <v>4.5454545454545459</v>
      </c>
      <c r="P204">
        <f t="shared" si="12"/>
        <v>0</v>
      </c>
      <c r="Q204">
        <f t="shared" si="13"/>
        <v>0</v>
      </c>
    </row>
    <row r="205" spans="1:17" x14ac:dyDescent="0.2">
      <c r="A205" t="s">
        <v>21</v>
      </c>
      <c r="B205" t="s">
        <v>282</v>
      </c>
      <c r="C205">
        <v>310</v>
      </c>
      <c r="D205" s="2">
        <v>0</v>
      </c>
      <c r="E205">
        <v>17</v>
      </c>
      <c r="F205">
        <v>2.5</v>
      </c>
      <c r="G205">
        <v>0</v>
      </c>
      <c r="H205">
        <v>30</v>
      </c>
      <c r="I205">
        <v>790</v>
      </c>
      <c r="J205">
        <v>27</v>
      </c>
      <c r="K205">
        <v>1</v>
      </c>
      <c r="L205">
        <v>3</v>
      </c>
      <c r="M205">
        <v>14</v>
      </c>
      <c r="N205">
        <v>301.5</v>
      </c>
      <c r="O205" s="3">
        <f t="shared" si="14"/>
        <v>4.5161290322580641</v>
      </c>
      <c r="P205">
        <f t="shared" si="12"/>
        <v>1</v>
      </c>
      <c r="Q205">
        <f t="shared" si="13"/>
        <v>0</v>
      </c>
    </row>
    <row r="206" spans="1:17" x14ac:dyDescent="0.2">
      <c r="A206" t="s">
        <v>21</v>
      </c>
      <c r="B206" t="s">
        <v>285</v>
      </c>
      <c r="C206">
        <v>290</v>
      </c>
      <c r="D206" s="2">
        <v>0</v>
      </c>
      <c r="E206">
        <v>19</v>
      </c>
      <c r="F206">
        <v>2.5</v>
      </c>
      <c r="G206">
        <v>0</v>
      </c>
      <c r="H206">
        <v>30</v>
      </c>
      <c r="I206">
        <v>870</v>
      </c>
      <c r="J206">
        <v>19</v>
      </c>
      <c r="K206">
        <v>1</v>
      </c>
      <c r="L206">
        <v>0</v>
      </c>
      <c r="M206">
        <v>13</v>
      </c>
      <c r="N206">
        <v>279.5</v>
      </c>
      <c r="O206" s="3">
        <f t="shared" si="14"/>
        <v>4.4827586206896548</v>
      </c>
      <c r="P206">
        <f t="shared" si="12"/>
        <v>1</v>
      </c>
      <c r="Q206">
        <f t="shared" si="13"/>
        <v>0</v>
      </c>
    </row>
    <row r="207" spans="1:17" x14ac:dyDescent="0.2">
      <c r="A207" t="s">
        <v>21</v>
      </c>
      <c r="B207" t="s">
        <v>54</v>
      </c>
      <c r="C207">
        <v>180</v>
      </c>
      <c r="D207" s="2">
        <v>0</v>
      </c>
      <c r="E207">
        <v>15</v>
      </c>
      <c r="F207">
        <v>2.5</v>
      </c>
      <c r="G207">
        <v>0</v>
      </c>
      <c r="H207">
        <v>35</v>
      </c>
      <c r="I207">
        <v>450</v>
      </c>
      <c r="J207">
        <v>5</v>
      </c>
      <c r="K207">
        <v>1</v>
      </c>
      <c r="L207">
        <v>0</v>
      </c>
      <c r="M207">
        <v>8</v>
      </c>
      <c r="N207">
        <v>174.5</v>
      </c>
      <c r="O207" s="3">
        <f t="shared" si="14"/>
        <v>4.4444444444444446</v>
      </c>
      <c r="P207">
        <f t="shared" si="12"/>
        <v>0</v>
      </c>
      <c r="Q207">
        <f t="shared" si="13"/>
        <v>0</v>
      </c>
    </row>
    <row r="208" spans="1:17" x14ac:dyDescent="0.2">
      <c r="A208" t="s">
        <v>21</v>
      </c>
      <c r="B208" t="s">
        <v>289</v>
      </c>
      <c r="C208">
        <v>540</v>
      </c>
      <c r="D208" s="2">
        <v>0</v>
      </c>
      <c r="E208">
        <v>32</v>
      </c>
      <c r="F208">
        <v>4.5</v>
      </c>
      <c r="G208">
        <v>0</v>
      </c>
      <c r="H208">
        <v>60</v>
      </c>
      <c r="I208">
        <v>1290</v>
      </c>
      <c r="J208">
        <v>40</v>
      </c>
      <c r="K208" s="2">
        <v>0</v>
      </c>
      <c r="L208">
        <v>5</v>
      </c>
      <c r="M208">
        <v>24</v>
      </c>
      <c r="N208">
        <v>525.5</v>
      </c>
      <c r="O208" s="3">
        <f t="shared" si="14"/>
        <v>4.4444444444444446</v>
      </c>
      <c r="P208">
        <f t="shared" si="12"/>
        <v>1</v>
      </c>
      <c r="Q208">
        <f t="shared" si="13"/>
        <v>0</v>
      </c>
    </row>
    <row r="209" spans="1:17" x14ac:dyDescent="0.2">
      <c r="A209" t="s">
        <v>21</v>
      </c>
      <c r="B209" t="s">
        <v>290</v>
      </c>
      <c r="C209">
        <v>630</v>
      </c>
      <c r="D209" s="2">
        <v>0</v>
      </c>
      <c r="E209">
        <v>34</v>
      </c>
      <c r="F209">
        <v>7</v>
      </c>
      <c r="G209">
        <v>0</v>
      </c>
      <c r="H209">
        <v>70</v>
      </c>
      <c r="I209">
        <v>1260</v>
      </c>
      <c r="J209">
        <v>53</v>
      </c>
      <c r="K209">
        <v>4</v>
      </c>
      <c r="L209">
        <v>3</v>
      </c>
      <c r="M209">
        <v>28</v>
      </c>
      <c r="N209">
        <v>612</v>
      </c>
      <c r="O209" s="3">
        <f t="shared" si="14"/>
        <v>4.4444444444444446</v>
      </c>
      <c r="P209">
        <f t="shared" si="12"/>
        <v>1</v>
      </c>
      <c r="Q209">
        <f t="shared" si="13"/>
        <v>0</v>
      </c>
    </row>
    <row r="210" spans="1:17" x14ac:dyDescent="0.2">
      <c r="A210" t="s">
        <v>21</v>
      </c>
      <c r="B210" t="s">
        <v>301</v>
      </c>
      <c r="C210">
        <v>250</v>
      </c>
      <c r="D210" s="2">
        <v>0</v>
      </c>
      <c r="E210">
        <v>21</v>
      </c>
      <c r="F210">
        <v>3.5</v>
      </c>
      <c r="G210">
        <v>0</v>
      </c>
      <c r="H210">
        <v>50</v>
      </c>
      <c r="I210">
        <v>530</v>
      </c>
      <c r="J210">
        <v>6</v>
      </c>
      <c r="K210">
        <v>1</v>
      </c>
      <c r="L210">
        <v>0</v>
      </c>
      <c r="M210">
        <v>11</v>
      </c>
      <c r="N210">
        <v>242.5</v>
      </c>
      <c r="O210" s="3">
        <f t="shared" si="14"/>
        <v>4.3999999999999995</v>
      </c>
      <c r="P210">
        <f t="shared" si="12"/>
        <v>1</v>
      </c>
      <c r="Q210">
        <f t="shared" si="13"/>
        <v>0</v>
      </c>
    </row>
    <row r="211" spans="1:17" x14ac:dyDescent="0.2">
      <c r="A211" t="s">
        <v>21</v>
      </c>
      <c r="B211" t="s">
        <v>302</v>
      </c>
      <c r="C211">
        <v>500</v>
      </c>
      <c r="D211" s="2">
        <v>0</v>
      </c>
      <c r="E211">
        <v>40</v>
      </c>
      <c r="F211">
        <v>7</v>
      </c>
      <c r="G211">
        <v>0</v>
      </c>
      <c r="H211">
        <v>100</v>
      </c>
      <c r="I211">
        <v>970</v>
      </c>
      <c r="J211">
        <v>11</v>
      </c>
      <c r="K211">
        <v>1</v>
      </c>
      <c r="L211">
        <v>1</v>
      </c>
      <c r="M211">
        <v>22</v>
      </c>
      <c r="N211">
        <v>486</v>
      </c>
      <c r="O211" s="3">
        <f t="shared" si="14"/>
        <v>4.3999999999999995</v>
      </c>
      <c r="P211">
        <f t="shared" si="12"/>
        <v>1</v>
      </c>
      <c r="Q211">
        <f t="shared" si="13"/>
        <v>0</v>
      </c>
    </row>
    <row r="212" spans="1:17" x14ac:dyDescent="0.2">
      <c r="A212" t="s">
        <v>21</v>
      </c>
      <c r="B212" t="s">
        <v>306</v>
      </c>
      <c r="C212">
        <v>320</v>
      </c>
      <c r="D212" s="2">
        <v>0</v>
      </c>
      <c r="E212">
        <v>15</v>
      </c>
      <c r="F212">
        <v>2.5</v>
      </c>
      <c r="G212">
        <v>0</v>
      </c>
      <c r="H212">
        <v>30</v>
      </c>
      <c r="I212">
        <v>680</v>
      </c>
      <c r="J212">
        <v>31</v>
      </c>
      <c r="K212">
        <v>1</v>
      </c>
      <c r="L212">
        <v>7</v>
      </c>
      <c r="M212">
        <v>14</v>
      </c>
      <c r="N212">
        <v>315.5</v>
      </c>
      <c r="O212" s="3">
        <f t="shared" si="14"/>
        <v>4.375</v>
      </c>
      <c r="P212">
        <f t="shared" si="12"/>
        <v>1</v>
      </c>
      <c r="Q212">
        <f t="shared" si="13"/>
        <v>0</v>
      </c>
    </row>
    <row r="213" spans="1:17" x14ac:dyDescent="0.2">
      <c r="A213" t="s">
        <v>21</v>
      </c>
      <c r="B213" t="s">
        <v>313</v>
      </c>
      <c r="C213">
        <v>620</v>
      </c>
      <c r="D213" s="2">
        <v>0</v>
      </c>
      <c r="E213">
        <v>39</v>
      </c>
      <c r="F213">
        <v>5</v>
      </c>
      <c r="G213">
        <v>0</v>
      </c>
      <c r="H213">
        <v>65</v>
      </c>
      <c r="I213">
        <v>1820</v>
      </c>
      <c r="J213">
        <v>39</v>
      </c>
      <c r="K213">
        <v>2</v>
      </c>
      <c r="L213">
        <v>0</v>
      </c>
      <c r="M213">
        <v>27</v>
      </c>
      <c r="N213">
        <v>598</v>
      </c>
      <c r="O213" s="3">
        <f t="shared" si="14"/>
        <v>4.354838709677419</v>
      </c>
      <c r="P213">
        <f t="shared" si="12"/>
        <v>1</v>
      </c>
      <c r="Q213">
        <f t="shared" si="13"/>
        <v>0</v>
      </c>
    </row>
    <row r="214" spans="1:17" x14ac:dyDescent="0.2">
      <c r="A214" t="s">
        <v>21</v>
      </c>
      <c r="B214" t="s">
        <v>350</v>
      </c>
      <c r="C214">
        <v>340</v>
      </c>
      <c r="D214" s="2">
        <v>0</v>
      </c>
      <c r="E214">
        <v>19</v>
      </c>
      <c r="F214">
        <v>3</v>
      </c>
      <c r="G214">
        <v>0</v>
      </c>
      <c r="H214">
        <v>30</v>
      </c>
      <c r="I214">
        <v>680</v>
      </c>
      <c r="J214">
        <v>27</v>
      </c>
      <c r="K214">
        <v>1</v>
      </c>
      <c r="L214">
        <v>3</v>
      </c>
      <c r="M214">
        <v>14</v>
      </c>
      <c r="N214">
        <v>332</v>
      </c>
      <c r="O214" s="3">
        <f t="shared" si="14"/>
        <v>4.117647058823529</v>
      </c>
      <c r="P214">
        <f t="shared" si="12"/>
        <v>1</v>
      </c>
      <c r="Q214">
        <f t="shared" si="13"/>
        <v>0</v>
      </c>
    </row>
    <row r="215" spans="1:17" x14ac:dyDescent="0.2">
      <c r="A215" t="s">
        <v>21</v>
      </c>
      <c r="B215" t="s">
        <v>361</v>
      </c>
      <c r="C215">
        <v>270</v>
      </c>
      <c r="D215" s="2">
        <v>0</v>
      </c>
      <c r="E215">
        <v>14</v>
      </c>
      <c r="F215">
        <v>3.5</v>
      </c>
      <c r="G215">
        <v>0</v>
      </c>
      <c r="H215">
        <v>20</v>
      </c>
      <c r="I215">
        <v>850</v>
      </c>
      <c r="J215">
        <v>27</v>
      </c>
      <c r="K215">
        <v>2</v>
      </c>
      <c r="L215">
        <v>1</v>
      </c>
      <c r="M215">
        <v>11</v>
      </c>
      <c r="N215">
        <v>263.5</v>
      </c>
      <c r="O215" s="3">
        <f t="shared" si="14"/>
        <v>4.0740740740740744</v>
      </c>
      <c r="P215">
        <f t="shared" si="12"/>
        <v>1</v>
      </c>
      <c r="Q215">
        <f t="shared" si="13"/>
        <v>0</v>
      </c>
    </row>
    <row r="216" spans="1:17" x14ac:dyDescent="0.2">
      <c r="A216" t="s">
        <v>21</v>
      </c>
      <c r="B216" t="s">
        <v>374</v>
      </c>
      <c r="C216">
        <v>25</v>
      </c>
      <c r="D216" s="2">
        <v>0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5</v>
      </c>
      <c r="K216">
        <v>3</v>
      </c>
      <c r="L216">
        <v>1</v>
      </c>
      <c r="M216">
        <v>1</v>
      </c>
      <c r="N216">
        <v>25</v>
      </c>
      <c r="O216" s="3">
        <f t="shared" si="14"/>
        <v>4</v>
      </c>
      <c r="P216">
        <f t="shared" si="12"/>
        <v>0</v>
      </c>
      <c r="Q216">
        <f t="shared" si="13"/>
        <v>0</v>
      </c>
    </row>
    <row r="217" spans="1:17" x14ac:dyDescent="0.2">
      <c r="A217" t="s">
        <v>21</v>
      </c>
      <c r="B217" t="s">
        <v>400</v>
      </c>
      <c r="C217">
        <v>130</v>
      </c>
      <c r="D217" s="2">
        <v>0</v>
      </c>
      <c r="E217">
        <v>11</v>
      </c>
      <c r="F217">
        <v>2</v>
      </c>
      <c r="G217">
        <v>0</v>
      </c>
      <c r="H217">
        <v>20</v>
      </c>
      <c r="I217">
        <v>230</v>
      </c>
      <c r="J217">
        <v>4</v>
      </c>
      <c r="K217">
        <v>0</v>
      </c>
      <c r="L217">
        <v>0</v>
      </c>
      <c r="M217">
        <v>5</v>
      </c>
      <c r="N217">
        <v>127</v>
      </c>
      <c r="O217" s="3">
        <f t="shared" si="14"/>
        <v>3.8461538461538463</v>
      </c>
      <c r="P217">
        <f t="shared" si="12"/>
        <v>0</v>
      </c>
      <c r="Q217">
        <f t="shared" si="13"/>
        <v>0</v>
      </c>
    </row>
    <row r="218" spans="1:17" x14ac:dyDescent="0.2">
      <c r="A218" t="s">
        <v>21</v>
      </c>
      <c r="B218" t="s">
        <v>427</v>
      </c>
      <c r="C218">
        <v>720</v>
      </c>
      <c r="D218" s="2">
        <v>0</v>
      </c>
      <c r="E218">
        <v>41</v>
      </c>
      <c r="F218">
        <v>25</v>
      </c>
      <c r="G218">
        <v>0</v>
      </c>
      <c r="H218">
        <v>80</v>
      </c>
      <c r="I218">
        <v>1750</v>
      </c>
      <c r="J218">
        <v>60</v>
      </c>
      <c r="K218">
        <v>7</v>
      </c>
      <c r="L218">
        <v>5</v>
      </c>
      <c r="M218">
        <v>26</v>
      </c>
      <c r="N218">
        <v>724</v>
      </c>
      <c r="O218" s="3">
        <f t="shared" si="14"/>
        <v>3.6111111111111107</v>
      </c>
      <c r="P218">
        <f t="shared" si="12"/>
        <v>1</v>
      </c>
      <c r="Q218">
        <f t="shared" si="13"/>
        <v>0</v>
      </c>
    </row>
    <row r="219" spans="1:17" x14ac:dyDescent="0.2">
      <c r="A219" t="s">
        <v>21</v>
      </c>
      <c r="B219" t="s">
        <v>428</v>
      </c>
      <c r="C219">
        <v>360</v>
      </c>
      <c r="D219" s="2">
        <v>0</v>
      </c>
      <c r="E219">
        <v>24</v>
      </c>
      <c r="F219">
        <v>7</v>
      </c>
      <c r="G219">
        <v>1</v>
      </c>
      <c r="H219">
        <v>35</v>
      </c>
      <c r="I219">
        <v>750</v>
      </c>
      <c r="J219">
        <v>22</v>
      </c>
      <c r="K219">
        <v>2</v>
      </c>
      <c r="L219">
        <v>0</v>
      </c>
      <c r="M219">
        <v>13</v>
      </c>
      <c r="N219">
        <v>354</v>
      </c>
      <c r="O219" s="3">
        <f t="shared" si="14"/>
        <v>3.6111111111111107</v>
      </c>
      <c r="P219">
        <f t="shared" si="12"/>
        <v>1</v>
      </c>
      <c r="Q219">
        <f t="shared" si="13"/>
        <v>0</v>
      </c>
    </row>
    <row r="220" spans="1:17" x14ac:dyDescent="0.2">
      <c r="A220" t="s">
        <v>21</v>
      </c>
      <c r="B220" t="s">
        <v>434</v>
      </c>
      <c r="C220">
        <v>140</v>
      </c>
      <c r="D220" s="2">
        <v>0</v>
      </c>
      <c r="E220">
        <v>6</v>
      </c>
      <c r="F220">
        <v>1.5</v>
      </c>
      <c r="G220">
        <v>0</v>
      </c>
      <c r="H220">
        <v>0</v>
      </c>
      <c r="I220">
        <v>590</v>
      </c>
      <c r="J220">
        <v>17</v>
      </c>
      <c r="K220">
        <v>1</v>
      </c>
      <c r="L220">
        <v>2</v>
      </c>
      <c r="M220">
        <v>5</v>
      </c>
      <c r="N220">
        <v>138.5</v>
      </c>
      <c r="O220" s="3">
        <f t="shared" si="14"/>
        <v>3.5714285714285712</v>
      </c>
      <c r="P220">
        <f t="shared" si="12"/>
        <v>1</v>
      </c>
      <c r="Q220">
        <f t="shared" si="13"/>
        <v>0</v>
      </c>
    </row>
    <row r="221" spans="1:17" x14ac:dyDescent="0.2">
      <c r="A221" t="s">
        <v>21</v>
      </c>
      <c r="B221" t="s">
        <v>435</v>
      </c>
      <c r="C221">
        <v>280</v>
      </c>
      <c r="D221" s="2">
        <v>0</v>
      </c>
      <c r="E221">
        <v>2.5</v>
      </c>
      <c r="F221">
        <v>0</v>
      </c>
      <c r="G221">
        <v>0</v>
      </c>
      <c r="H221">
        <v>0</v>
      </c>
      <c r="I221">
        <v>10</v>
      </c>
      <c r="J221">
        <v>67</v>
      </c>
      <c r="K221">
        <v>7</v>
      </c>
      <c r="L221">
        <v>8</v>
      </c>
      <c r="M221">
        <v>10</v>
      </c>
      <c r="N221">
        <v>278</v>
      </c>
      <c r="O221" s="3">
        <f t="shared" si="14"/>
        <v>3.5714285714285712</v>
      </c>
      <c r="P221">
        <f t="shared" si="12"/>
        <v>0</v>
      </c>
      <c r="Q221">
        <f t="shared" si="13"/>
        <v>0</v>
      </c>
    </row>
    <row r="222" spans="1:17" x14ac:dyDescent="0.2">
      <c r="A222" t="s">
        <v>21</v>
      </c>
      <c r="B222" t="s">
        <v>440</v>
      </c>
      <c r="C222">
        <v>740</v>
      </c>
      <c r="D222" s="2">
        <v>0</v>
      </c>
      <c r="E222">
        <v>35</v>
      </c>
      <c r="F222">
        <v>6</v>
      </c>
      <c r="G222">
        <v>0</v>
      </c>
      <c r="H222">
        <v>45</v>
      </c>
      <c r="I222">
        <v>2350</v>
      </c>
      <c r="J222">
        <v>81</v>
      </c>
      <c r="K222">
        <v>6</v>
      </c>
      <c r="L222">
        <v>2</v>
      </c>
      <c r="M222">
        <v>26</v>
      </c>
      <c r="N222">
        <v>722</v>
      </c>
      <c r="O222" s="3">
        <f t="shared" si="14"/>
        <v>3.5135135135135136</v>
      </c>
      <c r="P222">
        <f t="shared" si="12"/>
        <v>1</v>
      </c>
      <c r="Q222">
        <f t="shared" si="13"/>
        <v>0</v>
      </c>
    </row>
    <row r="223" spans="1:17" x14ac:dyDescent="0.2">
      <c r="A223" t="s">
        <v>21</v>
      </c>
      <c r="B223" t="s">
        <v>442</v>
      </c>
      <c r="C223">
        <v>290</v>
      </c>
      <c r="D223" s="2">
        <v>0</v>
      </c>
      <c r="E223">
        <v>25</v>
      </c>
      <c r="F223">
        <v>4</v>
      </c>
      <c r="G223">
        <v>0</v>
      </c>
      <c r="H223">
        <v>45</v>
      </c>
      <c r="I223">
        <v>520</v>
      </c>
      <c r="J223">
        <v>6</v>
      </c>
      <c r="K223">
        <v>1</v>
      </c>
      <c r="L223">
        <v>1</v>
      </c>
      <c r="M223">
        <v>10</v>
      </c>
      <c r="N223">
        <v>285</v>
      </c>
      <c r="O223" s="3">
        <f t="shared" si="14"/>
        <v>3.4482758620689653</v>
      </c>
      <c r="P223">
        <f t="shared" si="12"/>
        <v>1</v>
      </c>
      <c r="Q223">
        <f t="shared" si="13"/>
        <v>0</v>
      </c>
    </row>
    <row r="224" spans="1:17" x14ac:dyDescent="0.2">
      <c r="A224" t="s">
        <v>21</v>
      </c>
      <c r="B224" t="s">
        <v>55</v>
      </c>
      <c r="C224">
        <v>390</v>
      </c>
      <c r="D224" s="2">
        <v>0</v>
      </c>
      <c r="E224">
        <v>32</v>
      </c>
      <c r="F224">
        <v>6</v>
      </c>
      <c r="G224">
        <v>0</v>
      </c>
      <c r="H224">
        <v>65</v>
      </c>
      <c r="I224">
        <v>900</v>
      </c>
      <c r="J224">
        <v>12</v>
      </c>
      <c r="K224">
        <v>2</v>
      </c>
      <c r="L224">
        <v>1</v>
      </c>
      <c r="M224">
        <v>13</v>
      </c>
      <c r="N224">
        <v>384</v>
      </c>
      <c r="O224" s="3">
        <f t="shared" si="14"/>
        <v>3.3333333333333335</v>
      </c>
      <c r="P224">
        <f t="shared" si="12"/>
        <v>1</v>
      </c>
      <c r="Q224">
        <f t="shared" si="13"/>
        <v>0</v>
      </c>
    </row>
    <row r="225" spans="1:17" x14ac:dyDescent="0.2">
      <c r="A225" t="s">
        <v>21</v>
      </c>
      <c r="B225" t="s">
        <v>455</v>
      </c>
      <c r="C225">
        <v>540</v>
      </c>
      <c r="D225" s="2">
        <v>0</v>
      </c>
      <c r="E225">
        <v>23</v>
      </c>
      <c r="F225">
        <v>6</v>
      </c>
      <c r="G225">
        <v>0</v>
      </c>
      <c r="H225">
        <v>10</v>
      </c>
      <c r="I225">
        <v>2220</v>
      </c>
      <c r="J225">
        <v>66</v>
      </c>
      <c r="K225">
        <v>5</v>
      </c>
      <c r="L225">
        <v>8</v>
      </c>
      <c r="M225">
        <v>18</v>
      </c>
      <c r="N225">
        <v>536</v>
      </c>
      <c r="O225" s="3">
        <f t="shared" si="14"/>
        <v>3.3333333333333335</v>
      </c>
      <c r="P225">
        <f t="shared" si="12"/>
        <v>1</v>
      </c>
      <c r="Q225">
        <f t="shared" si="13"/>
        <v>0</v>
      </c>
    </row>
    <row r="226" spans="1:17" x14ac:dyDescent="0.2">
      <c r="A226" t="s">
        <v>21</v>
      </c>
      <c r="B226" t="s">
        <v>456</v>
      </c>
      <c r="C226">
        <v>60</v>
      </c>
      <c r="D226" s="2">
        <v>0</v>
      </c>
      <c r="E226">
        <v>3</v>
      </c>
      <c r="F226">
        <v>0</v>
      </c>
      <c r="G226">
        <v>0</v>
      </c>
      <c r="H226">
        <v>0</v>
      </c>
      <c r="I226">
        <v>135</v>
      </c>
      <c r="J226">
        <v>8</v>
      </c>
      <c r="K226" s="2">
        <v>0</v>
      </c>
      <c r="L226">
        <v>0</v>
      </c>
      <c r="M226">
        <v>2</v>
      </c>
      <c r="N226">
        <v>58</v>
      </c>
      <c r="O226" s="3">
        <f t="shared" si="14"/>
        <v>3.3333333333333335</v>
      </c>
      <c r="P226">
        <f t="shared" si="12"/>
        <v>0</v>
      </c>
      <c r="Q226">
        <f t="shared" si="13"/>
        <v>0</v>
      </c>
    </row>
    <row r="227" spans="1:17" x14ac:dyDescent="0.2">
      <c r="A227" t="s">
        <v>21</v>
      </c>
      <c r="B227" t="s">
        <v>457</v>
      </c>
      <c r="C227">
        <v>390</v>
      </c>
      <c r="D227" s="2">
        <v>0</v>
      </c>
      <c r="E227">
        <v>26</v>
      </c>
      <c r="F227">
        <v>7</v>
      </c>
      <c r="G227">
        <v>1</v>
      </c>
      <c r="H227">
        <v>35</v>
      </c>
      <c r="I227">
        <v>910</v>
      </c>
      <c r="J227">
        <v>26</v>
      </c>
      <c r="K227">
        <v>2</v>
      </c>
      <c r="L227">
        <v>0</v>
      </c>
      <c r="M227">
        <v>13</v>
      </c>
      <c r="N227">
        <v>384</v>
      </c>
      <c r="O227" s="3">
        <f t="shared" ref="O227:O258" si="15">M227/C227*100</f>
        <v>3.3333333333333335</v>
      </c>
      <c r="P227">
        <f t="shared" si="12"/>
        <v>1</v>
      </c>
      <c r="Q227">
        <f t="shared" si="13"/>
        <v>0</v>
      </c>
    </row>
    <row r="228" spans="1:17" x14ac:dyDescent="0.2">
      <c r="A228" t="s">
        <v>21</v>
      </c>
      <c r="B228" t="s">
        <v>463</v>
      </c>
      <c r="C228">
        <v>280</v>
      </c>
      <c r="D228" s="2">
        <v>0</v>
      </c>
      <c r="E228">
        <v>2</v>
      </c>
      <c r="F228">
        <v>0</v>
      </c>
      <c r="G228">
        <v>0</v>
      </c>
      <c r="H228">
        <v>0</v>
      </c>
      <c r="I228">
        <v>15</v>
      </c>
      <c r="J228">
        <v>67</v>
      </c>
      <c r="K228">
        <v>8</v>
      </c>
      <c r="L228">
        <v>11</v>
      </c>
      <c r="M228">
        <v>9</v>
      </c>
      <c r="N228">
        <v>282</v>
      </c>
      <c r="O228" s="3">
        <f t="shared" si="15"/>
        <v>3.214285714285714</v>
      </c>
      <c r="P228">
        <f t="shared" si="12"/>
        <v>0</v>
      </c>
      <c r="Q228">
        <f t="shared" si="13"/>
        <v>0</v>
      </c>
    </row>
    <row r="229" spans="1:17" x14ac:dyDescent="0.2">
      <c r="A229" t="s">
        <v>21</v>
      </c>
      <c r="B229" t="s">
        <v>513</v>
      </c>
      <c r="C229">
        <v>70</v>
      </c>
      <c r="D229" s="2">
        <v>0</v>
      </c>
      <c r="E229">
        <v>0.5</v>
      </c>
      <c r="F229">
        <v>0</v>
      </c>
      <c r="G229">
        <v>0</v>
      </c>
      <c r="H229">
        <v>0</v>
      </c>
      <c r="I229">
        <v>0</v>
      </c>
      <c r="J229">
        <v>17</v>
      </c>
      <c r="K229">
        <v>2</v>
      </c>
      <c r="L229">
        <v>3</v>
      </c>
      <c r="M229">
        <v>2</v>
      </c>
      <c r="N229">
        <v>71</v>
      </c>
      <c r="O229" s="3">
        <f t="shared" si="15"/>
        <v>2.8571428571428572</v>
      </c>
      <c r="P229">
        <f t="shared" si="12"/>
        <v>0</v>
      </c>
      <c r="Q229">
        <f t="shared" si="13"/>
        <v>0</v>
      </c>
    </row>
    <row r="230" spans="1:17" x14ac:dyDescent="0.2">
      <c r="A230" t="s">
        <v>21</v>
      </c>
      <c r="B230" t="s">
        <v>514</v>
      </c>
      <c r="C230">
        <v>70</v>
      </c>
      <c r="D230" s="2">
        <v>0</v>
      </c>
      <c r="E230">
        <v>0.5</v>
      </c>
      <c r="F230">
        <v>0</v>
      </c>
      <c r="G230">
        <v>0</v>
      </c>
      <c r="H230">
        <v>0</v>
      </c>
      <c r="I230">
        <v>0</v>
      </c>
      <c r="J230">
        <v>16</v>
      </c>
      <c r="K230">
        <v>2</v>
      </c>
      <c r="L230">
        <v>2</v>
      </c>
      <c r="M230">
        <v>2</v>
      </c>
      <c r="N230">
        <v>70</v>
      </c>
      <c r="O230" s="3">
        <f t="shared" si="15"/>
        <v>2.8571428571428572</v>
      </c>
      <c r="P230">
        <f t="shared" si="12"/>
        <v>0</v>
      </c>
      <c r="Q230">
        <f t="shared" si="13"/>
        <v>0</v>
      </c>
    </row>
    <row r="231" spans="1:17" x14ac:dyDescent="0.2">
      <c r="A231" t="s">
        <v>21</v>
      </c>
      <c r="B231" t="s">
        <v>515</v>
      </c>
      <c r="C231">
        <v>35</v>
      </c>
      <c r="D231" s="2">
        <v>0</v>
      </c>
      <c r="E231">
        <v>0</v>
      </c>
      <c r="F231">
        <v>0</v>
      </c>
      <c r="G231">
        <v>0</v>
      </c>
      <c r="H231">
        <v>0</v>
      </c>
      <c r="I231">
        <v>410</v>
      </c>
      <c r="J231">
        <v>8</v>
      </c>
      <c r="K231">
        <v>0</v>
      </c>
      <c r="L231">
        <v>2</v>
      </c>
      <c r="M231">
        <v>1</v>
      </c>
      <c r="N231">
        <v>36</v>
      </c>
      <c r="O231" s="3">
        <f t="shared" si="15"/>
        <v>2.8571428571428572</v>
      </c>
      <c r="P231">
        <f t="shared" si="12"/>
        <v>0</v>
      </c>
      <c r="Q231">
        <f t="shared" si="13"/>
        <v>0</v>
      </c>
    </row>
    <row r="232" spans="1:17" x14ac:dyDescent="0.2">
      <c r="A232" t="s">
        <v>21</v>
      </c>
      <c r="B232" t="s">
        <v>585</v>
      </c>
      <c r="C232">
        <v>130</v>
      </c>
      <c r="D232" s="2">
        <v>0</v>
      </c>
      <c r="E232">
        <v>4.5</v>
      </c>
      <c r="F232">
        <v>1</v>
      </c>
      <c r="G232">
        <v>0</v>
      </c>
      <c r="H232">
        <v>0</v>
      </c>
      <c r="I232">
        <v>520</v>
      </c>
      <c r="J232">
        <v>20</v>
      </c>
      <c r="K232">
        <v>1</v>
      </c>
      <c r="L232">
        <v>0</v>
      </c>
      <c r="M232">
        <v>3</v>
      </c>
      <c r="N232">
        <v>128</v>
      </c>
      <c r="O232" s="3">
        <f t="shared" si="15"/>
        <v>2.3076923076923079</v>
      </c>
      <c r="P232">
        <f t="shared" si="12"/>
        <v>1</v>
      </c>
      <c r="Q232">
        <f t="shared" si="13"/>
        <v>0</v>
      </c>
    </row>
    <row r="233" spans="1:17" x14ac:dyDescent="0.2">
      <c r="A233" t="s">
        <v>21</v>
      </c>
      <c r="B233" t="s">
        <v>605</v>
      </c>
      <c r="C233">
        <v>180</v>
      </c>
      <c r="D233" s="2">
        <v>0</v>
      </c>
      <c r="E233">
        <v>8</v>
      </c>
      <c r="F233">
        <v>4.5</v>
      </c>
      <c r="G233">
        <v>0</v>
      </c>
      <c r="H233">
        <v>0</v>
      </c>
      <c r="I233">
        <v>520</v>
      </c>
      <c r="J233">
        <v>22</v>
      </c>
      <c r="K233">
        <v>1</v>
      </c>
      <c r="L233">
        <v>1</v>
      </c>
      <c r="M233">
        <v>4</v>
      </c>
      <c r="N233">
        <v>181.5</v>
      </c>
      <c r="O233" s="3">
        <f t="shared" si="15"/>
        <v>2.2222222222222223</v>
      </c>
      <c r="P233">
        <f t="shared" si="12"/>
        <v>1</v>
      </c>
      <c r="Q233">
        <f t="shared" si="13"/>
        <v>0</v>
      </c>
    </row>
    <row r="234" spans="1:17" x14ac:dyDescent="0.2">
      <c r="A234" t="s">
        <v>21</v>
      </c>
      <c r="B234" t="s">
        <v>626</v>
      </c>
      <c r="C234">
        <v>590</v>
      </c>
      <c r="D234" s="2">
        <v>0</v>
      </c>
      <c r="E234">
        <v>21</v>
      </c>
      <c r="F234">
        <v>5</v>
      </c>
      <c r="G234">
        <v>0</v>
      </c>
      <c r="H234">
        <v>0</v>
      </c>
      <c r="I234">
        <v>2590</v>
      </c>
      <c r="J234">
        <v>88</v>
      </c>
      <c r="K234">
        <v>6</v>
      </c>
      <c r="L234">
        <v>1</v>
      </c>
      <c r="M234">
        <v>12</v>
      </c>
      <c r="N234">
        <v>584</v>
      </c>
      <c r="O234" s="3">
        <f t="shared" si="15"/>
        <v>2.0338983050847457</v>
      </c>
      <c r="P234">
        <f t="shared" si="12"/>
        <v>1</v>
      </c>
      <c r="Q234">
        <f t="shared" si="13"/>
        <v>0</v>
      </c>
    </row>
    <row r="235" spans="1:17" x14ac:dyDescent="0.2">
      <c r="A235" t="s">
        <v>21</v>
      </c>
      <c r="B235" t="s">
        <v>629</v>
      </c>
      <c r="C235">
        <v>460</v>
      </c>
      <c r="D235" s="2">
        <v>0</v>
      </c>
      <c r="E235">
        <v>15</v>
      </c>
      <c r="F235">
        <v>3</v>
      </c>
      <c r="G235">
        <v>0</v>
      </c>
      <c r="H235">
        <v>0</v>
      </c>
      <c r="I235">
        <v>1410</v>
      </c>
      <c r="J235">
        <v>72</v>
      </c>
      <c r="K235">
        <v>6</v>
      </c>
      <c r="L235">
        <v>0</v>
      </c>
      <c r="M235">
        <v>9</v>
      </c>
      <c r="N235">
        <v>454</v>
      </c>
      <c r="O235" s="3">
        <f t="shared" si="15"/>
        <v>1.956521739130435</v>
      </c>
      <c r="P235">
        <f t="shared" si="12"/>
        <v>1</v>
      </c>
      <c r="Q235">
        <f t="shared" si="13"/>
        <v>0</v>
      </c>
    </row>
    <row r="236" spans="1:17" x14ac:dyDescent="0.2">
      <c r="A236" t="s">
        <v>21</v>
      </c>
      <c r="B236" t="s">
        <v>641</v>
      </c>
      <c r="C236">
        <v>110</v>
      </c>
      <c r="D236" s="2">
        <v>0</v>
      </c>
      <c r="E236">
        <v>3.5</v>
      </c>
      <c r="F236">
        <v>0.5</v>
      </c>
      <c r="G236">
        <v>0</v>
      </c>
      <c r="H236">
        <v>0</v>
      </c>
      <c r="I236">
        <v>330</v>
      </c>
      <c r="J236">
        <v>17</v>
      </c>
      <c r="K236">
        <v>1</v>
      </c>
      <c r="L236">
        <v>0</v>
      </c>
      <c r="M236">
        <v>2</v>
      </c>
      <c r="N236">
        <v>108.5</v>
      </c>
      <c r="O236" s="3">
        <f t="shared" si="15"/>
        <v>1.8181818181818181</v>
      </c>
      <c r="P236">
        <f t="shared" si="12"/>
        <v>0</v>
      </c>
      <c r="Q236">
        <f t="shared" si="13"/>
        <v>0</v>
      </c>
    </row>
    <row r="237" spans="1:17" x14ac:dyDescent="0.2">
      <c r="A237" t="s">
        <v>21</v>
      </c>
      <c r="B237" t="s">
        <v>649</v>
      </c>
      <c r="C237">
        <v>300</v>
      </c>
      <c r="D237" s="2">
        <v>0</v>
      </c>
      <c r="E237">
        <v>17</v>
      </c>
      <c r="F237">
        <v>9</v>
      </c>
      <c r="G237">
        <v>0</v>
      </c>
      <c r="H237">
        <v>0</v>
      </c>
      <c r="I237">
        <v>270</v>
      </c>
      <c r="J237">
        <v>33</v>
      </c>
      <c r="K237">
        <v>1</v>
      </c>
      <c r="L237">
        <v>22</v>
      </c>
      <c r="M237">
        <v>5</v>
      </c>
      <c r="N237">
        <v>326</v>
      </c>
      <c r="O237" s="3">
        <f t="shared" si="15"/>
        <v>1.6666666666666667</v>
      </c>
      <c r="P237">
        <f t="shared" si="12"/>
        <v>0</v>
      </c>
      <c r="Q237">
        <f t="shared" si="13"/>
        <v>0</v>
      </c>
    </row>
    <row r="238" spans="1:17" x14ac:dyDescent="0.2">
      <c r="A238" t="s">
        <v>21</v>
      </c>
      <c r="B238" t="s">
        <v>654</v>
      </c>
      <c r="C238">
        <v>320</v>
      </c>
      <c r="D238" s="2">
        <v>0</v>
      </c>
      <c r="E238">
        <v>15</v>
      </c>
      <c r="F238">
        <v>2</v>
      </c>
      <c r="G238">
        <v>0</v>
      </c>
      <c r="H238">
        <v>0</v>
      </c>
      <c r="I238">
        <v>1100</v>
      </c>
      <c r="J238">
        <v>41</v>
      </c>
      <c r="K238">
        <v>3</v>
      </c>
      <c r="L238">
        <v>0</v>
      </c>
      <c r="M238">
        <v>5</v>
      </c>
      <c r="N238">
        <v>317</v>
      </c>
      <c r="O238" s="3">
        <f t="shared" si="15"/>
        <v>1.5625</v>
      </c>
      <c r="P238">
        <f t="shared" si="12"/>
        <v>1</v>
      </c>
      <c r="Q238">
        <f t="shared" si="13"/>
        <v>0</v>
      </c>
    </row>
    <row r="239" spans="1:17" x14ac:dyDescent="0.2">
      <c r="A239" t="s">
        <v>21</v>
      </c>
      <c r="B239" t="s">
        <v>656</v>
      </c>
      <c r="C239">
        <v>840</v>
      </c>
      <c r="D239" s="2">
        <v>0</v>
      </c>
      <c r="E239">
        <v>40</v>
      </c>
      <c r="F239">
        <v>5</v>
      </c>
      <c r="G239">
        <v>0</v>
      </c>
      <c r="H239">
        <v>0</v>
      </c>
      <c r="I239">
        <v>2890</v>
      </c>
      <c r="J239">
        <v>108</v>
      </c>
      <c r="K239">
        <v>9</v>
      </c>
      <c r="L239">
        <v>0</v>
      </c>
      <c r="M239">
        <v>13</v>
      </c>
      <c r="N239">
        <v>832</v>
      </c>
      <c r="O239" s="3">
        <f t="shared" si="15"/>
        <v>1.5476190476190477</v>
      </c>
      <c r="P239">
        <f t="shared" si="12"/>
        <v>1</v>
      </c>
      <c r="Q239">
        <f t="shared" si="13"/>
        <v>0</v>
      </c>
    </row>
    <row r="240" spans="1:17" x14ac:dyDescent="0.2">
      <c r="A240" t="s">
        <v>21</v>
      </c>
      <c r="B240" t="s">
        <v>666</v>
      </c>
      <c r="C240">
        <v>210</v>
      </c>
      <c r="D240" s="2">
        <v>0</v>
      </c>
      <c r="E240">
        <v>9</v>
      </c>
      <c r="F240">
        <v>1.5</v>
      </c>
      <c r="G240">
        <v>0</v>
      </c>
      <c r="H240">
        <v>35</v>
      </c>
      <c r="I240">
        <v>240</v>
      </c>
      <c r="J240">
        <v>28</v>
      </c>
      <c r="K240" s="2">
        <v>0</v>
      </c>
      <c r="L240">
        <v>11</v>
      </c>
      <c r="M240">
        <v>3</v>
      </c>
      <c r="N240">
        <v>219.5</v>
      </c>
      <c r="O240" s="3">
        <f t="shared" si="15"/>
        <v>1.4285714285714286</v>
      </c>
      <c r="P240">
        <f t="shared" si="12"/>
        <v>0</v>
      </c>
      <c r="Q240">
        <f t="shared" si="13"/>
        <v>0</v>
      </c>
    </row>
    <row r="241" spans="1:17" x14ac:dyDescent="0.2">
      <c r="A241" t="s">
        <v>21</v>
      </c>
      <c r="B241" t="s">
        <v>670</v>
      </c>
      <c r="C241">
        <v>290</v>
      </c>
      <c r="D241" s="2">
        <v>0</v>
      </c>
      <c r="E241">
        <v>13</v>
      </c>
      <c r="F241">
        <v>7</v>
      </c>
      <c r="G241">
        <v>0</v>
      </c>
      <c r="H241">
        <v>0</v>
      </c>
      <c r="I241">
        <v>580</v>
      </c>
      <c r="J241">
        <v>40</v>
      </c>
      <c r="K241">
        <v>2</v>
      </c>
      <c r="L241">
        <v>17</v>
      </c>
      <c r="M241">
        <v>4</v>
      </c>
      <c r="N241">
        <v>310</v>
      </c>
      <c r="O241" s="3">
        <f t="shared" si="15"/>
        <v>1.3793103448275863</v>
      </c>
      <c r="P241">
        <f t="shared" si="12"/>
        <v>1</v>
      </c>
      <c r="Q241">
        <f t="shared" si="13"/>
        <v>0</v>
      </c>
    </row>
    <row r="242" spans="1:17" x14ac:dyDescent="0.2">
      <c r="A242" t="s">
        <v>21</v>
      </c>
      <c r="B242" t="s">
        <v>674</v>
      </c>
      <c r="C242">
        <v>300</v>
      </c>
      <c r="D242" s="2">
        <v>0</v>
      </c>
      <c r="E242">
        <v>15</v>
      </c>
      <c r="F242">
        <v>3</v>
      </c>
      <c r="G242">
        <v>0</v>
      </c>
      <c r="H242">
        <v>50</v>
      </c>
      <c r="I242">
        <v>260</v>
      </c>
      <c r="J242">
        <v>39</v>
      </c>
      <c r="K242">
        <v>1</v>
      </c>
      <c r="L242">
        <v>27</v>
      </c>
      <c r="M242">
        <v>4</v>
      </c>
      <c r="N242">
        <v>326</v>
      </c>
      <c r="O242" s="3">
        <f t="shared" si="15"/>
        <v>1.3333333333333335</v>
      </c>
      <c r="P242">
        <f t="shared" si="12"/>
        <v>0</v>
      </c>
      <c r="Q242">
        <f t="shared" si="13"/>
        <v>0</v>
      </c>
    </row>
    <row r="243" spans="1:17" x14ac:dyDescent="0.2">
      <c r="A243" t="s">
        <v>21</v>
      </c>
      <c r="B243" t="s">
        <v>701</v>
      </c>
      <c r="C243">
        <v>270</v>
      </c>
      <c r="D243" s="2">
        <v>0</v>
      </c>
      <c r="E243">
        <v>13</v>
      </c>
      <c r="F243">
        <v>8</v>
      </c>
      <c r="G243">
        <v>0</v>
      </c>
      <c r="H243">
        <v>0</v>
      </c>
      <c r="I243">
        <v>210</v>
      </c>
      <c r="J243">
        <v>35</v>
      </c>
      <c r="K243">
        <v>1</v>
      </c>
      <c r="L243">
        <v>24</v>
      </c>
      <c r="M243">
        <v>3</v>
      </c>
      <c r="N243">
        <v>299</v>
      </c>
      <c r="O243" s="3">
        <f t="shared" si="15"/>
        <v>1.1111111111111112</v>
      </c>
      <c r="P243">
        <f t="shared" si="12"/>
        <v>0</v>
      </c>
      <c r="Q243">
        <f t="shared" si="13"/>
        <v>0</v>
      </c>
    </row>
    <row r="244" spans="1:17" x14ac:dyDescent="0.2">
      <c r="A244" t="s">
        <v>21</v>
      </c>
      <c r="B244" t="s">
        <v>714</v>
      </c>
      <c r="C244">
        <v>300</v>
      </c>
      <c r="D244" s="2">
        <v>0</v>
      </c>
      <c r="E244">
        <v>12</v>
      </c>
      <c r="F244">
        <v>2.5</v>
      </c>
      <c r="G244">
        <v>0</v>
      </c>
      <c r="H244">
        <v>40</v>
      </c>
      <c r="I244">
        <v>190</v>
      </c>
      <c r="J244">
        <v>49</v>
      </c>
      <c r="K244">
        <v>1</v>
      </c>
      <c r="L244">
        <v>35</v>
      </c>
      <c r="M244">
        <v>3</v>
      </c>
      <c r="N244">
        <v>334.5</v>
      </c>
      <c r="O244" s="3">
        <f t="shared" si="15"/>
        <v>1</v>
      </c>
      <c r="P244">
        <f t="shared" si="12"/>
        <v>0</v>
      </c>
      <c r="Q244">
        <f t="shared" si="13"/>
        <v>0</v>
      </c>
    </row>
    <row r="245" spans="1:17" x14ac:dyDescent="0.2">
      <c r="A245" t="s">
        <v>21</v>
      </c>
      <c r="B245" t="s">
        <v>715</v>
      </c>
      <c r="C245">
        <v>300</v>
      </c>
      <c r="D245" s="2">
        <v>0</v>
      </c>
      <c r="E245">
        <v>13</v>
      </c>
      <c r="F245">
        <v>2.5</v>
      </c>
      <c r="G245">
        <v>0</v>
      </c>
      <c r="H245">
        <v>50</v>
      </c>
      <c r="I245">
        <v>230</v>
      </c>
      <c r="J245">
        <v>43</v>
      </c>
      <c r="K245">
        <v>0</v>
      </c>
      <c r="L245">
        <v>31</v>
      </c>
      <c r="M245">
        <v>3</v>
      </c>
      <c r="N245">
        <v>330.5</v>
      </c>
      <c r="O245" s="3">
        <f t="shared" si="15"/>
        <v>1</v>
      </c>
      <c r="P245">
        <f t="shared" si="12"/>
        <v>0</v>
      </c>
      <c r="Q245">
        <f t="shared" si="13"/>
        <v>0</v>
      </c>
    </row>
    <row r="246" spans="1:17" x14ac:dyDescent="0.2">
      <c r="A246" t="s">
        <v>21</v>
      </c>
      <c r="B246" t="s">
        <v>728</v>
      </c>
      <c r="C246">
        <v>220</v>
      </c>
      <c r="D246" s="2">
        <v>0</v>
      </c>
      <c r="E246">
        <v>10</v>
      </c>
      <c r="F246">
        <v>2</v>
      </c>
      <c r="G246">
        <v>0</v>
      </c>
      <c r="H246">
        <v>30</v>
      </c>
      <c r="I246">
        <v>170</v>
      </c>
      <c r="J246">
        <v>30</v>
      </c>
      <c r="K246">
        <v>0</v>
      </c>
      <c r="L246">
        <v>20</v>
      </c>
      <c r="M246">
        <v>2</v>
      </c>
      <c r="N246">
        <v>240</v>
      </c>
      <c r="O246" s="3">
        <f t="shared" si="15"/>
        <v>0.90909090909090906</v>
      </c>
      <c r="P246">
        <f t="shared" si="12"/>
        <v>0</v>
      </c>
      <c r="Q246">
        <f t="shared" si="13"/>
        <v>0</v>
      </c>
    </row>
    <row r="247" spans="1:17" x14ac:dyDescent="0.2">
      <c r="A247" t="s">
        <v>21</v>
      </c>
      <c r="B247" t="s">
        <v>733</v>
      </c>
      <c r="C247">
        <v>230</v>
      </c>
      <c r="D247" s="2">
        <v>0</v>
      </c>
      <c r="E247">
        <v>10</v>
      </c>
      <c r="F247">
        <v>2.5</v>
      </c>
      <c r="G247">
        <v>0</v>
      </c>
      <c r="H247">
        <v>0</v>
      </c>
      <c r="I247">
        <v>140</v>
      </c>
      <c r="J247">
        <v>32</v>
      </c>
      <c r="K247" s="2">
        <v>0</v>
      </c>
      <c r="L247">
        <v>12</v>
      </c>
      <c r="M247">
        <v>2</v>
      </c>
      <c r="N247">
        <v>242.5</v>
      </c>
      <c r="O247" s="3">
        <f t="shared" si="15"/>
        <v>0.86956521739130432</v>
      </c>
      <c r="P247">
        <f t="shared" si="12"/>
        <v>0</v>
      </c>
      <c r="Q247">
        <f t="shared" si="13"/>
        <v>0</v>
      </c>
    </row>
    <row r="248" spans="1:17" x14ac:dyDescent="0.2">
      <c r="A248" t="s">
        <v>21</v>
      </c>
      <c r="B248" t="s">
        <v>683</v>
      </c>
      <c r="C248">
        <v>120</v>
      </c>
      <c r="D248" s="2">
        <v>0</v>
      </c>
      <c r="E248">
        <v>6</v>
      </c>
      <c r="F248">
        <v>3</v>
      </c>
      <c r="G248">
        <v>0</v>
      </c>
      <c r="H248">
        <v>0</v>
      </c>
      <c r="I248">
        <v>70</v>
      </c>
      <c r="J248">
        <v>18</v>
      </c>
      <c r="K248">
        <v>1</v>
      </c>
      <c r="L248">
        <v>12</v>
      </c>
      <c r="M248">
        <v>1</v>
      </c>
      <c r="N248">
        <v>134</v>
      </c>
      <c r="O248" s="3">
        <f t="shared" si="15"/>
        <v>0.83333333333333337</v>
      </c>
      <c r="P248">
        <f t="shared" si="12"/>
        <v>0</v>
      </c>
      <c r="Q248">
        <f t="shared" si="13"/>
        <v>0</v>
      </c>
    </row>
    <row r="249" spans="1:17" x14ac:dyDescent="0.2">
      <c r="A249" t="s">
        <v>21</v>
      </c>
      <c r="B249" t="s">
        <v>744</v>
      </c>
      <c r="C249">
        <v>260</v>
      </c>
      <c r="D249" s="2">
        <v>0</v>
      </c>
      <c r="E249">
        <v>26</v>
      </c>
      <c r="F249">
        <v>5</v>
      </c>
      <c r="G249">
        <v>0</v>
      </c>
      <c r="H249">
        <v>15</v>
      </c>
      <c r="I249">
        <v>540</v>
      </c>
      <c r="J249">
        <v>4</v>
      </c>
      <c r="K249">
        <v>0</v>
      </c>
      <c r="L249">
        <v>2</v>
      </c>
      <c r="M249">
        <v>2</v>
      </c>
      <c r="N249">
        <v>265</v>
      </c>
      <c r="O249" s="3">
        <f t="shared" si="15"/>
        <v>0.76923076923076927</v>
      </c>
      <c r="P249">
        <f t="shared" si="12"/>
        <v>1</v>
      </c>
      <c r="Q249">
        <f t="shared" si="13"/>
        <v>0</v>
      </c>
    </row>
    <row r="250" spans="1:17" x14ac:dyDescent="0.2">
      <c r="A250" t="s">
        <v>21</v>
      </c>
      <c r="B250" t="s">
        <v>752</v>
      </c>
      <c r="C250">
        <v>140</v>
      </c>
      <c r="D250" s="2">
        <v>0</v>
      </c>
      <c r="E250">
        <v>8</v>
      </c>
      <c r="F250">
        <v>1</v>
      </c>
      <c r="G250">
        <v>0</v>
      </c>
      <c r="H250">
        <v>15</v>
      </c>
      <c r="I250">
        <v>290</v>
      </c>
      <c r="J250">
        <v>14</v>
      </c>
      <c r="K250">
        <v>0</v>
      </c>
      <c r="L250">
        <v>9</v>
      </c>
      <c r="M250">
        <v>1</v>
      </c>
      <c r="N250">
        <v>149</v>
      </c>
      <c r="O250" s="3">
        <f t="shared" si="15"/>
        <v>0.7142857142857143</v>
      </c>
      <c r="P250">
        <f t="shared" si="12"/>
        <v>0</v>
      </c>
      <c r="Q250">
        <f t="shared" si="13"/>
        <v>0</v>
      </c>
    </row>
    <row r="251" spans="1:17" x14ac:dyDescent="0.2">
      <c r="A251" t="s">
        <v>21</v>
      </c>
      <c r="B251" t="s">
        <v>757</v>
      </c>
      <c r="C251">
        <v>1200</v>
      </c>
      <c r="D251" s="2">
        <v>0</v>
      </c>
      <c r="E251">
        <v>98</v>
      </c>
      <c r="F251">
        <v>16</v>
      </c>
      <c r="G251">
        <v>0</v>
      </c>
      <c r="H251">
        <v>80</v>
      </c>
      <c r="I251">
        <v>1010</v>
      </c>
      <c r="J251">
        <v>65</v>
      </c>
      <c r="K251">
        <v>8</v>
      </c>
      <c r="L251">
        <v>12</v>
      </c>
      <c r="M251">
        <v>8</v>
      </c>
      <c r="N251">
        <v>1220</v>
      </c>
      <c r="O251" s="3">
        <f t="shared" si="15"/>
        <v>0.66666666666666674</v>
      </c>
      <c r="P251">
        <f t="shared" si="12"/>
        <v>1</v>
      </c>
      <c r="Q251">
        <f t="shared" si="13"/>
        <v>0</v>
      </c>
    </row>
    <row r="252" spans="1:17" x14ac:dyDescent="0.2">
      <c r="A252" t="s">
        <v>21</v>
      </c>
      <c r="B252" t="s">
        <v>758</v>
      </c>
      <c r="C252">
        <v>640</v>
      </c>
      <c r="D252" s="2">
        <v>0</v>
      </c>
      <c r="E252">
        <v>46</v>
      </c>
      <c r="F252">
        <v>7</v>
      </c>
      <c r="G252">
        <v>0</v>
      </c>
      <c r="H252">
        <v>15</v>
      </c>
      <c r="I252">
        <v>670</v>
      </c>
      <c r="J252">
        <v>54</v>
      </c>
      <c r="K252">
        <v>14</v>
      </c>
      <c r="L252">
        <v>37</v>
      </c>
      <c r="M252">
        <v>4</v>
      </c>
      <c r="N252">
        <v>680</v>
      </c>
      <c r="O252" s="3">
        <f t="shared" si="15"/>
        <v>0.625</v>
      </c>
      <c r="P252">
        <f t="shared" si="12"/>
        <v>1</v>
      </c>
      <c r="Q252">
        <f t="shared" si="13"/>
        <v>0</v>
      </c>
    </row>
    <row r="253" spans="1:17" x14ac:dyDescent="0.2">
      <c r="A253" t="s">
        <v>21</v>
      </c>
      <c r="B253" t="s">
        <v>759</v>
      </c>
      <c r="C253">
        <v>480</v>
      </c>
      <c r="D253" s="2">
        <v>0</v>
      </c>
      <c r="E253">
        <v>28</v>
      </c>
      <c r="F253">
        <v>3.5</v>
      </c>
      <c r="G253">
        <v>0</v>
      </c>
      <c r="H253">
        <v>55</v>
      </c>
      <c r="I253">
        <v>990</v>
      </c>
      <c r="J253">
        <v>50</v>
      </c>
      <c r="K253">
        <v>0</v>
      </c>
      <c r="L253">
        <v>30</v>
      </c>
      <c r="M253">
        <v>3</v>
      </c>
      <c r="N253">
        <v>510.5</v>
      </c>
      <c r="O253" s="3">
        <f t="shared" si="15"/>
        <v>0.625</v>
      </c>
      <c r="P253">
        <f t="shared" si="12"/>
        <v>1</v>
      </c>
      <c r="Q253">
        <f t="shared" si="13"/>
        <v>0</v>
      </c>
    </row>
    <row r="254" spans="1:17" x14ac:dyDescent="0.2">
      <c r="A254" t="s">
        <v>21</v>
      </c>
      <c r="B254" t="s">
        <v>762</v>
      </c>
      <c r="C254">
        <v>170</v>
      </c>
      <c r="D254" s="2">
        <v>0</v>
      </c>
      <c r="E254">
        <v>12</v>
      </c>
      <c r="F254">
        <v>2</v>
      </c>
      <c r="G254">
        <v>0</v>
      </c>
      <c r="H254">
        <v>0</v>
      </c>
      <c r="I254">
        <v>180</v>
      </c>
      <c r="J254">
        <v>14</v>
      </c>
      <c r="K254">
        <v>4</v>
      </c>
      <c r="L254">
        <v>10</v>
      </c>
      <c r="M254">
        <v>1</v>
      </c>
      <c r="N254">
        <v>181</v>
      </c>
      <c r="O254" s="3">
        <f t="shared" si="15"/>
        <v>0.58823529411764708</v>
      </c>
      <c r="P254">
        <f t="shared" si="12"/>
        <v>0</v>
      </c>
      <c r="Q254">
        <f t="shared" si="13"/>
        <v>0</v>
      </c>
    </row>
    <row r="255" spans="1:17" x14ac:dyDescent="0.2">
      <c r="A255" t="s">
        <v>21</v>
      </c>
      <c r="B255" t="s">
        <v>763</v>
      </c>
      <c r="C255">
        <v>340</v>
      </c>
      <c r="D255" s="2">
        <v>0</v>
      </c>
      <c r="E255">
        <v>28</v>
      </c>
      <c r="F255">
        <v>4.5</v>
      </c>
      <c r="G255">
        <v>0</v>
      </c>
      <c r="H255">
        <v>25</v>
      </c>
      <c r="I255">
        <v>290</v>
      </c>
      <c r="J255">
        <v>19</v>
      </c>
      <c r="K255">
        <v>2</v>
      </c>
      <c r="L255">
        <v>3</v>
      </c>
      <c r="M255">
        <v>2</v>
      </c>
      <c r="N255">
        <v>345.5</v>
      </c>
      <c r="O255" s="3">
        <f t="shared" si="15"/>
        <v>0.58823529411764708</v>
      </c>
      <c r="P255">
        <f t="shared" si="12"/>
        <v>0</v>
      </c>
      <c r="Q255">
        <f t="shared" si="13"/>
        <v>0</v>
      </c>
    </row>
    <row r="256" spans="1:17" x14ac:dyDescent="0.2">
      <c r="A256" t="s">
        <v>21</v>
      </c>
      <c r="B256" t="s">
        <v>941</v>
      </c>
      <c r="C256">
        <v>160</v>
      </c>
      <c r="D256" s="2">
        <v>0</v>
      </c>
      <c r="E256">
        <v>17</v>
      </c>
      <c r="F256">
        <v>2</v>
      </c>
      <c r="G256">
        <v>0</v>
      </c>
      <c r="H256">
        <v>10</v>
      </c>
      <c r="I256">
        <v>220</v>
      </c>
      <c r="J256">
        <v>1</v>
      </c>
      <c r="K256">
        <v>0</v>
      </c>
      <c r="L256">
        <v>1</v>
      </c>
      <c r="M256">
        <v>0</v>
      </c>
      <c r="N256">
        <v>163</v>
      </c>
      <c r="O256" s="3">
        <f t="shared" si="15"/>
        <v>0</v>
      </c>
      <c r="P256">
        <f t="shared" si="12"/>
        <v>0</v>
      </c>
      <c r="Q256">
        <f t="shared" si="13"/>
        <v>0</v>
      </c>
    </row>
    <row r="257" spans="1:17" x14ac:dyDescent="0.2">
      <c r="A257" t="s">
        <v>21</v>
      </c>
      <c r="B257" t="s">
        <v>942</v>
      </c>
      <c r="C257">
        <v>15</v>
      </c>
      <c r="D257" s="2">
        <v>0</v>
      </c>
      <c r="E257">
        <v>0.5</v>
      </c>
      <c r="F257">
        <v>0</v>
      </c>
      <c r="G257">
        <v>0</v>
      </c>
      <c r="H257">
        <v>0</v>
      </c>
      <c r="I257">
        <v>510</v>
      </c>
      <c r="J257">
        <v>2</v>
      </c>
      <c r="K257">
        <v>0</v>
      </c>
      <c r="L257">
        <v>1</v>
      </c>
      <c r="M257">
        <v>0</v>
      </c>
      <c r="N257">
        <v>16</v>
      </c>
      <c r="O257" s="3">
        <f t="shared" si="15"/>
        <v>0</v>
      </c>
      <c r="P257">
        <f t="shared" si="12"/>
        <v>1</v>
      </c>
      <c r="Q257">
        <f t="shared" si="13"/>
        <v>0</v>
      </c>
    </row>
    <row r="258" spans="1:17" x14ac:dyDescent="0.2">
      <c r="A258" t="s">
        <v>21</v>
      </c>
      <c r="B258" t="s">
        <v>943</v>
      </c>
      <c r="C258">
        <v>45</v>
      </c>
      <c r="D258" s="2">
        <v>0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11</v>
      </c>
      <c r="K258">
        <v>0</v>
      </c>
      <c r="L258">
        <v>11</v>
      </c>
      <c r="M258">
        <v>0</v>
      </c>
      <c r="N258">
        <v>56</v>
      </c>
      <c r="O258" s="3">
        <f t="shared" si="15"/>
        <v>0</v>
      </c>
      <c r="P258">
        <f t="shared" ref="P258:P321" si="16">IF(I258&gt;2300*0.2,1,0)</f>
        <v>0</v>
      </c>
      <c r="Q258">
        <f t="shared" ref="Q258:Q321" si="17">IF(H258&gt;300,1,0)</f>
        <v>0</v>
      </c>
    </row>
    <row r="259" spans="1:17" x14ac:dyDescent="0.2">
      <c r="A259" t="s">
        <v>21</v>
      </c>
      <c r="B259" t="s">
        <v>944</v>
      </c>
      <c r="C259">
        <v>35</v>
      </c>
      <c r="D259" s="2">
        <v>0</v>
      </c>
      <c r="E259">
        <v>4</v>
      </c>
      <c r="F259">
        <v>1.5</v>
      </c>
      <c r="G259">
        <v>0</v>
      </c>
      <c r="H259">
        <v>0</v>
      </c>
      <c r="I259">
        <v>35</v>
      </c>
      <c r="J259">
        <v>0</v>
      </c>
      <c r="K259">
        <v>0</v>
      </c>
      <c r="L259">
        <v>0</v>
      </c>
      <c r="M259">
        <v>0</v>
      </c>
      <c r="N259">
        <v>36.5</v>
      </c>
      <c r="O259" s="3">
        <f t="shared" ref="O259:O279" si="18">M259/C259*100</f>
        <v>0</v>
      </c>
      <c r="P259">
        <f t="shared" si="16"/>
        <v>0</v>
      </c>
      <c r="Q259">
        <f t="shared" si="17"/>
        <v>0</v>
      </c>
    </row>
    <row r="260" spans="1:17" x14ac:dyDescent="0.2">
      <c r="A260" t="s">
        <v>21</v>
      </c>
      <c r="B260" t="s">
        <v>945</v>
      </c>
      <c r="C260">
        <v>35</v>
      </c>
      <c r="D260" s="2">
        <v>0</v>
      </c>
      <c r="E260">
        <v>0</v>
      </c>
      <c r="F260">
        <v>0</v>
      </c>
      <c r="G260">
        <v>0</v>
      </c>
      <c r="H260">
        <v>0</v>
      </c>
      <c r="I260">
        <v>10</v>
      </c>
      <c r="J260">
        <v>9</v>
      </c>
      <c r="K260">
        <v>0</v>
      </c>
      <c r="L260">
        <v>7</v>
      </c>
      <c r="M260">
        <v>0</v>
      </c>
      <c r="N260">
        <v>42</v>
      </c>
      <c r="O260" s="3">
        <f t="shared" si="18"/>
        <v>0</v>
      </c>
      <c r="P260">
        <f t="shared" si="16"/>
        <v>0</v>
      </c>
      <c r="Q260">
        <f t="shared" si="17"/>
        <v>0</v>
      </c>
    </row>
    <row r="261" spans="1:17" x14ac:dyDescent="0.2">
      <c r="A261" t="s">
        <v>21</v>
      </c>
      <c r="B261" t="s">
        <v>946</v>
      </c>
      <c r="C261">
        <v>110</v>
      </c>
      <c r="D261" s="2">
        <v>0</v>
      </c>
      <c r="E261">
        <v>9</v>
      </c>
      <c r="F261">
        <v>1.5</v>
      </c>
      <c r="G261">
        <v>0</v>
      </c>
      <c r="H261">
        <v>0</v>
      </c>
      <c r="I261">
        <v>120</v>
      </c>
      <c r="J261">
        <v>6</v>
      </c>
      <c r="K261">
        <v>0</v>
      </c>
      <c r="L261">
        <v>6</v>
      </c>
      <c r="M261">
        <v>0</v>
      </c>
      <c r="N261">
        <v>117.5</v>
      </c>
      <c r="O261" s="3">
        <f t="shared" si="18"/>
        <v>0</v>
      </c>
      <c r="P261">
        <f t="shared" si="16"/>
        <v>0</v>
      </c>
      <c r="Q261">
        <f t="shared" si="17"/>
        <v>0</v>
      </c>
    </row>
    <row r="262" spans="1:17" x14ac:dyDescent="0.2">
      <c r="A262" t="s">
        <v>21</v>
      </c>
      <c r="B262" t="s">
        <v>947</v>
      </c>
      <c r="C262">
        <v>30</v>
      </c>
      <c r="D262" s="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8</v>
      </c>
      <c r="K262">
        <v>0</v>
      </c>
      <c r="L262">
        <v>5</v>
      </c>
      <c r="M262">
        <v>0</v>
      </c>
      <c r="N262">
        <v>35</v>
      </c>
      <c r="O262" s="3">
        <f t="shared" si="18"/>
        <v>0</v>
      </c>
      <c r="P262">
        <f t="shared" si="16"/>
        <v>0</v>
      </c>
      <c r="Q262">
        <f t="shared" si="17"/>
        <v>0</v>
      </c>
    </row>
    <row r="263" spans="1:17" x14ac:dyDescent="0.2">
      <c r="A263" t="s">
        <v>21</v>
      </c>
      <c r="B263" t="s">
        <v>948</v>
      </c>
      <c r="C263">
        <v>30</v>
      </c>
      <c r="D263" s="2">
        <v>0</v>
      </c>
      <c r="E263">
        <v>0</v>
      </c>
      <c r="F263">
        <v>0</v>
      </c>
      <c r="G263">
        <v>0</v>
      </c>
      <c r="H263">
        <v>0</v>
      </c>
      <c r="I263">
        <v>250</v>
      </c>
      <c r="J263">
        <v>8</v>
      </c>
      <c r="K263">
        <v>0</v>
      </c>
      <c r="L263">
        <v>6</v>
      </c>
      <c r="M263">
        <v>0</v>
      </c>
      <c r="N263">
        <v>36</v>
      </c>
      <c r="O263" s="3">
        <f t="shared" si="18"/>
        <v>0</v>
      </c>
      <c r="P263">
        <f t="shared" si="16"/>
        <v>0</v>
      </c>
      <c r="Q263">
        <f t="shared" si="17"/>
        <v>0</v>
      </c>
    </row>
    <row r="264" spans="1:17" x14ac:dyDescent="0.2">
      <c r="A264" t="s">
        <v>21</v>
      </c>
      <c r="B264" t="s">
        <v>949</v>
      </c>
      <c r="C264">
        <v>90</v>
      </c>
      <c r="D264" s="2">
        <v>0</v>
      </c>
      <c r="E264">
        <v>8</v>
      </c>
      <c r="F264">
        <v>1.5</v>
      </c>
      <c r="G264">
        <v>0</v>
      </c>
      <c r="H264">
        <v>10</v>
      </c>
      <c r="I264">
        <v>170</v>
      </c>
      <c r="J264">
        <v>5</v>
      </c>
      <c r="K264">
        <v>0</v>
      </c>
      <c r="L264">
        <v>5</v>
      </c>
      <c r="M264">
        <v>0</v>
      </c>
      <c r="N264">
        <v>96.5</v>
      </c>
      <c r="O264" s="3">
        <f t="shared" si="18"/>
        <v>0</v>
      </c>
      <c r="P264">
        <f t="shared" si="16"/>
        <v>0</v>
      </c>
      <c r="Q264">
        <f t="shared" si="17"/>
        <v>0</v>
      </c>
    </row>
    <row r="265" spans="1:17" x14ac:dyDescent="0.2">
      <c r="A265" t="s">
        <v>21</v>
      </c>
      <c r="B265" t="s">
        <v>950</v>
      </c>
      <c r="C265">
        <v>5</v>
      </c>
      <c r="D265" s="2">
        <v>0</v>
      </c>
      <c r="E265">
        <v>0</v>
      </c>
      <c r="F265">
        <v>0</v>
      </c>
      <c r="G265">
        <v>0</v>
      </c>
      <c r="H265">
        <v>0</v>
      </c>
      <c r="I265">
        <v>20</v>
      </c>
      <c r="J265">
        <v>1</v>
      </c>
      <c r="K265">
        <v>0</v>
      </c>
      <c r="L265">
        <v>0</v>
      </c>
      <c r="M265">
        <v>0</v>
      </c>
      <c r="N265">
        <v>5</v>
      </c>
      <c r="O265" s="3">
        <f t="shared" si="18"/>
        <v>0</v>
      </c>
      <c r="P265">
        <f t="shared" si="16"/>
        <v>0</v>
      </c>
      <c r="Q265">
        <f t="shared" si="17"/>
        <v>0</v>
      </c>
    </row>
    <row r="266" spans="1:17" x14ac:dyDescent="0.2">
      <c r="A266" t="s">
        <v>21</v>
      </c>
      <c r="B266" t="s">
        <v>951</v>
      </c>
      <c r="C266">
        <v>130</v>
      </c>
      <c r="D266" s="2">
        <v>0</v>
      </c>
      <c r="E266">
        <v>14</v>
      </c>
      <c r="F266">
        <v>2.5</v>
      </c>
      <c r="G266">
        <v>0</v>
      </c>
      <c r="H266">
        <v>10</v>
      </c>
      <c r="I266">
        <v>240</v>
      </c>
      <c r="J266">
        <v>2</v>
      </c>
      <c r="K266">
        <v>0</v>
      </c>
      <c r="L266">
        <v>1</v>
      </c>
      <c r="M266">
        <v>0</v>
      </c>
      <c r="N266">
        <v>133.5</v>
      </c>
      <c r="O266" s="3">
        <f t="shared" si="18"/>
        <v>0</v>
      </c>
      <c r="P266">
        <f t="shared" si="16"/>
        <v>0</v>
      </c>
      <c r="Q266">
        <f t="shared" si="17"/>
        <v>0</v>
      </c>
    </row>
    <row r="267" spans="1:17" x14ac:dyDescent="0.2">
      <c r="A267" t="s">
        <v>21</v>
      </c>
      <c r="B267" t="s">
        <v>952</v>
      </c>
      <c r="C267">
        <v>35</v>
      </c>
      <c r="D267" s="2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9</v>
      </c>
      <c r="K267">
        <v>0</v>
      </c>
      <c r="L267">
        <v>6</v>
      </c>
      <c r="M267">
        <v>0</v>
      </c>
      <c r="N267">
        <v>41</v>
      </c>
      <c r="O267" s="3">
        <f t="shared" si="18"/>
        <v>0</v>
      </c>
      <c r="P267">
        <f t="shared" si="16"/>
        <v>0</v>
      </c>
      <c r="Q267">
        <f t="shared" si="17"/>
        <v>0</v>
      </c>
    </row>
    <row r="268" spans="1:17" x14ac:dyDescent="0.2">
      <c r="A268" t="s">
        <v>21</v>
      </c>
      <c r="B268" t="s">
        <v>953</v>
      </c>
      <c r="C268">
        <v>80</v>
      </c>
      <c r="D268" s="2">
        <v>0</v>
      </c>
      <c r="E268">
        <v>0</v>
      </c>
      <c r="F268">
        <v>0</v>
      </c>
      <c r="G268">
        <v>0</v>
      </c>
      <c r="H268">
        <v>0</v>
      </c>
      <c r="I268">
        <v>25</v>
      </c>
      <c r="J268">
        <v>21</v>
      </c>
      <c r="K268">
        <v>0</v>
      </c>
      <c r="L268">
        <v>20</v>
      </c>
      <c r="M268">
        <v>0</v>
      </c>
      <c r="N268">
        <v>100</v>
      </c>
      <c r="O268" s="3">
        <f t="shared" si="18"/>
        <v>0</v>
      </c>
      <c r="P268">
        <f t="shared" si="16"/>
        <v>0</v>
      </c>
      <c r="Q268">
        <f t="shared" si="17"/>
        <v>0</v>
      </c>
    </row>
    <row r="269" spans="1:17" x14ac:dyDescent="0.2">
      <c r="A269" t="s">
        <v>21</v>
      </c>
      <c r="B269" t="s">
        <v>954</v>
      </c>
      <c r="C269">
        <v>45</v>
      </c>
      <c r="D269" s="2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12</v>
      </c>
      <c r="K269">
        <v>1</v>
      </c>
      <c r="L269">
        <v>8</v>
      </c>
      <c r="M269">
        <v>0</v>
      </c>
      <c r="N269">
        <v>53</v>
      </c>
      <c r="O269" s="3">
        <f t="shared" si="18"/>
        <v>0</v>
      </c>
      <c r="P269">
        <f t="shared" si="16"/>
        <v>0</v>
      </c>
      <c r="Q269">
        <f t="shared" si="17"/>
        <v>0</v>
      </c>
    </row>
    <row r="270" spans="1:17" x14ac:dyDescent="0.2">
      <c r="A270" t="s">
        <v>21</v>
      </c>
      <c r="B270" t="s">
        <v>955</v>
      </c>
      <c r="C270">
        <v>140</v>
      </c>
      <c r="D270" s="2">
        <v>0</v>
      </c>
      <c r="E270">
        <v>0</v>
      </c>
      <c r="F270">
        <v>0</v>
      </c>
      <c r="G270">
        <v>0</v>
      </c>
      <c r="H270">
        <v>0</v>
      </c>
      <c r="I270">
        <v>50</v>
      </c>
      <c r="J270">
        <v>35</v>
      </c>
      <c r="K270">
        <v>0</v>
      </c>
      <c r="L270">
        <v>35</v>
      </c>
      <c r="M270">
        <v>0</v>
      </c>
      <c r="N270">
        <v>175</v>
      </c>
      <c r="O270" s="3">
        <f t="shared" si="18"/>
        <v>0</v>
      </c>
      <c r="P270">
        <f t="shared" si="16"/>
        <v>0</v>
      </c>
      <c r="Q270">
        <f t="shared" si="17"/>
        <v>0</v>
      </c>
    </row>
    <row r="271" spans="1:17" x14ac:dyDescent="0.2">
      <c r="A271" t="s">
        <v>21</v>
      </c>
      <c r="B271" t="s">
        <v>956</v>
      </c>
      <c r="C271">
        <v>190</v>
      </c>
      <c r="D271" s="2">
        <v>0</v>
      </c>
      <c r="E271">
        <v>0</v>
      </c>
      <c r="F271">
        <v>0</v>
      </c>
      <c r="G271">
        <v>0</v>
      </c>
      <c r="H271">
        <v>0</v>
      </c>
      <c r="I271">
        <v>70</v>
      </c>
      <c r="J271">
        <v>46</v>
      </c>
      <c r="K271">
        <v>0</v>
      </c>
      <c r="L271">
        <v>46</v>
      </c>
      <c r="M271">
        <v>0</v>
      </c>
      <c r="N271">
        <v>236</v>
      </c>
      <c r="O271" s="3">
        <f t="shared" si="18"/>
        <v>0</v>
      </c>
      <c r="P271">
        <f t="shared" si="16"/>
        <v>0</v>
      </c>
      <c r="Q271">
        <f t="shared" si="17"/>
        <v>0</v>
      </c>
    </row>
    <row r="272" spans="1:17" x14ac:dyDescent="0.2">
      <c r="A272" t="s">
        <v>21</v>
      </c>
      <c r="B272" t="s">
        <v>957</v>
      </c>
      <c r="C272">
        <v>240</v>
      </c>
      <c r="D272" s="2">
        <v>0</v>
      </c>
      <c r="E272">
        <v>0</v>
      </c>
      <c r="F272">
        <v>0</v>
      </c>
      <c r="G272">
        <v>0</v>
      </c>
      <c r="H272">
        <v>0</v>
      </c>
      <c r="I272">
        <v>85</v>
      </c>
      <c r="J272">
        <v>58</v>
      </c>
      <c r="K272">
        <v>0</v>
      </c>
      <c r="L272">
        <v>58</v>
      </c>
      <c r="M272">
        <v>0</v>
      </c>
      <c r="N272">
        <v>298</v>
      </c>
      <c r="O272" s="3">
        <f t="shared" si="18"/>
        <v>0</v>
      </c>
      <c r="P272">
        <f t="shared" si="16"/>
        <v>0</v>
      </c>
      <c r="Q272">
        <f t="shared" si="17"/>
        <v>0</v>
      </c>
    </row>
    <row r="273" spans="1:17" x14ac:dyDescent="0.2">
      <c r="A273" t="s">
        <v>21</v>
      </c>
      <c r="B273" t="s">
        <v>958</v>
      </c>
      <c r="C273">
        <v>350</v>
      </c>
      <c r="D273" s="2">
        <v>0</v>
      </c>
      <c r="E273">
        <v>0</v>
      </c>
      <c r="F273">
        <v>0</v>
      </c>
      <c r="G273">
        <v>0</v>
      </c>
      <c r="H273">
        <v>0</v>
      </c>
      <c r="I273">
        <v>125</v>
      </c>
      <c r="J273">
        <v>87</v>
      </c>
      <c r="K273">
        <v>0</v>
      </c>
      <c r="L273">
        <v>87</v>
      </c>
      <c r="M273">
        <v>0</v>
      </c>
      <c r="N273">
        <v>437</v>
      </c>
      <c r="O273" s="3">
        <f t="shared" si="18"/>
        <v>0</v>
      </c>
      <c r="P273">
        <f t="shared" si="16"/>
        <v>0</v>
      </c>
      <c r="Q273">
        <f t="shared" si="17"/>
        <v>0</v>
      </c>
    </row>
    <row r="274" spans="1:17" x14ac:dyDescent="0.2">
      <c r="A274" t="s">
        <v>21</v>
      </c>
      <c r="B274" t="s">
        <v>959</v>
      </c>
      <c r="C274">
        <v>880</v>
      </c>
      <c r="D274" s="2">
        <v>0</v>
      </c>
      <c r="E274">
        <v>0</v>
      </c>
      <c r="F274">
        <v>0</v>
      </c>
      <c r="G274">
        <v>0</v>
      </c>
      <c r="H274">
        <v>0</v>
      </c>
      <c r="I274">
        <v>780</v>
      </c>
      <c r="J274">
        <v>234</v>
      </c>
      <c r="K274">
        <v>0</v>
      </c>
      <c r="L274">
        <v>228</v>
      </c>
      <c r="M274">
        <v>0</v>
      </c>
      <c r="N274">
        <v>1108</v>
      </c>
      <c r="O274" s="3">
        <f t="shared" si="18"/>
        <v>0</v>
      </c>
      <c r="P274">
        <f t="shared" si="16"/>
        <v>1</v>
      </c>
      <c r="Q274">
        <f t="shared" si="17"/>
        <v>0</v>
      </c>
    </row>
    <row r="275" spans="1:17" x14ac:dyDescent="0.2">
      <c r="A275" t="s">
        <v>21</v>
      </c>
      <c r="B275" t="s">
        <v>960</v>
      </c>
      <c r="C275">
        <v>140</v>
      </c>
      <c r="D275" s="2">
        <v>0</v>
      </c>
      <c r="E275">
        <v>0</v>
      </c>
      <c r="F275">
        <v>0</v>
      </c>
      <c r="G275">
        <v>0</v>
      </c>
      <c r="H275">
        <v>0</v>
      </c>
      <c r="I275">
        <v>130</v>
      </c>
      <c r="J275">
        <v>39</v>
      </c>
      <c r="K275">
        <v>0</v>
      </c>
      <c r="L275">
        <v>38</v>
      </c>
      <c r="M275">
        <v>0</v>
      </c>
      <c r="N275">
        <v>178</v>
      </c>
      <c r="O275" s="3">
        <f t="shared" si="18"/>
        <v>0</v>
      </c>
      <c r="P275">
        <f t="shared" si="16"/>
        <v>0</v>
      </c>
      <c r="Q275">
        <f t="shared" si="17"/>
        <v>0</v>
      </c>
    </row>
    <row r="276" spans="1:17" x14ac:dyDescent="0.2">
      <c r="A276" t="s">
        <v>21</v>
      </c>
      <c r="B276" t="s">
        <v>961</v>
      </c>
      <c r="C276">
        <v>170</v>
      </c>
      <c r="D276" s="2">
        <v>0</v>
      </c>
      <c r="E276">
        <v>0</v>
      </c>
      <c r="F276">
        <v>0</v>
      </c>
      <c r="G276">
        <v>0</v>
      </c>
      <c r="H276">
        <v>0</v>
      </c>
      <c r="I276">
        <v>50</v>
      </c>
      <c r="J276">
        <v>46</v>
      </c>
      <c r="K276">
        <v>0</v>
      </c>
      <c r="L276">
        <v>46</v>
      </c>
      <c r="M276">
        <v>0</v>
      </c>
      <c r="N276">
        <v>216</v>
      </c>
      <c r="O276" s="3">
        <f t="shared" si="18"/>
        <v>0</v>
      </c>
      <c r="P276">
        <f t="shared" si="16"/>
        <v>0</v>
      </c>
      <c r="Q276">
        <f t="shared" si="17"/>
        <v>0</v>
      </c>
    </row>
    <row r="277" spans="1:17" x14ac:dyDescent="0.2">
      <c r="A277" t="s">
        <v>21</v>
      </c>
      <c r="B277" t="s">
        <v>962</v>
      </c>
      <c r="C277">
        <v>230</v>
      </c>
      <c r="D277" s="2">
        <v>0</v>
      </c>
      <c r="E277">
        <v>0</v>
      </c>
      <c r="F277">
        <v>0</v>
      </c>
      <c r="G277">
        <v>0</v>
      </c>
      <c r="H277">
        <v>0</v>
      </c>
      <c r="I277">
        <v>65</v>
      </c>
      <c r="J277">
        <v>62</v>
      </c>
      <c r="K277">
        <v>0</v>
      </c>
      <c r="L277">
        <v>62</v>
      </c>
      <c r="M277">
        <v>0</v>
      </c>
      <c r="N277">
        <v>292</v>
      </c>
      <c r="O277" s="3">
        <f t="shared" si="18"/>
        <v>0</v>
      </c>
      <c r="P277">
        <f t="shared" si="16"/>
        <v>0</v>
      </c>
      <c r="Q277">
        <f t="shared" si="17"/>
        <v>0</v>
      </c>
    </row>
    <row r="278" spans="1:17" x14ac:dyDescent="0.2">
      <c r="A278" t="s">
        <v>21</v>
      </c>
      <c r="B278" t="s">
        <v>963</v>
      </c>
      <c r="C278">
        <v>290</v>
      </c>
      <c r="D278" s="2">
        <v>0</v>
      </c>
      <c r="E278">
        <v>0</v>
      </c>
      <c r="F278">
        <v>0</v>
      </c>
      <c r="G278">
        <v>0</v>
      </c>
      <c r="H278">
        <v>0</v>
      </c>
      <c r="I278">
        <v>85</v>
      </c>
      <c r="J278">
        <v>77</v>
      </c>
      <c r="K278">
        <v>0</v>
      </c>
      <c r="L278">
        <v>77</v>
      </c>
      <c r="M278">
        <v>0</v>
      </c>
      <c r="N278">
        <v>367</v>
      </c>
      <c r="O278" s="3">
        <f t="shared" si="18"/>
        <v>0</v>
      </c>
      <c r="P278">
        <f t="shared" si="16"/>
        <v>0</v>
      </c>
      <c r="Q278">
        <f t="shared" si="17"/>
        <v>0</v>
      </c>
    </row>
    <row r="279" spans="1:17" x14ac:dyDescent="0.2">
      <c r="A279" t="s">
        <v>21</v>
      </c>
      <c r="B279" t="s">
        <v>964</v>
      </c>
      <c r="C279">
        <v>430</v>
      </c>
      <c r="D279" s="2">
        <v>0</v>
      </c>
      <c r="E279">
        <v>0</v>
      </c>
      <c r="F279">
        <v>0</v>
      </c>
      <c r="G279">
        <v>0</v>
      </c>
      <c r="H279">
        <v>0</v>
      </c>
      <c r="I279">
        <v>125</v>
      </c>
      <c r="J279">
        <v>116</v>
      </c>
      <c r="K279">
        <v>0</v>
      </c>
      <c r="L279">
        <v>115</v>
      </c>
      <c r="M279">
        <v>0</v>
      </c>
      <c r="N279">
        <v>545</v>
      </c>
      <c r="O279" s="3">
        <f t="shared" si="18"/>
        <v>0</v>
      </c>
      <c r="P279">
        <f t="shared" si="16"/>
        <v>0</v>
      </c>
      <c r="Q279">
        <f t="shared" si="17"/>
        <v>0</v>
      </c>
    </row>
    <row r="280" spans="1:17" x14ac:dyDescent="0.2">
      <c r="A280" t="s">
        <v>21</v>
      </c>
      <c r="B280" t="s">
        <v>973</v>
      </c>
      <c r="C280">
        <v>0</v>
      </c>
      <c r="D280" s="2">
        <v>0</v>
      </c>
      <c r="E280">
        <v>0</v>
      </c>
      <c r="F280">
        <v>0</v>
      </c>
      <c r="G280">
        <v>0</v>
      </c>
      <c r="H280">
        <v>0</v>
      </c>
      <c r="I280">
        <v>55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f t="shared" si="16"/>
        <v>0</v>
      </c>
      <c r="Q280">
        <f t="shared" si="17"/>
        <v>0</v>
      </c>
    </row>
    <row r="281" spans="1:17" x14ac:dyDescent="0.2">
      <c r="A281" t="s">
        <v>21</v>
      </c>
      <c r="B281" t="s">
        <v>974</v>
      </c>
      <c r="C281">
        <v>5</v>
      </c>
      <c r="D281" s="2">
        <v>0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1</v>
      </c>
      <c r="K281">
        <v>0</v>
      </c>
      <c r="L281">
        <v>0</v>
      </c>
      <c r="M281">
        <v>0</v>
      </c>
      <c r="N281">
        <v>5</v>
      </c>
      <c r="O281" s="3">
        <f t="shared" ref="O281:O320" si="19">M281/C281*100</f>
        <v>0</v>
      </c>
      <c r="P281">
        <f t="shared" si="16"/>
        <v>0</v>
      </c>
      <c r="Q281">
        <f t="shared" si="17"/>
        <v>0</v>
      </c>
    </row>
    <row r="282" spans="1:17" x14ac:dyDescent="0.2">
      <c r="A282" t="s">
        <v>21</v>
      </c>
      <c r="B282" t="s">
        <v>975</v>
      </c>
      <c r="C282">
        <v>10</v>
      </c>
      <c r="D282" s="2">
        <v>0</v>
      </c>
      <c r="E282">
        <v>0</v>
      </c>
      <c r="F282">
        <v>0</v>
      </c>
      <c r="G282">
        <v>0</v>
      </c>
      <c r="H282">
        <v>0</v>
      </c>
      <c r="I282">
        <v>90</v>
      </c>
      <c r="J282">
        <v>1</v>
      </c>
      <c r="K282">
        <v>0</v>
      </c>
      <c r="L282">
        <v>1</v>
      </c>
      <c r="M282">
        <v>0</v>
      </c>
      <c r="N282">
        <v>11</v>
      </c>
      <c r="O282" s="3">
        <f t="shared" si="19"/>
        <v>0</v>
      </c>
      <c r="P282">
        <f t="shared" si="16"/>
        <v>0</v>
      </c>
      <c r="Q282">
        <f t="shared" si="17"/>
        <v>0</v>
      </c>
    </row>
    <row r="283" spans="1:17" ht="14" customHeight="1" x14ac:dyDescent="0.2">
      <c r="A283" t="s">
        <v>21</v>
      </c>
      <c r="B283" t="s">
        <v>976</v>
      </c>
      <c r="C283">
        <v>10</v>
      </c>
      <c r="D283" s="2">
        <v>0</v>
      </c>
      <c r="E283">
        <v>0</v>
      </c>
      <c r="F283">
        <v>0</v>
      </c>
      <c r="G283">
        <v>0</v>
      </c>
      <c r="H283">
        <v>0</v>
      </c>
      <c r="I283">
        <v>140</v>
      </c>
      <c r="J283">
        <v>1</v>
      </c>
      <c r="K283">
        <v>0</v>
      </c>
      <c r="L283">
        <v>1</v>
      </c>
      <c r="M283">
        <v>0</v>
      </c>
      <c r="N283">
        <v>11</v>
      </c>
      <c r="O283" s="3">
        <f t="shared" si="19"/>
        <v>0</v>
      </c>
      <c r="P283">
        <f t="shared" si="16"/>
        <v>0</v>
      </c>
      <c r="Q283">
        <f t="shared" si="17"/>
        <v>0</v>
      </c>
    </row>
    <row r="284" spans="1:17" x14ac:dyDescent="0.2">
      <c r="A284" t="s">
        <v>21</v>
      </c>
      <c r="B284" t="s">
        <v>985</v>
      </c>
      <c r="C284">
        <v>140</v>
      </c>
      <c r="D284" s="2">
        <v>0</v>
      </c>
      <c r="E284">
        <v>0</v>
      </c>
      <c r="F284">
        <v>0</v>
      </c>
      <c r="G284">
        <v>0</v>
      </c>
      <c r="H284">
        <v>0</v>
      </c>
      <c r="I284">
        <v>45</v>
      </c>
      <c r="J284">
        <v>39</v>
      </c>
      <c r="K284">
        <v>0</v>
      </c>
      <c r="L284">
        <v>38</v>
      </c>
      <c r="M284">
        <v>0</v>
      </c>
      <c r="N284">
        <v>178</v>
      </c>
      <c r="O284" s="3">
        <f t="shared" si="19"/>
        <v>0</v>
      </c>
      <c r="P284">
        <f t="shared" si="16"/>
        <v>0</v>
      </c>
      <c r="Q284">
        <f t="shared" si="17"/>
        <v>0</v>
      </c>
    </row>
    <row r="285" spans="1:17" x14ac:dyDescent="0.2">
      <c r="A285" t="s">
        <v>21</v>
      </c>
      <c r="B285" t="s">
        <v>986</v>
      </c>
      <c r="C285">
        <v>190</v>
      </c>
      <c r="D285" s="2">
        <v>0</v>
      </c>
      <c r="E285">
        <v>0</v>
      </c>
      <c r="F285">
        <v>0</v>
      </c>
      <c r="G285">
        <v>0</v>
      </c>
      <c r="H285">
        <v>0</v>
      </c>
      <c r="I285">
        <v>60</v>
      </c>
      <c r="J285">
        <v>52</v>
      </c>
      <c r="K285">
        <v>0</v>
      </c>
      <c r="L285">
        <v>51</v>
      </c>
      <c r="M285">
        <v>0</v>
      </c>
      <c r="N285">
        <v>241</v>
      </c>
      <c r="O285" s="3">
        <f t="shared" si="19"/>
        <v>0</v>
      </c>
      <c r="P285">
        <f t="shared" si="16"/>
        <v>0</v>
      </c>
      <c r="Q285">
        <f t="shared" si="17"/>
        <v>0</v>
      </c>
    </row>
    <row r="286" spans="1:17" x14ac:dyDescent="0.2">
      <c r="A286" t="s">
        <v>21</v>
      </c>
      <c r="B286" t="s">
        <v>987</v>
      </c>
      <c r="C286">
        <v>240</v>
      </c>
      <c r="D286" s="2">
        <v>0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65</v>
      </c>
      <c r="K286">
        <v>0</v>
      </c>
      <c r="L286">
        <v>64</v>
      </c>
      <c r="M286">
        <v>0</v>
      </c>
      <c r="N286">
        <v>304</v>
      </c>
      <c r="O286" s="3">
        <f t="shared" si="19"/>
        <v>0</v>
      </c>
      <c r="P286">
        <f t="shared" si="16"/>
        <v>0</v>
      </c>
      <c r="Q286">
        <f t="shared" si="17"/>
        <v>0</v>
      </c>
    </row>
    <row r="287" spans="1:17" x14ac:dyDescent="0.2">
      <c r="A287" t="s">
        <v>21</v>
      </c>
      <c r="B287" t="s">
        <v>988</v>
      </c>
      <c r="C287">
        <v>360</v>
      </c>
      <c r="D287" s="2">
        <v>0</v>
      </c>
      <c r="E287">
        <v>0</v>
      </c>
      <c r="F287">
        <v>0</v>
      </c>
      <c r="G287">
        <v>0</v>
      </c>
      <c r="H287">
        <v>0</v>
      </c>
      <c r="I287">
        <v>110</v>
      </c>
      <c r="J287">
        <v>98</v>
      </c>
      <c r="K287">
        <v>0</v>
      </c>
      <c r="L287">
        <v>96</v>
      </c>
      <c r="M287">
        <v>0</v>
      </c>
      <c r="N287">
        <v>456</v>
      </c>
      <c r="O287" s="3">
        <f t="shared" si="19"/>
        <v>0</v>
      </c>
      <c r="P287">
        <f t="shared" si="16"/>
        <v>0</v>
      </c>
      <c r="Q287">
        <f t="shared" si="17"/>
        <v>0</v>
      </c>
    </row>
    <row r="288" spans="1:17" x14ac:dyDescent="0.2">
      <c r="A288" t="s">
        <v>21</v>
      </c>
      <c r="B288" t="s">
        <v>989</v>
      </c>
      <c r="C288">
        <v>80</v>
      </c>
      <c r="D288" s="2">
        <v>0</v>
      </c>
      <c r="E288">
        <v>0</v>
      </c>
      <c r="F288">
        <v>0</v>
      </c>
      <c r="G288">
        <v>0</v>
      </c>
      <c r="H288">
        <v>0</v>
      </c>
      <c r="I288">
        <v>40</v>
      </c>
      <c r="J288">
        <v>22</v>
      </c>
      <c r="K288">
        <v>0</v>
      </c>
      <c r="L288">
        <v>22</v>
      </c>
      <c r="M288">
        <v>0</v>
      </c>
      <c r="N288">
        <v>102</v>
      </c>
      <c r="O288" s="3">
        <f t="shared" si="19"/>
        <v>0</v>
      </c>
      <c r="P288">
        <f t="shared" si="16"/>
        <v>0</v>
      </c>
      <c r="Q288">
        <f t="shared" si="17"/>
        <v>0</v>
      </c>
    </row>
    <row r="289" spans="1:17" x14ac:dyDescent="0.2">
      <c r="A289" t="s">
        <v>21</v>
      </c>
      <c r="B289" t="s">
        <v>990</v>
      </c>
      <c r="C289">
        <v>110</v>
      </c>
      <c r="D289" s="2">
        <v>0</v>
      </c>
      <c r="E289">
        <v>0</v>
      </c>
      <c r="F289">
        <v>0</v>
      </c>
      <c r="G289">
        <v>0</v>
      </c>
      <c r="H289">
        <v>0</v>
      </c>
      <c r="I289">
        <v>55</v>
      </c>
      <c r="J289">
        <v>29</v>
      </c>
      <c r="K289">
        <v>0</v>
      </c>
      <c r="L289">
        <v>29</v>
      </c>
      <c r="M289">
        <v>0</v>
      </c>
      <c r="N289">
        <v>139</v>
      </c>
      <c r="O289" s="3">
        <f t="shared" si="19"/>
        <v>0</v>
      </c>
      <c r="P289">
        <f t="shared" si="16"/>
        <v>0</v>
      </c>
      <c r="Q289">
        <f t="shared" si="17"/>
        <v>0</v>
      </c>
    </row>
    <row r="290" spans="1:17" x14ac:dyDescent="0.2">
      <c r="A290" t="s">
        <v>21</v>
      </c>
      <c r="B290" t="s">
        <v>991</v>
      </c>
      <c r="C290">
        <v>140</v>
      </c>
      <c r="D290" s="2">
        <v>0</v>
      </c>
      <c r="E290">
        <v>0</v>
      </c>
      <c r="F290">
        <v>0</v>
      </c>
      <c r="G290">
        <v>0</v>
      </c>
      <c r="H290">
        <v>0</v>
      </c>
      <c r="I290">
        <v>70</v>
      </c>
      <c r="J290">
        <v>36</v>
      </c>
      <c r="K290">
        <v>0</v>
      </c>
      <c r="L290">
        <v>36</v>
      </c>
      <c r="M290">
        <v>0</v>
      </c>
      <c r="N290">
        <v>176</v>
      </c>
      <c r="O290" s="3">
        <f t="shared" si="19"/>
        <v>0</v>
      </c>
      <c r="P290">
        <f t="shared" si="16"/>
        <v>0</v>
      </c>
      <c r="Q290">
        <f t="shared" si="17"/>
        <v>0</v>
      </c>
    </row>
    <row r="291" spans="1:17" x14ac:dyDescent="0.2">
      <c r="A291" t="s">
        <v>21</v>
      </c>
      <c r="B291" t="s">
        <v>992</v>
      </c>
      <c r="C291">
        <v>210</v>
      </c>
      <c r="D291" s="2">
        <v>0</v>
      </c>
      <c r="E291">
        <v>0</v>
      </c>
      <c r="F291">
        <v>0</v>
      </c>
      <c r="G291">
        <v>0</v>
      </c>
      <c r="H291">
        <v>0</v>
      </c>
      <c r="I291">
        <v>105</v>
      </c>
      <c r="J291">
        <v>55</v>
      </c>
      <c r="K291">
        <v>0</v>
      </c>
      <c r="L291">
        <v>54</v>
      </c>
      <c r="M291">
        <v>0</v>
      </c>
      <c r="N291">
        <v>264</v>
      </c>
      <c r="O291" s="3">
        <f t="shared" si="19"/>
        <v>0</v>
      </c>
      <c r="P291">
        <f t="shared" si="16"/>
        <v>0</v>
      </c>
      <c r="Q291">
        <f t="shared" si="17"/>
        <v>0</v>
      </c>
    </row>
    <row r="292" spans="1:17" x14ac:dyDescent="0.2">
      <c r="A292" t="s">
        <v>21</v>
      </c>
      <c r="B292" t="s">
        <v>997</v>
      </c>
      <c r="C292">
        <v>80</v>
      </c>
      <c r="D292" s="2">
        <v>0</v>
      </c>
      <c r="E292">
        <v>0</v>
      </c>
      <c r="F292">
        <v>0</v>
      </c>
      <c r="G292">
        <v>0</v>
      </c>
      <c r="H292">
        <v>0</v>
      </c>
      <c r="I292">
        <v>45</v>
      </c>
      <c r="J292">
        <v>20</v>
      </c>
      <c r="K292">
        <v>0</v>
      </c>
      <c r="L292">
        <v>20</v>
      </c>
      <c r="M292">
        <v>0</v>
      </c>
      <c r="N292">
        <v>100</v>
      </c>
      <c r="O292" s="3">
        <f t="shared" si="19"/>
        <v>0</v>
      </c>
      <c r="P292">
        <f t="shared" si="16"/>
        <v>0</v>
      </c>
      <c r="Q292">
        <f t="shared" si="17"/>
        <v>0</v>
      </c>
    </row>
    <row r="293" spans="1:17" x14ac:dyDescent="0.2">
      <c r="A293" t="s">
        <v>21</v>
      </c>
      <c r="B293" t="s">
        <v>998</v>
      </c>
      <c r="C293">
        <v>100</v>
      </c>
      <c r="D293" s="2">
        <v>0</v>
      </c>
      <c r="E293">
        <v>0</v>
      </c>
      <c r="F293">
        <v>0</v>
      </c>
      <c r="G293">
        <v>0</v>
      </c>
      <c r="H293">
        <v>0</v>
      </c>
      <c r="I293">
        <v>55</v>
      </c>
      <c r="J293">
        <v>26</v>
      </c>
      <c r="K293">
        <v>0</v>
      </c>
      <c r="L293">
        <v>26</v>
      </c>
      <c r="M293">
        <v>0</v>
      </c>
      <c r="N293">
        <v>126</v>
      </c>
      <c r="O293" s="3">
        <f t="shared" si="19"/>
        <v>0</v>
      </c>
      <c r="P293">
        <f t="shared" si="16"/>
        <v>0</v>
      </c>
      <c r="Q293">
        <f t="shared" si="17"/>
        <v>0</v>
      </c>
    </row>
    <row r="294" spans="1:17" x14ac:dyDescent="0.2">
      <c r="A294" t="s">
        <v>21</v>
      </c>
      <c r="B294" t="s">
        <v>999</v>
      </c>
      <c r="C294">
        <v>130</v>
      </c>
      <c r="D294" s="2">
        <v>0</v>
      </c>
      <c r="E294">
        <v>0</v>
      </c>
      <c r="F294">
        <v>0</v>
      </c>
      <c r="G294">
        <v>0</v>
      </c>
      <c r="H294">
        <v>0</v>
      </c>
      <c r="I294">
        <v>70</v>
      </c>
      <c r="J294">
        <v>33</v>
      </c>
      <c r="K294">
        <v>0</v>
      </c>
      <c r="L294">
        <v>33</v>
      </c>
      <c r="M294">
        <v>0</v>
      </c>
      <c r="N294">
        <v>163</v>
      </c>
      <c r="O294" s="3">
        <f t="shared" si="19"/>
        <v>0</v>
      </c>
      <c r="P294">
        <f t="shared" si="16"/>
        <v>0</v>
      </c>
      <c r="Q294">
        <f t="shared" si="17"/>
        <v>0</v>
      </c>
    </row>
    <row r="295" spans="1:17" x14ac:dyDescent="0.2">
      <c r="A295" t="s">
        <v>21</v>
      </c>
      <c r="B295" t="s">
        <v>1000</v>
      </c>
      <c r="C295">
        <v>190</v>
      </c>
      <c r="D295" s="2">
        <v>0</v>
      </c>
      <c r="E295">
        <v>0</v>
      </c>
      <c r="F295">
        <v>0</v>
      </c>
      <c r="G295">
        <v>0</v>
      </c>
      <c r="H295">
        <v>0</v>
      </c>
      <c r="I295">
        <v>110</v>
      </c>
      <c r="J295">
        <v>49</v>
      </c>
      <c r="K295">
        <v>0</v>
      </c>
      <c r="L295">
        <v>49</v>
      </c>
      <c r="M295">
        <v>0</v>
      </c>
      <c r="N295">
        <v>239</v>
      </c>
      <c r="O295" s="3">
        <f t="shared" si="19"/>
        <v>0</v>
      </c>
      <c r="P295">
        <f t="shared" si="16"/>
        <v>0</v>
      </c>
      <c r="Q295">
        <f t="shared" si="17"/>
        <v>0</v>
      </c>
    </row>
    <row r="296" spans="1:17" x14ac:dyDescent="0.2">
      <c r="A296" t="s">
        <v>21</v>
      </c>
      <c r="B296" t="s">
        <v>1001</v>
      </c>
      <c r="C296">
        <v>80</v>
      </c>
      <c r="D296" s="2">
        <v>0</v>
      </c>
      <c r="E296">
        <v>0</v>
      </c>
      <c r="F296">
        <v>0</v>
      </c>
      <c r="G296">
        <v>0</v>
      </c>
      <c r="H296">
        <v>0</v>
      </c>
      <c r="I296">
        <v>45</v>
      </c>
      <c r="J296">
        <v>22</v>
      </c>
      <c r="K296">
        <v>0</v>
      </c>
      <c r="L296">
        <v>21</v>
      </c>
      <c r="M296">
        <v>0</v>
      </c>
      <c r="N296">
        <v>101</v>
      </c>
      <c r="O296" s="3">
        <f t="shared" si="19"/>
        <v>0</v>
      </c>
      <c r="P296">
        <f t="shared" si="16"/>
        <v>0</v>
      </c>
      <c r="Q296">
        <f t="shared" si="17"/>
        <v>0</v>
      </c>
    </row>
    <row r="297" spans="1:17" x14ac:dyDescent="0.2">
      <c r="A297" t="s">
        <v>21</v>
      </c>
      <c r="B297" t="s">
        <v>1002</v>
      </c>
      <c r="C297">
        <v>110</v>
      </c>
      <c r="D297" s="2">
        <v>0</v>
      </c>
      <c r="E297">
        <v>0</v>
      </c>
      <c r="F297">
        <v>0</v>
      </c>
      <c r="G297">
        <v>0</v>
      </c>
      <c r="H297">
        <v>0</v>
      </c>
      <c r="I297">
        <v>65</v>
      </c>
      <c r="J297">
        <v>29</v>
      </c>
      <c r="K297">
        <v>0</v>
      </c>
      <c r="L297">
        <v>29</v>
      </c>
      <c r="M297">
        <v>0</v>
      </c>
      <c r="N297">
        <v>139</v>
      </c>
      <c r="O297" s="3">
        <f t="shared" si="19"/>
        <v>0</v>
      </c>
      <c r="P297">
        <f t="shared" si="16"/>
        <v>0</v>
      </c>
      <c r="Q297">
        <f t="shared" si="17"/>
        <v>0</v>
      </c>
    </row>
    <row r="298" spans="1:17" x14ac:dyDescent="0.2">
      <c r="A298" t="s">
        <v>21</v>
      </c>
      <c r="B298" t="s">
        <v>1003</v>
      </c>
      <c r="C298">
        <v>130</v>
      </c>
      <c r="D298" s="2">
        <v>0</v>
      </c>
      <c r="E298">
        <v>0</v>
      </c>
      <c r="F298">
        <v>0</v>
      </c>
      <c r="G298">
        <v>0</v>
      </c>
      <c r="H298">
        <v>0</v>
      </c>
      <c r="I298">
        <v>80</v>
      </c>
      <c r="J298">
        <v>36</v>
      </c>
      <c r="K298">
        <v>0</v>
      </c>
      <c r="L298">
        <v>36</v>
      </c>
      <c r="M298">
        <v>0</v>
      </c>
      <c r="N298">
        <v>166</v>
      </c>
      <c r="O298" s="3">
        <f t="shared" si="19"/>
        <v>0</v>
      </c>
      <c r="P298">
        <f t="shared" si="16"/>
        <v>0</v>
      </c>
      <c r="Q298">
        <f t="shared" si="17"/>
        <v>0</v>
      </c>
    </row>
    <row r="299" spans="1:17" x14ac:dyDescent="0.2">
      <c r="A299" t="s">
        <v>21</v>
      </c>
      <c r="B299" t="s">
        <v>1004</v>
      </c>
      <c r="C299">
        <v>200</v>
      </c>
      <c r="D299" s="2">
        <v>0</v>
      </c>
      <c r="E299">
        <v>0</v>
      </c>
      <c r="F299">
        <v>0</v>
      </c>
      <c r="G299">
        <v>0</v>
      </c>
      <c r="H299">
        <v>0</v>
      </c>
      <c r="I299">
        <v>120</v>
      </c>
      <c r="J299">
        <v>54</v>
      </c>
      <c r="K299">
        <v>0</v>
      </c>
      <c r="L299">
        <v>54</v>
      </c>
      <c r="M299">
        <v>0</v>
      </c>
      <c r="N299">
        <v>254</v>
      </c>
      <c r="O299" s="3">
        <f t="shared" si="19"/>
        <v>0</v>
      </c>
      <c r="P299">
        <f t="shared" si="16"/>
        <v>0</v>
      </c>
      <c r="Q299">
        <f t="shared" si="17"/>
        <v>0</v>
      </c>
    </row>
    <row r="300" spans="1:17" x14ac:dyDescent="0.2">
      <c r="A300" t="s">
        <v>21</v>
      </c>
      <c r="B300" t="s">
        <v>1009</v>
      </c>
      <c r="C300">
        <v>160</v>
      </c>
      <c r="D300" s="2">
        <v>0</v>
      </c>
      <c r="E300">
        <v>0</v>
      </c>
      <c r="F300">
        <v>0</v>
      </c>
      <c r="G300">
        <v>0</v>
      </c>
      <c r="H300">
        <v>0</v>
      </c>
      <c r="I300">
        <v>35</v>
      </c>
      <c r="J300">
        <v>42</v>
      </c>
      <c r="K300">
        <v>0</v>
      </c>
      <c r="L300">
        <v>42</v>
      </c>
      <c r="M300">
        <v>0</v>
      </c>
      <c r="N300">
        <v>202</v>
      </c>
      <c r="O300" s="3">
        <f t="shared" si="19"/>
        <v>0</v>
      </c>
      <c r="P300">
        <f t="shared" si="16"/>
        <v>0</v>
      </c>
      <c r="Q300">
        <f t="shared" si="17"/>
        <v>0</v>
      </c>
    </row>
    <row r="301" spans="1:17" x14ac:dyDescent="0.2">
      <c r="A301" t="s">
        <v>21</v>
      </c>
      <c r="B301" t="s">
        <v>1010</v>
      </c>
      <c r="C301">
        <v>210</v>
      </c>
      <c r="D301" s="2">
        <v>0</v>
      </c>
      <c r="E301">
        <v>0</v>
      </c>
      <c r="F301">
        <v>0</v>
      </c>
      <c r="G301">
        <v>0</v>
      </c>
      <c r="H301">
        <v>0</v>
      </c>
      <c r="I301">
        <v>45</v>
      </c>
      <c r="J301">
        <v>57</v>
      </c>
      <c r="K301">
        <v>0</v>
      </c>
      <c r="L301">
        <v>57</v>
      </c>
      <c r="M301">
        <v>0</v>
      </c>
      <c r="N301">
        <v>267</v>
      </c>
      <c r="O301" s="3">
        <f t="shared" si="19"/>
        <v>0</v>
      </c>
      <c r="P301">
        <f t="shared" si="16"/>
        <v>0</v>
      </c>
      <c r="Q301">
        <f t="shared" si="17"/>
        <v>0</v>
      </c>
    </row>
    <row r="302" spans="1:17" x14ac:dyDescent="0.2">
      <c r="A302" t="s">
        <v>21</v>
      </c>
      <c r="B302" t="s">
        <v>1011</v>
      </c>
      <c r="C302">
        <v>260</v>
      </c>
      <c r="D302" s="2">
        <v>0</v>
      </c>
      <c r="E302">
        <v>0</v>
      </c>
      <c r="F302">
        <v>0</v>
      </c>
      <c r="G302">
        <v>0</v>
      </c>
      <c r="H302">
        <v>0</v>
      </c>
      <c r="I302">
        <v>55</v>
      </c>
      <c r="J302">
        <v>71</v>
      </c>
      <c r="K302">
        <v>0</v>
      </c>
      <c r="L302">
        <v>71</v>
      </c>
      <c r="M302">
        <v>0</v>
      </c>
      <c r="N302">
        <v>331</v>
      </c>
      <c r="O302" s="3">
        <f t="shared" si="19"/>
        <v>0</v>
      </c>
      <c r="P302">
        <f t="shared" si="16"/>
        <v>0</v>
      </c>
      <c r="Q302">
        <f t="shared" si="17"/>
        <v>0</v>
      </c>
    </row>
    <row r="303" spans="1:17" x14ac:dyDescent="0.2">
      <c r="A303" t="s">
        <v>21</v>
      </c>
      <c r="B303" t="s">
        <v>1012</v>
      </c>
      <c r="C303">
        <v>400</v>
      </c>
      <c r="D303" s="2">
        <v>0</v>
      </c>
      <c r="E303">
        <v>0</v>
      </c>
      <c r="F303">
        <v>0</v>
      </c>
      <c r="G303">
        <v>0</v>
      </c>
      <c r="H303">
        <v>0</v>
      </c>
      <c r="I303">
        <v>80</v>
      </c>
      <c r="J303">
        <v>106</v>
      </c>
      <c r="K303">
        <v>0</v>
      </c>
      <c r="L303">
        <v>106</v>
      </c>
      <c r="M303">
        <v>0</v>
      </c>
      <c r="N303">
        <v>506</v>
      </c>
      <c r="O303" s="3">
        <f t="shared" si="19"/>
        <v>0</v>
      </c>
      <c r="P303">
        <f t="shared" si="16"/>
        <v>0</v>
      </c>
      <c r="Q303">
        <f t="shared" si="17"/>
        <v>0</v>
      </c>
    </row>
    <row r="304" spans="1:17" x14ac:dyDescent="0.2">
      <c r="A304" t="s">
        <v>21</v>
      </c>
      <c r="B304" t="s">
        <v>1013</v>
      </c>
      <c r="C304">
        <v>160</v>
      </c>
      <c r="D304" s="2">
        <v>0</v>
      </c>
      <c r="E304">
        <v>0</v>
      </c>
      <c r="F304">
        <v>0</v>
      </c>
      <c r="G304">
        <v>0</v>
      </c>
      <c r="H304">
        <v>0</v>
      </c>
      <c r="I304">
        <v>70</v>
      </c>
      <c r="J304">
        <v>44</v>
      </c>
      <c r="K304">
        <v>0</v>
      </c>
      <c r="L304">
        <v>44</v>
      </c>
      <c r="M304">
        <v>0</v>
      </c>
      <c r="N304">
        <v>204</v>
      </c>
      <c r="O304" s="3">
        <f t="shared" si="19"/>
        <v>0</v>
      </c>
      <c r="P304">
        <f t="shared" si="16"/>
        <v>0</v>
      </c>
      <c r="Q304">
        <f t="shared" si="17"/>
        <v>0</v>
      </c>
    </row>
    <row r="305" spans="1:17" x14ac:dyDescent="0.2">
      <c r="A305" t="s">
        <v>21</v>
      </c>
      <c r="B305" t="s">
        <v>1014</v>
      </c>
      <c r="C305">
        <v>220</v>
      </c>
      <c r="D305" s="2">
        <v>0</v>
      </c>
      <c r="E305">
        <v>0</v>
      </c>
      <c r="F305">
        <v>0</v>
      </c>
      <c r="G305">
        <v>0</v>
      </c>
      <c r="H305">
        <v>0</v>
      </c>
      <c r="I305">
        <v>95</v>
      </c>
      <c r="J305">
        <v>58</v>
      </c>
      <c r="K305">
        <v>0</v>
      </c>
      <c r="L305">
        <v>58</v>
      </c>
      <c r="M305">
        <v>0</v>
      </c>
      <c r="N305">
        <v>278</v>
      </c>
      <c r="O305" s="3">
        <f t="shared" si="19"/>
        <v>0</v>
      </c>
      <c r="P305">
        <f t="shared" si="16"/>
        <v>0</v>
      </c>
      <c r="Q305">
        <f t="shared" si="17"/>
        <v>0</v>
      </c>
    </row>
    <row r="306" spans="1:17" x14ac:dyDescent="0.2">
      <c r="A306" t="s">
        <v>21</v>
      </c>
      <c r="B306" t="s">
        <v>1015</v>
      </c>
      <c r="C306">
        <v>270</v>
      </c>
      <c r="D306" s="2">
        <v>0</v>
      </c>
      <c r="E306">
        <v>0</v>
      </c>
      <c r="F306">
        <v>0</v>
      </c>
      <c r="G306">
        <v>0</v>
      </c>
      <c r="H306">
        <v>0</v>
      </c>
      <c r="I306">
        <v>120</v>
      </c>
      <c r="J306">
        <v>73</v>
      </c>
      <c r="K306">
        <v>0</v>
      </c>
      <c r="L306">
        <v>73</v>
      </c>
      <c r="M306">
        <v>0</v>
      </c>
      <c r="N306">
        <v>343</v>
      </c>
      <c r="O306" s="3">
        <f t="shared" si="19"/>
        <v>0</v>
      </c>
      <c r="P306">
        <f t="shared" si="16"/>
        <v>0</v>
      </c>
      <c r="Q306">
        <f t="shared" si="17"/>
        <v>0</v>
      </c>
    </row>
    <row r="307" spans="1:17" x14ac:dyDescent="0.2">
      <c r="A307" t="s">
        <v>21</v>
      </c>
      <c r="B307" t="s">
        <v>1016</v>
      </c>
      <c r="C307">
        <v>410</v>
      </c>
      <c r="D307" s="2">
        <v>0</v>
      </c>
      <c r="E307">
        <v>0</v>
      </c>
      <c r="F307">
        <v>0</v>
      </c>
      <c r="G307">
        <v>0</v>
      </c>
      <c r="H307">
        <v>0</v>
      </c>
      <c r="I307">
        <v>180</v>
      </c>
      <c r="J307">
        <v>109</v>
      </c>
      <c r="K307">
        <v>0</v>
      </c>
      <c r="L307">
        <v>109</v>
      </c>
      <c r="M307">
        <v>0</v>
      </c>
      <c r="N307">
        <v>519</v>
      </c>
      <c r="O307" s="3">
        <f t="shared" si="19"/>
        <v>0</v>
      </c>
      <c r="P307">
        <f t="shared" si="16"/>
        <v>0</v>
      </c>
      <c r="Q307">
        <f t="shared" si="17"/>
        <v>0</v>
      </c>
    </row>
    <row r="308" spans="1:17" x14ac:dyDescent="0.2">
      <c r="A308" t="s">
        <v>21</v>
      </c>
      <c r="B308" t="s">
        <v>1017</v>
      </c>
      <c r="C308">
        <v>150</v>
      </c>
      <c r="D308" s="2">
        <v>0</v>
      </c>
      <c r="E308">
        <v>0</v>
      </c>
      <c r="F308">
        <v>0</v>
      </c>
      <c r="G308">
        <v>0</v>
      </c>
      <c r="H308">
        <v>0</v>
      </c>
      <c r="I308">
        <v>35</v>
      </c>
      <c r="J308">
        <v>41</v>
      </c>
      <c r="K308">
        <v>0</v>
      </c>
      <c r="L308">
        <v>41</v>
      </c>
      <c r="M308">
        <v>0</v>
      </c>
      <c r="N308">
        <v>191</v>
      </c>
      <c r="O308" s="3">
        <f t="shared" si="19"/>
        <v>0</v>
      </c>
      <c r="P308">
        <f t="shared" si="16"/>
        <v>0</v>
      </c>
      <c r="Q308">
        <f t="shared" si="17"/>
        <v>0</v>
      </c>
    </row>
    <row r="309" spans="1:17" x14ac:dyDescent="0.2">
      <c r="A309" t="s">
        <v>21</v>
      </c>
      <c r="B309" t="s">
        <v>1018</v>
      </c>
      <c r="C309">
        <v>200</v>
      </c>
      <c r="D309" s="2">
        <v>0</v>
      </c>
      <c r="E309">
        <v>0</v>
      </c>
      <c r="F309">
        <v>0</v>
      </c>
      <c r="G309">
        <v>0</v>
      </c>
      <c r="H309">
        <v>0</v>
      </c>
      <c r="I309">
        <v>45</v>
      </c>
      <c r="J309">
        <v>54</v>
      </c>
      <c r="K309">
        <v>0</v>
      </c>
      <c r="L309">
        <v>54</v>
      </c>
      <c r="M309">
        <v>0</v>
      </c>
      <c r="N309">
        <v>254</v>
      </c>
      <c r="O309" s="3">
        <f t="shared" si="19"/>
        <v>0</v>
      </c>
      <c r="P309">
        <f t="shared" si="16"/>
        <v>0</v>
      </c>
      <c r="Q309">
        <f t="shared" si="17"/>
        <v>0</v>
      </c>
    </row>
    <row r="310" spans="1:17" x14ac:dyDescent="0.2">
      <c r="A310" t="s">
        <v>21</v>
      </c>
      <c r="B310" t="s">
        <v>1019</v>
      </c>
      <c r="C310">
        <v>260</v>
      </c>
      <c r="D310" s="2">
        <v>0</v>
      </c>
      <c r="E310">
        <v>0</v>
      </c>
      <c r="F310">
        <v>0</v>
      </c>
      <c r="G310">
        <v>0</v>
      </c>
      <c r="H310">
        <v>0</v>
      </c>
      <c r="I310">
        <v>55</v>
      </c>
      <c r="J310">
        <v>68</v>
      </c>
      <c r="K310">
        <v>0</v>
      </c>
      <c r="L310">
        <v>68</v>
      </c>
      <c r="M310">
        <v>0</v>
      </c>
      <c r="N310">
        <v>328</v>
      </c>
      <c r="O310" s="3">
        <f t="shared" si="19"/>
        <v>0</v>
      </c>
      <c r="P310">
        <f t="shared" si="16"/>
        <v>0</v>
      </c>
      <c r="Q310">
        <f t="shared" si="17"/>
        <v>0</v>
      </c>
    </row>
    <row r="311" spans="1:17" x14ac:dyDescent="0.2">
      <c r="A311" t="s">
        <v>21</v>
      </c>
      <c r="B311" t="s">
        <v>1020</v>
      </c>
      <c r="C311">
        <v>380</v>
      </c>
      <c r="D311" s="2">
        <v>0</v>
      </c>
      <c r="E311">
        <v>0</v>
      </c>
      <c r="F311">
        <v>0</v>
      </c>
      <c r="G311">
        <v>0</v>
      </c>
      <c r="H311">
        <v>0</v>
      </c>
      <c r="I311">
        <v>80</v>
      </c>
      <c r="J311">
        <v>101</v>
      </c>
      <c r="K311">
        <v>0</v>
      </c>
      <c r="L311">
        <v>101</v>
      </c>
      <c r="M311">
        <v>0</v>
      </c>
      <c r="N311">
        <v>481</v>
      </c>
      <c r="O311" s="3">
        <f t="shared" si="19"/>
        <v>0</v>
      </c>
      <c r="P311">
        <f t="shared" si="16"/>
        <v>0</v>
      </c>
      <c r="Q311">
        <f t="shared" si="17"/>
        <v>0</v>
      </c>
    </row>
    <row r="312" spans="1:17" x14ac:dyDescent="0.2">
      <c r="A312" t="s">
        <v>21</v>
      </c>
      <c r="B312" t="s">
        <v>1021</v>
      </c>
      <c r="C312">
        <v>120</v>
      </c>
      <c r="D312" s="2">
        <v>0</v>
      </c>
      <c r="E312">
        <v>0</v>
      </c>
      <c r="F312">
        <v>0</v>
      </c>
      <c r="G312">
        <v>0</v>
      </c>
      <c r="H312">
        <v>0</v>
      </c>
      <c r="I312">
        <v>190</v>
      </c>
      <c r="J312">
        <v>32</v>
      </c>
      <c r="K312">
        <v>0</v>
      </c>
      <c r="L312">
        <v>25</v>
      </c>
      <c r="M312">
        <v>0</v>
      </c>
      <c r="N312">
        <v>145</v>
      </c>
      <c r="O312" s="3">
        <f t="shared" si="19"/>
        <v>0</v>
      </c>
      <c r="P312">
        <f t="shared" si="16"/>
        <v>0</v>
      </c>
      <c r="Q312">
        <f t="shared" si="17"/>
        <v>0</v>
      </c>
    </row>
    <row r="313" spans="1:17" x14ac:dyDescent="0.2">
      <c r="A313" t="s">
        <v>21</v>
      </c>
      <c r="B313" t="s">
        <v>1022</v>
      </c>
      <c r="C313">
        <v>160</v>
      </c>
      <c r="D313" s="2">
        <v>0</v>
      </c>
      <c r="E313">
        <v>0</v>
      </c>
      <c r="F313">
        <v>0</v>
      </c>
      <c r="G313">
        <v>0</v>
      </c>
      <c r="H313">
        <v>0</v>
      </c>
      <c r="I313">
        <v>50</v>
      </c>
      <c r="J313">
        <v>44</v>
      </c>
      <c r="K313">
        <v>0</v>
      </c>
      <c r="L313">
        <v>44</v>
      </c>
      <c r="M313">
        <v>0</v>
      </c>
      <c r="N313">
        <v>204</v>
      </c>
      <c r="O313" s="3">
        <f t="shared" si="19"/>
        <v>0</v>
      </c>
      <c r="P313">
        <f t="shared" si="16"/>
        <v>0</v>
      </c>
      <c r="Q313">
        <f t="shared" si="17"/>
        <v>0</v>
      </c>
    </row>
    <row r="314" spans="1:17" x14ac:dyDescent="0.2">
      <c r="A314" t="s">
        <v>21</v>
      </c>
      <c r="B314" t="s">
        <v>1023</v>
      </c>
      <c r="C314">
        <v>220</v>
      </c>
      <c r="D314" s="2">
        <v>0</v>
      </c>
      <c r="E314">
        <v>0</v>
      </c>
      <c r="F314">
        <v>0</v>
      </c>
      <c r="G314">
        <v>0</v>
      </c>
      <c r="H314">
        <v>0</v>
      </c>
      <c r="I314">
        <v>70</v>
      </c>
      <c r="J314">
        <v>59</v>
      </c>
      <c r="K314">
        <v>0</v>
      </c>
      <c r="L314">
        <v>58</v>
      </c>
      <c r="M314">
        <v>0</v>
      </c>
      <c r="N314">
        <v>278</v>
      </c>
      <c r="O314" s="3">
        <f t="shared" si="19"/>
        <v>0</v>
      </c>
      <c r="P314">
        <f t="shared" si="16"/>
        <v>0</v>
      </c>
      <c r="Q314">
        <f t="shared" si="17"/>
        <v>0</v>
      </c>
    </row>
    <row r="315" spans="1:17" x14ac:dyDescent="0.2">
      <c r="A315" t="s">
        <v>21</v>
      </c>
      <c r="B315" t="s">
        <v>1024</v>
      </c>
      <c r="C315">
        <v>270</v>
      </c>
      <c r="D315" s="2">
        <v>0</v>
      </c>
      <c r="E315">
        <v>0</v>
      </c>
      <c r="F315">
        <v>0</v>
      </c>
      <c r="G315">
        <v>0</v>
      </c>
      <c r="H315">
        <v>0</v>
      </c>
      <c r="I315">
        <v>85</v>
      </c>
      <c r="J315">
        <v>73</v>
      </c>
      <c r="K315">
        <v>0</v>
      </c>
      <c r="L315">
        <v>73</v>
      </c>
      <c r="M315">
        <v>0</v>
      </c>
      <c r="N315">
        <v>343</v>
      </c>
      <c r="O315" s="3">
        <f t="shared" si="19"/>
        <v>0</v>
      </c>
      <c r="P315">
        <f t="shared" si="16"/>
        <v>0</v>
      </c>
      <c r="Q315">
        <f t="shared" si="17"/>
        <v>0</v>
      </c>
    </row>
    <row r="316" spans="1:17" x14ac:dyDescent="0.2">
      <c r="A316" t="s">
        <v>21</v>
      </c>
      <c r="B316" t="s">
        <v>1025</v>
      </c>
      <c r="C316">
        <v>410</v>
      </c>
      <c r="D316" s="2">
        <v>0</v>
      </c>
      <c r="E316">
        <v>0</v>
      </c>
      <c r="F316">
        <v>0</v>
      </c>
      <c r="G316">
        <v>0</v>
      </c>
      <c r="H316">
        <v>0</v>
      </c>
      <c r="I316">
        <v>125</v>
      </c>
      <c r="J316">
        <v>110</v>
      </c>
      <c r="K316">
        <v>0</v>
      </c>
      <c r="L316">
        <v>109</v>
      </c>
      <c r="M316">
        <v>0</v>
      </c>
      <c r="N316">
        <v>519</v>
      </c>
      <c r="O316" s="3">
        <f t="shared" si="19"/>
        <v>0</v>
      </c>
      <c r="P316">
        <f t="shared" si="16"/>
        <v>0</v>
      </c>
      <c r="Q316">
        <f t="shared" si="17"/>
        <v>0</v>
      </c>
    </row>
    <row r="317" spans="1:17" x14ac:dyDescent="0.2">
      <c r="A317" t="s">
        <v>21</v>
      </c>
      <c r="B317" t="s">
        <v>1026</v>
      </c>
      <c r="C317">
        <v>140</v>
      </c>
      <c r="D317" s="2">
        <v>0</v>
      </c>
      <c r="E317">
        <v>0</v>
      </c>
      <c r="F317">
        <v>0</v>
      </c>
      <c r="G317">
        <v>0</v>
      </c>
      <c r="H317">
        <v>0</v>
      </c>
      <c r="I317">
        <v>45</v>
      </c>
      <c r="J317">
        <v>39</v>
      </c>
      <c r="K317">
        <v>0</v>
      </c>
      <c r="L317">
        <v>39</v>
      </c>
      <c r="M317">
        <v>0</v>
      </c>
      <c r="N317">
        <v>179</v>
      </c>
      <c r="O317" s="3">
        <f t="shared" si="19"/>
        <v>0</v>
      </c>
      <c r="P317">
        <f t="shared" si="16"/>
        <v>0</v>
      </c>
      <c r="Q317">
        <f t="shared" si="17"/>
        <v>0</v>
      </c>
    </row>
    <row r="318" spans="1:17" x14ac:dyDescent="0.2">
      <c r="A318" t="s">
        <v>21</v>
      </c>
      <c r="B318" t="s">
        <v>1027</v>
      </c>
      <c r="C318">
        <v>190</v>
      </c>
      <c r="D318" s="2">
        <v>0</v>
      </c>
      <c r="E318">
        <v>0</v>
      </c>
      <c r="F318">
        <v>0</v>
      </c>
      <c r="G318">
        <v>0</v>
      </c>
      <c r="H318">
        <v>0</v>
      </c>
      <c r="I318">
        <v>60</v>
      </c>
      <c r="J318">
        <v>52</v>
      </c>
      <c r="K318">
        <v>0</v>
      </c>
      <c r="L318">
        <v>52</v>
      </c>
      <c r="M318">
        <v>0</v>
      </c>
      <c r="N318">
        <v>242</v>
      </c>
      <c r="O318" s="3">
        <f t="shared" si="19"/>
        <v>0</v>
      </c>
      <c r="P318">
        <f t="shared" si="16"/>
        <v>0</v>
      </c>
      <c r="Q318">
        <f t="shared" si="17"/>
        <v>0</v>
      </c>
    </row>
    <row r="319" spans="1:17" x14ac:dyDescent="0.2">
      <c r="A319" t="s">
        <v>21</v>
      </c>
      <c r="B319" t="s">
        <v>1028</v>
      </c>
      <c r="C319">
        <v>240</v>
      </c>
      <c r="D319" s="2">
        <v>0</v>
      </c>
      <c r="E319">
        <v>0</v>
      </c>
      <c r="F319">
        <v>0</v>
      </c>
      <c r="G319">
        <v>0</v>
      </c>
      <c r="H319">
        <v>0</v>
      </c>
      <c r="I319">
        <v>75</v>
      </c>
      <c r="J319">
        <v>65</v>
      </c>
      <c r="K319">
        <v>0</v>
      </c>
      <c r="L319">
        <v>65</v>
      </c>
      <c r="M319">
        <v>0</v>
      </c>
      <c r="N319">
        <v>305</v>
      </c>
      <c r="O319" s="3">
        <f t="shared" si="19"/>
        <v>0</v>
      </c>
      <c r="P319">
        <f t="shared" si="16"/>
        <v>0</v>
      </c>
      <c r="Q319">
        <f t="shared" si="17"/>
        <v>0</v>
      </c>
    </row>
    <row r="320" spans="1:17" x14ac:dyDescent="0.2">
      <c r="A320" t="s">
        <v>21</v>
      </c>
      <c r="B320" t="s">
        <v>1029</v>
      </c>
      <c r="C320">
        <v>360</v>
      </c>
      <c r="D320" s="2">
        <v>0</v>
      </c>
      <c r="E320">
        <v>0</v>
      </c>
      <c r="F320">
        <v>0</v>
      </c>
      <c r="G320">
        <v>0</v>
      </c>
      <c r="H320">
        <v>0</v>
      </c>
      <c r="I320">
        <v>110</v>
      </c>
      <c r="J320">
        <v>98</v>
      </c>
      <c r="K320">
        <v>0</v>
      </c>
      <c r="L320">
        <v>98</v>
      </c>
      <c r="M320">
        <v>0</v>
      </c>
      <c r="N320">
        <v>458</v>
      </c>
      <c r="O320" s="3">
        <f t="shared" si="19"/>
        <v>0</v>
      </c>
      <c r="P320">
        <f t="shared" si="16"/>
        <v>0</v>
      </c>
      <c r="Q320">
        <f t="shared" si="17"/>
        <v>0</v>
      </c>
    </row>
    <row r="321" spans="1:17" x14ac:dyDescent="0.2">
      <c r="A321" t="s">
        <v>21</v>
      </c>
      <c r="B321" t="s">
        <v>1033</v>
      </c>
      <c r="C321">
        <v>0</v>
      </c>
      <c r="D321" s="2">
        <v>0</v>
      </c>
      <c r="E321">
        <v>0</v>
      </c>
      <c r="F321">
        <v>0</v>
      </c>
      <c r="G321">
        <v>0</v>
      </c>
      <c r="H321">
        <v>0</v>
      </c>
      <c r="I321">
        <v>95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f t="shared" si="16"/>
        <v>0</v>
      </c>
      <c r="Q321">
        <f t="shared" si="17"/>
        <v>0</v>
      </c>
    </row>
    <row r="322" spans="1:17" x14ac:dyDescent="0.2">
      <c r="A322" t="s">
        <v>21</v>
      </c>
      <c r="B322" t="s">
        <v>1034</v>
      </c>
      <c r="C322">
        <v>150</v>
      </c>
      <c r="D322" s="2">
        <v>0</v>
      </c>
      <c r="E322">
        <v>0</v>
      </c>
      <c r="F322">
        <v>0</v>
      </c>
      <c r="G322">
        <v>0</v>
      </c>
      <c r="H322">
        <v>0</v>
      </c>
      <c r="I322">
        <v>30</v>
      </c>
      <c r="J322">
        <v>41</v>
      </c>
      <c r="K322">
        <v>0</v>
      </c>
      <c r="L322">
        <v>41</v>
      </c>
      <c r="M322">
        <v>0</v>
      </c>
      <c r="N322">
        <v>191</v>
      </c>
      <c r="O322" s="3">
        <f t="shared" ref="O322:O385" si="20">M322/C322*100</f>
        <v>0</v>
      </c>
      <c r="P322">
        <f t="shared" ref="P322:P385" si="21">IF(I322&gt;2300*0.2,1,0)</f>
        <v>0</v>
      </c>
      <c r="Q322">
        <f t="shared" ref="Q322:Q385" si="22">IF(H322&gt;300,1,0)</f>
        <v>0</v>
      </c>
    </row>
    <row r="323" spans="1:17" x14ac:dyDescent="0.2">
      <c r="A323" t="s">
        <v>21</v>
      </c>
      <c r="B323" t="s">
        <v>1035</v>
      </c>
      <c r="C323">
        <v>200</v>
      </c>
      <c r="D323" s="2">
        <v>0</v>
      </c>
      <c r="E323">
        <v>0</v>
      </c>
      <c r="F323">
        <v>0</v>
      </c>
      <c r="G323">
        <v>0</v>
      </c>
      <c r="H323">
        <v>0</v>
      </c>
      <c r="I323">
        <v>45</v>
      </c>
      <c r="J323">
        <v>55</v>
      </c>
      <c r="K323">
        <v>0</v>
      </c>
      <c r="L323">
        <v>55</v>
      </c>
      <c r="M323">
        <v>0</v>
      </c>
      <c r="N323">
        <v>255</v>
      </c>
      <c r="O323" s="3">
        <f t="shared" si="20"/>
        <v>0</v>
      </c>
      <c r="P323">
        <f t="shared" si="21"/>
        <v>0</v>
      </c>
      <c r="Q323">
        <f t="shared" si="22"/>
        <v>0</v>
      </c>
    </row>
    <row r="324" spans="1:17" x14ac:dyDescent="0.2">
      <c r="A324" t="s">
        <v>21</v>
      </c>
      <c r="B324" t="s">
        <v>1036</v>
      </c>
      <c r="C324">
        <v>250</v>
      </c>
      <c r="D324" s="2">
        <v>0</v>
      </c>
      <c r="E324">
        <v>0</v>
      </c>
      <c r="F324">
        <v>0</v>
      </c>
      <c r="G324">
        <v>0</v>
      </c>
      <c r="H324">
        <v>0</v>
      </c>
      <c r="I324">
        <v>55</v>
      </c>
      <c r="J324">
        <v>69</v>
      </c>
      <c r="K324">
        <v>0</v>
      </c>
      <c r="L324">
        <v>69</v>
      </c>
      <c r="M324">
        <v>0</v>
      </c>
      <c r="N324">
        <v>319</v>
      </c>
      <c r="O324" s="3">
        <f t="shared" si="20"/>
        <v>0</v>
      </c>
      <c r="P324">
        <f t="shared" si="21"/>
        <v>0</v>
      </c>
      <c r="Q324">
        <f t="shared" si="22"/>
        <v>0</v>
      </c>
    </row>
    <row r="325" spans="1:17" x14ac:dyDescent="0.2">
      <c r="A325" t="s">
        <v>21</v>
      </c>
      <c r="B325" t="s">
        <v>1037</v>
      </c>
      <c r="C325">
        <v>380</v>
      </c>
      <c r="D325" s="2">
        <v>0</v>
      </c>
      <c r="E325">
        <v>0</v>
      </c>
      <c r="F325">
        <v>0</v>
      </c>
      <c r="G325">
        <v>0</v>
      </c>
      <c r="H325">
        <v>0</v>
      </c>
      <c r="I325">
        <v>80</v>
      </c>
      <c r="J325">
        <v>104</v>
      </c>
      <c r="K325">
        <v>0</v>
      </c>
      <c r="L325">
        <v>103</v>
      </c>
      <c r="M325">
        <v>0</v>
      </c>
      <c r="N325">
        <v>483</v>
      </c>
      <c r="O325" s="3">
        <f t="shared" si="20"/>
        <v>0</v>
      </c>
      <c r="P325">
        <f t="shared" si="21"/>
        <v>0</v>
      </c>
      <c r="Q325">
        <f t="shared" si="22"/>
        <v>0</v>
      </c>
    </row>
    <row r="326" spans="1:17" x14ac:dyDescent="0.2">
      <c r="A326" t="s">
        <v>21</v>
      </c>
      <c r="B326" t="s">
        <v>1041</v>
      </c>
      <c r="C326">
        <v>5</v>
      </c>
      <c r="D326" s="2">
        <v>0</v>
      </c>
      <c r="E326">
        <v>0</v>
      </c>
      <c r="F326">
        <v>0</v>
      </c>
      <c r="G326">
        <v>0</v>
      </c>
      <c r="H326">
        <v>0</v>
      </c>
      <c r="I326">
        <v>120</v>
      </c>
      <c r="J326">
        <v>1</v>
      </c>
      <c r="K326">
        <v>0</v>
      </c>
      <c r="L326">
        <v>0</v>
      </c>
      <c r="M326">
        <v>0</v>
      </c>
      <c r="N326">
        <v>5</v>
      </c>
      <c r="O326" s="3">
        <f t="shared" si="20"/>
        <v>0</v>
      </c>
      <c r="P326">
        <f t="shared" si="21"/>
        <v>0</v>
      </c>
      <c r="Q326">
        <f t="shared" si="22"/>
        <v>0</v>
      </c>
    </row>
    <row r="327" spans="1:17" x14ac:dyDescent="0.2">
      <c r="A327" t="s">
        <v>21</v>
      </c>
      <c r="B327" t="s">
        <v>1042</v>
      </c>
      <c r="C327">
        <v>950</v>
      </c>
      <c r="D327" s="2">
        <v>0</v>
      </c>
      <c r="E327">
        <v>0</v>
      </c>
      <c r="F327">
        <v>0</v>
      </c>
      <c r="G327">
        <v>0</v>
      </c>
      <c r="H327">
        <v>0</v>
      </c>
      <c r="I327">
        <v>790</v>
      </c>
      <c r="J327">
        <v>270</v>
      </c>
      <c r="K327">
        <v>0</v>
      </c>
      <c r="L327">
        <v>264</v>
      </c>
      <c r="M327">
        <v>0</v>
      </c>
      <c r="N327">
        <v>1214</v>
      </c>
      <c r="O327" s="3">
        <f t="shared" si="20"/>
        <v>0</v>
      </c>
      <c r="P327">
        <f t="shared" si="21"/>
        <v>1</v>
      </c>
      <c r="Q327">
        <f t="shared" si="22"/>
        <v>0</v>
      </c>
    </row>
    <row r="328" spans="1:17" x14ac:dyDescent="0.2">
      <c r="A328" t="s">
        <v>21</v>
      </c>
      <c r="B328" t="s">
        <v>1043</v>
      </c>
      <c r="C328">
        <v>170</v>
      </c>
      <c r="D328" s="2">
        <v>0</v>
      </c>
      <c r="E328">
        <v>0</v>
      </c>
      <c r="F328">
        <v>0</v>
      </c>
      <c r="G328">
        <v>0</v>
      </c>
      <c r="H328">
        <v>0</v>
      </c>
      <c r="I328">
        <v>130</v>
      </c>
      <c r="J328">
        <v>45</v>
      </c>
      <c r="K328">
        <v>0</v>
      </c>
      <c r="L328">
        <v>44</v>
      </c>
      <c r="M328">
        <v>0</v>
      </c>
      <c r="N328">
        <v>214</v>
      </c>
      <c r="O328" s="3">
        <f t="shared" si="20"/>
        <v>0</v>
      </c>
      <c r="P328">
        <f t="shared" si="21"/>
        <v>0</v>
      </c>
      <c r="Q328">
        <f t="shared" si="22"/>
        <v>0</v>
      </c>
    </row>
    <row r="329" spans="1:17" x14ac:dyDescent="0.2">
      <c r="A329" t="s">
        <v>21</v>
      </c>
      <c r="B329" t="s">
        <v>1044</v>
      </c>
      <c r="C329">
        <v>170</v>
      </c>
      <c r="D329" s="2">
        <v>0</v>
      </c>
      <c r="E329">
        <v>0</v>
      </c>
      <c r="F329">
        <v>0</v>
      </c>
      <c r="G329">
        <v>0</v>
      </c>
      <c r="H329">
        <v>0</v>
      </c>
      <c r="I329">
        <v>35</v>
      </c>
      <c r="J329">
        <v>45</v>
      </c>
      <c r="K329">
        <v>0</v>
      </c>
      <c r="L329">
        <v>45</v>
      </c>
      <c r="M329">
        <v>0</v>
      </c>
      <c r="N329">
        <v>215</v>
      </c>
      <c r="O329" s="3">
        <f t="shared" si="20"/>
        <v>0</v>
      </c>
      <c r="P329">
        <f t="shared" si="21"/>
        <v>0</v>
      </c>
      <c r="Q329">
        <f t="shared" si="22"/>
        <v>0</v>
      </c>
    </row>
    <row r="330" spans="1:17" x14ac:dyDescent="0.2">
      <c r="A330" t="s">
        <v>21</v>
      </c>
      <c r="B330" t="s">
        <v>1045</v>
      </c>
      <c r="C330">
        <v>230</v>
      </c>
      <c r="D330" s="2">
        <v>0</v>
      </c>
      <c r="E330">
        <v>0</v>
      </c>
      <c r="F330">
        <v>0</v>
      </c>
      <c r="G330">
        <v>0</v>
      </c>
      <c r="H330">
        <v>0</v>
      </c>
      <c r="I330">
        <v>45</v>
      </c>
      <c r="J330">
        <v>60</v>
      </c>
      <c r="K330">
        <v>0</v>
      </c>
      <c r="L330">
        <v>60</v>
      </c>
      <c r="M330">
        <v>0</v>
      </c>
      <c r="N330">
        <v>290</v>
      </c>
      <c r="O330" s="3">
        <f t="shared" si="20"/>
        <v>0</v>
      </c>
      <c r="P330">
        <f t="shared" si="21"/>
        <v>0</v>
      </c>
      <c r="Q330">
        <f t="shared" si="22"/>
        <v>0</v>
      </c>
    </row>
    <row r="331" spans="1:17" x14ac:dyDescent="0.2">
      <c r="A331" t="s">
        <v>21</v>
      </c>
      <c r="B331" t="s">
        <v>1046</v>
      </c>
      <c r="C331">
        <v>280</v>
      </c>
      <c r="D331" s="2">
        <v>0</v>
      </c>
      <c r="E331">
        <v>0</v>
      </c>
      <c r="F331">
        <v>0</v>
      </c>
      <c r="G331">
        <v>0</v>
      </c>
      <c r="H331">
        <v>0</v>
      </c>
      <c r="I331">
        <v>60</v>
      </c>
      <c r="J331">
        <v>75</v>
      </c>
      <c r="K331">
        <v>0</v>
      </c>
      <c r="L331">
        <v>75</v>
      </c>
      <c r="M331">
        <v>0</v>
      </c>
      <c r="N331">
        <v>355</v>
      </c>
      <c r="O331" s="3">
        <f t="shared" si="20"/>
        <v>0</v>
      </c>
      <c r="P331">
        <f t="shared" si="21"/>
        <v>0</v>
      </c>
      <c r="Q331">
        <f t="shared" si="22"/>
        <v>0</v>
      </c>
    </row>
    <row r="332" spans="1:17" x14ac:dyDescent="0.2">
      <c r="A332" t="s">
        <v>21</v>
      </c>
      <c r="B332" t="s">
        <v>1047</v>
      </c>
      <c r="C332">
        <v>420</v>
      </c>
      <c r="D332" s="2">
        <v>0</v>
      </c>
      <c r="E332">
        <v>0</v>
      </c>
      <c r="F332">
        <v>0</v>
      </c>
      <c r="G332">
        <v>0</v>
      </c>
      <c r="H332">
        <v>0</v>
      </c>
      <c r="I332">
        <v>90</v>
      </c>
      <c r="J332">
        <v>113</v>
      </c>
      <c r="K332">
        <v>0</v>
      </c>
      <c r="L332">
        <v>112</v>
      </c>
      <c r="M332">
        <v>0</v>
      </c>
      <c r="N332">
        <v>532</v>
      </c>
      <c r="O332" s="3">
        <f t="shared" si="20"/>
        <v>0</v>
      </c>
      <c r="P332">
        <f t="shared" si="21"/>
        <v>0</v>
      </c>
      <c r="Q332">
        <f t="shared" si="22"/>
        <v>0</v>
      </c>
    </row>
    <row r="333" spans="1:17" x14ac:dyDescent="0.2">
      <c r="A333" t="s">
        <v>21</v>
      </c>
      <c r="B333" t="s">
        <v>1051</v>
      </c>
      <c r="C333">
        <v>15</v>
      </c>
      <c r="D333" s="2">
        <v>0</v>
      </c>
      <c r="E333">
        <v>0</v>
      </c>
      <c r="F333">
        <v>0</v>
      </c>
      <c r="G333">
        <v>0</v>
      </c>
      <c r="H333">
        <v>0</v>
      </c>
      <c r="I333">
        <v>350</v>
      </c>
      <c r="J333">
        <v>1</v>
      </c>
      <c r="K333">
        <v>0</v>
      </c>
      <c r="L333">
        <v>0</v>
      </c>
      <c r="M333">
        <v>0</v>
      </c>
      <c r="N333">
        <v>15</v>
      </c>
      <c r="O333" s="3">
        <f t="shared" si="20"/>
        <v>0</v>
      </c>
      <c r="P333">
        <f t="shared" si="21"/>
        <v>0</v>
      </c>
      <c r="Q333">
        <f t="shared" si="22"/>
        <v>0</v>
      </c>
    </row>
    <row r="334" spans="1:17" x14ac:dyDescent="0.2">
      <c r="A334" t="s">
        <v>21</v>
      </c>
      <c r="B334" t="s">
        <v>1052</v>
      </c>
      <c r="C334">
        <v>150</v>
      </c>
      <c r="D334" s="2">
        <v>0</v>
      </c>
      <c r="E334">
        <v>0</v>
      </c>
      <c r="F334">
        <v>0</v>
      </c>
      <c r="G334">
        <v>0</v>
      </c>
      <c r="H334">
        <v>0</v>
      </c>
      <c r="I334">
        <v>160</v>
      </c>
      <c r="J334">
        <v>40</v>
      </c>
      <c r="K334">
        <v>0</v>
      </c>
      <c r="L334">
        <v>40</v>
      </c>
      <c r="M334">
        <v>0</v>
      </c>
      <c r="N334">
        <v>190</v>
      </c>
      <c r="O334" s="3">
        <f t="shared" si="20"/>
        <v>0</v>
      </c>
      <c r="P334">
        <f t="shared" si="21"/>
        <v>0</v>
      </c>
      <c r="Q334">
        <f t="shared" si="22"/>
        <v>0</v>
      </c>
    </row>
    <row r="335" spans="1:17" x14ac:dyDescent="0.2">
      <c r="A335" t="s">
        <v>21</v>
      </c>
      <c r="B335" t="s">
        <v>1053</v>
      </c>
      <c r="C335">
        <v>210</v>
      </c>
      <c r="D335" s="2">
        <v>0</v>
      </c>
      <c r="E335">
        <v>0</v>
      </c>
      <c r="F335">
        <v>0</v>
      </c>
      <c r="G335">
        <v>0</v>
      </c>
      <c r="H335">
        <v>0</v>
      </c>
      <c r="I335">
        <v>210</v>
      </c>
      <c r="J335">
        <v>53</v>
      </c>
      <c r="K335">
        <v>0</v>
      </c>
      <c r="L335">
        <v>53</v>
      </c>
      <c r="M335">
        <v>0</v>
      </c>
      <c r="N335">
        <v>263</v>
      </c>
      <c r="O335" s="3">
        <f t="shared" si="20"/>
        <v>0</v>
      </c>
      <c r="P335">
        <f t="shared" si="21"/>
        <v>0</v>
      </c>
      <c r="Q335">
        <f t="shared" si="22"/>
        <v>0</v>
      </c>
    </row>
    <row r="336" spans="1:17" x14ac:dyDescent="0.2">
      <c r="A336" t="s">
        <v>21</v>
      </c>
      <c r="B336" t="s">
        <v>1054</v>
      </c>
      <c r="C336">
        <v>260</v>
      </c>
      <c r="D336" s="2">
        <v>0</v>
      </c>
      <c r="E336">
        <v>0</v>
      </c>
      <c r="F336">
        <v>0</v>
      </c>
      <c r="G336">
        <v>0</v>
      </c>
      <c r="H336">
        <v>0</v>
      </c>
      <c r="I336">
        <v>260</v>
      </c>
      <c r="J336">
        <v>67</v>
      </c>
      <c r="K336">
        <v>0</v>
      </c>
      <c r="L336">
        <v>67</v>
      </c>
      <c r="M336">
        <v>0</v>
      </c>
      <c r="N336">
        <v>327</v>
      </c>
      <c r="O336" s="3">
        <f t="shared" si="20"/>
        <v>0</v>
      </c>
      <c r="P336">
        <f t="shared" si="21"/>
        <v>0</v>
      </c>
      <c r="Q336">
        <f t="shared" si="22"/>
        <v>0</v>
      </c>
    </row>
    <row r="337" spans="1:17" x14ac:dyDescent="0.2">
      <c r="A337" t="s">
        <v>21</v>
      </c>
      <c r="B337" t="s">
        <v>1055</v>
      </c>
      <c r="C337">
        <v>390</v>
      </c>
      <c r="D337" s="2">
        <v>0</v>
      </c>
      <c r="E337">
        <v>0</v>
      </c>
      <c r="F337">
        <v>0</v>
      </c>
      <c r="G337">
        <v>0</v>
      </c>
      <c r="H337">
        <v>0</v>
      </c>
      <c r="I337">
        <v>390</v>
      </c>
      <c r="J337">
        <v>100</v>
      </c>
      <c r="K337">
        <v>0</v>
      </c>
      <c r="L337">
        <v>100</v>
      </c>
      <c r="M337">
        <v>0</v>
      </c>
      <c r="N337">
        <v>490</v>
      </c>
      <c r="O337" s="3">
        <f t="shared" si="20"/>
        <v>0</v>
      </c>
      <c r="P337">
        <f t="shared" si="21"/>
        <v>0</v>
      </c>
      <c r="Q337">
        <f t="shared" si="22"/>
        <v>0</v>
      </c>
    </row>
    <row r="338" spans="1:17" x14ac:dyDescent="0.2">
      <c r="A338" t="s">
        <v>21</v>
      </c>
      <c r="B338" t="s">
        <v>1056</v>
      </c>
      <c r="C338">
        <v>170</v>
      </c>
      <c r="D338" s="2">
        <v>0</v>
      </c>
      <c r="E338">
        <v>0</v>
      </c>
      <c r="F338">
        <v>0</v>
      </c>
      <c r="G338">
        <v>0</v>
      </c>
      <c r="H338">
        <v>0</v>
      </c>
      <c r="I338">
        <v>35</v>
      </c>
      <c r="J338">
        <v>46</v>
      </c>
      <c r="K338">
        <v>0</v>
      </c>
      <c r="L338">
        <v>46</v>
      </c>
      <c r="M338">
        <v>0</v>
      </c>
      <c r="N338">
        <v>216</v>
      </c>
      <c r="O338" s="3">
        <f t="shared" si="20"/>
        <v>0</v>
      </c>
      <c r="P338">
        <f t="shared" si="21"/>
        <v>0</v>
      </c>
      <c r="Q338">
        <f t="shared" si="22"/>
        <v>0</v>
      </c>
    </row>
    <row r="339" spans="1:17" x14ac:dyDescent="0.2">
      <c r="A339" t="s">
        <v>21</v>
      </c>
      <c r="B339" t="s">
        <v>1057</v>
      </c>
      <c r="C339">
        <v>230</v>
      </c>
      <c r="D339" s="2">
        <v>0</v>
      </c>
      <c r="E339">
        <v>0</v>
      </c>
      <c r="F339">
        <v>0</v>
      </c>
      <c r="G339">
        <v>0</v>
      </c>
      <c r="H339">
        <v>0</v>
      </c>
      <c r="I339">
        <v>50</v>
      </c>
      <c r="J339">
        <v>61</v>
      </c>
      <c r="K339">
        <v>0</v>
      </c>
      <c r="L339">
        <v>61</v>
      </c>
      <c r="M339">
        <v>0</v>
      </c>
      <c r="N339">
        <v>291</v>
      </c>
      <c r="O339" s="3">
        <f t="shared" si="20"/>
        <v>0</v>
      </c>
      <c r="P339">
        <f t="shared" si="21"/>
        <v>0</v>
      </c>
      <c r="Q339">
        <f t="shared" si="22"/>
        <v>0</v>
      </c>
    </row>
    <row r="340" spans="1:17" x14ac:dyDescent="0.2">
      <c r="A340" t="s">
        <v>21</v>
      </c>
      <c r="B340" t="s">
        <v>1058</v>
      </c>
      <c r="C340">
        <v>290</v>
      </c>
      <c r="D340" s="2">
        <v>0</v>
      </c>
      <c r="E340">
        <v>0</v>
      </c>
      <c r="F340">
        <v>0</v>
      </c>
      <c r="G340">
        <v>0</v>
      </c>
      <c r="H340">
        <v>0</v>
      </c>
      <c r="I340">
        <v>60</v>
      </c>
      <c r="J340">
        <v>76</v>
      </c>
      <c r="K340">
        <v>0</v>
      </c>
      <c r="L340">
        <v>76</v>
      </c>
      <c r="M340">
        <v>0</v>
      </c>
      <c r="N340">
        <v>366</v>
      </c>
      <c r="O340" s="3">
        <f t="shared" si="20"/>
        <v>0</v>
      </c>
      <c r="P340">
        <f t="shared" si="21"/>
        <v>0</v>
      </c>
      <c r="Q340">
        <f t="shared" si="22"/>
        <v>0</v>
      </c>
    </row>
    <row r="341" spans="1:17" x14ac:dyDescent="0.2">
      <c r="A341" t="s">
        <v>21</v>
      </c>
      <c r="B341" t="s">
        <v>1059</v>
      </c>
      <c r="C341">
        <v>430</v>
      </c>
      <c r="D341" s="2">
        <v>0</v>
      </c>
      <c r="E341">
        <v>0</v>
      </c>
      <c r="F341">
        <v>0</v>
      </c>
      <c r="G341">
        <v>0</v>
      </c>
      <c r="H341">
        <v>0</v>
      </c>
      <c r="I341">
        <v>90</v>
      </c>
      <c r="J341">
        <v>115</v>
      </c>
      <c r="K341">
        <v>0</v>
      </c>
      <c r="L341">
        <v>114</v>
      </c>
      <c r="M341">
        <v>0</v>
      </c>
      <c r="N341">
        <v>544</v>
      </c>
      <c r="O341" s="3">
        <f t="shared" si="20"/>
        <v>0</v>
      </c>
      <c r="P341">
        <f t="shared" si="21"/>
        <v>0</v>
      </c>
      <c r="Q341">
        <f t="shared" si="22"/>
        <v>0</v>
      </c>
    </row>
    <row r="342" spans="1:17" x14ac:dyDescent="0.2">
      <c r="A342" t="s">
        <v>21</v>
      </c>
      <c r="B342" t="s">
        <v>1060</v>
      </c>
      <c r="C342">
        <v>160</v>
      </c>
      <c r="D342" s="2">
        <v>0</v>
      </c>
      <c r="E342">
        <v>0</v>
      </c>
      <c r="F342">
        <v>0</v>
      </c>
      <c r="G342">
        <v>0</v>
      </c>
      <c r="H342">
        <v>0</v>
      </c>
      <c r="I342">
        <v>30</v>
      </c>
      <c r="J342">
        <v>42</v>
      </c>
      <c r="K342">
        <v>0</v>
      </c>
      <c r="L342">
        <v>42</v>
      </c>
      <c r="M342">
        <v>0</v>
      </c>
      <c r="N342">
        <v>202</v>
      </c>
      <c r="O342" s="3">
        <f t="shared" si="20"/>
        <v>0</v>
      </c>
      <c r="P342">
        <f t="shared" si="21"/>
        <v>0</v>
      </c>
      <c r="Q342">
        <f t="shared" si="22"/>
        <v>0</v>
      </c>
    </row>
    <row r="343" spans="1:17" x14ac:dyDescent="0.2">
      <c r="A343" t="s">
        <v>21</v>
      </c>
      <c r="B343" t="s">
        <v>1061</v>
      </c>
      <c r="C343">
        <v>210</v>
      </c>
      <c r="D343" s="2">
        <v>0</v>
      </c>
      <c r="E343">
        <v>0</v>
      </c>
      <c r="F343">
        <v>0</v>
      </c>
      <c r="G343">
        <v>0</v>
      </c>
      <c r="H343">
        <v>0</v>
      </c>
      <c r="I343">
        <v>40</v>
      </c>
      <c r="J343">
        <v>56</v>
      </c>
      <c r="K343">
        <v>0</v>
      </c>
      <c r="L343">
        <v>56</v>
      </c>
      <c r="M343">
        <v>0</v>
      </c>
      <c r="N343">
        <v>266</v>
      </c>
      <c r="O343" s="3">
        <f t="shared" si="20"/>
        <v>0</v>
      </c>
      <c r="P343">
        <f t="shared" si="21"/>
        <v>0</v>
      </c>
      <c r="Q343">
        <f t="shared" si="22"/>
        <v>0</v>
      </c>
    </row>
    <row r="344" spans="1:17" x14ac:dyDescent="0.2">
      <c r="A344" t="s">
        <v>21</v>
      </c>
      <c r="B344" t="s">
        <v>1062</v>
      </c>
      <c r="C344">
        <v>260</v>
      </c>
      <c r="D344" s="2">
        <v>0</v>
      </c>
      <c r="E344">
        <v>0</v>
      </c>
      <c r="F344">
        <v>0</v>
      </c>
      <c r="G344">
        <v>0</v>
      </c>
      <c r="H344">
        <v>0</v>
      </c>
      <c r="I344">
        <v>50</v>
      </c>
      <c r="J344">
        <v>70</v>
      </c>
      <c r="K344">
        <v>0</v>
      </c>
      <c r="L344">
        <v>70</v>
      </c>
      <c r="M344">
        <v>0</v>
      </c>
      <c r="N344">
        <v>330</v>
      </c>
      <c r="O344" s="3">
        <f t="shared" si="20"/>
        <v>0</v>
      </c>
      <c r="P344">
        <f t="shared" si="21"/>
        <v>0</v>
      </c>
      <c r="Q344">
        <f t="shared" si="22"/>
        <v>0</v>
      </c>
    </row>
    <row r="345" spans="1:17" x14ac:dyDescent="0.2">
      <c r="A345" t="s">
        <v>21</v>
      </c>
      <c r="B345" t="s">
        <v>1063</v>
      </c>
      <c r="C345">
        <v>390</v>
      </c>
      <c r="D345" s="2">
        <v>0</v>
      </c>
      <c r="E345">
        <v>0</v>
      </c>
      <c r="F345">
        <v>0</v>
      </c>
      <c r="G345">
        <v>0</v>
      </c>
      <c r="H345">
        <v>0</v>
      </c>
      <c r="I345">
        <v>80</v>
      </c>
      <c r="J345">
        <v>105</v>
      </c>
      <c r="K345">
        <v>0</v>
      </c>
      <c r="L345">
        <v>105</v>
      </c>
      <c r="M345">
        <v>0</v>
      </c>
      <c r="N345">
        <v>495</v>
      </c>
      <c r="O345" s="3">
        <f t="shared" si="20"/>
        <v>0</v>
      </c>
      <c r="P345">
        <f t="shared" si="21"/>
        <v>0</v>
      </c>
      <c r="Q345">
        <f t="shared" si="22"/>
        <v>0</v>
      </c>
    </row>
    <row r="346" spans="1:17" x14ac:dyDescent="0.2">
      <c r="A346" t="s">
        <v>25</v>
      </c>
      <c r="B346" t="s">
        <v>26</v>
      </c>
      <c r="C346">
        <v>220</v>
      </c>
      <c r="D346">
        <v>60</v>
      </c>
      <c r="E346">
        <v>6</v>
      </c>
      <c r="F346">
        <v>3</v>
      </c>
      <c r="G346">
        <v>0</v>
      </c>
      <c r="H346">
        <v>75</v>
      </c>
      <c r="I346">
        <v>890</v>
      </c>
      <c r="J346">
        <v>12</v>
      </c>
      <c r="K346">
        <v>3</v>
      </c>
      <c r="L346">
        <v>5</v>
      </c>
      <c r="M346">
        <v>30</v>
      </c>
      <c r="N346">
        <v>198</v>
      </c>
      <c r="O346" s="3">
        <f t="shared" si="20"/>
        <v>13.636363636363635</v>
      </c>
      <c r="P346">
        <f t="shared" si="21"/>
        <v>1</v>
      </c>
      <c r="Q346">
        <f t="shared" si="22"/>
        <v>0</v>
      </c>
    </row>
    <row r="347" spans="1:17" x14ac:dyDescent="0.2">
      <c r="A347" t="s">
        <v>25</v>
      </c>
      <c r="B347" t="s">
        <v>28</v>
      </c>
      <c r="C347">
        <v>260</v>
      </c>
      <c r="D347">
        <v>90</v>
      </c>
      <c r="E347">
        <v>9</v>
      </c>
      <c r="F347">
        <v>4</v>
      </c>
      <c r="G347">
        <v>0</v>
      </c>
      <c r="H347">
        <v>90</v>
      </c>
      <c r="I347">
        <v>1010</v>
      </c>
      <c r="J347">
        <v>12</v>
      </c>
      <c r="K347">
        <v>3</v>
      </c>
      <c r="L347">
        <v>5</v>
      </c>
      <c r="M347">
        <v>33</v>
      </c>
      <c r="N347">
        <v>236</v>
      </c>
      <c r="O347" s="3">
        <f t="shared" si="20"/>
        <v>12.692307692307692</v>
      </c>
      <c r="P347">
        <f t="shared" si="21"/>
        <v>1</v>
      </c>
      <c r="Q347">
        <f t="shared" si="22"/>
        <v>0</v>
      </c>
    </row>
    <row r="348" spans="1:17" x14ac:dyDescent="0.2">
      <c r="A348" t="s">
        <v>25</v>
      </c>
      <c r="B348" t="s">
        <v>31</v>
      </c>
      <c r="C348">
        <v>60</v>
      </c>
      <c r="D348">
        <v>0</v>
      </c>
      <c r="E348">
        <v>0</v>
      </c>
      <c r="F348">
        <v>0</v>
      </c>
      <c r="G348">
        <v>0</v>
      </c>
      <c r="H348">
        <v>5</v>
      </c>
      <c r="I348">
        <v>85</v>
      </c>
      <c r="J348">
        <v>9</v>
      </c>
      <c r="K348">
        <v>0</v>
      </c>
      <c r="L348">
        <v>9</v>
      </c>
      <c r="M348">
        <v>6</v>
      </c>
      <c r="N348">
        <v>63</v>
      </c>
      <c r="O348" s="3">
        <f t="shared" si="20"/>
        <v>10</v>
      </c>
      <c r="P348">
        <f t="shared" si="21"/>
        <v>0</v>
      </c>
      <c r="Q348">
        <f t="shared" si="22"/>
        <v>0</v>
      </c>
    </row>
    <row r="349" spans="1:17" x14ac:dyDescent="0.2">
      <c r="A349" t="s">
        <v>25</v>
      </c>
      <c r="B349" t="s">
        <v>32</v>
      </c>
      <c r="C349">
        <v>80</v>
      </c>
      <c r="D349">
        <v>0</v>
      </c>
      <c r="E349">
        <v>0</v>
      </c>
      <c r="F349">
        <v>0</v>
      </c>
      <c r="G349">
        <v>0</v>
      </c>
      <c r="H349">
        <v>5</v>
      </c>
      <c r="I349">
        <v>110</v>
      </c>
      <c r="J349">
        <v>12</v>
      </c>
      <c r="K349">
        <v>0</v>
      </c>
      <c r="L349">
        <v>12</v>
      </c>
      <c r="M349">
        <v>8</v>
      </c>
      <c r="N349">
        <v>84</v>
      </c>
      <c r="O349" s="3">
        <f t="shared" si="20"/>
        <v>10</v>
      </c>
      <c r="P349">
        <f t="shared" si="21"/>
        <v>0</v>
      </c>
      <c r="Q349">
        <f t="shared" si="22"/>
        <v>0</v>
      </c>
    </row>
    <row r="350" spans="1:17" x14ac:dyDescent="0.2">
      <c r="A350" t="s">
        <v>25</v>
      </c>
      <c r="B350" t="s">
        <v>33</v>
      </c>
      <c r="C350">
        <v>90</v>
      </c>
      <c r="D350">
        <v>0</v>
      </c>
      <c r="E350">
        <v>0</v>
      </c>
      <c r="F350">
        <v>0</v>
      </c>
      <c r="G350">
        <v>0</v>
      </c>
      <c r="H350">
        <v>5</v>
      </c>
      <c r="I350">
        <v>130</v>
      </c>
      <c r="J350">
        <v>13</v>
      </c>
      <c r="K350">
        <v>0</v>
      </c>
      <c r="L350">
        <v>13</v>
      </c>
      <c r="M350">
        <v>9</v>
      </c>
      <c r="N350">
        <v>94</v>
      </c>
      <c r="O350" s="3">
        <f t="shared" si="20"/>
        <v>10</v>
      </c>
      <c r="P350">
        <f t="shared" si="21"/>
        <v>0</v>
      </c>
      <c r="Q350">
        <f t="shared" si="22"/>
        <v>0</v>
      </c>
    </row>
    <row r="351" spans="1:17" x14ac:dyDescent="0.2">
      <c r="A351" t="s">
        <v>25</v>
      </c>
      <c r="B351" t="s">
        <v>34</v>
      </c>
      <c r="C351">
        <v>90</v>
      </c>
      <c r="D351">
        <v>0</v>
      </c>
      <c r="E351">
        <v>0</v>
      </c>
      <c r="F351">
        <v>0</v>
      </c>
      <c r="G351">
        <v>0</v>
      </c>
      <c r="H351">
        <v>5</v>
      </c>
      <c r="I351">
        <v>115</v>
      </c>
      <c r="J351">
        <v>13</v>
      </c>
      <c r="K351">
        <v>0</v>
      </c>
      <c r="L351">
        <v>13</v>
      </c>
      <c r="M351">
        <v>9</v>
      </c>
      <c r="N351">
        <v>94</v>
      </c>
      <c r="O351" s="3">
        <f t="shared" si="20"/>
        <v>10</v>
      </c>
      <c r="P351">
        <f t="shared" si="21"/>
        <v>0</v>
      </c>
      <c r="Q351">
        <f t="shared" si="22"/>
        <v>0</v>
      </c>
    </row>
    <row r="352" spans="1:17" x14ac:dyDescent="0.2">
      <c r="A352" t="s">
        <v>25</v>
      </c>
      <c r="B352" t="s">
        <v>35</v>
      </c>
      <c r="C352">
        <v>120</v>
      </c>
      <c r="D352">
        <v>0</v>
      </c>
      <c r="E352">
        <v>0</v>
      </c>
      <c r="F352">
        <v>0</v>
      </c>
      <c r="G352">
        <v>0</v>
      </c>
      <c r="H352">
        <v>5</v>
      </c>
      <c r="I352">
        <v>160</v>
      </c>
      <c r="J352">
        <v>18</v>
      </c>
      <c r="K352">
        <v>0</v>
      </c>
      <c r="L352">
        <v>18</v>
      </c>
      <c r="M352">
        <v>12</v>
      </c>
      <c r="N352">
        <v>126</v>
      </c>
      <c r="O352" s="3">
        <f t="shared" si="20"/>
        <v>10</v>
      </c>
      <c r="P352">
        <f t="shared" si="21"/>
        <v>0</v>
      </c>
      <c r="Q352">
        <f t="shared" si="22"/>
        <v>0</v>
      </c>
    </row>
    <row r="353" spans="1:17" x14ac:dyDescent="0.2">
      <c r="A353" t="s">
        <v>25</v>
      </c>
      <c r="B353" t="s">
        <v>36</v>
      </c>
      <c r="C353">
        <v>50</v>
      </c>
      <c r="D353">
        <v>0</v>
      </c>
      <c r="E353">
        <v>0</v>
      </c>
      <c r="F353">
        <v>0</v>
      </c>
      <c r="G353">
        <v>0</v>
      </c>
      <c r="H353">
        <v>5</v>
      </c>
      <c r="I353">
        <v>100</v>
      </c>
      <c r="J353">
        <v>15</v>
      </c>
      <c r="K353">
        <v>0</v>
      </c>
      <c r="L353">
        <v>8</v>
      </c>
      <c r="M353">
        <v>5</v>
      </c>
      <c r="N353">
        <v>53</v>
      </c>
      <c r="O353" s="3">
        <f t="shared" si="20"/>
        <v>10</v>
      </c>
      <c r="P353">
        <f t="shared" si="21"/>
        <v>0</v>
      </c>
      <c r="Q353">
        <f t="shared" si="22"/>
        <v>0</v>
      </c>
    </row>
    <row r="354" spans="1:17" x14ac:dyDescent="0.2">
      <c r="A354" t="s">
        <v>25</v>
      </c>
      <c r="B354" t="s">
        <v>37</v>
      </c>
      <c r="C354">
        <v>70</v>
      </c>
      <c r="D354">
        <v>0</v>
      </c>
      <c r="E354">
        <v>0</v>
      </c>
      <c r="F354">
        <v>0</v>
      </c>
      <c r="G354">
        <v>0</v>
      </c>
      <c r="H354">
        <v>5</v>
      </c>
      <c r="I354">
        <v>130</v>
      </c>
      <c r="J354">
        <v>19</v>
      </c>
      <c r="K354">
        <v>0</v>
      </c>
      <c r="L354">
        <v>10</v>
      </c>
      <c r="M354">
        <v>7</v>
      </c>
      <c r="N354">
        <v>73</v>
      </c>
      <c r="O354" s="3">
        <f t="shared" si="20"/>
        <v>10</v>
      </c>
      <c r="P354">
        <f t="shared" si="21"/>
        <v>0</v>
      </c>
      <c r="Q354">
        <f t="shared" si="22"/>
        <v>0</v>
      </c>
    </row>
    <row r="355" spans="1:17" x14ac:dyDescent="0.2">
      <c r="A355" t="s">
        <v>25</v>
      </c>
      <c r="B355" t="s">
        <v>38</v>
      </c>
      <c r="C355">
        <v>80</v>
      </c>
      <c r="D355">
        <v>0</v>
      </c>
      <c r="E355">
        <v>0</v>
      </c>
      <c r="F355">
        <v>0</v>
      </c>
      <c r="G355">
        <v>0</v>
      </c>
      <c r="H355">
        <v>5</v>
      </c>
      <c r="I355">
        <v>150</v>
      </c>
      <c r="J355">
        <v>22</v>
      </c>
      <c r="K355">
        <v>0</v>
      </c>
      <c r="L355">
        <v>11</v>
      </c>
      <c r="M355">
        <v>8</v>
      </c>
      <c r="N355">
        <v>83</v>
      </c>
      <c r="O355" s="3">
        <f t="shared" si="20"/>
        <v>10</v>
      </c>
      <c r="P355">
        <f t="shared" si="21"/>
        <v>0</v>
      </c>
      <c r="Q355">
        <f t="shared" si="22"/>
        <v>0</v>
      </c>
    </row>
    <row r="356" spans="1:17" x14ac:dyDescent="0.2">
      <c r="A356" t="s">
        <v>25</v>
      </c>
      <c r="B356" t="s">
        <v>39</v>
      </c>
      <c r="C356">
        <v>90</v>
      </c>
      <c r="D356">
        <v>0</v>
      </c>
      <c r="E356">
        <v>0</v>
      </c>
      <c r="F356">
        <v>0</v>
      </c>
      <c r="G356">
        <v>0</v>
      </c>
      <c r="H356">
        <v>5</v>
      </c>
      <c r="I356">
        <v>160</v>
      </c>
      <c r="J356">
        <v>22</v>
      </c>
      <c r="K356">
        <v>0</v>
      </c>
      <c r="L356">
        <v>13</v>
      </c>
      <c r="M356">
        <v>9</v>
      </c>
      <c r="N356">
        <v>94</v>
      </c>
      <c r="O356" s="3">
        <f t="shared" si="20"/>
        <v>10</v>
      </c>
      <c r="P356">
        <f t="shared" si="21"/>
        <v>0</v>
      </c>
      <c r="Q356">
        <f t="shared" si="22"/>
        <v>0</v>
      </c>
    </row>
    <row r="357" spans="1:17" x14ac:dyDescent="0.2">
      <c r="A357" t="s">
        <v>25</v>
      </c>
      <c r="B357" t="s">
        <v>40</v>
      </c>
      <c r="C357">
        <v>110</v>
      </c>
      <c r="D357">
        <v>0</v>
      </c>
      <c r="E357">
        <v>0</v>
      </c>
      <c r="F357">
        <v>0</v>
      </c>
      <c r="G357">
        <v>0</v>
      </c>
      <c r="H357">
        <v>5</v>
      </c>
      <c r="I357">
        <v>190</v>
      </c>
      <c r="J357">
        <v>27</v>
      </c>
      <c r="K357">
        <v>0</v>
      </c>
      <c r="L357">
        <v>15</v>
      </c>
      <c r="M357">
        <v>11</v>
      </c>
      <c r="N357">
        <v>114</v>
      </c>
      <c r="O357" s="3">
        <f t="shared" si="20"/>
        <v>10</v>
      </c>
      <c r="P357">
        <f t="shared" si="21"/>
        <v>0</v>
      </c>
      <c r="Q357">
        <f t="shared" si="22"/>
        <v>0</v>
      </c>
    </row>
    <row r="358" spans="1:17" x14ac:dyDescent="0.2">
      <c r="A358" t="s">
        <v>25</v>
      </c>
      <c r="B358" t="s">
        <v>43</v>
      </c>
      <c r="C358">
        <v>50</v>
      </c>
      <c r="D358">
        <v>0</v>
      </c>
      <c r="E358">
        <v>0</v>
      </c>
      <c r="F358">
        <v>0</v>
      </c>
      <c r="G358">
        <v>0</v>
      </c>
      <c r="H358">
        <v>5</v>
      </c>
      <c r="I358">
        <v>70</v>
      </c>
      <c r="J358">
        <v>7</v>
      </c>
      <c r="K358">
        <v>0</v>
      </c>
      <c r="L358">
        <v>7</v>
      </c>
      <c r="M358">
        <v>5</v>
      </c>
      <c r="N358">
        <v>52</v>
      </c>
      <c r="O358" s="3">
        <f t="shared" si="20"/>
        <v>10</v>
      </c>
      <c r="P358">
        <f t="shared" si="21"/>
        <v>0</v>
      </c>
      <c r="Q358">
        <f t="shared" si="22"/>
        <v>0</v>
      </c>
    </row>
    <row r="359" spans="1:17" x14ac:dyDescent="0.2">
      <c r="A359" t="s">
        <v>25</v>
      </c>
      <c r="B359" t="s">
        <v>46</v>
      </c>
      <c r="C359">
        <v>60</v>
      </c>
      <c r="D359">
        <v>0</v>
      </c>
      <c r="E359">
        <v>0</v>
      </c>
      <c r="F359">
        <v>0</v>
      </c>
      <c r="G359">
        <v>0</v>
      </c>
      <c r="H359">
        <v>5</v>
      </c>
      <c r="I359">
        <v>90</v>
      </c>
      <c r="J359">
        <v>9</v>
      </c>
      <c r="K359">
        <v>0</v>
      </c>
      <c r="L359">
        <v>9</v>
      </c>
      <c r="M359">
        <v>6</v>
      </c>
      <c r="N359">
        <v>63</v>
      </c>
      <c r="O359" s="3">
        <f t="shared" si="20"/>
        <v>10</v>
      </c>
      <c r="P359">
        <f t="shared" si="21"/>
        <v>0</v>
      </c>
      <c r="Q359">
        <f t="shared" si="22"/>
        <v>0</v>
      </c>
    </row>
    <row r="360" spans="1:17" x14ac:dyDescent="0.2">
      <c r="A360" t="s">
        <v>25</v>
      </c>
      <c r="B360" t="s">
        <v>47</v>
      </c>
      <c r="C360">
        <v>70</v>
      </c>
      <c r="D360">
        <v>0</v>
      </c>
      <c r="E360">
        <v>0</v>
      </c>
      <c r="F360">
        <v>0</v>
      </c>
      <c r="G360">
        <v>0</v>
      </c>
      <c r="H360">
        <v>5</v>
      </c>
      <c r="I360">
        <v>105</v>
      </c>
      <c r="J360">
        <v>11</v>
      </c>
      <c r="K360">
        <v>0</v>
      </c>
      <c r="L360">
        <v>11</v>
      </c>
      <c r="M360">
        <v>7</v>
      </c>
      <c r="N360">
        <v>74</v>
      </c>
      <c r="O360" s="3">
        <f t="shared" si="20"/>
        <v>10</v>
      </c>
      <c r="P360">
        <f t="shared" si="21"/>
        <v>0</v>
      </c>
      <c r="Q360">
        <f t="shared" si="22"/>
        <v>0</v>
      </c>
    </row>
    <row r="361" spans="1:17" x14ac:dyDescent="0.2">
      <c r="A361" t="s">
        <v>25</v>
      </c>
      <c r="B361" t="s">
        <v>48</v>
      </c>
      <c r="C361">
        <v>40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85</v>
      </c>
      <c r="J361">
        <v>13</v>
      </c>
      <c r="K361">
        <v>0</v>
      </c>
      <c r="L361">
        <v>5</v>
      </c>
      <c r="M361">
        <v>4</v>
      </c>
      <c r="N361">
        <v>41</v>
      </c>
      <c r="O361" s="3">
        <f t="shared" si="20"/>
        <v>10</v>
      </c>
      <c r="P361">
        <f t="shared" si="21"/>
        <v>0</v>
      </c>
      <c r="Q361">
        <f t="shared" si="22"/>
        <v>0</v>
      </c>
    </row>
    <row r="362" spans="1:17" x14ac:dyDescent="0.2">
      <c r="A362" t="s">
        <v>25</v>
      </c>
      <c r="B362" t="s">
        <v>49</v>
      </c>
      <c r="C362">
        <v>50</v>
      </c>
      <c r="D362">
        <v>0</v>
      </c>
      <c r="E362">
        <v>0</v>
      </c>
      <c r="F362">
        <v>0</v>
      </c>
      <c r="G362">
        <v>0</v>
      </c>
      <c r="H362">
        <v>5</v>
      </c>
      <c r="I362">
        <v>100</v>
      </c>
      <c r="J362">
        <v>14</v>
      </c>
      <c r="K362">
        <v>0</v>
      </c>
      <c r="L362">
        <v>6</v>
      </c>
      <c r="M362">
        <v>5</v>
      </c>
      <c r="N362">
        <v>51</v>
      </c>
      <c r="O362" s="3">
        <f t="shared" si="20"/>
        <v>10</v>
      </c>
      <c r="P362">
        <f t="shared" si="21"/>
        <v>0</v>
      </c>
      <c r="Q362">
        <f t="shared" si="22"/>
        <v>0</v>
      </c>
    </row>
    <row r="363" spans="1:17" x14ac:dyDescent="0.2">
      <c r="A363" t="s">
        <v>25</v>
      </c>
      <c r="B363" t="s">
        <v>50</v>
      </c>
      <c r="C363">
        <v>60</v>
      </c>
      <c r="D363">
        <v>0</v>
      </c>
      <c r="E363">
        <v>0</v>
      </c>
      <c r="F363">
        <v>0</v>
      </c>
      <c r="G363">
        <v>0</v>
      </c>
      <c r="H363">
        <v>5</v>
      </c>
      <c r="I363">
        <v>130</v>
      </c>
      <c r="J363">
        <v>19</v>
      </c>
      <c r="K363">
        <v>0</v>
      </c>
      <c r="L363">
        <v>8</v>
      </c>
      <c r="M363">
        <v>6</v>
      </c>
      <c r="N363">
        <v>62</v>
      </c>
      <c r="O363" s="3">
        <f t="shared" si="20"/>
        <v>10</v>
      </c>
      <c r="P363">
        <f t="shared" si="21"/>
        <v>0</v>
      </c>
      <c r="Q363">
        <f t="shared" si="22"/>
        <v>0</v>
      </c>
    </row>
    <row r="364" spans="1:17" x14ac:dyDescent="0.2">
      <c r="A364" t="s">
        <v>25</v>
      </c>
      <c r="B364" t="s">
        <v>56</v>
      </c>
      <c r="C364">
        <v>320</v>
      </c>
      <c r="D364">
        <v>80</v>
      </c>
      <c r="E364">
        <v>9</v>
      </c>
      <c r="F364">
        <v>3</v>
      </c>
      <c r="G364">
        <v>0</v>
      </c>
      <c r="H364">
        <v>70</v>
      </c>
      <c r="I364">
        <v>960</v>
      </c>
      <c r="J364">
        <v>30</v>
      </c>
      <c r="K364">
        <v>6</v>
      </c>
      <c r="L364">
        <v>11</v>
      </c>
      <c r="M364">
        <v>30</v>
      </c>
      <c r="N364">
        <v>304</v>
      </c>
      <c r="O364" s="3">
        <f t="shared" si="20"/>
        <v>9.375</v>
      </c>
      <c r="P364">
        <f t="shared" si="21"/>
        <v>1</v>
      </c>
      <c r="Q364">
        <f t="shared" si="22"/>
        <v>0</v>
      </c>
    </row>
    <row r="365" spans="1:17" x14ac:dyDescent="0.2">
      <c r="A365" t="s">
        <v>25</v>
      </c>
      <c r="B365" t="s">
        <v>61</v>
      </c>
      <c r="C365">
        <v>110</v>
      </c>
      <c r="D365">
        <v>0</v>
      </c>
      <c r="E365">
        <v>0</v>
      </c>
      <c r="F365">
        <v>0</v>
      </c>
      <c r="G365">
        <v>0</v>
      </c>
      <c r="H365">
        <v>5</v>
      </c>
      <c r="I365">
        <v>140</v>
      </c>
      <c r="J365">
        <v>15</v>
      </c>
      <c r="K365">
        <v>0</v>
      </c>
      <c r="L365">
        <v>15</v>
      </c>
      <c r="M365">
        <v>10</v>
      </c>
      <c r="N365">
        <v>115</v>
      </c>
      <c r="O365" s="3">
        <f t="shared" si="20"/>
        <v>9.0909090909090917</v>
      </c>
      <c r="P365">
        <f t="shared" si="21"/>
        <v>0</v>
      </c>
      <c r="Q365">
        <f t="shared" si="22"/>
        <v>0</v>
      </c>
    </row>
    <row r="366" spans="1:17" x14ac:dyDescent="0.2">
      <c r="A366" t="s">
        <v>25</v>
      </c>
      <c r="B366" t="s">
        <v>65</v>
      </c>
      <c r="C366">
        <v>80</v>
      </c>
      <c r="D366">
        <v>0</v>
      </c>
      <c r="E366">
        <v>0</v>
      </c>
      <c r="F366">
        <v>0</v>
      </c>
      <c r="G366">
        <v>0</v>
      </c>
      <c r="H366">
        <v>5</v>
      </c>
      <c r="I366">
        <v>130</v>
      </c>
      <c r="J366">
        <v>18</v>
      </c>
      <c r="K366">
        <v>0</v>
      </c>
      <c r="L366">
        <v>11</v>
      </c>
      <c r="M366">
        <v>7</v>
      </c>
      <c r="N366">
        <v>84</v>
      </c>
      <c r="O366" s="3">
        <f t="shared" si="20"/>
        <v>8.75</v>
      </c>
      <c r="P366">
        <f t="shared" si="21"/>
        <v>0</v>
      </c>
      <c r="Q366">
        <f t="shared" si="22"/>
        <v>0</v>
      </c>
    </row>
    <row r="367" spans="1:17" x14ac:dyDescent="0.2">
      <c r="A367" t="s">
        <v>25</v>
      </c>
      <c r="B367" t="s">
        <v>68</v>
      </c>
      <c r="C367">
        <v>380</v>
      </c>
      <c r="D367">
        <v>90</v>
      </c>
      <c r="E367">
        <v>10</v>
      </c>
      <c r="F367">
        <v>3</v>
      </c>
      <c r="G367">
        <v>0</v>
      </c>
      <c r="H367">
        <v>75</v>
      </c>
      <c r="I367">
        <v>1000</v>
      </c>
      <c r="J367">
        <v>41</v>
      </c>
      <c r="K367">
        <v>4</v>
      </c>
      <c r="L367">
        <v>9</v>
      </c>
      <c r="M367">
        <v>31</v>
      </c>
      <c r="N367">
        <v>361</v>
      </c>
      <c r="O367" s="3">
        <f t="shared" si="20"/>
        <v>8.1578947368421062</v>
      </c>
      <c r="P367">
        <f t="shared" si="21"/>
        <v>1</v>
      </c>
      <c r="Q367">
        <f t="shared" si="22"/>
        <v>0</v>
      </c>
    </row>
    <row r="368" spans="1:17" x14ac:dyDescent="0.2">
      <c r="A368" t="s">
        <v>25</v>
      </c>
      <c r="B368" t="s">
        <v>70</v>
      </c>
      <c r="C368">
        <v>100</v>
      </c>
      <c r="D368">
        <v>20</v>
      </c>
      <c r="E368">
        <v>2.5</v>
      </c>
      <c r="F368">
        <v>1.5</v>
      </c>
      <c r="G368">
        <v>0</v>
      </c>
      <c r="H368">
        <v>10</v>
      </c>
      <c r="I368">
        <v>125</v>
      </c>
      <c r="J368">
        <v>12</v>
      </c>
      <c r="K368">
        <v>0</v>
      </c>
      <c r="L368">
        <v>12</v>
      </c>
      <c r="M368">
        <v>8</v>
      </c>
      <c r="N368">
        <v>105.5</v>
      </c>
      <c r="O368" s="3">
        <f t="shared" si="20"/>
        <v>8</v>
      </c>
      <c r="P368">
        <f t="shared" si="21"/>
        <v>0</v>
      </c>
      <c r="Q368">
        <f t="shared" si="22"/>
        <v>0</v>
      </c>
    </row>
    <row r="369" spans="1:17" x14ac:dyDescent="0.2">
      <c r="A369" t="s">
        <v>25</v>
      </c>
      <c r="B369" t="s">
        <v>72</v>
      </c>
      <c r="C369">
        <v>330</v>
      </c>
      <c r="D369">
        <v>150</v>
      </c>
      <c r="E369">
        <v>17</v>
      </c>
      <c r="F369">
        <v>4.5</v>
      </c>
      <c r="G369">
        <v>0</v>
      </c>
      <c r="H369">
        <v>60</v>
      </c>
      <c r="I369">
        <v>840</v>
      </c>
      <c r="J369">
        <v>20</v>
      </c>
      <c r="K369">
        <v>3</v>
      </c>
      <c r="L369">
        <v>6</v>
      </c>
      <c r="M369">
        <v>26</v>
      </c>
      <c r="N369">
        <v>314.5</v>
      </c>
      <c r="O369" s="3">
        <f t="shared" si="20"/>
        <v>7.878787878787878</v>
      </c>
      <c r="P369">
        <f t="shared" si="21"/>
        <v>1</v>
      </c>
      <c r="Q369">
        <f t="shared" si="22"/>
        <v>0</v>
      </c>
    </row>
    <row r="370" spans="1:17" x14ac:dyDescent="0.2">
      <c r="A370" t="s">
        <v>25</v>
      </c>
      <c r="B370" t="s">
        <v>73</v>
      </c>
      <c r="C370">
        <v>370</v>
      </c>
      <c r="D370">
        <v>180</v>
      </c>
      <c r="E370">
        <v>20</v>
      </c>
      <c r="F370">
        <v>6</v>
      </c>
      <c r="G370">
        <v>0</v>
      </c>
      <c r="H370">
        <v>75</v>
      </c>
      <c r="I370">
        <v>970</v>
      </c>
      <c r="J370">
        <v>20</v>
      </c>
      <c r="K370">
        <v>3</v>
      </c>
      <c r="L370">
        <v>6</v>
      </c>
      <c r="M370">
        <v>29</v>
      </c>
      <c r="N370">
        <v>353</v>
      </c>
      <c r="O370" s="3">
        <f t="shared" si="20"/>
        <v>7.8378378378378386</v>
      </c>
      <c r="P370">
        <f t="shared" si="21"/>
        <v>1</v>
      </c>
      <c r="Q370">
        <f t="shared" si="22"/>
        <v>0</v>
      </c>
    </row>
    <row r="371" spans="1:17" x14ac:dyDescent="0.2">
      <c r="A371" t="s">
        <v>25</v>
      </c>
      <c r="B371" t="s">
        <v>74</v>
      </c>
      <c r="C371">
        <v>90</v>
      </c>
      <c r="D371">
        <v>35</v>
      </c>
      <c r="E371">
        <v>4</v>
      </c>
      <c r="F371">
        <v>2.5</v>
      </c>
      <c r="G371">
        <v>0</v>
      </c>
      <c r="H371">
        <v>10</v>
      </c>
      <c r="I371">
        <v>180</v>
      </c>
      <c r="J371">
        <v>9</v>
      </c>
      <c r="K371">
        <v>3</v>
      </c>
      <c r="L371">
        <v>4</v>
      </c>
      <c r="M371">
        <v>7</v>
      </c>
      <c r="N371">
        <v>89.5</v>
      </c>
      <c r="O371" s="3">
        <f t="shared" si="20"/>
        <v>7.7777777777777777</v>
      </c>
      <c r="P371">
        <f t="shared" si="21"/>
        <v>0</v>
      </c>
      <c r="Q371">
        <f t="shared" si="22"/>
        <v>0</v>
      </c>
    </row>
    <row r="372" spans="1:17" x14ac:dyDescent="0.2">
      <c r="A372" t="s">
        <v>25</v>
      </c>
      <c r="B372" t="s">
        <v>78</v>
      </c>
      <c r="C372">
        <v>460</v>
      </c>
      <c r="D372">
        <v>150</v>
      </c>
      <c r="E372">
        <v>17</v>
      </c>
      <c r="F372">
        <v>6</v>
      </c>
      <c r="G372">
        <v>0</v>
      </c>
      <c r="H372">
        <v>90</v>
      </c>
      <c r="I372">
        <v>1040</v>
      </c>
      <c r="J372">
        <v>43</v>
      </c>
      <c r="K372">
        <v>4</v>
      </c>
      <c r="L372">
        <v>9</v>
      </c>
      <c r="M372">
        <v>35</v>
      </c>
      <c r="N372">
        <v>440</v>
      </c>
      <c r="O372" s="3">
        <f t="shared" si="20"/>
        <v>7.608695652173914</v>
      </c>
      <c r="P372">
        <f t="shared" si="21"/>
        <v>1</v>
      </c>
      <c r="Q372">
        <f t="shared" si="22"/>
        <v>0</v>
      </c>
    </row>
    <row r="373" spans="1:17" x14ac:dyDescent="0.2">
      <c r="A373" t="s">
        <v>25</v>
      </c>
      <c r="B373" t="s">
        <v>79</v>
      </c>
      <c r="C373">
        <v>360</v>
      </c>
      <c r="D373">
        <v>80</v>
      </c>
      <c r="E373">
        <v>9</v>
      </c>
      <c r="F373">
        <v>2</v>
      </c>
      <c r="G373">
        <v>0</v>
      </c>
      <c r="H373">
        <v>65</v>
      </c>
      <c r="I373">
        <v>820</v>
      </c>
      <c r="J373">
        <v>41</v>
      </c>
      <c r="K373">
        <v>4</v>
      </c>
      <c r="L373">
        <v>8</v>
      </c>
      <c r="M373">
        <v>27</v>
      </c>
      <c r="N373">
        <v>343</v>
      </c>
      <c r="O373" s="3">
        <f t="shared" si="20"/>
        <v>7.5</v>
      </c>
      <c r="P373">
        <f t="shared" si="21"/>
        <v>1</v>
      </c>
      <c r="Q373">
        <f t="shared" si="22"/>
        <v>0</v>
      </c>
    </row>
    <row r="374" spans="1:17" x14ac:dyDescent="0.2">
      <c r="A374" t="s">
        <v>25</v>
      </c>
      <c r="B374" t="s">
        <v>92</v>
      </c>
      <c r="C374">
        <v>260</v>
      </c>
      <c r="D374">
        <v>80</v>
      </c>
      <c r="E374">
        <v>9</v>
      </c>
      <c r="F374">
        <v>3.5</v>
      </c>
      <c r="G374">
        <v>0</v>
      </c>
      <c r="H374">
        <v>45</v>
      </c>
      <c r="I374">
        <v>800</v>
      </c>
      <c r="J374">
        <v>27</v>
      </c>
      <c r="K374">
        <v>1</v>
      </c>
      <c r="L374">
        <v>4</v>
      </c>
      <c r="M374">
        <v>18</v>
      </c>
      <c r="N374">
        <v>249.5</v>
      </c>
      <c r="O374" s="3">
        <f t="shared" si="20"/>
        <v>6.9230769230769234</v>
      </c>
      <c r="P374">
        <f t="shared" si="21"/>
        <v>1</v>
      </c>
      <c r="Q374">
        <f t="shared" si="22"/>
        <v>0</v>
      </c>
    </row>
    <row r="375" spans="1:17" x14ac:dyDescent="0.2">
      <c r="A375" t="s">
        <v>25</v>
      </c>
      <c r="B375" t="s">
        <v>93</v>
      </c>
      <c r="C375">
        <v>260</v>
      </c>
      <c r="D375">
        <v>80</v>
      </c>
      <c r="E375">
        <v>9</v>
      </c>
      <c r="F375">
        <v>3.5</v>
      </c>
      <c r="G375">
        <v>0</v>
      </c>
      <c r="H375">
        <v>45</v>
      </c>
      <c r="I375">
        <v>830</v>
      </c>
      <c r="J375">
        <v>28</v>
      </c>
      <c r="K375">
        <v>1</v>
      </c>
      <c r="L375">
        <v>5</v>
      </c>
      <c r="M375">
        <v>18</v>
      </c>
      <c r="N375">
        <v>250.5</v>
      </c>
      <c r="O375" s="3">
        <f t="shared" si="20"/>
        <v>6.9230769230769234</v>
      </c>
      <c r="P375">
        <f t="shared" si="21"/>
        <v>1</v>
      </c>
      <c r="Q375">
        <f t="shared" si="22"/>
        <v>0</v>
      </c>
    </row>
    <row r="376" spans="1:17" x14ac:dyDescent="0.2">
      <c r="A376" t="s">
        <v>25</v>
      </c>
      <c r="B376" t="s">
        <v>98</v>
      </c>
      <c r="C376">
        <v>270</v>
      </c>
      <c r="D376">
        <v>90</v>
      </c>
      <c r="E376">
        <v>10</v>
      </c>
      <c r="F376">
        <v>4</v>
      </c>
      <c r="G376">
        <v>0</v>
      </c>
      <c r="H376">
        <v>45</v>
      </c>
      <c r="I376">
        <v>830</v>
      </c>
      <c r="J376">
        <v>26</v>
      </c>
      <c r="K376">
        <v>1</v>
      </c>
      <c r="L376">
        <v>2</v>
      </c>
      <c r="M376">
        <v>18</v>
      </c>
      <c r="N376">
        <v>258</v>
      </c>
      <c r="O376" s="3">
        <f t="shared" si="20"/>
        <v>6.666666666666667</v>
      </c>
      <c r="P376">
        <f t="shared" si="21"/>
        <v>1</v>
      </c>
      <c r="Q376">
        <f t="shared" si="22"/>
        <v>0</v>
      </c>
    </row>
    <row r="377" spans="1:17" x14ac:dyDescent="0.2">
      <c r="A377" t="s">
        <v>25</v>
      </c>
      <c r="B377" t="s">
        <v>105</v>
      </c>
      <c r="C377">
        <v>740</v>
      </c>
      <c r="D377">
        <v>380</v>
      </c>
      <c r="E377">
        <v>42</v>
      </c>
      <c r="F377">
        <v>19</v>
      </c>
      <c r="G377">
        <v>2.5</v>
      </c>
      <c r="H377">
        <v>155</v>
      </c>
      <c r="I377">
        <v>1380</v>
      </c>
      <c r="J377">
        <v>40</v>
      </c>
      <c r="K377">
        <v>3</v>
      </c>
      <c r="L377">
        <v>9</v>
      </c>
      <c r="M377">
        <v>48</v>
      </c>
      <c r="N377">
        <v>720</v>
      </c>
      <c r="O377" s="3">
        <f t="shared" si="20"/>
        <v>6.4864864864864868</v>
      </c>
      <c r="P377">
        <f t="shared" si="21"/>
        <v>1</v>
      </c>
      <c r="Q377">
        <f t="shared" si="22"/>
        <v>0</v>
      </c>
    </row>
    <row r="378" spans="1:17" x14ac:dyDescent="0.2">
      <c r="A378" t="s">
        <v>25</v>
      </c>
      <c r="B378" t="s">
        <v>106</v>
      </c>
      <c r="C378">
        <v>140</v>
      </c>
      <c r="D378">
        <v>70</v>
      </c>
      <c r="E378">
        <v>7</v>
      </c>
      <c r="F378">
        <v>3.5</v>
      </c>
      <c r="G378">
        <v>0</v>
      </c>
      <c r="H378">
        <v>25</v>
      </c>
      <c r="I378">
        <v>300</v>
      </c>
      <c r="J378">
        <v>10</v>
      </c>
      <c r="K378">
        <v>3</v>
      </c>
      <c r="L378">
        <v>4</v>
      </c>
      <c r="M378">
        <v>9</v>
      </c>
      <c r="N378">
        <v>138.5</v>
      </c>
      <c r="O378" s="3">
        <f t="shared" si="20"/>
        <v>6.4285714285714279</v>
      </c>
      <c r="P378">
        <f t="shared" si="21"/>
        <v>0</v>
      </c>
      <c r="Q378">
        <f t="shared" si="22"/>
        <v>0</v>
      </c>
    </row>
    <row r="379" spans="1:17" x14ac:dyDescent="0.2">
      <c r="A379" t="s">
        <v>25</v>
      </c>
      <c r="B379" t="s">
        <v>113</v>
      </c>
      <c r="C379">
        <v>430</v>
      </c>
      <c r="D379">
        <v>180</v>
      </c>
      <c r="E379">
        <v>20</v>
      </c>
      <c r="F379">
        <v>4</v>
      </c>
      <c r="G379">
        <v>0</v>
      </c>
      <c r="H379">
        <v>55</v>
      </c>
      <c r="I379">
        <v>920</v>
      </c>
      <c r="J379">
        <v>38</v>
      </c>
      <c r="K379">
        <v>6</v>
      </c>
      <c r="L379">
        <v>12</v>
      </c>
      <c r="M379">
        <v>26</v>
      </c>
      <c r="N379">
        <v>420</v>
      </c>
      <c r="O379" s="3">
        <f t="shared" si="20"/>
        <v>6.0465116279069768</v>
      </c>
      <c r="P379">
        <f t="shared" si="21"/>
        <v>1</v>
      </c>
      <c r="Q379">
        <f t="shared" si="22"/>
        <v>0</v>
      </c>
    </row>
    <row r="380" spans="1:17" x14ac:dyDescent="0.2">
      <c r="A380" t="s">
        <v>25</v>
      </c>
      <c r="B380" t="s">
        <v>114</v>
      </c>
      <c r="C380">
        <v>400</v>
      </c>
      <c r="D380">
        <v>150</v>
      </c>
      <c r="E380">
        <v>17</v>
      </c>
      <c r="F380">
        <v>3</v>
      </c>
      <c r="G380">
        <v>0</v>
      </c>
      <c r="H380">
        <v>45</v>
      </c>
      <c r="I380">
        <v>1030</v>
      </c>
      <c r="J380">
        <v>39</v>
      </c>
      <c r="K380">
        <v>1</v>
      </c>
      <c r="L380">
        <v>6</v>
      </c>
      <c r="M380">
        <v>24</v>
      </c>
      <c r="N380">
        <v>385</v>
      </c>
      <c r="O380" s="3">
        <f t="shared" si="20"/>
        <v>6</v>
      </c>
      <c r="P380">
        <f t="shared" si="21"/>
        <v>1</v>
      </c>
      <c r="Q380">
        <f t="shared" si="22"/>
        <v>0</v>
      </c>
    </row>
    <row r="381" spans="1:17" x14ac:dyDescent="0.2">
      <c r="A381" t="s">
        <v>25</v>
      </c>
      <c r="B381" t="s">
        <v>115</v>
      </c>
      <c r="C381">
        <v>300</v>
      </c>
      <c r="D381">
        <v>110</v>
      </c>
      <c r="E381">
        <v>12</v>
      </c>
      <c r="F381">
        <v>5</v>
      </c>
      <c r="G381">
        <v>0</v>
      </c>
      <c r="H381">
        <v>260</v>
      </c>
      <c r="I381">
        <v>820</v>
      </c>
      <c r="J381">
        <v>30</v>
      </c>
      <c r="K381">
        <v>2</v>
      </c>
      <c r="L381">
        <v>3</v>
      </c>
      <c r="M381">
        <v>18</v>
      </c>
      <c r="N381">
        <v>290</v>
      </c>
      <c r="O381" s="3">
        <f t="shared" si="20"/>
        <v>6</v>
      </c>
      <c r="P381">
        <f t="shared" si="21"/>
        <v>1</v>
      </c>
      <c r="Q381">
        <f t="shared" si="22"/>
        <v>0</v>
      </c>
    </row>
    <row r="382" spans="1:17" x14ac:dyDescent="0.2">
      <c r="A382" t="s">
        <v>25</v>
      </c>
      <c r="B382" t="s">
        <v>116</v>
      </c>
      <c r="C382">
        <v>100</v>
      </c>
      <c r="D382">
        <v>50</v>
      </c>
      <c r="E382">
        <v>6</v>
      </c>
      <c r="F382">
        <v>3.5</v>
      </c>
      <c r="G382">
        <v>0</v>
      </c>
      <c r="H382">
        <v>15</v>
      </c>
      <c r="I382">
        <v>80</v>
      </c>
      <c r="J382">
        <v>8</v>
      </c>
      <c r="K382">
        <v>0</v>
      </c>
      <c r="L382">
        <v>8</v>
      </c>
      <c r="M382">
        <v>6</v>
      </c>
      <c r="N382">
        <v>105.5</v>
      </c>
      <c r="O382" s="3">
        <f t="shared" si="20"/>
        <v>6</v>
      </c>
      <c r="P382">
        <f t="shared" si="21"/>
        <v>0</v>
      </c>
      <c r="Q382">
        <f t="shared" si="22"/>
        <v>0</v>
      </c>
    </row>
    <row r="383" spans="1:17" x14ac:dyDescent="0.2">
      <c r="A383" t="s">
        <v>25</v>
      </c>
      <c r="B383" t="s">
        <v>129</v>
      </c>
      <c r="C383">
        <v>660</v>
      </c>
      <c r="D383">
        <v>360</v>
      </c>
      <c r="E383">
        <v>40</v>
      </c>
      <c r="F383">
        <v>6</v>
      </c>
      <c r="G383">
        <v>0</v>
      </c>
      <c r="H383">
        <v>85</v>
      </c>
      <c r="I383">
        <v>1680</v>
      </c>
      <c r="J383">
        <v>39</v>
      </c>
      <c r="K383">
        <v>0</v>
      </c>
      <c r="L383">
        <v>0</v>
      </c>
      <c r="M383">
        <v>38</v>
      </c>
      <c r="N383">
        <v>628</v>
      </c>
      <c r="O383" s="3">
        <f t="shared" si="20"/>
        <v>5.7575757575757578</v>
      </c>
      <c r="P383">
        <f t="shared" si="21"/>
        <v>1</v>
      </c>
      <c r="Q383">
        <f t="shared" si="22"/>
        <v>0</v>
      </c>
    </row>
    <row r="384" spans="1:17" x14ac:dyDescent="0.2">
      <c r="A384" t="s">
        <v>25</v>
      </c>
      <c r="B384" t="s">
        <v>131</v>
      </c>
      <c r="C384">
        <v>400</v>
      </c>
      <c r="D384">
        <v>210</v>
      </c>
      <c r="E384">
        <v>24</v>
      </c>
      <c r="F384">
        <v>3.5</v>
      </c>
      <c r="G384">
        <v>0</v>
      </c>
      <c r="H384">
        <v>50</v>
      </c>
      <c r="I384">
        <v>1010</v>
      </c>
      <c r="J384">
        <v>23</v>
      </c>
      <c r="K384">
        <v>0</v>
      </c>
      <c r="L384">
        <v>0</v>
      </c>
      <c r="M384">
        <v>23</v>
      </c>
      <c r="N384">
        <v>380.5</v>
      </c>
      <c r="O384" s="3">
        <f t="shared" si="20"/>
        <v>5.75</v>
      </c>
      <c r="P384">
        <f t="shared" si="21"/>
        <v>1</v>
      </c>
      <c r="Q384">
        <f t="shared" si="22"/>
        <v>0</v>
      </c>
    </row>
    <row r="385" spans="1:17" x14ac:dyDescent="0.2">
      <c r="A385" t="s">
        <v>25</v>
      </c>
      <c r="B385" t="s">
        <v>133</v>
      </c>
      <c r="C385">
        <v>770</v>
      </c>
      <c r="D385">
        <v>360</v>
      </c>
      <c r="E385">
        <v>40</v>
      </c>
      <c r="F385">
        <v>17</v>
      </c>
      <c r="G385">
        <v>2</v>
      </c>
      <c r="H385">
        <v>135</v>
      </c>
      <c r="I385">
        <v>1170</v>
      </c>
      <c r="J385">
        <v>59</v>
      </c>
      <c r="K385">
        <v>4</v>
      </c>
      <c r="L385">
        <v>8</v>
      </c>
      <c r="M385">
        <v>44</v>
      </c>
      <c r="N385">
        <v>751</v>
      </c>
      <c r="O385" s="3">
        <f t="shared" si="20"/>
        <v>5.7142857142857144</v>
      </c>
      <c r="P385">
        <f t="shared" si="21"/>
        <v>1</v>
      </c>
      <c r="Q385">
        <f t="shared" si="22"/>
        <v>0</v>
      </c>
    </row>
    <row r="386" spans="1:17" x14ac:dyDescent="0.2">
      <c r="A386" t="s">
        <v>25</v>
      </c>
      <c r="B386" t="s">
        <v>134</v>
      </c>
      <c r="C386">
        <v>140</v>
      </c>
      <c r="D386">
        <v>70</v>
      </c>
      <c r="E386">
        <v>8</v>
      </c>
      <c r="F386">
        <v>4.5</v>
      </c>
      <c r="G386">
        <v>0</v>
      </c>
      <c r="H386">
        <v>25</v>
      </c>
      <c r="I386">
        <v>105</v>
      </c>
      <c r="J386">
        <v>11</v>
      </c>
      <c r="K386">
        <v>0</v>
      </c>
      <c r="L386">
        <v>11</v>
      </c>
      <c r="M386">
        <v>8</v>
      </c>
      <c r="N386">
        <v>147.5</v>
      </c>
      <c r="O386" s="3">
        <f t="shared" ref="O386:O449" si="23">M386/C386*100</f>
        <v>5.7142857142857144</v>
      </c>
      <c r="P386">
        <f t="shared" ref="P386:P449" si="24">IF(I386&gt;2300*0.2,1,0)</f>
        <v>0</v>
      </c>
      <c r="Q386">
        <f t="shared" ref="Q386:Q449" si="25">IF(H386&gt;300,1,0)</f>
        <v>0</v>
      </c>
    </row>
    <row r="387" spans="1:17" x14ac:dyDescent="0.2">
      <c r="A387" t="s">
        <v>25</v>
      </c>
      <c r="B387" t="s">
        <v>136</v>
      </c>
      <c r="C387">
        <v>790</v>
      </c>
      <c r="D387">
        <v>350</v>
      </c>
      <c r="E387">
        <v>39</v>
      </c>
      <c r="F387">
        <v>17</v>
      </c>
      <c r="G387">
        <v>2</v>
      </c>
      <c r="H387">
        <v>145</v>
      </c>
      <c r="I387">
        <v>2070</v>
      </c>
      <c r="J387">
        <v>63</v>
      </c>
      <c r="K387">
        <v>4</v>
      </c>
      <c r="L387">
        <v>13</v>
      </c>
      <c r="M387">
        <v>45</v>
      </c>
      <c r="N387">
        <v>775</v>
      </c>
      <c r="O387" s="3">
        <f t="shared" si="23"/>
        <v>5.6962025316455698</v>
      </c>
      <c r="P387">
        <f t="shared" si="24"/>
        <v>1</v>
      </c>
      <c r="Q387">
        <f t="shared" si="25"/>
        <v>0</v>
      </c>
    </row>
    <row r="388" spans="1:17" x14ac:dyDescent="0.2">
      <c r="A388" t="s">
        <v>25</v>
      </c>
      <c r="B388" t="s">
        <v>137</v>
      </c>
      <c r="C388">
        <v>510</v>
      </c>
      <c r="D388">
        <v>230</v>
      </c>
      <c r="E388">
        <v>26</v>
      </c>
      <c r="F388">
        <v>12</v>
      </c>
      <c r="G388">
        <v>1.5</v>
      </c>
      <c r="H388">
        <v>90</v>
      </c>
      <c r="I388">
        <v>1190</v>
      </c>
      <c r="J388">
        <v>40</v>
      </c>
      <c r="K388">
        <v>3</v>
      </c>
      <c r="L388">
        <v>9</v>
      </c>
      <c r="M388">
        <v>29</v>
      </c>
      <c r="N388">
        <v>502</v>
      </c>
      <c r="O388" s="3">
        <f t="shared" si="23"/>
        <v>5.6862745098039218</v>
      </c>
      <c r="P388">
        <f t="shared" si="24"/>
        <v>1</v>
      </c>
      <c r="Q388">
        <f t="shared" si="25"/>
        <v>0</v>
      </c>
    </row>
    <row r="389" spans="1:17" x14ac:dyDescent="0.2">
      <c r="A389" t="s">
        <v>25</v>
      </c>
      <c r="B389" t="s">
        <v>120</v>
      </c>
      <c r="C389">
        <v>440</v>
      </c>
      <c r="D389">
        <v>210</v>
      </c>
      <c r="E389">
        <v>23</v>
      </c>
      <c r="F389">
        <v>11</v>
      </c>
      <c r="G389">
        <v>1.5</v>
      </c>
      <c r="H389">
        <v>80</v>
      </c>
      <c r="I389">
        <v>1150</v>
      </c>
      <c r="J389">
        <v>34</v>
      </c>
      <c r="K389">
        <v>2</v>
      </c>
      <c r="L389">
        <v>7</v>
      </c>
      <c r="M389">
        <v>25</v>
      </c>
      <c r="N389">
        <v>433</v>
      </c>
      <c r="O389" s="3">
        <f t="shared" si="23"/>
        <v>5.6818181818181817</v>
      </c>
      <c r="P389">
        <f t="shared" si="24"/>
        <v>1</v>
      </c>
      <c r="Q389">
        <f t="shared" si="25"/>
        <v>0</v>
      </c>
    </row>
    <row r="390" spans="1:17" x14ac:dyDescent="0.2">
      <c r="A390" t="s">
        <v>25</v>
      </c>
      <c r="B390" t="s">
        <v>142</v>
      </c>
      <c r="C390">
        <v>390</v>
      </c>
      <c r="D390">
        <v>170</v>
      </c>
      <c r="E390">
        <v>19</v>
      </c>
      <c r="F390">
        <v>8</v>
      </c>
      <c r="G390">
        <v>1</v>
      </c>
      <c r="H390">
        <v>65</v>
      </c>
      <c r="I390">
        <v>920</v>
      </c>
      <c r="J390">
        <v>33</v>
      </c>
      <c r="K390">
        <v>2</v>
      </c>
      <c r="L390">
        <v>7</v>
      </c>
      <c r="M390">
        <v>22</v>
      </c>
      <c r="N390">
        <v>383</v>
      </c>
      <c r="O390" s="3">
        <f t="shared" si="23"/>
        <v>5.6410256410256414</v>
      </c>
      <c r="P390">
        <f t="shared" si="24"/>
        <v>1</v>
      </c>
      <c r="Q390">
        <f t="shared" si="25"/>
        <v>0</v>
      </c>
    </row>
    <row r="391" spans="1:17" x14ac:dyDescent="0.2">
      <c r="A391" t="s">
        <v>25</v>
      </c>
      <c r="B391" t="s">
        <v>143</v>
      </c>
      <c r="C391">
        <v>800</v>
      </c>
      <c r="D391">
        <v>350</v>
      </c>
      <c r="E391">
        <v>39</v>
      </c>
      <c r="F391">
        <v>18</v>
      </c>
      <c r="G391">
        <v>2</v>
      </c>
      <c r="H391">
        <v>145</v>
      </c>
      <c r="I391">
        <v>2020</v>
      </c>
      <c r="J391">
        <v>66</v>
      </c>
      <c r="K391">
        <v>4</v>
      </c>
      <c r="L391">
        <v>16</v>
      </c>
      <c r="M391">
        <v>45</v>
      </c>
      <c r="N391">
        <v>789</v>
      </c>
      <c r="O391" s="3">
        <f t="shared" si="23"/>
        <v>5.625</v>
      </c>
      <c r="P391">
        <f t="shared" si="24"/>
        <v>1</v>
      </c>
      <c r="Q391">
        <f t="shared" si="25"/>
        <v>0</v>
      </c>
    </row>
    <row r="392" spans="1:17" x14ac:dyDescent="0.2">
      <c r="A392" t="s">
        <v>25</v>
      </c>
      <c r="B392" t="s">
        <v>146</v>
      </c>
      <c r="C392">
        <v>180</v>
      </c>
      <c r="D392">
        <v>90</v>
      </c>
      <c r="E392">
        <v>10</v>
      </c>
      <c r="F392">
        <v>6</v>
      </c>
      <c r="G392">
        <v>0</v>
      </c>
      <c r="H392">
        <v>30</v>
      </c>
      <c r="I392">
        <v>130</v>
      </c>
      <c r="J392">
        <v>13</v>
      </c>
      <c r="K392">
        <v>0</v>
      </c>
      <c r="L392">
        <v>13</v>
      </c>
      <c r="M392">
        <v>10</v>
      </c>
      <c r="N392">
        <v>189</v>
      </c>
      <c r="O392" s="3">
        <f t="shared" si="23"/>
        <v>5.5555555555555554</v>
      </c>
      <c r="P392">
        <f t="shared" si="24"/>
        <v>0</v>
      </c>
      <c r="Q392">
        <f t="shared" si="25"/>
        <v>0</v>
      </c>
    </row>
    <row r="393" spans="1:17" x14ac:dyDescent="0.2">
      <c r="A393" t="s">
        <v>25</v>
      </c>
      <c r="B393" t="s">
        <v>147</v>
      </c>
      <c r="C393">
        <v>180</v>
      </c>
      <c r="D393">
        <v>90</v>
      </c>
      <c r="E393">
        <v>10</v>
      </c>
      <c r="F393">
        <v>6</v>
      </c>
      <c r="G393">
        <v>0</v>
      </c>
      <c r="H393">
        <v>30</v>
      </c>
      <c r="I393">
        <v>180</v>
      </c>
      <c r="J393">
        <v>25</v>
      </c>
      <c r="K393">
        <v>0</v>
      </c>
      <c r="L393">
        <v>13</v>
      </c>
      <c r="M393">
        <v>10</v>
      </c>
      <c r="N393">
        <v>189</v>
      </c>
      <c r="O393" s="3">
        <f t="shared" si="23"/>
        <v>5.5555555555555554</v>
      </c>
      <c r="P393">
        <f t="shared" si="24"/>
        <v>0</v>
      </c>
      <c r="Q393">
        <f t="shared" si="25"/>
        <v>0</v>
      </c>
    </row>
    <row r="394" spans="1:17" x14ac:dyDescent="0.2">
      <c r="A394" t="s">
        <v>25</v>
      </c>
      <c r="B394" t="s">
        <v>148</v>
      </c>
      <c r="C394">
        <v>90</v>
      </c>
      <c r="D394">
        <v>40</v>
      </c>
      <c r="E394">
        <v>5</v>
      </c>
      <c r="F394">
        <v>3</v>
      </c>
      <c r="G394">
        <v>0</v>
      </c>
      <c r="H394">
        <v>15</v>
      </c>
      <c r="I394">
        <v>105</v>
      </c>
      <c r="J394">
        <v>14</v>
      </c>
      <c r="K394">
        <v>0</v>
      </c>
      <c r="L394">
        <v>6</v>
      </c>
      <c r="M394">
        <v>5</v>
      </c>
      <c r="N394">
        <v>94</v>
      </c>
      <c r="O394" s="3">
        <f t="shared" si="23"/>
        <v>5.5555555555555554</v>
      </c>
      <c r="P394">
        <f t="shared" si="24"/>
        <v>0</v>
      </c>
      <c r="Q394">
        <f t="shared" si="25"/>
        <v>0</v>
      </c>
    </row>
    <row r="395" spans="1:17" x14ac:dyDescent="0.2">
      <c r="A395" t="s">
        <v>25</v>
      </c>
      <c r="B395" t="s">
        <v>153</v>
      </c>
      <c r="C395">
        <v>110</v>
      </c>
      <c r="D395">
        <v>50</v>
      </c>
      <c r="E395">
        <v>6</v>
      </c>
      <c r="F395">
        <v>3.5</v>
      </c>
      <c r="G395">
        <v>0</v>
      </c>
      <c r="H395">
        <v>15</v>
      </c>
      <c r="I395">
        <v>130</v>
      </c>
      <c r="J395">
        <v>19</v>
      </c>
      <c r="K395">
        <v>0</v>
      </c>
      <c r="L395">
        <v>8</v>
      </c>
      <c r="M395">
        <v>6</v>
      </c>
      <c r="N395">
        <v>115.5</v>
      </c>
      <c r="O395" s="3">
        <f t="shared" si="23"/>
        <v>5.4545454545454541</v>
      </c>
      <c r="P395">
        <f t="shared" si="24"/>
        <v>0</v>
      </c>
      <c r="Q395">
        <f t="shared" si="25"/>
        <v>0</v>
      </c>
    </row>
    <row r="396" spans="1:17" x14ac:dyDescent="0.2">
      <c r="A396" t="s">
        <v>25</v>
      </c>
      <c r="B396" t="s">
        <v>157</v>
      </c>
      <c r="C396">
        <v>390</v>
      </c>
      <c r="D396">
        <v>190</v>
      </c>
      <c r="E396">
        <v>21</v>
      </c>
      <c r="F396">
        <v>9</v>
      </c>
      <c r="G396">
        <v>1</v>
      </c>
      <c r="H396">
        <v>75</v>
      </c>
      <c r="I396">
        <v>1080</v>
      </c>
      <c r="J396">
        <v>28</v>
      </c>
      <c r="K396">
        <v>1</v>
      </c>
      <c r="L396">
        <v>4</v>
      </c>
      <c r="M396">
        <v>21</v>
      </c>
      <c r="N396">
        <v>382</v>
      </c>
      <c r="O396" s="3">
        <f t="shared" si="23"/>
        <v>5.384615384615385</v>
      </c>
      <c r="P396">
        <f t="shared" si="24"/>
        <v>1</v>
      </c>
      <c r="Q396">
        <f t="shared" si="25"/>
        <v>0</v>
      </c>
    </row>
    <row r="397" spans="1:17" x14ac:dyDescent="0.2">
      <c r="A397" t="s">
        <v>25</v>
      </c>
      <c r="B397" t="s">
        <v>158</v>
      </c>
      <c r="C397">
        <v>130</v>
      </c>
      <c r="D397">
        <v>60</v>
      </c>
      <c r="E397">
        <v>7</v>
      </c>
      <c r="F397">
        <v>4</v>
      </c>
      <c r="G397">
        <v>0</v>
      </c>
      <c r="H397">
        <v>20</v>
      </c>
      <c r="I397">
        <v>125</v>
      </c>
      <c r="J397">
        <v>17</v>
      </c>
      <c r="K397">
        <v>0</v>
      </c>
      <c r="L397">
        <v>10</v>
      </c>
      <c r="M397">
        <v>7</v>
      </c>
      <c r="N397">
        <v>137</v>
      </c>
      <c r="O397" s="3">
        <f t="shared" si="23"/>
        <v>5.384615384615385</v>
      </c>
      <c r="P397">
        <f t="shared" si="24"/>
        <v>0</v>
      </c>
      <c r="Q397">
        <f t="shared" si="25"/>
        <v>0</v>
      </c>
    </row>
    <row r="398" spans="1:17" x14ac:dyDescent="0.2">
      <c r="A398" t="s">
        <v>25</v>
      </c>
      <c r="B398" t="s">
        <v>165</v>
      </c>
      <c r="C398">
        <v>750</v>
      </c>
      <c r="D398">
        <v>350</v>
      </c>
      <c r="E398">
        <v>39</v>
      </c>
      <c r="F398">
        <v>16</v>
      </c>
      <c r="G398">
        <v>2</v>
      </c>
      <c r="H398">
        <v>135</v>
      </c>
      <c r="I398">
        <v>1700</v>
      </c>
      <c r="J398">
        <v>61</v>
      </c>
      <c r="K398">
        <v>4</v>
      </c>
      <c r="L398">
        <v>10</v>
      </c>
      <c r="M398">
        <v>40</v>
      </c>
      <c r="N398">
        <v>736</v>
      </c>
      <c r="O398" s="3">
        <f t="shared" si="23"/>
        <v>5.3333333333333339</v>
      </c>
      <c r="P398">
        <f t="shared" si="24"/>
        <v>1</v>
      </c>
      <c r="Q398">
        <f t="shared" si="25"/>
        <v>0</v>
      </c>
    </row>
    <row r="399" spans="1:17" x14ac:dyDescent="0.2">
      <c r="A399" t="s">
        <v>25</v>
      </c>
      <c r="B399" t="s">
        <v>166</v>
      </c>
      <c r="C399">
        <v>150</v>
      </c>
      <c r="D399">
        <v>70</v>
      </c>
      <c r="E399">
        <v>8</v>
      </c>
      <c r="F399">
        <v>4.5</v>
      </c>
      <c r="G399">
        <v>0</v>
      </c>
      <c r="H399">
        <v>25</v>
      </c>
      <c r="I399">
        <v>105</v>
      </c>
      <c r="J399">
        <v>11</v>
      </c>
      <c r="K399">
        <v>0</v>
      </c>
      <c r="L399">
        <v>11</v>
      </c>
      <c r="M399">
        <v>8</v>
      </c>
      <c r="N399">
        <v>157.5</v>
      </c>
      <c r="O399" s="3">
        <f t="shared" si="23"/>
        <v>5.3333333333333339</v>
      </c>
      <c r="P399">
        <f t="shared" si="24"/>
        <v>0</v>
      </c>
      <c r="Q399">
        <f t="shared" si="25"/>
        <v>0</v>
      </c>
    </row>
    <row r="400" spans="1:17" x14ac:dyDescent="0.2">
      <c r="A400" t="s">
        <v>25</v>
      </c>
      <c r="B400" t="s">
        <v>167</v>
      </c>
      <c r="C400">
        <v>150</v>
      </c>
      <c r="D400">
        <v>70</v>
      </c>
      <c r="E400">
        <v>8</v>
      </c>
      <c r="F400">
        <v>4.5</v>
      </c>
      <c r="G400">
        <v>0</v>
      </c>
      <c r="H400">
        <v>25</v>
      </c>
      <c r="I400">
        <v>160</v>
      </c>
      <c r="J400">
        <v>22</v>
      </c>
      <c r="K400">
        <v>0</v>
      </c>
      <c r="L400">
        <v>11</v>
      </c>
      <c r="M400">
        <v>8</v>
      </c>
      <c r="N400">
        <v>157.5</v>
      </c>
      <c r="O400" s="3">
        <f t="shared" si="23"/>
        <v>5.3333333333333339</v>
      </c>
      <c r="P400">
        <f t="shared" si="24"/>
        <v>0</v>
      </c>
      <c r="Q400">
        <f t="shared" si="25"/>
        <v>0</v>
      </c>
    </row>
    <row r="401" spans="1:17" x14ac:dyDescent="0.2">
      <c r="A401" t="s">
        <v>25</v>
      </c>
      <c r="B401" t="s">
        <v>173</v>
      </c>
      <c r="C401">
        <v>510</v>
      </c>
      <c r="D401">
        <v>250</v>
      </c>
      <c r="E401">
        <v>28</v>
      </c>
      <c r="F401">
        <v>11</v>
      </c>
      <c r="G401">
        <v>1.5</v>
      </c>
      <c r="H401">
        <v>85</v>
      </c>
      <c r="I401">
        <v>960</v>
      </c>
      <c r="J401">
        <v>38</v>
      </c>
      <c r="K401">
        <v>3</v>
      </c>
      <c r="L401">
        <v>8</v>
      </c>
      <c r="M401">
        <v>27</v>
      </c>
      <c r="N401">
        <v>502</v>
      </c>
      <c r="O401" s="3">
        <f t="shared" si="23"/>
        <v>5.2941176470588234</v>
      </c>
      <c r="P401">
        <f t="shared" si="24"/>
        <v>1</v>
      </c>
      <c r="Q401">
        <f t="shared" si="25"/>
        <v>0</v>
      </c>
    </row>
    <row r="402" spans="1:17" x14ac:dyDescent="0.2">
      <c r="A402" t="s">
        <v>25</v>
      </c>
      <c r="B402" t="s">
        <v>174</v>
      </c>
      <c r="C402">
        <v>170</v>
      </c>
      <c r="D402">
        <v>25</v>
      </c>
      <c r="E402">
        <v>3</v>
      </c>
      <c r="F402">
        <v>1.5</v>
      </c>
      <c r="G402">
        <v>0</v>
      </c>
      <c r="H402">
        <v>5</v>
      </c>
      <c r="I402">
        <v>150</v>
      </c>
      <c r="J402">
        <v>26</v>
      </c>
      <c r="K402">
        <v>1</v>
      </c>
      <c r="L402">
        <v>25</v>
      </c>
      <c r="M402">
        <v>9</v>
      </c>
      <c r="N402">
        <v>187.5</v>
      </c>
      <c r="O402" s="3">
        <f t="shared" si="23"/>
        <v>5.2941176470588234</v>
      </c>
      <c r="P402">
        <f t="shared" si="24"/>
        <v>0</v>
      </c>
      <c r="Q402">
        <f t="shared" si="25"/>
        <v>0</v>
      </c>
    </row>
    <row r="403" spans="1:17" x14ac:dyDescent="0.2">
      <c r="A403" t="s">
        <v>25</v>
      </c>
      <c r="B403" t="s">
        <v>180</v>
      </c>
      <c r="C403">
        <v>400</v>
      </c>
      <c r="D403">
        <v>190</v>
      </c>
      <c r="E403">
        <v>22</v>
      </c>
      <c r="F403">
        <v>10</v>
      </c>
      <c r="G403">
        <v>1</v>
      </c>
      <c r="H403">
        <v>75</v>
      </c>
      <c r="I403">
        <v>1060</v>
      </c>
      <c r="J403">
        <v>30</v>
      </c>
      <c r="K403">
        <v>1</v>
      </c>
      <c r="L403">
        <v>6</v>
      </c>
      <c r="M403">
        <v>21</v>
      </c>
      <c r="N403">
        <v>395</v>
      </c>
      <c r="O403" s="3">
        <f t="shared" si="23"/>
        <v>5.25</v>
      </c>
      <c r="P403">
        <f t="shared" si="24"/>
        <v>1</v>
      </c>
      <c r="Q403">
        <f t="shared" si="25"/>
        <v>0</v>
      </c>
    </row>
    <row r="404" spans="1:17" x14ac:dyDescent="0.2">
      <c r="A404" t="s">
        <v>25</v>
      </c>
      <c r="B404" t="s">
        <v>181</v>
      </c>
      <c r="C404">
        <v>210</v>
      </c>
      <c r="D404">
        <v>100</v>
      </c>
      <c r="E404">
        <v>11</v>
      </c>
      <c r="F404">
        <v>7</v>
      </c>
      <c r="G404">
        <v>0</v>
      </c>
      <c r="H404">
        <v>35</v>
      </c>
      <c r="I404">
        <v>150</v>
      </c>
      <c r="J404">
        <v>16</v>
      </c>
      <c r="K404">
        <v>0</v>
      </c>
      <c r="L404">
        <v>16</v>
      </c>
      <c r="M404">
        <v>11</v>
      </c>
      <c r="N404">
        <v>222</v>
      </c>
      <c r="O404" s="3">
        <f t="shared" si="23"/>
        <v>5.2380952380952381</v>
      </c>
      <c r="P404">
        <f t="shared" si="24"/>
        <v>0</v>
      </c>
      <c r="Q404">
        <f t="shared" si="25"/>
        <v>0</v>
      </c>
    </row>
    <row r="405" spans="1:17" x14ac:dyDescent="0.2">
      <c r="A405" t="s">
        <v>25</v>
      </c>
      <c r="B405" t="s">
        <v>184</v>
      </c>
      <c r="C405">
        <v>460</v>
      </c>
      <c r="D405">
        <v>220</v>
      </c>
      <c r="E405">
        <v>24</v>
      </c>
      <c r="F405">
        <v>8</v>
      </c>
      <c r="G405">
        <v>1.5</v>
      </c>
      <c r="H405">
        <v>70</v>
      </c>
      <c r="I405">
        <v>720</v>
      </c>
      <c r="J405">
        <v>37</v>
      </c>
      <c r="K405">
        <v>3</v>
      </c>
      <c r="L405">
        <v>8</v>
      </c>
      <c r="M405">
        <v>24</v>
      </c>
      <c r="N405">
        <v>452</v>
      </c>
      <c r="O405" s="3">
        <f t="shared" si="23"/>
        <v>5.2173913043478262</v>
      </c>
      <c r="P405">
        <f t="shared" si="24"/>
        <v>1</v>
      </c>
      <c r="Q405">
        <f t="shared" si="25"/>
        <v>0</v>
      </c>
    </row>
    <row r="406" spans="1:17" x14ac:dyDescent="0.2">
      <c r="A406" t="s">
        <v>25</v>
      </c>
      <c r="B406" t="s">
        <v>190</v>
      </c>
      <c r="C406">
        <v>430</v>
      </c>
      <c r="D406">
        <v>230</v>
      </c>
      <c r="E406">
        <v>26</v>
      </c>
      <c r="F406">
        <v>10</v>
      </c>
      <c r="G406">
        <v>1.5</v>
      </c>
      <c r="H406">
        <v>75</v>
      </c>
      <c r="I406">
        <v>730</v>
      </c>
      <c r="J406">
        <v>27</v>
      </c>
      <c r="K406">
        <v>2</v>
      </c>
      <c r="L406">
        <v>2</v>
      </c>
      <c r="M406">
        <v>22</v>
      </c>
      <c r="N406">
        <v>420</v>
      </c>
      <c r="O406" s="3">
        <f t="shared" si="23"/>
        <v>5.1162790697674421</v>
      </c>
      <c r="P406">
        <f t="shared" si="24"/>
        <v>1</v>
      </c>
      <c r="Q406">
        <f t="shared" si="25"/>
        <v>0</v>
      </c>
    </row>
    <row r="407" spans="1:17" x14ac:dyDescent="0.2">
      <c r="A407" t="s">
        <v>25</v>
      </c>
      <c r="B407" t="s">
        <v>192</v>
      </c>
      <c r="C407">
        <v>475</v>
      </c>
      <c r="D407" s="2">
        <v>0</v>
      </c>
      <c r="E407">
        <v>22</v>
      </c>
      <c r="F407">
        <v>4.5</v>
      </c>
      <c r="G407">
        <v>0</v>
      </c>
      <c r="H407">
        <v>50</v>
      </c>
      <c r="I407">
        <v>680</v>
      </c>
      <c r="J407">
        <v>46</v>
      </c>
      <c r="K407">
        <v>2</v>
      </c>
      <c r="L407">
        <v>14</v>
      </c>
      <c r="M407">
        <v>24</v>
      </c>
      <c r="O407" s="3">
        <f t="shared" si="23"/>
        <v>5.0526315789473681</v>
      </c>
      <c r="P407">
        <f t="shared" si="24"/>
        <v>1</v>
      </c>
      <c r="Q407">
        <f t="shared" si="25"/>
        <v>0</v>
      </c>
    </row>
    <row r="408" spans="1:17" x14ac:dyDescent="0.2">
      <c r="A408" t="s">
        <v>25</v>
      </c>
      <c r="B408" t="s">
        <v>162</v>
      </c>
      <c r="C408">
        <v>300</v>
      </c>
      <c r="D408">
        <v>110</v>
      </c>
      <c r="E408">
        <v>12</v>
      </c>
      <c r="F408">
        <v>6</v>
      </c>
      <c r="G408">
        <v>0.5</v>
      </c>
      <c r="H408">
        <v>40</v>
      </c>
      <c r="I408">
        <v>750</v>
      </c>
      <c r="J408">
        <v>33</v>
      </c>
      <c r="K408">
        <v>2</v>
      </c>
      <c r="L408">
        <v>6</v>
      </c>
      <c r="M408">
        <v>15</v>
      </c>
      <c r="N408">
        <v>297</v>
      </c>
      <c r="O408" s="3">
        <f t="shared" si="23"/>
        <v>5</v>
      </c>
      <c r="P408">
        <f t="shared" si="24"/>
        <v>1</v>
      </c>
      <c r="Q408">
        <f t="shared" si="25"/>
        <v>0</v>
      </c>
    </row>
    <row r="409" spans="1:17" x14ac:dyDescent="0.2">
      <c r="A409" t="s">
        <v>25</v>
      </c>
      <c r="B409" t="s">
        <v>193</v>
      </c>
      <c r="C409">
        <v>620</v>
      </c>
      <c r="D409">
        <v>260</v>
      </c>
      <c r="E409">
        <v>29</v>
      </c>
      <c r="F409">
        <v>7</v>
      </c>
      <c r="G409">
        <v>0</v>
      </c>
      <c r="H409">
        <v>70</v>
      </c>
      <c r="I409">
        <v>1200</v>
      </c>
      <c r="J409">
        <v>57</v>
      </c>
      <c r="K409">
        <v>3</v>
      </c>
      <c r="L409">
        <v>11</v>
      </c>
      <c r="M409">
        <v>31</v>
      </c>
      <c r="N409">
        <v>607</v>
      </c>
      <c r="O409" s="3">
        <f t="shared" si="23"/>
        <v>5</v>
      </c>
      <c r="P409">
        <f t="shared" si="24"/>
        <v>1</v>
      </c>
      <c r="Q409">
        <f t="shared" si="25"/>
        <v>0</v>
      </c>
    </row>
    <row r="410" spans="1:17" x14ac:dyDescent="0.2">
      <c r="A410" t="s">
        <v>25</v>
      </c>
      <c r="B410" t="s">
        <v>194</v>
      </c>
      <c r="C410">
        <v>540</v>
      </c>
      <c r="D410">
        <v>210</v>
      </c>
      <c r="E410">
        <v>23</v>
      </c>
      <c r="F410">
        <v>4.5</v>
      </c>
      <c r="G410">
        <v>0</v>
      </c>
      <c r="H410">
        <v>55</v>
      </c>
      <c r="I410">
        <v>1160</v>
      </c>
      <c r="J410">
        <v>56</v>
      </c>
      <c r="K410">
        <v>3</v>
      </c>
      <c r="L410">
        <v>11</v>
      </c>
      <c r="M410">
        <v>27</v>
      </c>
      <c r="N410">
        <v>528.5</v>
      </c>
      <c r="O410" s="3">
        <f t="shared" si="23"/>
        <v>5</v>
      </c>
      <c r="P410">
        <f t="shared" si="24"/>
        <v>1</v>
      </c>
      <c r="Q410">
        <f t="shared" si="25"/>
        <v>0</v>
      </c>
    </row>
    <row r="411" spans="1:17" x14ac:dyDescent="0.2">
      <c r="A411" t="s">
        <v>25</v>
      </c>
      <c r="B411" t="s">
        <v>195</v>
      </c>
      <c r="C411">
        <v>20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10</v>
      </c>
      <c r="J411">
        <v>4</v>
      </c>
      <c r="K411">
        <v>1</v>
      </c>
      <c r="L411">
        <v>2</v>
      </c>
      <c r="M411">
        <v>1</v>
      </c>
      <c r="N411">
        <v>21</v>
      </c>
      <c r="O411" s="3">
        <f t="shared" si="23"/>
        <v>5</v>
      </c>
      <c r="P411">
        <f t="shared" si="24"/>
        <v>0</v>
      </c>
      <c r="Q411">
        <f t="shared" si="25"/>
        <v>0</v>
      </c>
    </row>
    <row r="412" spans="1:17" x14ac:dyDescent="0.2">
      <c r="A412" t="s">
        <v>25</v>
      </c>
      <c r="B412" t="s">
        <v>196</v>
      </c>
      <c r="C412">
        <v>660</v>
      </c>
      <c r="D412">
        <v>300</v>
      </c>
      <c r="E412">
        <v>33</v>
      </c>
      <c r="F412">
        <v>12</v>
      </c>
      <c r="G412">
        <v>1</v>
      </c>
      <c r="H412">
        <v>300</v>
      </c>
      <c r="I412">
        <v>1580</v>
      </c>
      <c r="J412">
        <v>56</v>
      </c>
      <c r="K412">
        <v>3</v>
      </c>
      <c r="L412">
        <v>7</v>
      </c>
      <c r="M412">
        <v>33</v>
      </c>
      <c r="N412">
        <v>646</v>
      </c>
      <c r="O412" s="3">
        <f t="shared" si="23"/>
        <v>5</v>
      </c>
      <c r="P412">
        <f t="shared" si="24"/>
        <v>1</v>
      </c>
      <c r="Q412">
        <f t="shared" si="25"/>
        <v>0</v>
      </c>
    </row>
    <row r="413" spans="1:17" x14ac:dyDescent="0.2">
      <c r="A413" t="s">
        <v>25</v>
      </c>
      <c r="B413" t="s">
        <v>197</v>
      </c>
      <c r="C413">
        <v>120</v>
      </c>
      <c r="D413">
        <v>60</v>
      </c>
      <c r="E413">
        <v>7</v>
      </c>
      <c r="F413">
        <v>4</v>
      </c>
      <c r="G413">
        <v>0</v>
      </c>
      <c r="H413">
        <v>20</v>
      </c>
      <c r="I413">
        <v>85</v>
      </c>
      <c r="J413">
        <v>9</v>
      </c>
      <c r="K413">
        <v>0</v>
      </c>
      <c r="L413">
        <v>9</v>
      </c>
      <c r="M413">
        <v>6</v>
      </c>
      <c r="N413">
        <v>127</v>
      </c>
      <c r="O413" s="3">
        <f t="shared" si="23"/>
        <v>5</v>
      </c>
      <c r="P413">
        <f t="shared" si="24"/>
        <v>0</v>
      </c>
      <c r="Q413">
        <f t="shared" si="25"/>
        <v>0</v>
      </c>
    </row>
    <row r="414" spans="1:17" x14ac:dyDescent="0.2">
      <c r="A414" t="s">
        <v>25</v>
      </c>
      <c r="B414" t="s">
        <v>198</v>
      </c>
      <c r="C414">
        <v>180</v>
      </c>
      <c r="D414">
        <v>90</v>
      </c>
      <c r="E414">
        <v>10</v>
      </c>
      <c r="F414">
        <v>6</v>
      </c>
      <c r="G414">
        <v>0</v>
      </c>
      <c r="H414">
        <v>30</v>
      </c>
      <c r="I414">
        <v>130</v>
      </c>
      <c r="J414">
        <v>13</v>
      </c>
      <c r="K414">
        <v>0</v>
      </c>
      <c r="L414">
        <v>13</v>
      </c>
      <c r="M414">
        <v>9</v>
      </c>
      <c r="N414">
        <v>190</v>
      </c>
      <c r="O414" s="3">
        <f t="shared" si="23"/>
        <v>5</v>
      </c>
      <c r="P414">
        <f t="shared" si="24"/>
        <v>0</v>
      </c>
      <c r="Q414">
        <f t="shared" si="25"/>
        <v>0</v>
      </c>
    </row>
    <row r="415" spans="1:17" x14ac:dyDescent="0.2">
      <c r="A415" t="s">
        <v>25</v>
      </c>
      <c r="B415" t="s">
        <v>199</v>
      </c>
      <c r="C415">
        <v>100</v>
      </c>
      <c r="D415">
        <v>50</v>
      </c>
      <c r="E415">
        <v>5</v>
      </c>
      <c r="F415">
        <v>3</v>
      </c>
      <c r="G415">
        <v>0</v>
      </c>
      <c r="H415">
        <v>15</v>
      </c>
      <c r="I415">
        <v>105</v>
      </c>
      <c r="J415">
        <v>15</v>
      </c>
      <c r="K415">
        <v>0</v>
      </c>
      <c r="L415">
        <v>7</v>
      </c>
      <c r="M415">
        <v>5</v>
      </c>
      <c r="N415">
        <v>105</v>
      </c>
      <c r="O415" s="3">
        <f t="shared" si="23"/>
        <v>5</v>
      </c>
      <c r="P415">
        <f t="shared" si="24"/>
        <v>0</v>
      </c>
      <c r="Q415">
        <f t="shared" si="25"/>
        <v>0</v>
      </c>
    </row>
    <row r="416" spans="1:17" x14ac:dyDescent="0.2">
      <c r="A416" t="s">
        <v>25</v>
      </c>
      <c r="B416" t="s">
        <v>200</v>
      </c>
      <c r="C416">
        <v>120</v>
      </c>
      <c r="D416">
        <v>60</v>
      </c>
      <c r="E416">
        <v>6</v>
      </c>
      <c r="F416">
        <v>3.5</v>
      </c>
      <c r="G416">
        <v>0</v>
      </c>
      <c r="H416">
        <v>20</v>
      </c>
      <c r="I416">
        <v>130</v>
      </c>
      <c r="J416">
        <v>18</v>
      </c>
      <c r="K416">
        <v>0</v>
      </c>
      <c r="L416">
        <v>9</v>
      </c>
      <c r="M416">
        <v>6</v>
      </c>
      <c r="N416">
        <v>126.5</v>
      </c>
      <c r="O416" s="3">
        <f t="shared" si="23"/>
        <v>5</v>
      </c>
      <c r="P416">
        <f t="shared" si="24"/>
        <v>0</v>
      </c>
      <c r="Q416">
        <f t="shared" si="25"/>
        <v>0</v>
      </c>
    </row>
    <row r="417" spans="1:17" x14ac:dyDescent="0.2">
      <c r="A417" t="s">
        <v>25</v>
      </c>
      <c r="B417" t="s">
        <v>201</v>
      </c>
      <c r="C417">
        <v>160</v>
      </c>
      <c r="D417">
        <v>70</v>
      </c>
      <c r="E417">
        <v>8</v>
      </c>
      <c r="F417">
        <v>5</v>
      </c>
      <c r="G417">
        <v>0</v>
      </c>
      <c r="H417">
        <v>25</v>
      </c>
      <c r="I417">
        <v>150</v>
      </c>
      <c r="J417">
        <v>21</v>
      </c>
      <c r="K417">
        <v>0</v>
      </c>
      <c r="L417">
        <v>11</v>
      </c>
      <c r="M417">
        <v>8</v>
      </c>
      <c r="N417">
        <v>168</v>
      </c>
      <c r="O417" s="3">
        <f t="shared" si="23"/>
        <v>5</v>
      </c>
      <c r="P417">
        <f t="shared" si="24"/>
        <v>0</v>
      </c>
      <c r="Q417">
        <f t="shared" si="25"/>
        <v>0</v>
      </c>
    </row>
    <row r="418" spans="1:17" x14ac:dyDescent="0.2">
      <c r="A418" t="s">
        <v>25</v>
      </c>
      <c r="B418" t="s">
        <v>202</v>
      </c>
      <c r="C418">
        <v>80</v>
      </c>
      <c r="D418">
        <v>40</v>
      </c>
      <c r="E418">
        <v>4.5</v>
      </c>
      <c r="F418">
        <v>2.5</v>
      </c>
      <c r="G418">
        <v>0</v>
      </c>
      <c r="H418">
        <v>15</v>
      </c>
      <c r="I418">
        <v>65</v>
      </c>
      <c r="J418">
        <v>6</v>
      </c>
      <c r="K418">
        <v>0</v>
      </c>
      <c r="L418">
        <v>6</v>
      </c>
      <c r="M418">
        <v>4</v>
      </c>
      <c r="N418">
        <v>84.5</v>
      </c>
      <c r="O418" s="3">
        <f t="shared" si="23"/>
        <v>5</v>
      </c>
      <c r="P418">
        <f t="shared" si="24"/>
        <v>0</v>
      </c>
      <c r="Q418">
        <f t="shared" si="25"/>
        <v>0</v>
      </c>
    </row>
    <row r="419" spans="1:17" x14ac:dyDescent="0.2">
      <c r="A419" t="s">
        <v>25</v>
      </c>
      <c r="B419" t="s">
        <v>203</v>
      </c>
      <c r="C419">
        <v>140</v>
      </c>
      <c r="D419">
        <v>70</v>
      </c>
      <c r="E419">
        <v>8</v>
      </c>
      <c r="F419">
        <v>4.5</v>
      </c>
      <c r="G419">
        <v>0</v>
      </c>
      <c r="H419">
        <v>25</v>
      </c>
      <c r="I419">
        <v>105</v>
      </c>
      <c r="J419">
        <v>10</v>
      </c>
      <c r="K419">
        <v>0</v>
      </c>
      <c r="L419">
        <v>10</v>
      </c>
      <c r="M419">
        <v>7</v>
      </c>
      <c r="N419">
        <v>147.5</v>
      </c>
      <c r="O419" s="3">
        <f t="shared" si="23"/>
        <v>5</v>
      </c>
      <c r="P419">
        <f t="shared" si="24"/>
        <v>0</v>
      </c>
      <c r="Q419">
        <f t="shared" si="25"/>
        <v>0</v>
      </c>
    </row>
    <row r="420" spans="1:17" x14ac:dyDescent="0.2">
      <c r="A420" t="s">
        <v>25</v>
      </c>
      <c r="B420" t="s">
        <v>204</v>
      </c>
      <c r="C420">
        <v>60</v>
      </c>
      <c r="D420">
        <v>30</v>
      </c>
      <c r="E420">
        <v>3</v>
      </c>
      <c r="F420">
        <v>2</v>
      </c>
      <c r="G420">
        <v>0</v>
      </c>
      <c r="H420">
        <v>10</v>
      </c>
      <c r="I420">
        <v>80</v>
      </c>
      <c r="J420">
        <v>12</v>
      </c>
      <c r="K420">
        <v>0</v>
      </c>
      <c r="L420">
        <v>4</v>
      </c>
      <c r="M420">
        <v>3</v>
      </c>
      <c r="N420">
        <v>63</v>
      </c>
      <c r="O420" s="3">
        <f t="shared" si="23"/>
        <v>5</v>
      </c>
      <c r="P420">
        <f t="shared" si="24"/>
        <v>0</v>
      </c>
      <c r="Q420">
        <f t="shared" si="25"/>
        <v>0</v>
      </c>
    </row>
    <row r="421" spans="1:17" x14ac:dyDescent="0.2">
      <c r="A421" t="s">
        <v>25</v>
      </c>
      <c r="B421" t="s">
        <v>219</v>
      </c>
      <c r="C421">
        <v>410</v>
      </c>
      <c r="D421">
        <v>220</v>
      </c>
      <c r="E421">
        <v>25</v>
      </c>
      <c r="F421">
        <v>10</v>
      </c>
      <c r="G421">
        <v>1.5</v>
      </c>
      <c r="H421">
        <v>75</v>
      </c>
      <c r="I421">
        <v>990</v>
      </c>
      <c r="J421">
        <v>27</v>
      </c>
      <c r="K421">
        <v>2</v>
      </c>
      <c r="L421">
        <v>3</v>
      </c>
      <c r="M421">
        <v>20</v>
      </c>
      <c r="N421">
        <v>403</v>
      </c>
      <c r="O421" s="3">
        <f t="shared" si="23"/>
        <v>4.8780487804878048</v>
      </c>
      <c r="P421">
        <f t="shared" si="24"/>
        <v>1</v>
      </c>
      <c r="Q421">
        <f t="shared" si="25"/>
        <v>0</v>
      </c>
    </row>
    <row r="422" spans="1:17" x14ac:dyDescent="0.2">
      <c r="A422" t="s">
        <v>25</v>
      </c>
      <c r="B422" t="s">
        <v>229</v>
      </c>
      <c r="C422">
        <v>395</v>
      </c>
      <c r="D422" s="2">
        <v>0</v>
      </c>
      <c r="E422">
        <v>17</v>
      </c>
      <c r="F422">
        <v>3.5</v>
      </c>
      <c r="G422">
        <v>0</v>
      </c>
      <c r="H422">
        <v>35</v>
      </c>
      <c r="I422">
        <v>510</v>
      </c>
      <c r="J422">
        <v>41</v>
      </c>
      <c r="K422">
        <v>1</v>
      </c>
      <c r="L422">
        <v>14</v>
      </c>
      <c r="M422">
        <v>19</v>
      </c>
      <c r="O422" s="3">
        <f t="shared" si="23"/>
        <v>4.8101265822784809</v>
      </c>
      <c r="P422">
        <f t="shared" si="24"/>
        <v>1</v>
      </c>
      <c r="Q422">
        <f t="shared" si="25"/>
        <v>0</v>
      </c>
    </row>
    <row r="423" spans="1:17" x14ac:dyDescent="0.2">
      <c r="A423" t="s">
        <v>25</v>
      </c>
      <c r="B423" t="s">
        <v>154</v>
      </c>
      <c r="C423">
        <v>250</v>
      </c>
      <c r="D423">
        <v>80</v>
      </c>
      <c r="E423">
        <v>9</v>
      </c>
      <c r="F423">
        <v>3.5</v>
      </c>
      <c r="G423">
        <v>0.5</v>
      </c>
      <c r="H423">
        <v>25</v>
      </c>
      <c r="I423">
        <v>520</v>
      </c>
      <c r="J423">
        <v>31</v>
      </c>
      <c r="K423">
        <v>2</v>
      </c>
      <c r="L423">
        <v>6</v>
      </c>
      <c r="M423">
        <v>12</v>
      </c>
      <c r="N423">
        <v>247.5</v>
      </c>
      <c r="O423" s="3">
        <f t="shared" si="23"/>
        <v>4.8</v>
      </c>
      <c r="P423">
        <f t="shared" si="24"/>
        <v>1</v>
      </c>
      <c r="Q423">
        <f t="shared" si="25"/>
        <v>0</v>
      </c>
    </row>
    <row r="424" spans="1:17" x14ac:dyDescent="0.2">
      <c r="A424" t="s">
        <v>25</v>
      </c>
      <c r="B424" t="s">
        <v>237</v>
      </c>
      <c r="C424">
        <v>190</v>
      </c>
      <c r="D424">
        <v>110</v>
      </c>
      <c r="E424">
        <v>12</v>
      </c>
      <c r="F424">
        <v>2</v>
      </c>
      <c r="G424">
        <v>0</v>
      </c>
      <c r="H424">
        <v>25</v>
      </c>
      <c r="I424">
        <v>360</v>
      </c>
      <c r="J424">
        <v>12</v>
      </c>
      <c r="K424">
        <v>1</v>
      </c>
      <c r="L424">
        <v>0</v>
      </c>
      <c r="M424">
        <v>9</v>
      </c>
      <c r="N424">
        <v>183</v>
      </c>
      <c r="O424" s="3">
        <f t="shared" si="23"/>
        <v>4.7368421052631584</v>
      </c>
      <c r="P424">
        <f t="shared" si="24"/>
        <v>0</v>
      </c>
      <c r="Q424">
        <f t="shared" si="25"/>
        <v>0</v>
      </c>
    </row>
    <row r="425" spans="1:17" x14ac:dyDescent="0.2">
      <c r="A425" t="s">
        <v>25</v>
      </c>
      <c r="B425" t="s">
        <v>240</v>
      </c>
      <c r="C425">
        <v>510</v>
      </c>
      <c r="D425">
        <v>200</v>
      </c>
      <c r="E425">
        <v>22</v>
      </c>
      <c r="F425">
        <v>3.5</v>
      </c>
      <c r="G425">
        <v>0</v>
      </c>
      <c r="H425">
        <v>45</v>
      </c>
      <c r="I425">
        <v>990</v>
      </c>
      <c r="J425">
        <v>56</v>
      </c>
      <c r="K425">
        <v>3</v>
      </c>
      <c r="L425">
        <v>10</v>
      </c>
      <c r="M425">
        <v>24</v>
      </c>
      <c r="N425">
        <v>499.5</v>
      </c>
      <c r="O425" s="3">
        <f t="shared" si="23"/>
        <v>4.7058823529411766</v>
      </c>
      <c r="P425">
        <f t="shared" si="24"/>
        <v>1</v>
      </c>
      <c r="Q425">
        <f t="shared" si="25"/>
        <v>0</v>
      </c>
    </row>
    <row r="426" spans="1:17" x14ac:dyDescent="0.2">
      <c r="A426" t="s">
        <v>25</v>
      </c>
      <c r="B426" t="s">
        <v>249</v>
      </c>
      <c r="C426">
        <v>470</v>
      </c>
      <c r="D426">
        <v>270</v>
      </c>
      <c r="E426">
        <v>30</v>
      </c>
      <c r="F426">
        <v>5</v>
      </c>
      <c r="G426">
        <v>0</v>
      </c>
      <c r="H426">
        <v>65</v>
      </c>
      <c r="I426">
        <v>900</v>
      </c>
      <c r="J426">
        <v>30</v>
      </c>
      <c r="K426">
        <v>2</v>
      </c>
      <c r="L426">
        <v>0</v>
      </c>
      <c r="M426">
        <v>22</v>
      </c>
      <c r="N426">
        <v>453</v>
      </c>
      <c r="O426" s="3">
        <f t="shared" si="23"/>
        <v>4.6808510638297873</v>
      </c>
      <c r="P426">
        <f t="shared" si="24"/>
        <v>1</v>
      </c>
      <c r="Q426">
        <f t="shared" si="25"/>
        <v>0</v>
      </c>
    </row>
    <row r="427" spans="1:17" x14ac:dyDescent="0.2">
      <c r="A427" t="s">
        <v>25</v>
      </c>
      <c r="B427" t="s">
        <v>250</v>
      </c>
      <c r="C427">
        <v>450</v>
      </c>
      <c r="D427">
        <v>250</v>
      </c>
      <c r="E427">
        <v>27</v>
      </c>
      <c r="F427">
        <v>10</v>
      </c>
      <c r="G427">
        <v>0</v>
      </c>
      <c r="H427">
        <v>285</v>
      </c>
      <c r="I427">
        <v>920</v>
      </c>
      <c r="J427">
        <v>30</v>
      </c>
      <c r="K427">
        <v>2</v>
      </c>
      <c r="L427">
        <v>2</v>
      </c>
      <c r="M427">
        <v>21</v>
      </c>
      <c r="N427">
        <v>441</v>
      </c>
      <c r="O427" s="3">
        <f t="shared" si="23"/>
        <v>4.666666666666667</v>
      </c>
      <c r="P427">
        <f t="shared" si="24"/>
        <v>1</v>
      </c>
      <c r="Q427">
        <f t="shared" si="25"/>
        <v>0</v>
      </c>
    </row>
    <row r="428" spans="1:17" x14ac:dyDescent="0.2">
      <c r="A428" t="s">
        <v>25</v>
      </c>
      <c r="B428" t="s">
        <v>259</v>
      </c>
      <c r="C428">
        <v>280</v>
      </c>
      <c r="D428">
        <v>160</v>
      </c>
      <c r="E428">
        <v>18</v>
      </c>
      <c r="F428">
        <v>3</v>
      </c>
      <c r="G428">
        <v>0</v>
      </c>
      <c r="H428">
        <v>40</v>
      </c>
      <c r="I428">
        <v>540</v>
      </c>
      <c r="J428">
        <v>18</v>
      </c>
      <c r="K428">
        <v>1</v>
      </c>
      <c r="L428">
        <v>0</v>
      </c>
      <c r="M428">
        <v>13</v>
      </c>
      <c r="N428">
        <v>270</v>
      </c>
      <c r="O428" s="3">
        <f t="shared" si="23"/>
        <v>4.6428571428571432</v>
      </c>
      <c r="P428">
        <f t="shared" si="24"/>
        <v>1</v>
      </c>
      <c r="Q428">
        <f t="shared" si="25"/>
        <v>0</v>
      </c>
    </row>
    <row r="429" spans="1:17" x14ac:dyDescent="0.2">
      <c r="A429" t="s">
        <v>25</v>
      </c>
      <c r="B429" t="s">
        <v>262</v>
      </c>
      <c r="C429">
        <v>475</v>
      </c>
      <c r="D429" s="2">
        <v>0</v>
      </c>
      <c r="E429">
        <v>16</v>
      </c>
      <c r="F429" t="s">
        <v>263</v>
      </c>
      <c r="G429">
        <v>0</v>
      </c>
      <c r="H429">
        <v>40</v>
      </c>
      <c r="I429">
        <v>690</v>
      </c>
      <c r="J429">
        <v>62</v>
      </c>
      <c r="K429">
        <v>2</v>
      </c>
      <c r="L429">
        <v>20</v>
      </c>
      <c r="M429">
        <v>22</v>
      </c>
      <c r="O429" s="3">
        <f t="shared" si="23"/>
        <v>4.6315789473684212</v>
      </c>
      <c r="P429">
        <f t="shared" si="24"/>
        <v>1</v>
      </c>
      <c r="Q429">
        <f t="shared" si="25"/>
        <v>0</v>
      </c>
    </row>
    <row r="430" spans="1:17" x14ac:dyDescent="0.2">
      <c r="A430" t="s">
        <v>25</v>
      </c>
      <c r="B430" t="s">
        <v>264</v>
      </c>
      <c r="C430">
        <v>540</v>
      </c>
      <c r="D430">
        <v>260</v>
      </c>
      <c r="E430">
        <v>29</v>
      </c>
      <c r="F430">
        <v>10</v>
      </c>
      <c r="G430">
        <v>1.5</v>
      </c>
      <c r="H430">
        <v>75</v>
      </c>
      <c r="I430">
        <v>1040</v>
      </c>
      <c r="J430">
        <v>45</v>
      </c>
      <c r="K430">
        <v>3</v>
      </c>
      <c r="L430">
        <v>9</v>
      </c>
      <c r="M430">
        <v>25</v>
      </c>
      <c r="N430">
        <v>534</v>
      </c>
      <c r="O430" s="3">
        <f t="shared" si="23"/>
        <v>4.6296296296296298</v>
      </c>
      <c r="P430">
        <f t="shared" si="24"/>
        <v>1</v>
      </c>
      <c r="Q430">
        <f t="shared" si="25"/>
        <v>0</v>
      </c>
    </row>
    <row r="431" spans="1:17" x14ac:dyDescent="0.2">
      <c r="A431" t="s">
        <v>25</v>
      </c>
      <c r="B431" t="s">
        <v>275</v>
      </c>
      <c r="C431">
        <v>330</v>
      </c>
      <c r="D431">
        <v>170</v>
      </c>
      <c r="E431">
        <v>19</v>
      </c>
      <c r="F431">
        <v>7</v>
      </c>
      <c r="G431">
        <v>1</v>
      </c>
      <c r="H431">
        <v>45</v>
      </c>
      <c r="I431">
        <v>690</v>
      </c>
      <c r="J431">
        <v>26</v>
      </c>
      <c r="K431">
        <v>1</v>
      </c>
      <c r="L431">
        <v>3</v>
      </c>
      <c r="M431">
        <v>15</v>
      </c>
      <c r="N431">
        <v>325</v>
      </c>
      <c r="O431" s="3">
        <f t="shared" si="23"/>
        <v>4.5454545454545459</v>
      </c>
      <c r="P431">
        <f t="shared" si="24"/>
        <v>1</v>
      </c>
      <c r="Q431">
        <f t="shared" si="25"/>
        <v>0</v>
      </c>
    </row>
    <row r="432" spans="1:17" x14ac:dyDescent="0.2">
      <c r="A432" t="s">
        <v>25</v>
      </c>
      <c r="B432" t="s">
        <v>288</v>
      </c>
      <c r="C432">
        <v>45</v>
      </c>
      <c r="D432">
        <v>30</v>
      </c>
      <c r="E432">
        <v>3.5</v>
      </c>
      <c r="F432">
        <v>0.5</v>
      </c>
      <c r="G432">
        <v>0</v>
      </c>
      <c r="H432">
        <v>0</v>
      </c>
      <c r="I432">
        <v>0</v>
      </c>
      <c r="J432">
        <v>2</v>
      </c>
      <c r="K432">
        <v>1</v>
      </c>
      <c r="L432">
        <v>0</v>
      </c>
      <c r="M432">
        <v>2</v>
      </c>
      <c r="N432">
        <v>43.5</v>
      </c>
      <c r="O432" s="3">
        <f t="shared" si="23"/>
        <v>4.4444444444444446</v>
      </c>
      <c r="P432">
        <f t="shared" si="24"/>
        <v>0</v>
      </c>
      <c r="Q432">
        <f t="shared" si="25"/>
        <v>0</v>
      </c>
    </row>
    <row r="433" spans="1:17" x14ac:dyDescent="0.2">
      <c r="A433" t="s">
        <v>25</v>
      </c>
      <c r="B433" t="s">
        <v>298</v>
      </c>
      <c r="C433">
        <v>610</v>
      </c>
      <c r="D433">
        <v>320</v>
      </c>
      <c r="E433">
        <v>36</v>
      </c>
      <c r="F433">
        <v>14</v>
      </c>
      <c r="G433">
        <v>0.5</v>
      </c>
      <c r="H433">
        <v>410</v>
      </c>
      <c r="I433">
        <v>1390</v>
      </c>
      <c r="J433">
        <v>44</v>
      </c>
      <c r="K433">
        <v>3</v>
      </c>
      <c r="L433">
        <v>4</v>
      </c>
      <c r="M433">
        <v>27</v>
      </c>
      <c r="N433">
        <v>601</v>
      </c>
      <c r="O433" s="3">
        <f t="shared" si="23"/>
        <v>4.4262295081967213</v>
      </c>
      <c r="P433">
        <f t="shared" si="24"/>
        <v>1</v>
      </c>
      <c r="Q433">
        <f t="shared" si="25"/>
        <v>1</v>
      </c>
    </row>
    <row r="434" spans="1:17" x14ac:dyDescent="0.2">
      <c r="A434" t="s">
        <v>25</v>
      </c>
      <c r="B434" t="s">
        <v>300</v>
      </c>
      <c r="C434">
        <v>500</v>
      </c>
      <c r="D434">
        <v>240</v>
      </c>
      <c r="E434">
        <v>26</v>
      </c>
      <c r="F434">
        <v>10</v>
      </c>
      <c r="G434">
        <v>0</v>
      </c>
      <c r="H434">
        <v>70</v>
      </c>
      <c r="I434">
        <v>980</v>
      </c>
      <c r="J434">
        <v>44</v>
      </c>
      <c r="K434">
        <v>3</v>
      </c>
      <c r="L434">
        <v>11</v>
      </c>
      <c r="M434">
        <v>22</v>
      </c>
      <c r="N434">
        <v>499</v>
      </c>
      <c r="O434" s="3">
        <f t="shared" si="23"/>
        <v>4.3999999999999995</v>
      </c>
      <c r="P434">
        <f t="shared" si="24"/>
        <v>1</v>
      </c>
      <c r="Q434">
        <f t="shared" si="25"/>
        <v>0</v>
      </c>
    </row>
    <row r="435" spans="1:17" x14ac:dyDescent="0.2">
      <c r="A435" t="s">
        <v>25</v>
      </c>
      <c r="B435" t="s">
        <v>319</v>
      </c>
      <c r="C435">
        <v>140</v>
      </c>
      <c r="D435">
        <v>40</v>
      </c>
      <c r="E435">
        <v>4.5</v>
      </c>
      <c r="F435">
        <v>2</v>
      </c>
      <c r="G435">
        <v>0</v>
      </c>
      <c r="H435">
        <v>10</v>
      </c>
      <c r="I435">
        <v>150</v>
      </c>
      <c r="J435">
        <v>20</v>
      </c>
      <c r="K435">
        <v>6</v>
      </c>
      <c r="L435">
        <v>6</v>
      </c>
      <c r="M435">
        <v>6</v>
      </c>
      <c r="N435">
        <v>142</v>
      </c>
      <c r="O435" s="3">
        <f t="shared" si="23"/>
        <v>4.2857142857142856</v>
      </c>
      <c r="P435">
        <f t="shared" si="24"/>
        <v>0</v>
      </c>
      <c r="Q435">
        <f t="shared" si="25"/>
        <v>0</v>
      </c>
    </row>
    <row r="436" spans="1:17" x14ac:dyDescent="0.2">
      <c r="A436" t="s">
        <v>25</v>
      </c>
      <c r="B436" t="s">
        <v>320</v>
      </c>
      <c r="C436">
        <v>560</v>
      </c>
      <c r="D436">
        <v>240</v>
      </c>
      <c r="E436">
        <v>27</v>
      </c>
      <c r="F436">
        <v>9</v>
      </c>
      <c r="G436">
        <v>0.5</v>
      </c>
      <c r="H436">
        <v>260</v>
      </c>
      <c r="I436">
        <v>1300</v>
      </c>
      <c r="J436">
        <v>56</v>
      </c>
      <c r="K436">
        <v>3</v>
      </c>
      <c r="L436">
        <v>7</v>
      </c>
      <c r="M436">
        <v>24</v>
      </c>
      <c r="N436">
        <v>552</v>
      </c>
      <c r="O436" s="3">
        <f t="shared" si="23"/>
        <v>4.2857142857142856</v>
      </c>
      <c r="P436">
        <f t="shared" si="24"/>
        <v>1</v>
      </c>
      <c r="Q436">
        <f t="shared" si="25"/>
        <v>0</v>
      </c>
    </row>
    <row r="437" spans="1:17" x14ac:dyDescent="0.2">
      <c r="A437" t="s">
        <v>25</v>
      </c>
      <c r="B437" t="s">
        <v>321</v>
      </c>
      <c r="C437">
        <v>280</v>
      </c>
      <c r="D437">
        <v>35</v>
      </c>
      <c r="E437">
        <v>4</v>
      </c>
      <c r="F437">
        <v>2.5</v>
      </c>
      <c r="G437">
        <v>0</v>
      </c>
      <c r="H437">
        <v>10</v>
      </c>
      <c r="I437">
        <v>260</v>
      </c>
      <c r="J437">
        <v>49</v>
      </c>
      <c r="K437">
        <v>0</v>
      </c>
      <c r="L437">
        <v>46</v>
      </c>
      <c r="M437">
        <v>12</v>
      </c>
      <c r="N437">
        <v>316.5</v>
      </c>
      <c r="O437" s="3">
        <f t="shared" si="23"/>
        <v>4.2857142857142856</v>
      </c>
      <c r="P437">
        <f t="shared" si="24"/>
        <v>0</v>
      </c>
      <c r="Q437">
        <f t="shared" si="25"/>
        <v>0</v>
      </c>
    </row>
    <row r="438" spans="1:17" x14ac:dyDescent="0.2">
      <c r="A438" t="s">
        <v>25</v>
      </c>
      <c r="B438" t="s">
        <v>329</v>
      </c>
      <c r="C438">
        <v>330</v>
      </c>
      <c r="D438">
        <v>140</v>
      </c>
      <c r="E438">
        <v>16</v>
      </c>
      <c r="F438">
        <v>4.5</v>
      </c>
      <c r="G438">
        <v>0</v>
      </c>
      <c r="H438">
        <v>30</v>
      </c>
      <c r="I438">
        <v>780</v>
      </c>
      <c r="J438">
        <v>34</v>
      </c>
      <c r="K438">
        <v>1</v>
      </c>
      <c r="L438">
        <v>4</v>
      </c>
      <c r="M438">
        <v>14</v>
      </c>
      <c r="N438">
        <v>324.5</v>
      </c>
      <c r="O438" s="3">
        <f t="shared" si="23"/>
        <v>4.2424242424242431</v>
      </c>
      <c r="P438">
        <f t="shared" si="24"/>
        <v>1</v>
      </c>
      <c r="Q438">
        <f t="shared" si="25"/>
        <v>0</v>
      </c>
    </row>
    <row r="439" spans="1:17" x14ac:dyDescent="0.2">
      <c r="A439" t="s">
        <v>25</v>
      </c>
      <c r="B439" t="s">
        <v>330</v>
      </c>
      <c r="C439">
        <v>330</v>
      </c>
      <c r="D439">
        <v>140</v>
      </c>
      <c r="E439">
        <v>15</v>
      </c>
      <c r="F439">
        <v>4.5</v>
      </c>
      <c r="G439">
        <v>0</v>
      </c>
      <c r="H439">
        <v>30</v>
      </c>
      <c r="I439">
        <v>810</v>
      </c>
      <c r="J439">
        <v>35</v>
      </c>
      <c r="K439">
        <v>1</v>
      </c>
      <c r="L439">
        <v>4</v>
      </c>
      <c r="M439">
        <v>14</v>
      </c>
      <c r="N439">
        <v>324.5</v>
      </c>
      <c r="O439" s="3">
        <f t="shared" si="23"/>
        <v>4.2424242424242431</v>
      </c>
      <c r="P439">
        <f t="shared" si="24"/>
        <v>1</v>
      </c>
      <c r="Q439">
        <f t="shared" si="25"/>
        <v>0</v>
      </c>
    </row>
    <row r="440" spans="1:17" x14ac:dyDescent="0.2">
      <c r="A440" t="s">
        <v>25</v>
      </c>
      <c r="B440" t="s">
        <v>345</v>
      </c>
      <c r="C440">
        <v>410</v>
      </c>
      <c r="D440">
        <v>180</v>
      </c>
      <c r="E440">
        <v>20</v>
      </c>
      <c r="F440">
        <v>8</v>
      </c>
      <c r="G440">
        <v>0</v>
      </c>
      <c r="H440">
        <v>30</v>
      </c>
      <c r="I440">
        <v>1180</v>
      </c>
      <c r="J440">
        <v>41</v>
      </c>
      <c r="K440">
        <v>2</v>
      </c>
      <c r="L440">
        <v>3</v>
      </c>
      <c r="M440">
        <v>17</v>
      </c>
      <c r="N440">
        <v>404</v>
      </c>
      <c r="O440" s="3">
        <f t="shared" si="23"/>
        <v>4.1463414634146343</v>
      </c>
      <c r="P440">
        <f t="shared" si="24"/>
        <v>1</v>
      </c>
      <c r="Q440">
        <f t="shared" si="25"/>
        <v>0</v>
      </c>
    </row>
    <row r="441" spans="1:17" x14ac:dyDescent="0.2">
      <c r="A441" t="s">
        <v>25</v>
      </c>
      <c r="B441" t="s">
        <v>348</v>
      </c>
      <c r="C441">
        <v>340</v>
      </c>
      <c r="D441">
        <v>150</v>
      </c>
      <c r="E441">
        <v>17</v>
      </c>
      <c r="F441">
        <v>4.5</v>
      </c>
      <c r="G441">
        <v>0</v>
      </c>
      <c r="H441">
        <v>30</v>
      </c>
      <c r="I441">
        <v>810</v>
      </c>
      <c r="J441">
        <v>33</v>
      </c>
      <c r="K441">
        <v>1</v>
      </c>
      <c r="L441">
        <v>2</v>
      </c>
      <c r="M441">
        <v>14</v>
      </c>
      <c r="N441">
        <v>332.5</v>
      </c>
      <c r="O441" s="3">
        <f t="shared" si="23"/>
        <v>4.117647058823529</v>
      </c>
      <c r="P441">
        <f t="shared" si="24"/>
        <v>1</v>
      </c>
      <c r="Q441">
        <f t="shared" si="25"/>
        <v>0</v>
      </c>
    </row>
    <row r="442" spans="1:17" x14ac:dyDescent="0.2">
      <c r="A442" t="s">
        <v>25</v>
      </c>
      <c r="B442" t="s">
        <v>349</v>
      </c>
      <c r="C442">
        <v>170</v>
      </c>
      <c r="D442">
        <v>0</v>
      </c>
      <c r="E442">
        <v>0</v>
      </c>
      <c r="F442">
        <v>0</v>
      </c>
      <c r="G442">
        <v>0</v>
      </c>
      <c r="H442">
        <v>5</v>
      </c>
      <c r="I442">
        <v>150</v>
      </c>
      <c r="J442">
        <v>36</v>
      </c>
      <c r="K442">
        <v>0</v>
      </c>
      <c r="L442">
        <v>36</v>
      </c>
      <c r="M442">
        <v>7</v>
      </c>
      <c r="N442">
        <v>199</v>
      </c>
      <c r="O442" s="3">
        <f t="shared" si="23"/>
        <v>4.117647058823529</v>
      </c>
      <c r="P442">
        <f t="shared" si="24"/>
        <v>0</v>
      </c>
      <c r="Q442">
        <f t="shared" si="25"/>
        <v>0</v>
      </c>
    </row>
    <row r="443" spans="1:17" x14ac:dyDescent="0.2">
      <c r="A443" t="s">
        <v>25</v>
      </c>
      <c r="B443" t="s">
        <v>352</v>
      </c>
      <c r="C443">
        <v>390</v>
      </c>
      <c r="D443">
        <v>50</v>
      </c>
      <c r="E443">
        <v>6</v>
      </c>
      <c r="F443">
        <v>3.5</v>
      </c>
      <c r="G443">
        <v>0</v>
      </c>
      <c r="H443">
        <v>10</v>
      </c>
      <c r="I443">
        <v>250</v>
      </c>
      <c r="J443">
        <v>68</v>
      </c>
      <c r="K443">
        <v>0</v>
      </c>
      <c r="L443">
        <v>59</v>
      </c>
      <c r="M443">
        <v>16</v>
      </c>
      <c r="N443">
        <v>436.5</v>
      </c>
      <c r="O443" s="3">
        <f t="shared" si="23"/>
        <v>4.1025641025641022</v>
      </c>
      <c r="P443">
        <f t="shared" si="24"/>
        <v>0</v>
      </c>
      <c r="Q443">
        <f t="shared" si="25"/>
        <v>0</v>
      </c>
    </row>
    <row r="444" spans="1:17" x14ac:dyDescent="0.2">
      <c r="A444" t="s">
        <v>25</v>
      </c>
      <c r="B444" t="s">
        <v>356</v>
      </c>
      <c r="C444">
        <v>220</v>
      </c>
      <c r="D444">
        <v>0</v>
      </c>
      <c r="E444">
        <v>0</v>
      </c>
      <c r="F444">
        <v>0</v>
      </c>
      <c r="G444">
        <v>0</v>
      </c>
      <c r="H444">
        <v>5</v>
      </c>
      <c r="I444">
        <v>180</v>
      </c>
      <c r="J444">
        <v>45</v>
      </c>
      <c r="K444">
        <v>0</v>
      </c>
      <c r="L444">
        <v>45</v>
      </c>
      <c r="M444">
        <v>9</v>
      </c>
      <c r="N444">
        <v>256</v>
      </c>
      <c r="O444" s="3">
        <f t="shared" si="23"/>
        <v>4.0909090909090908</v>
      </c>
      <c r="P444">
        <f t="shared" si="24"/>
        <v>0</v>
      </c>
      <c r="Q444">
        <f t="shared" si="25"/>
        <v>0</v>
      </c>
    </row>
    <row r="445" spans="1:17" x14ac:dyDescent="0.2">
      <c r="A445" t="s">
        <v>25</v>
      </c>
      <c r="B445" t="s">
        <v>357</v>
      </c>
      <c r="C445">
        <v>220</v>
      </c>
      <c r="D445">
        <v>0</v>
      </c>
      <c r="E445">
        <v>0</v>
      </c>
      <c r="F445">
        <v>0</v>
      </c>
      <c r="G445">
        <v>0</v>
      </c>
      <c r="H445">
        <v>5</v>
      </c>
      <c r="I445">
        <v>115</v>
      </c>
      <c r="J445">
        <v>46</v>
      </c>
      <c r="K445">
        <v>0</v>
      </c>
      <c r="L445">
        <v>46</v>
      </c>
      <c r="M445">
        <v>9</v>
      </c>
      <c r="N445">
        <v>257</v>
      </c>
      <c r="O445" s="3">
        <f t="shared" si="23"/>
        <v>4.0909090909090908</v>
      </c>
      <c r="P445">
        <f t="shared" si="24"/>
        <v>0</v>
      </c>
      <c r="Q445">
        <f t="shared" si="25"/>
        <v>0</v>
      </c>
    </row>
    <row r="446" spans="1:17" x14ac:dyDescent="0.2">
      <c r="A446" t="s">
        <v>25</v>
      </c>
      <c r="B446" t="s">
        <v>358</v>
      </c>
      <c r="C446">
        <v>220</v>
      </c>
      <c r="D446">
        <v>0</v>
      </c>
      <c r="E446">
        <v>0</v>
      </c>
      <c r="F446">
        <v>0</v>
      </c>
      <c r="G446">
        <v>0</v>
      </c>
      <c r="H446">
        <v>5</v>
      </c>
      <c r="I446">
        <v>115</v>
      </c>
      <c r="J446">
        <v>46</v>
      </c>
      <c r="K446">
        <v>0</v>
      </c>
      <c r="L446">
        <v>46</v>
      </c>
      <c r="M446">
        <v>9</v>
      </c>
      <c r="N446">
        <v>257</v>
      </c>
      <c r="O446" s="3">
        <f t="shared" si="23"/>
        <v>4.0909090909090908</v>
      </c>
      <c r="P446">
        <f t="shared" si="24"/>
        <v>0</v>
      </c>
      <c r="Q446">
        <f t="shared" si="25"/>
        <v>0</v>
      </c>
    </row>
    <row r="447" spans="1:17" x14ac:dyDescent="0.2">
      <c r="A447" t="s">
        <v>25</v>
      </c>
      <c r="B447" t="s">
        <v>372</v>
      </c>
      <c r="C447">
        <v>300</v>
      </c>
      <c r="D447">
        <v>140</v>
      </c>
      <c r="E447">
        <v>16</v>
      </c>
      <c r="F447">
        <v>7</v>
      </c>
      <c r="G447">
        <v>0</v>
      </c>
      <c r="H447">
        <v>115</v>
      </c>
      <c r="I447">
        <v>830</v>
      </c>
      <c r="J447">
        <v>26</v>
      </c>
      <c r="K447">
        <v>1</v>
      </c>
      <c r="L447">
        <v>2</v>
      </c>
      <c r="M447">
        <v>12</v>
      </c>
      <c r="N447">
        <v>297</v>
      </c>
      <c r="O447" s="3">
        <f t="shared" si="23"/>
        <v>4</v>
      </c>
      <c r="P447">
        <f t="shared" si="24"/>
        <v>1</v>
      </c>
      <c r="Q447">
        <f t="shared" si="25"/>
        <v>0</v>
      </c>
    </row>
    <row r="448" spans="1:17" x14ac:dyDescent="0.2">
      <c r="A448" t="s">
        <v>25</v>
      </c>
      <c r="B448" t="s">
        <v>373</v>
      </c>
      <c r="C448">
        <v>200</v>
      </c>
      <c r="D448">
        <v>35</v>
      </c>
      <c r="E448">
        <v>4</v>
      </c>
      <c r="F448">
        <v>2.5</v>
      </c>
      <c r="G448">
        <v>0</v>
      </c>
      <c r="H448">
        <v>5</v>
      </c>
      <c r="I448">
        <v>170</v>
      </c>
      <c r="J448">
        <v>34</v>
      </c>
      <c r="K448">
        <v>0</v>
      </c>
      <c r="L448">
        <v>31</v>
      </c>
      <c r="M448">
        <v>8</v>
      </c>
      <c r="N448">
        <v>225.5</v>
      </c>
      <c r="O448" s="3">
        <f t="shared" si="23"/>
        <v>4</v>
      </c>
      <c r="P448">
        <f t="shared" si="24"/>
        <v>0</v>
      </c>
      <c r="Q448">
        <f t="shared" si="25"/>
        <v>0</v>
      </c>
    </row>
    <row r="449" spans="1:17" x14ac:dyDescent="0.2">
      <c r="A449" t="s">
        <v>25</v>
      </c>
      <c r="B449" t="s">
        <v>389</v>
      </c>
      <c r="C449">
        <v>380</v>
      </c>
      <c r="D449">
        <v>170</v>
      </c>
      <c r="E449">
        <v>18</v>
      </c>
      <c r="F449">
        <v>3.5</v>
      </c>
      <c r="G449">
        <v>0</v>
      </c>
      <c r="H449">
        <v>40</v>
      </c>
      <c r="I449">
        <v>640</v>
      </c>
      <c r="J449">
        <v>38</v>
      </c>
      <c r="K449">
        <v>2</v>
      </c>
      <c r="L449">
        <v>5</v>
      </c>
      <c r="M449">
        <v>15</v>
      </c>
      <c r="N449">
        <v>373.5</v>
      </c>
      <c r="O449" s="3">
        <f t="shared" si="23"/>
        <v>3.9473684210526314</v>
      </c>
      <c r="P449">
        <f t="shared" si="24"/>
        <v>1</v>
      </c>
      <c r="Q449">
        <f t="shared" si="25"/>
        <v>0</v>
      </c>
    </row>
    <row r="450" spans="1:17" x14ac:dyDescent="0.2">
      <c r="A450" t="s">
        <v>25</v>
      </c>
      <c r="B450" t="s">
        <v>392</v>
      </c>
      <c r="C450">
        <v>360</v>
      </c>
      <c r="D450">
        <v>150</v>
      </c>
      <c r="E450">
        <v>16</v>
      </c>
      <c r="F450">
        <v>3</v>
      </c>
      <c r="G450">
        <v>0</v>
      </c>
      <c r="H450">
        <v>35</v>
      </c>
      <c r="I450">
        <v>830</v>
      </c>
      <c r="J450">
        <v>40</v>
      </c>
      <c r="K450">
        <v>2</v>
      </c>
      <c r="L450">
        <v>5</v>
      </c>
      <c r="M450">
        <v>14</v>
      </c>
      <c r="N450">
        <v>354</v>
      </c>
      <c r="O450" s="3">
        <f t="shared" ref="O450:O513" si="26">M450/C450*100</f>
        <v>3.8888888888888888</v>
      </c>
      <c r="P450">
        <f t="shared" ref="P450:P513" si="27">IF(I450&gt;2300*0.2,1,0)</f>
        <v>1</v>
      </c>
      <c r="Q450">
        <f t="shared" ref="Q450:Q513" si="28">IF(H450&gt;300,1,0)</f>
        <v>0</v>
      </c>
    </row>
    <row r="451" spans="1:17" x14ac:dyDescent="0.2">
      <c r="A451" t="s">
        <v>25</v>
      </c>
      <c r="B451" t="s">
        <v>393</v>
      </c>
      <c r="C451">
        <v>180</v>
      </c>
      <c r="D451">
        <v>0</v>
      </c>
      <c r="E451">
        <v>0</v>
      </c>
      <c r="F451">
        <v>0</v>
      </c>
      <c r="G451">
        <v>0</v>
      </c>
      <c r="H451">
        <v>5</v>
      </c>
      <c r="I451">
        <v>95</v>
      </c>
      <c r="J451">
        <v>37</v>
      </c>
      <c r="K451">
        <v>0</v>
      </c>
      <c r="L451">
        <v>37</v>
      </c>
      <c r="M451">
        <v>7</v>
      </c>
      <c r="N451">
        <v>210</v>
      </c>
      <c r="O451" s="3">
        <f t="shared" si="26"/>
        <v>3.8888888888888888</v>
      </c>
      <c r="P451">
        <f t="shared" si="27"/>
        <v>0</v>
      </c>
      <c r="Q451">
        <f t="shared" si="28"/>
        <v>0</v>
      </c>
    </row>
    <row r="452" spans="1:17" x14ac:dyDescent="0.2">
      <c r="A452" t="s">
        <v>25</v>
      </c>
      <c r="B452" t="s">
        <v>394</v>
      </c>
      <c r="C452">
        <v>180</v>
      </c>
      <c r="D452">
        <v>0</v>
      </c>
      <c r="E452">
        <v>0</v>
      </c>
      <c r="F452">
        <v>0</v>
      </c>
      <c r="G452">
        <v>0</v>
      </c>
      <c r="H452">
        <v>5</v>
      </c>
      <c r="I452">
        <v>95</v>
      </c>
      <c r="J452">
        <v>37</v>
      </c>
      <c r="K452">
        <v>0</v>
      </c>
      <c r="L452">
        <v>37</v>
      </c>
      <c r="M452">
        <v>7</v>
      </c>
      <c r="N452">
        <v>210</v>
      </c>
      <c r="O452" s="3">
        <f t="shared" si="26"/>
        <v>3.8888888888888888</v>
      </c>
      <c r="P452">
        <f t="shared" si="27"/>
        <v>0</v>
      </c>
      <c r="Q452">
        <f t="shared" si="28"/>
        <v>0</v>
      </c>
    </row>
    <row r="453" spans="1:17" x14ac:dyDescent="0.2">
      <c r="A453" t="s">
        <v>25</v>
      </c>
      <c r="B453" t="s">
        <v>397</v>
      </c>
      <c r="C453">
        <v>260</v>
      </c>
      <c r="D453">
        <v>0</v>
      </c>
      <c r="E453">
        <v>0</v>
      </c>
      <c r="F453">
        <v>0</v>
      </c>
      <c r="G453">
        <v>0</v>
      </c>
      <c r="H453">
        <v>5</v>
      </c>
      <c r="I453">
        <v>220</v>
      </c>
      <c r="J453">
        <v>53</v>
      </c>
      <c r="K453">
        <v>0</v>
      </c>
      <c r="L453">
        <v>53</v>
      </c>
      <c r="M453">
        <v>10</v>
      </c>
      <c r="N453">
        <v>303</v>
      </c>
      <c r="O453" s="3">
        <f t="shared" si="26"/>
        <v>3.8461538461538463</v>
      </c>
      <c r="P453">
        <f t="shared" si="27"/>
        <v>0</v>
      </c>
      <c r="Q453">
        <f t="shared" si="28"/>
        <v>0</v>
      </c>
    </row>
    <row r="454" spans="1:17" x14ac:dyDescent="0.2">
      <c r="A454" t="s">
        <v>25</v>
      </c>
      <c r="B454" t="s">
        <v>398</v>
      </c>
      <c r="C454">
        <v>260</v>
      </c>
      <c r="D454">
        <v>0</v>
      </c>
      <c r="E454">
        <v>0</v>
      </c>
      <c r="F454">
        <v>0</v>
      </c>
      <c r="G454">
        <v>0</v>
      </c>
      <c r="H454">
        <v>5</v>
      </c>
      <c r="I454">
        <v>135</v>
      </c>
      <c r="J454">
        <v>55</v>
      </c>
      <c r="K454">
        <v>0</v>
      </c>
      <c r="L454">
        <v>55</v>
      </c>
      <c r="M454">
        <v>10</v>
      </c>
      <c r="N454">
        <v>305</v>
      </c>
      <c r="O454" s="3">
        <f t="shared" si="26"/>
        <v>3.8461538461538463</v>
      </c>
      <c r="P454">
        <f t="shared" si="27"/>
        <v>0</v>
      </c>
      <c r="Q454">
        <f t="shared" si="28"/>
        <v>0</v>
      </c>
    </row>
    <row r="455" spans="1:17" x14ac:dyDescent="0.2">
      <c r="A455" t="s">
        <v>25</v>
      </c>
      <c r="B455" t="s">
        <v>399</v>
      </c>
      <c r="C455">
        <v>260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135</v>
      </c>
      <c r="J455">
        <v>55</v>
      </c>
      <c r="K455">
        <v>0</v>
      </c>
      <c r="L455">
        <v>55</v>
      </c>
      <c r="M455">
        <v>10</v>
      </c>
      <c r="N455">
        <v>305</v>
      </c>
      <c r="O455" s="3">
        <f t="shared" si="26"/>
        <v>3.8461538461538463</v>
      </c>
      <c r="P455">
        <f t="shared" si="27"/>
        <v>0</v>
      </c>
      <c r="Q455">
        <f t="shared" si="28"/>
        <v>0</v>
      </c>
    </row>
    <row r="456" spans="1:17" x14ac:dyDescent="0.2">
      <c r="A456" t="s">
        <v>25</v>
      </c>
      <c r="B456" t="s">
        <v>406</v>
      </c>
      <c r="C456">
        <v>370</v>
      </c>
      <c r="D456">
        <v>200</v>
      </c>
      <c r="E456">
        <v>22</v>
      </c>
      <c r="F456">
        <v>8</v>
      </c>
      <c r="G456">
        <v>0</v>
      </c>
      <c r="H456">
        <v>45</v>
      </c>
      <c r="I456">
        <v>850</v>
      </c>
      <c r="J456">
        <v>29</v>
      </c>
      <c r="K456">
        <v>2</v>
      </c>
      <c r="L456">
        <v>2</v>
      </c>
      <c r="M456">
        <v>14</v>
      </c>
      <c r="N456">
        <v>366</v>
      </c>
      <c r="O456" s="3">
        <f t="shared" si="26"/>
        <v>3.7837837837837842</v>
      </c>
      <c r="P456">
        <f t="shared" si="27"/>
        <v>1</v>
      </c>
      <c r="Q456">
        <f t="shared" si="28"/>
        <v>0</v>
      </c>
    </row>
    <row r="457" spans="1:17" x14ac:dyDescent="0.2">
      <c r="A457" t="s">
        <v>25</v>
      </c>
      <c r="B457" t="s">
        <v>407</v>
      </c>
      <c r="C457">
        <v>740</v>
      </c>
      <c r="D457">
        <v>430</v>
      </c>
      <c r="E457">
        <v>48</v>
      </c>
      <c r="F457">
        <v>17</v>
      </c>
      <c r="G457">
        <v>0</v>
      </c>
      <c r="H457">
        <v>555</v>
      </c>
      <c r="I457">
        <v>1560</v>
      </c>
      <c r="J457">
        <v>51</v>
      </c>
      <c r="K457">
        <v>3</v>
      </c>
      <c r="L457">
        <v>3</v>
      </c>
      <c r="M457">
        <v>28</v>
      </c>
      <c r="N457">
        <v>732</v>
      </c>
      <c r="O457" s="3">
        <f t="shared" si="26"/>
        <v>3.7837837837837842</v>
      </c>
      <c r="P457">
        <f t="shared" si="27"/>
        <v>1</v>
      </c>
      <c r="Q457">
        <f t="shared" si="28"/>
        <v>1</v>
      </c>
    </row>
    <row r="458" spans="1:17" x14ac:dyDescent="0.2">
      <c r="A458" t="s">
        <v>25</v>
      </c>
      <c r="B458" t="s">
        <v>410</v>
      </c>
      <c r="C458">
        <v>240</v>
      </c>
      <c r="D458">
        <v>60</v>
      </c>
      <c r="E458">
        <v>6</v>
      </c>
      <c r="F458">
        <v>4</v>
      </c>
      <c r="G458">
        <v>0</v>
      </c>
      <c r="H458">
        <v>10</v>
      </c>
      <c r="I458">
        <v>190</v>
      </c>
      <c r="J458">
        <v>37</v>
      </c>
      <c r="K458">
        <v>0</v>
      </c>
      <c r="L458">
        <v>34</v>
      </c>
      <c r="M458">
        <v>9</v>
      </c>
      <c r="N458">
        <v>269</v>
      </c>
      <c r="O458" s="3">
        <f t="shared" si="26"/>
        <v>3.75</v>
      </c>
      <c r="P458">
        <f t="shared" si="27"/>
        <v>0</v>
      </c>
      <c r="Q458">
        <f t="shared" si="28"/>
        <v>0</v>
      </c>
    </row>
    <row r="459" spans="1:17" x14ac:dyDescent="0.2">
      <c r="A459" t="s">
        <v>25</v>
      </c>
      <c r="B459" t="s">
        <v>411</v>
      </c>
      <c r="C459">
        <v>240</v>
      </c>
      <c r="D459">
        <v>35</v>
      </c>
      <c r="E459">
        <v>4</v>
      </c>
      <c r="F459">
        <v>2.5</v>
      </c>
      <c r="G459">
        <v>0</v>
      </c>
      <c r="H459">
        <v>5</v>
      </c>
      <c r="I459">
        <v>200</v>
      </c>
      <c r="J459">
        <v>41</v>
      </c>
      <c r="K459">
        <v>0</v>
      </c>
      <c r="L459">
        <v>38</v>
      </c>
      <c r="M459">
        <v>9</v>
      </c>
      <c r="N459">
        <v>271.5</v>
      </c>
      <c r="O459" s="3">
        <f t="shared" si="26"/>
        <v>3.75</v>
      </c>
      <c r="P459">
        <f t="shared" si="27"/>
        <v>0</v>
      </c>
      <c r="Q459">
        <f t="shared" si="28"/>
        <v>0</v>
      </c>
    </row>
    <row r="460" spans="1:17" x14ac:dyDescent="0.2">
      <c r="A460" t="s">
        <v>25</v>
      </c>
      <c r="B460" t="s">
        <v>422</v>
      </c>
      <c r="C460">
        <v>300</v>
      </c>
      <c r="D460">
        <v>60</v>
      </c>
      <c r="E460">
        <v>6</v>
      </c>
      <c r="F460">
        <v>4</v>
      </c>
      <c r="G460">
        <v>0</v>
      </c>
      <c r="H460">
        <v>10</v>
      </c>
      <c r="I460">
        <v>230</v>
      </c>
      <c r="J460">
        <v>49</v>
      </c>
      <c r="K460">
        <v>0</v>
      </c>
      <c r="L460">
        <v>45</v>
      </c>
      <c r="M460">
        <v>11</v>
      </c>
      <c r="N460">
        <v>338</v>
      </c>
      <c r="O460" s="3">
        <f t="shared" si="26"/>
        <v>3.6666666666666665</v>
      </c>
      <c r="P460">
        <f t="shared" si="27"/>
        <v>0</v>
      </c>
      <c r="Q460">
        <f t="shared" si="28"/>
        <v>0</v>
      </c>
    </row>
    <row r="461" spans="1:17" x14ac:dyDescent="0.2">
      <c r="A461" t="s">
        <v>25</v>
      </c>
      <c r="B461" t="s">
        <v>426</v>
      </c>
      <c r="C461">
        <v>470</v>
      </c>
      <c r="D461">
        <v>220</v>
      </c>
      <c r="E461">
        <v>24</v>
      </c>
      <c r="F461">
        <v>9</v>
      </c>
      <c r="G461">
        <v>0</v>
      </c>
      <c r="H461">
        <v>30</v>
      </c>
      <c r="I461">
        <v>1290</v>
      </c>
      <c r="J461">
        <v>46</v>
      </c>
      <c r="K461">
        <v>3</v>
      </c>
      <c r="L461">
        <v>4</v>
      </c>
      <c r="M461">
        <v>17</v>
      </c>
      <c r="N461">
        <v>466</v>
      </c>
      <c r="O461" s="3">
        <f t="shared" si="26"/>
        <v>3.6170212765957444</v>
      </c>
      <c r="P461">
        <f t="shared" si="27"/>
        <v>1</v>
      </c>
      <c r="Q461">
        <f t="shared" si="28"/>
        <v>0</v>
      </c>
    </row>
    <row r="462" spans="1:17" x14ac:dyDescent="0.2">
      <c r="A462" t="s">
        <v>25</v>
      </c>
      <c r="B462" t="s">
        <v>430</v>
      </c>
      <c r="C462">
        <v>420</v>
      </c>
      <c r="D462">
        <v>210</v>
      </c>
      <c r="E462">
        <v>23</v>
      </c>
      <c r="F462">
        <v>12</v>
      </c>
      <c r="G462">
        <v>0</v>
      </c>
      <c r="H462">
        <v>235</v>
      </c>
      <c r="I462">
        <v>1160</v>
      </c>
      <c r="J462">
        <v>37</v>
      </c>
      <c r="K462">
        <v>2</v>
      </c>
      <c r="L462">
        <v>3</v>
      </c>
      <c r="M462">
        <v>15</v>
      </c>
      <c r="N462">
        <v>420</v>
      </c>
      <c r="O462" s="3">
        <f t="shared" si="26"/>
        <v>3.5714285714285712</v>
      </c>
      <c r="P462">
        <f t="shared" si="27"/>
        <v>1</v>
      </c>
      <c r="Q462">
        <f t="shared" si="28"/>
        <v>0</v>
      </c>
    </row>
    <row r="463" spans="1:17" x14ac:dyDescent="0.2">
      <c r="A463" t="s">
        <v>25</v>
      </c>
      <c r="B463" t="s">
        <v>431</v>
      </c>
      <c r="C463">
        <v>420</v>
      </c>
      <c r="D463">
        <v>160</v>
      </c>
      <c r="E463">
        <v>18</v>
      </c>
      <c r="F463">
        <v>8</v>
      </c>
      <c r="G463">
        <v>0</v>
      </c>
      <c r="H463">
        <v>240</v>
      </c>
      <c r="I463">
        <v>1110</v>
      </c>
      <c r="J463">
        <v>48</v>
      </c>
      <c r="K463">
        <v>2</v>
      </c>
      <c r="L463">
        <v>15</v>
      </c>
      <c r="M463">
        <v>15</v>
      </c>
      <c r="N463">
        <v>428</v>
      </c>
      <c r="O463" s="3">
        <f t="shared" si="26"/>
        <v>3.5714285714285712</v>
      </c>
      <c r="P463">
        <f t="shared" si="27"/>
        <v>1</v>
      </c>
      <c r="Q463">
        <f t="shared" si="28"/>
        <v>0</v>
      </c>
    </row>
    <row r="464" spans="1:17" x14ac:dyDescent="0.2">
      <c r="A464" t="s">
        <v>25</v>
      </c>
      <c r="B464" t="s">
        <v>432</v>
      </c>
      <c r="C464">
        <v>560</v>
      </c>
      <c r="D464">
        <v>290</v>
      </c>
      <c r="E464">
        <v>32</v>
      </c>
      <c r="F464">
        <v>12</v>
      </c>
      <c r="G464">
        <v>0</v>
      </c>
      <c r="H464">
        <v>265</v>
      </c>
      <c r="I464">
        <v>1360</v>
      </c>
      <c r="J464">
        <v>48</v>
      </c>
      <c r="K464">
        <v>2</v>
      </c>
      <c r="L464">
        <v>15</v>
      </c>
      <c r="M464">
        <v>20</v>
      </c>
      <c r="N464">
        <v>567</v>
      </c>
      <c r="O464" s="3">
        <f t="shared" si="26"/>
        <v>3.5714285714285712</v>
      </c>
      <c r="P464">
        <f t="shared" si="27"/>
        <v>1</v>
      </c>
      <c r="Q464">
        <f t="shared" si="28"/>
        <v>0</v>
      </c>
    </row>
    <row r="465" spans="1:17" x14ac:dyDescent="0.2">
      <c r="A465" t="s">
        <v>25</v>
      </c>
      <c r="B465" t="s">
        <v>436</v>
      </c>
      <c r="C465">
        <v>310</v>
      </c>
      <c r="D465">
        <v>50</v>
      </c>
      <c r="E465">
        <v>6</v>
      </c>
      <c r="F465">
        <v>3.5</v>
      </c>
      <c r="G465">
        <v>0</v>
      </c>
      <c r="H465">
        <v>10</v>
      </c>
      <c r="I465">
        <v>190</v>
      </c>
      <c r="J465">
        <v>55</v>
      </c>
      <c r="K465">
        <v>0</v>
      </c>
      <c r="L465">
        <v>47</v>
      </c>
      <c r="M465">
        <v>11</v>
      </c>
      <c r="N465">
        <v>349.5</v>
      </c>
      <c r="O465" s="3">
        <f t="shared" si="26"/>
        <v>3.5483870967741935</v>
      </c>
      <c r="P465">
        <f t="shared" si="27"/>
        <v>0</v>
      </c>
      <c r="Q465">
        <f t="shared" si="28"/>
        <v>0</v>
      </c>
    </row>
    <row r="466" spans="1:17" x14ac:dyDescent="0.2">
      <c r="A466" t="s">
        <v>25</v>
      </c>
      <c r="B466" t="s">
        <v>438</v>
      </c>
      <c r="C466">
        <v>510</v>
      </c>
      <c r="D466">
        <v>290</v>
      </c>
      <c r="E466">
        <v>33</v>
      </c>
      <c r="F466">
        <v>14</v>
      </c>
      <c r="G466">
        <v>0</v>
      </c>
      <c r="H466">
        <v>250</v>
      </c>
      <c r="I466">
        <v>1170</v>
      </c>
      <c r="J466">
        <v>36</v>
      </c>
      <c r="K466">
        <v>2</v>
      </c>
      <c r="L466">
        <v>2</v>
      </c>
      <c r="M466">
        <v>18</v>
      </c>
      <c r="N466">
        <v>508</v>
      </c>
      <c r="O466" s="3">
        <f t="shared" si="26"/>
        <v>3.5294117647058822</v>
      </c>
      <c r="P466">
        <f t="shared" si="27"/>
        <v>1</v>
      </c>
      <c r="Q466">
        <f t="shared" si="28"/>
        <v>0</v>
      </c>
    </row>
    <row r="467" spans="1:17" x14ac:dyDescent="0.2">
      <c r="A467" t="s">
        <v>25</v>
      </c>
      <c r="B467" t="s">
        <v>441</v>
      </c>
      <c r="C467">
        <v>800</v>
      </c>
      <c r="D467">
        <v>470</v>
      </c>
      <c r="E467">
        <v>52</v>
      </c>
      <c r="F467">
        <v>18</v>
      </c>
      <c r="G467">
        <v>0</v>
      </c>
      <c r="H467">
        <v>555</v>
      </c>
      <c r="I467">
        <v>1680</v>
      </c>
      <c r="J467">
        <v>56</v>
      </c>
      <c r="K467">
        <v>4</v>
      </c>
      <c r="L467">
        <v>3</v>
      </c>
      <c r="M467">
        <v>28</v>
      </c>
      <c r="N467">
        <v>793</v>
      </c>
      <c r="O467" s="3">
        <f t="shared" si="26"/>
        <v>3.5000000000000004</v>
      </c>
      <c r="P467">
        <f t="shared" si="27"/>
        <v>1</v>
      </c>
      <c r="Q467">
        <f t="shared" si="28"/>
        <v>1</v>
      </c>
    </row>
    <row r="468" spans="1:17" x14ac:dyDescent="0.2">
      <c r="A468" t="s">
        <v>25</v>
      </c>
      <c r="B468" t="s">
        <v>448</v>
      </c>
      <c r="C468">
        <v>60</v>
      </c>
      <c r="D468">
        <v>15</v>
      </c>
      <c r="E468">
        <v>1.5</v>
      </c>
      <c r="F468">
        <v>0</v>
      </c>
      <c r="G468">
        <v>0</v>
      </c>
      <c r="H468">
        <v>0</v>
      </c>
      <c r="I468">
        <v>140</v>
      </c>
      <c r="J468">
        <v>10</v>
      </c>
      <c r="K468">
        <v>1</v>
      </c>
      <c r="L468">
        <v>0</v>
      </c>
      <c r="M468">
        <v>2</v>
      </c>
      <c r="N468">
        <v>58</v>
      </c>
      <c r="O468" s="3">
        <f t="shared" si="26"/>
        <v>3.3333333333333335</v>
      </c>
      <c r="P468">
        <f t="shared" si="27"/>
        <v>0</v>
      </c>
      <c r="Q468">
        <f t="shared" si="28"/>
        <v>0</v>
      </c>
    </row>
    <row r="469" spans="1:17" x14ac:dyDescent="0.2">
      <c r="A469" t="s">
        <v>25</v>
      </c>
      <c r="B469" t="s">
        <v>449</v>
      </c>
      <c r="C469">
        <v>150</v>
      </c>
      <c r="D469">
        <v>0</v>
      </c>
      <c r="E469">
        <v>0</v>
      </c>
      <c r="F469">
        <v>0</v>
      </c>
      <c r="G469">
        <v>0</v>
      </c>
      <c r="H469">
        <v>5</v>
      </c>
      <c r="I469">
        <v>120</v>
      </c>
      <c r="J469">
        <v>33</v>
      </c>
      <c r="K469">
        <v>0</v>
      </c>
      <c r="L469">
        <v>32</v>
      </c>
      <c r="M469">
        <v>5</v>
      </c>
      <c r="N469">
        <v>177</v>
      </c>
      <c r="O469" s="3">
        <f t="shared" si="26"/>
        <v>3.3333333333333335</v>
      </c>
      <c r="P469">
        <f t="shared" si="27"/>
        <v>0</v>
      </c>
      <c r="Q469">
        <f t="shared" si="28"/>
        <v>0</v>
      </c>
    </row>
    <row r="470" spans="1:17" x14ac:dyDescent="0.2">
      <c r="A470" t="s">
        <v>25</v>
      </c>
      <c r="B470" t="s">
        <v>450</v>
      </c>
      <c r="C470">
        <v>150</v>
      </c>
      <c r="D470">
        <v>0</v>
      </c>
      <c r="E470">
        <v>0</v>
      </c>
      <c r="F470">
        <v>0</v>
      </c>
      <c r="G470">
        <v>0</v>
      </c>
      <c r="H470">
        <v>5</v>
      </c>
      <c r="I470">
        <v>70</v>
      </c>
      <c r="J470">
        <v>34</v>
      </c>
      <c r="K470">
        <v>0</v>
      </c>
      <c r="L470">
        <v>34</v>
      </c>
      <c r="M470">
        <v>5</v>
      </c>
      <c r="N470">
        <v>179</v>
      </c>
      <c r="O470" s="3">
        <f t="shared" si="26"/>
        <v>3.3333333333333335</v>
      </c>
      <c r="P470">
        <f t="shared" si="27"/>
        <v>0</v>
      </c>
      <c r="Q470">
        <f t="shared" si="28"/>
        <v>0</v>
      </c>
    </row>
    <row r="471" spans="1:17" x14ac:dyDescent="0.2">
      <c r="A471" t="s">
        <v>25</v>
      </c>
      <c r="B471" t="s">
        <v>451</v>
      </c>
      <c r="C471">
        <v>150</v>
      </c>
      <c r="D471">
        <v>0</v>
      </c>
      <c r="E471">
        <v>0</v>
      </c>
      <c r="F471">
        <v>0</v>
      </c>
      <c r="G471">
        <v>0</v>
      </c>
      <c r="H471">
        <v>5</v>
      </c>
      <c r="I471">
        <v>70</v>
      </c>
      <c r="J471">
        <v>34</v>
      </c>
      <c r="K471">
        <v>0</v>
      </c>
      <c r="L471">
        <v>34</v>
      </c>
      <c r="M471">
        <v>5</v>
      </c>
      <c r="N471">
        <v>179</v>
      </c>
      <c r="O471" s="3">
        <f t="shared" si="26"/>
        <v>3.3333333333333335</v>
      </c>
      <c r="P471">
        <f t="shared" si="27"/>
        <v>0</v>
      </c>
      <c r="Q471">
        <f t="shared" si="28"/>
        <v>0</v>
      </c>
    </row>
    <row r="472" spans="1:17" x14ac:dyDescent="0.2">
      <c r="A472" t="s">
        <v>25</v>
      </c>
      <c r="B472" t="s">
        <v>452</v>
      </c>
      <c r="C472">
        <v>150</v>
      </c>
      <c r="D472">
        <v>0</v>
      </c>
      <c r="E472">
        <v>0</v>
      </c>
      <c r="F472">
        <v>0</v>
      </c>
      <c r="G472">
        <v>0</v>
      </c>
      <c r="H472">
        <v>5</v>
      </c>
      <c r="I472">
        <v>120</v>
      </c>
      <c r="J472">
        <v>32</v>
      </c>
      <c r="K472">
        <v>0</v>
      </c>
      <c r="L472">
        <v>32</v>
      </c>
      <c r="M472">
        <v>5</v>
      </c>
      <c r="N472">
        <v>177</v>
      </c>
      <c r="O472" s="3">
        <f t="shared" si="26"/>
        <v>3.3333333333333335</v>
      </c>
      <c r="P472">
        <f t="shared" si="27"/>
        <v>0</v>
      </c>
      <c r="Q472">
        <f t="shared" si="28"/>
        <v>0</v>
      </c>
    </row>
    <row r="473" spans="1:17" x14ac:dyDescent="0.2">
      <c r="A473" t="s">
        <v>25</v>
      </c>
      <c r="B473" t="s">
        <v>453</v>
      </c>
      <c r="C473">
        <v>150</v>
      </c>
      <c r="D473">
        <v>0</v>
      </c>
      <c r="E473">
        <v>0</v>
      </c>
      <c r="F473">
        <v>0</v>
      </c>
      <c r="G473">
        <v>0</v>
      </c>
      <c r="H473">
        <v>5</v>
      </c>
      <c r="I473">
        <v>70</v>
      </c>
      <c r="J473">
        <v>33</v>
      </c>
      <c r="K473">
        <v>0</v>
      </c>
      <c r="L473">
        <v>33</v>
      </c>
      <c r="M473">
        <v>5</v>
      </c>
      <c r="N473">
        <v>178</v>
      </c>
      <c r="O473" s="3">
        <f t="shared" si="26"/>
        <v>3.3333333333333335</v>
      </c>
      <c r="P473">
        <f t="shared" si="27"/>
        <v>0</v>
      </c>
      <c r="Q473">
        <f t="shared" si="28"/>
        <v>0</v>
      </c>
    </row>
    <row r="474" spans="1:17" x14ac:dyDescent="0.2">
      <c r="A474" t="s">
        <v>25</v>
      </c>
      <c r="B474" t="s">
        <v>454</v>
      </c>
      <c r="C474">
        <v>150</v>
      </c>
      <c r="D474">
        <v>0</v>
      </c>
      <c r="E474">
        <v>0</v>
      </c>
      <c r="F474">
        <v>0</v>
      </c>
      <c r="G474">
        <v>0</v>
      </c>
      <c r="H474">
        <v>5</v>
      </c>
      <c r="I474">
        <v>70</v>
      </c>
      <c r="J474">
        <v>33</v>
      </c>
      <c r="K474">
        <v>0</v>
      </c>
      <c r="L474">
        <v>33</v>
      </c>
      <c r="M474">
        <v>5</v>
      </c>
      <c r="N474">
        <v>178</v>
      </c>
      <c r="O474" s="3">
        <f t="shared" si="26"/>
        <v>3.3333333333333335</v>
      </c>
      <c r="P474">
        <f t="shared" si="27"/>
        <v>0</v>
      </c>
      <c r="Q474">
        <f t="shared" si="28"/>
        <v>0</v>
      </c>
    </row>
    <row r="475" spans="1:17" x14ac:dyDescent="0.2">
      <c r="A475" t="s">
        <v>25</v>
      </c>
      <c r="B475" t="s">
        <v>458</v>
      </c>
      <c r="C475">
        <v>1090</v>
      </c>
      <c r="D475">
        <v>510</v>
      </c>
      <c r="E475">
        <v>56</v>
      </c>
      <c r="F475">
        <v>19</v>
      </c>
      <c r="G475">
        <v>0</v>
      </c>
      <c r="H475">
        <v>575</v>
      </c>
      <c r="I475">
        <v>2150</v>
      </c>
      <c r="J475">
        <v>111</v>
      </c>
      <c r="K475">
        <v>6</v>
      </c>
      <c r="L475">
        <v>17</v>
      </c>
      <c r="M475">
        <v>36</v>
      </c>
      <c r="N475">
        <v>1090</v>
      </c>
      <c r="O475" s="3">
        <f t="shared" si="26"/>
        <v>3.3027522935779818</v>
      </c>
      <c r="P475">
        <f t="shared" si="27"/>
        <v>1</v>
      </c>
      <c r="Q475">
        <f t="shared" si="28"/>
        <v>1</v>
      </c>
    </row>
    <row r="476" spans="1:17" x14ac:dyDescent="0.2">
      <c r="A476" t="s">
        <v>25</v>
      </c>
      <c r="B476" t="s">
        <v>464</v>
      </c>
      <c r="C476">
        <v>250</v>
      </c>
      <c r="D476">
        <v>45</v>
      </c>
      <c r="E476">
        <v>5</v>
      </c>
      <c r="F476">
        <v>3</v>
      </c>
      <c r="G476">
        <v>0</v>
      </c>
      <c r="H476">
        <v>10</v>
      </c>
      <c r="I476">
        <v>140</v>
      </c>
      <c r="J476">
        <v>43</v>
      </c>
      <c r="K476">
        <v>0</v>
      </c>
      <c r="L476">
        <v>37</v>
      </c>
      <c r="M476">
        <v>8</v>
      </c>
      <c r="N476">
        <v>282</v>
      </c>
      <c r="O476" s="3">
        <f t="shared" si="26"/>
        <v>3.2</v>
      </c>
      <c r="P476">
        <f t="shared" si="27"/>
        <v>0</v>
      </c>
      <c r="Q476">
        <f t="shared" si="28"/>
        <v>0</v>
      </c>
    </row>
    <row r="477" spans="1:17" x14ac:dyDescent="0.2">
      <c r="A477" t="s">
        <v>25</v>
      </c>
      <c r="B477" t="s">
        <v>466</v>
      </c>
      <c r="C477">
        <v>570</v>
      </c>
      <c r="D477">
        <v>330</v>
      </c>
      <c r="E477">
        <v>37</v>
      </c>
      <c r="F477">
        <v>15</v>
      </c>
      <c r="G477">
        <v>0</v>
      </c>
      <c r="H477">
        <v>250</v>
      </c>
      <c r="I477">
        <v>1280</v>
      </c>
      <c r="J477">
        <v>42</v>
      </c>
      <c r="K477">
        <v>3</v>
      </c>
      <c r="L477">
        <v>3</v>
      </c>
      <c r="M477">
        <v>18</v>
      </c>
      <c r="N477">
        <v>570</v>
      </c>
      <c r="O477" s="3">
        <f t="shared" si="26"/>
        <v>3.1578947368421053</v>
      </c>
      <c r="P477">
        <f t="shared" si="27"/>
        <v>1</v>
      </c>
      <c r="Q477">
        <f t="shared" si="28"/>
        <v>0</v>
      </c>
    </row>
    <row r="478" spans="1:17" x14ac:dyDescent="0.2">
      <c r="A478" t="s">
        <v>25</v>
      </c>
      <c r="B478" t="s">
        <v>467</v>
      </c>
      <c r="C478">
        <v>190</v>
      </c>
      <c r="D478">
        <v>0</v>
      </c>
      <c r="E478">
        <v>0</v>
      </c>
      <c r="F478">
        <v>0</v>
      </c>
      <c r="G478">
        <v>0</v>
      </c>
      <c r="H478">
        <v>5</v>
      </c>
      <c r="I478">
        <v>150</v>
      </c>
      <c r="J478">
        <v>41</v>
      </c>
      <c r="K478">
        <v>0</v>
      </c>
      <c r="L478">
        <v>41</v>
      </c>
      <c r="M478">
        <v>6</v>
      </c>
      <c r="N478">
        <v>225</v>
      </c>
      <c r="O478" s="3">
        <f t="shared" si="26"/>
        <v>3.1578947368421053</v>
      </c>
      <c r="P478">
        <f t="shared" si="27"/>
        <v>0</v>
      </c>
      <c r="Q478">
        <f t="shared" si="28"/>
        <v>0</v>
      </c>
    </row>
    <row r="479" spans="1:17" x14ac:dyDescent="0.2">
      <c r="A479" t="s">
        <v>25</v>
      </c>
      <c r="B479" t="s">
        <v>468</v>
      </c>
      <c r="C479">
        <v>190</v>
      </c>
      <c r="D479">
        <v>0</v>
      </c>
      <c r="E479">
        <v>0</v>
      </c>
      <c r="F479">
        <v>0</v>
      </c>
      <c r="G479">
        <v>0</v>
      </c>
      <c r="H479">
        <v>5</v>
      </c>
      <c r="I479">
        <v>90</v>
      </c>
      <c r="J479">
        <v>43</v>
      </c>
      <c r="K479">
        <v>0</v>
      </c>
      <c r="L479">
        <v>43</v>
      </c>
      <c r="M479">
        <v>6</v>
      </c>
      <c r="N479">
        <v>227</v>
      </c>
      <c r="O479" s="3">
        <f t="shared" si="26"/>
        <v>3.1578947368421053</v>
      </c>
      <c r="P479">
        <f t="shared" si="27"/>
        <v>0</v>
      </c>
      <c r="Q479">
        <f t="shared" si="28"/>
        <v>0</v>
      </c>
    </row>
    <row r="480" spans="1:17" x14ac:dyDescent="0.2">
      <c r="A480" t="s">
        <v>25</v>
      </c>
      <c r="B480" t="s">
        <v>469</v>
      </c>
      <c r="C480">
        <v>190</v>
      </c>
      <c r="D480">
        <v>0</v>
      </c>
      <c r="E480">
        <v>0</v>
      </c>
      <c r="F480">
        <v>0</v>
      </c>
      <c r="G480">
        <v>0</v>
      </c>
      <c r="H480">
        <v>5</v>
      </c>
      <c r="I480">
        <v>90</v>
      </c>
      <c r="J480">
        <v>42</v>
      </c>
      <c r="K480">
        <v>0</v>
      </c>
      <c r="L480">
        <v>42</v>
      </c>
      <c r="M480">
        <v>6</v>
      </c>
      <c r="N480">
        <v>226</v>
      </c>
      <c r="O480" s="3">
        <f t="shared" si="26"/>
        <v>3.1578947368421053</v>
      </c>
      <c r="P480">
        <f t="shared" si="27"/>
        <v>0</v>
      </c>
      <c r="Q480">
        <f t="shared" si="28"/>
        <v>0</v>
      </c>
    </row>
    <row r="481" spans="1:17" x14ac:dyDescent="0.2">
      <c r="A481" t="s">
        <v>25</v>
      </c>
      <c r="B481" t="s">
        <v>470</v>
      </c>
      <c r="C481">
        <v>190</v>
      </c>
      <c r="D481">
        <v>0</v>
      </c>
      <c r="E481">
        <v>0</v>
      </c>
      <c r="F481">
        <v>0</v>
      </c>
      <c r="G481">
        <v>0</v>
      </c>
      <c r="H481">
        <v>5</v>
      </c>
      <c r="I481">
        <v>150</v>
      </c>
      <c r="J481">
        <v>40</v>
      </c>
      <c r="K481">
        <v>0</v>
      </c>
      <c r="L481">
        <v>40</v>
      </c>
      <c r="M481">
        <v>6</v>
      </c>
      <c r="N481">
        <v>224</v>
      </c>
      <c r="O481" s="3">
        <f t="shared" si="26"/>
        <v>3.1578947368421053</v>
      </c>
      <c r="P481">
        <f t="shared" si="27"/>
        <v>0</v>
      </c>
      <c r="Q481">
        <f t="shared" si="28"/>
        <v>0</v>
      </c>
    </row>
    <row r="482" spans="1:17" x14ac:dyDescent="0.2">
      <c r="A482" t="s">
        <v>25</v>
      </c>
      <c r="B482" t="s">
        <v>471</v>
      </c>
      <c r="C482">
        <v>190</v>
      </c>
      <c r="D482">
        <v>0</v>
      </c>
      <c r="E482">
        <v>0</v>
      </c>
      <c r="F482">
        <v>0</v>
      </c>
      <c r="G482">
        <v>0</v>
      </c>
      <c r="H482">
        <v>5</v>
      </c>
      <c r="I482">
        <v>80</v>
      </c>
      <c r="J482">
        <v>42</v>
      </c>
      <c r="K482">
        <v>0</v>
      </c>
      <c r="L482">
        <v>42</v>
      </c>
      <c r="M482">
        <v>6</v>
      </c>
      <c r="N482">
        <v>226</v>
      </c>
      <c r="O482" s="3">
        <f t="shared" si="26"/>
        <v>3.1578947368421053</v>
      </c>
      <c r="P482">
        <f t="shared" si="27"/>
        <v>0</v>
      </c>
      <c r="Q482">
        <f t="shared" si="28"/>
        <v>0</v>
      </c>
    </row>
    <row r="483" spans="1:17" x14ac:dyDescent="0.2">
      <c r="A483" t="s">
        <v>25</v>
      </c>
      <c r="B483" t="s">
        <v>472</v>
      </c>
      <c r="C483">
        <v>190</v>
      </c>
      <c r="D483">
        <v>0</v>
      </c>
      <c r="E483">
        <v>0</v>
      </c>
      <c r="F483">
        <v>0</v>
      </c>
      <c r="G483">
        <v>0</v>
      </c>
      <c r="H483">
        <v>5</v>
      </c>
      <c r="I483">
        <v>85</v>
      </c>
      <c r="J483">
        <v>41</v>
      </c>
      <c r="K483">
        <v>0</v>
      </c>
      <c r="L483">
        <v>41</v>
      </c>
      <c r="M483">
        <v>6</v>
      </c>
      <c r="N483">
        <v>225</v>
      </c>
      <c r="O483" s="3">
        <f t="shared" si="26"/>
        <v>3.1578947368421053</v>
      </c>
      <c r="P483">
        <f t="shared" si="27"/>
        <v>0</v>
      </c>
      <c r="Q483">
        <f t="shared" si="28"/>
        <v>0</v>
      </c>
    </row>
    <row r="484" spans="1:17" x14ac:dyDescent="0.2">
      <c r="A484" t="s">
        <v>25</v>
      </c>
      <c r="B484" t="s">
        <v>476</v>
      </c>
      <c r="C484">
        <v>1150</v>
      </c>
      <c r="D484">
        <v>540</v>
      </c>
      <c r="E484">
        <v>60</v>
      </c>
      <c r="F484">
        <v>20</v>
      </c>
      <c r="G484">
        <v>0</v>
      </c>
      <c r="H484">
        <v>575</v>
      </c>
      <c r="I484">
        <v>2260</v>
      </c>
      <c r="J484">
        <v>116</v>
      </c>
      <c r="K484">
        <v>7</v>
      </c>
      <c r="L484">
        <v>17</v>
      </c>
      <c r="M484">
        <v>36</v>
      </c>
      <c r="N484">
        <v>1151</v>
      </c>
      <c r="O484" s="3">
        <f t="shared" si="26"/>
        <v>3.1304347826086958</v>
      </c>
      <c r="P484">
        <f t="shared" si="27"/>
        <v>1</v>
      </c>
      <c r="Q484">
        <f t="shared" si="28"/>
        <v>1</v>
      </c>
    </row>
    <row r="485" spans="1:17" x14ac:dyDescent="0.2">
      <c r="A485" t="s">
        <v>25</v>
      </c>
      <c r="B485" t="s">
        <v>477</v>
      </c>
      <c r="C485">
        <v>160</v>
      </c>
      <c r="D485">
        <v>30</v>
      </c>
      <c r="E485">
        <v>3</v>
      </c>
      <c r="F485">
        <v>0.5</v>
      </c>
      <c r="G485">
        <v>0</v>
      </c>
      <c r="H485">
        <v>0</v>
      </c>
      <c r="I485">
        <v>280</v>
      </c>
      <c r="J485">
        <v>27</v>
      </c>
      <c r="K485">
        <v>2</v>
      </c>
      <c r="L485">
        <v>2</v>
      </c>
      <c r="M485">
        <v>5</v>
      </c>
      <c r="N485">
        <v>157.5</v>
      </c>
      <c r="O485" s="3">
        <f t="shared" si="26"/>
        <v>3.125</v>
      </c>
      <c r="P485">
        <f t="shared" si="27"/>
        <v>0</v>
      </c>
      <c r="Q485">
        <f t="shared" si="28"/>
        <v>0</v>
      </c>
    </row>
    <row r="486" spans="1:17" x14ac:dyDescent="0.2">
      <c r="A486" t="s">
        <v>25</v>
      </c>
      <c r="B486" t="s">
        <v>478</v>
      </c>
      <c r="C486">
        <v>480</v>
      </c>
      <c r="D486">
        <v>240</v>
      </c>
      <c r="E486">
        <v>27</v>
      </c>
      <c r="F486">
        <v>12</v>
      </c>
      <c r="G486">
        <v>0</v>
      </c>
      <c r="H486">
        <v>235</v>
      </c>
      <c r="I486">
        <v>1270</v>
      </c>
      <c r="J486">
        <v>43</v>
      </c>
      <c r="K486">
        <v>3</v>
      </c>
      <c r="L486">
        <v>4</v>
      </c>
      <c r="M486">
        <v>15</v>
      </c>
      <c r="N486">
        <v>481</v>
      </c>
      <c r="O486" s="3">
        <f t="shared" si="26"/>
        <v>3.125</v>
      </c>
      <c r="P486">
        <f t="shared" si="27"/>
        <v>1</v>
      </c>
      <c r="Q486">
        <f t="shared" si="28"/>
        <v>0</v>
      </c>
    </row>
    <row r="487" spans="1:17" x14ac:dyDescent="0.2">
      <c r="A487" t="s">
        <v>25</v>
      </c>
      <c r="B487" t="s">
        <v>480</v>
      </c>
      <c r="C487">
        <v>230</v>
      </c>
      <c r="D487">
        <v>0</v>
      </c>
      <c r="E487">
        <v>0</v>
      </c>
      <c r="F487">
        <v>0</v>
      </c>
      <c r="G487">
        <v>0</v>
      </c>
      <c r="H487">
        <v>5</v>
      </c>
      <c r="I487">
        <v>180</v>
      </c>
      <c r="J487">
        <v>49</v>
      </c>
      <c r="K487">
        <v>0</v>
      </c>
      <c r="L487">
        <v>49</v>
      </c>
      <c r="M487">
        <v>7</v>
      </c>
      <c r="N487">
        <v>272</v>
      </c>
      <c r="O487" s="3">
        <f t="shared" si="26"/>
        <v>3.0434782608695654</v>
      </c>
      <c r="P487">
        <f t="shared" si="27"/>
        <v>0</v>
      </c>
      <c r="Q487">
        <f t="shared" si="28"/>
        <v>0</v>
      </c>
    </row>
    <row r="488" spans="1:17" x14ac:dyDescent="0.2">
      <c r="A488" t="s">
        <v>25</v>
      </c>
      <c r="B488" t="s">
        <v>481</v>
      </c>
      <c r="C488">
        <v>230</v>
      </c>
      <c r="D488">
        <v>0</v>
      </c>
      <c r="E488">
        <v>0</v>
      </c>
      <c r="F488">
        <v>0</v>
      </c>
      <c r="G488">
        <v>0</v>
      </c>
      <c r="H488">
        <v>5</v>
      </c>
      <c r="I488">
        <v>100</v>
      </c>
      <c r="J488">
        <v>51</v>
      </c>
      <c r="K488">
        <v>0</v>
      </c>
      <c r="L488">
        <v>51</v>
      </c>
      <c r="M488">
        <v>7</v>
      </c>
      <c r="N488">
        <v>274</v>
      </c>
      <c r="O488" s="3">
        <f t="shared" si="26"/>
        <v>3.0434782608695654</v>
      </c>
      <c r="P488">
        <f t="shared" si="27"/>
        <v>0</v>
      </c>
      <c r="Q488">
        <f t="shared" si="28"/>
        <v>0</v>
      </c>
    </row>
    <row r="489" spans="1:17" x14ac:dyDescent="0.2">
      <c r="A489" t="s">
        <v>25</v>
      </c>
      <c r="B489" t="s">
        <v>482</v>
      </c>
      <c r="C489">
        <v>230</v>
      </c>
      <c r="D489">
        <v>0</v>
      </c>
      <c r="E489">
        <v>0</v>
      </c>
      <c r="F489">
        <v>0</v>
      </c>
      <c r="G489">
        <v>0</v>
      </c>
      <c r="H489">
        <v>5</v>
      </c>
      <c r="I489">
        <v>100</v>
      </c>
      <c r="J489">
        <v>51</v>
      </c>
      <c r="K489">
        <v>0</v>
      </c>
      <c r="L489">
        <v>51</v>
      </c>
      <c r="M489">
        <v>7</v>
      </c>
      <c r="N489">
        <v>274</v>
      </c>
      <c r="O489" s="3">
        <f t="shared" si="26"/>
        <v>3.0434782608695654</v>
      </c>
      <c r="P489">
        <f t="shared" si="27"/>
        <v>0</v>
      </c>
      <c r="Q489">
        <f t="shared" si="28"/>
        <v>0</v>
      </c>
    </row>
    <row r="490" spans="1:17" x14ac:dyDescent="0.2">
      <c r="A490" t="s">
        <v>25</v>
      </c>
      <c r="B490" t="s">
        <v>483</v>
      </c>
      <c r="C490">
        <v>230</v>
      </c>
      <c r="D490">
        <v>60</v>
      </c>
      <c r="E490">
        <v>7</v>
      </c>
      <c r="F490">
        <v>4</v>
      </c>
      <c r="G490">
        <v>0</v>
      </c>
      <c r="H490">
        <v>20</v>
      </c>
      <c r="I490">
        <v>140</v>
      </c>
      <c r="J490">
        <v>35</v>
      </c>
      <c r="K490">
        <v>0</v>
      </c>
      <c r="L490">
        <v>35</v>
      </c>
      <c r="M490">
        <v>7</v>
      </c>
      <c r="N490">
        <v>262</v>
      </c>
      <c r="O490" s="3">
        <f t="shared" si="26"/>
        <v>3.0434782608695654</v>
      </c>
      <c r="P490">
        <f t="shared" si="27"/>
        <v>0</v>
      </c>
      <c r="Q490">
        <f t="shared" si="28"/>
        <v>0</v>
      </c>
    </row>
    <row r="491" spans="1:17" x14ac:dyDescent="0.2">
      <c r="A491" t="s">
        <v>25</v>
      </c>
      <c r="B491" t="s">
        <v>484</v>
      </c>
      <c r="C491">
        <v>230</v>
      </c>
      <c r="D491">
        <v>60</v>
      </c>
      <c r="E491">
        <v>7</v>
      </c>
      <c r="F491">
        <v>4</v>
      </c>
      <c r="G491">
        <v>0</v>
      </c>
      <c r="H491">
        <v>20</v>
      </c>
      <c r="I491">
        <v>90</v>
      </c>
      <c r="J491">
        <v>36</v>
      </c>
      <c r="K491">
        <v>0</v>
      </c>
      <c r="L491">
        <v>36</v>
      </c>
      <c r="M491">
        <v>7</v>
      </c>
      <c r="N491">
        <v>263</v>
      </c>
      <c r="O491" s="3">
        <f t="shared" si="26"/>
        <v>3.0434782608695654</v>
      </c>
      <c r="P491">
        <f t="shared" si="27"/>
        <v>0</v>
      </c>
      <c r="Q491">
        <f t="shared" si="28"/>
        <v>0</v>
      </c>
    </row>
    <row r="492" spans="1:17" x14ac:dyDescent="0.2">
      <c r="A492" t="s">
        <v>25</v>
      </c>
      <c r="B492" t="s">
        <v>485</v>
      </c>
      <c r="C492">
        <v>230</v>
      </c>
      <c r="D492">
        <v>60</v>
      </c>
      <c r="E492">
        <v>7</v>
      </c>
      <c r="F492">
        <v>4</v>
      </c>
      <c r="G492">
        <v>0</v>
      </c>
      <c r="H492">
        <v>20</v>
      </c>
      <c r="I492">
        <v>90</v>
      </c>
      <c r="J492">
        <v>36</v>
      </c>
      <c r="K492">
        <v>0</v>
      </c>
      <c r="L492">
        <v>36</v>
      </c>
      <c r="M492">
        <v>7</v>
      </c>
      <c r="N492">
        <v>263</v>
      </c>
      <c r="O492" s="3">
        <f t="shared" si="26"/>
        <v>3.0434782608695654</v>
      </c>
      <c r="P492">
        <f t="shared" si="27"/>
        <v>0</v>
      </c>
      <c r="Q492">
        <f t="shared" si="28"/>
        <v>0</v>
      </c>
    </row>
    <row r="493" spans="1:17" x14ac:dyDescent="0.2">
      <c r="A493" t="s">
        <v>25</v>
      </c>
      <c r="B493" t="s">
        <v>486</v>
      </c>
      <c r="C493">
        <v>330</v>
      </c>
      <c r="D493">
        <v>50</v>
      </c>
      <c r="E493">
        <v>6</v>
      </c>
      <c r="F493">
        <v>3.5</v>
      </c>
      <c r="G493">
        <v>0</v>
      </c>
      <c r="H493">
        <v>10</v>
      </c>
      <c r="I493">
        <v>190</v>
      </c>
      <c r="J493">
        <v>58</v>
      </c>
      <c r="K493">
        <v>0</v>
      </c>
      <c r="L493">
        <v>50</v>
      </c>
      <c r="M493">
        <v>10</v>
      </c>
      <c r="N493">
        <v>373.5</v>
      </c>
      <c r="O493" s="3">
        <f t="shared" si="26"/>
        <v>3.0303030303030303</v>
      </c>
      <c r="P493">
        <f t="shared" si="27"/>
        <v>0</v>
      </c>
      <c r="Q493">
        <f t="shared" si="28"/>
        <v>0</v>
      </c>
    </row>
    <row r="494" spans="1:17" x14ac:dyDescent="0.2">
      <c r="A494" t="s">
        <v>25</v>
      </c>
      <c r="B494" t="s">
        <v>495</v>
      </c>
      <c r="C494">
        <v>200</v>
      </c>
      <c r="D494">
        <v>50</v>
      </c>
      <c r="E494">
        <v>6</v>
      </c>
      <c r="F494">
        <v>4</v>
      </c>
      <c r="G494">
        <v>0</v>
      </c>
      <c r="H494">
        <v>10</v>
      </c>
      <c r="I494">
        <v>140</v>
      </c>
      <c r="J494">
        <v>29</v>
      </c>
      <c r="K494">
        <v>0</v>
      </c>
      <c r="L494">
        <v>26</v>
      </c>
      <c r="M494">
        <v>6</v>
      </c>
      <c r="N494">
        <v>224</v>
      </c>
      <c r="O494" s="3">
        <f t="shared" si="26"/>
        <v>3</v>
      </c>
      <c r="P494">
        <f t="shared" si="27"/>
        <v>0</v>
      </c>
      <c r="Q494">
        <f t="shared" si="28"/>
        <v>0</v>
      </c>
    </row>
    <row r="495" spans="1:17" x14ac:dyDescent="0.2">
      <c r="A495" t="s">
        <v>25</v>
      </c>
      <c r="B495" t="s">
        <v>501</v>
      </c>
      <c r="C495">
        <v>240</v>
      </c>
      <c r="D495">
        <v>45</v>
      </c>
      <c r="E495">
        <v>5</v>
      </c>
      <c r="F495">
        <v>3</v>
      </c>
      <c r="G495">
        <v>0</v>
      </c>
      <c r="H495">
        <v>5</v>
      </c>
      <c r="I495">
        <v>130</v>
      </c>
      <c r="J495">
        <v>41</v>
      </c>
      <c r="K495">
        <v>0</v>
      </c>
      <c r="L495">
        <v>34</v>
      </c>
      <c r="M495">
        <v>7</v>
      </c>
      <c r="N495">
        <v>270</v>
      </c>
      <c r="O495" s="3">
        <f t="shared" si="26"/>
        <v>2.9166666666666665</v>
      </c>
      <c r="P495">
        <f t="shared" si="27"/>
        <v>0</v>
      </c>
      <c r="Q495">
        <f t="shared" si="28"/>
        <v>0</v>
      </c>
    </row>
    <row r="496" spans="1:17" x14ac:dyDescent="0.2">
      <c r="A496" t="s">
        <v>25</v>
      </c>
      <c r="B496" t="s">
        <v>503</v>
      </c>
      <c r="C496">
        <v>520</v>
      </c>
      <c r="D496">
        <v>210</v>
      </c>
      <c r="E496">
        <v>24</v>
      </c>
      <c r="F496">
        <v>7</v>
      </c>
      <c r="G496">
        <v>0</v>
      </c>
      <c r="H496">
        <v>50</v>
      </c>
      <c r="I496">
        <v>930</v>
      </c>
      <c r="J496">
        <v>61</v>
      </c>
      <c r="K496">
        <v>3</v>
      </c>
      <c r="L496">
        <v>14</v>
      </c>
      <c r="M496">
        <v>15</v>
      </c>
      <c r="N496">
        <v>526</v>
      </c>
      <c r="O496" s="3">
        <f t="shared" si="26"/>
        <v>2.8846153846153846</v>
      </c>
      <c r="P496">
        <f t="shared" si="27"/>
        <v>1</v>
      </c>
      <c r="Q496">
        <f t="shared" si="28"/>
        <v>0</v>
      </c>
    </row>
    <row r="497" spans="1:17" x14ac:dyDescent="0.2">
      <c r="A497" t="s">
        <v>25</v>
      </c>
      <c r="B497" t="s">
        <v>505</v>
      </c>
      <c r="C497">
        <v>280</v>
      </c>
      <c r="D497">
        <v>50</v>
      </c>
      <c r="E497">
        <v>6</v>
      </c>
      <c r="F497">
        <v>3.5</v>
      </c>
      <c r="G497">
        <v>0</v>
      </c>
      <c r="H497">
        <v>10</v>
      </c>
      <c r="I497">
        <v>160</v>
      </c>
      <c r="J497">
        <v>50</v>
      </c>
      <c r="K497">
        <v>0</v>
      </c>
      <c r="L497">
        <v>42</v>
      </c>
      <c r="M497">
        <v>8</v>
      </c>
      <c r="N497">
        <v>317.5</v>
      </c>
      <c r="O497" s="3">
        <f t="shared" si="26"/>
        <v>2.8571428571428572</v>
      </c>
      <c r="P497">
        <f t="shared" si="27"/>
        <v>0</v>
      </c>
      <c r="Q497">
        <f t="shared" si="28"/>
        <v>0</v>
      </c>
    </row>
    <row r="498" spans="1:17" x14ac:dyDescent="0.2">
      <c r="A498" t="s">
        <v>25</v>
      </c>
      <c r="B498" t="s">
        <v>506</v>
      </c>
      <c r="C498">
        <v>280</v>
      </c>
      <c r="D498">
        <v>70</v>
      </c>
      <c r="E498">
        <v>8</v>
      </c>
      <c r="F498">
        <v>4.5</v>
      </c>
      <c r="G498">
        <v>0</v>
      </c>
      <c r="H498">
        <v>25</v>
      </c>
      <c r="I498">
        <v>170</v>
      </c>
      <c r="J498">
        <v>43</v>
      </c>
      <c r="K498">
        <v>0</v>
      </c>
      <c r="L498">
        <v>43</v>
      </c>
      <c r="M498">
        <v>8</v>
      </c>
      <c r="N498">
        <v>319.5</v>
      </c>
      <c r="O498" s="3">
        <f t="shared" si="26"/>
        <v>2.8571428571428572</v>
      </c>
      <c r="P498">
        <f t="shared" si="27"/>
        <v>0</v>
      </c>
      <c r="Q498">
        <f t="shared" si="28"/>
        <v>0</v>
      </c>
    </row>
    <row r="499" spans="1:17" x14ac:dyDescent="0.2">
      <c r="A499" t="s">
        <v>25</v>
      </c>
      <c r="B499" t="s">
        <v>507</v>
      </c>
      <c r="C499">
        <v>280</v>
      </c>
      <c r="D499">
        <v>70</v>
      </c>
      <c r="E499">
        <v>8</v>
      </c>
      <c r="F499">
        <v>4.5</v>
      </c>
      <c r="G499">
        <v>0</v>
      </c>
      <c r="H499">
        <v>25</v>
      </c>
      <c r="I499">
        <v>110</v>
      </c>
      <c r="J499">
        <v>45</v>
      </c>
      <c r="K499">
        <v>0</v>
      </c>
      <c r="L499">
        <v>45</v>
      </c>
      <c r="M499">
        <v>8</v>
      </c>
      <c r="N499">
        <v>321.5</v>
      </c>
      <c r="O499" s="3">
        <f t="shared" si="26"/>
        <v>2.8571428571428572</v>
      </c>
      <c r="P499">
        <f t="shared" si="27"/>
        <v>0</v>
      </c>
      <c r="Q499">
        <f t="shared" si="28"/>
        <v>0</v>
      </c>
    </row>
    <row r="500" spans="1:17" x14ac:dyDescent="0.2">
      <c r="A500" t="s">
        <v>25</v>
      </c>
      <c r="B500" t="s">
        <v>508</v>
      </c>
      <c r="C500">
        <v>280</v>
      </c>
      <c r="D500">
        <v>70</v>
      </c>
      <c r="E500">
        <v>8</v>
      </c>
      <c r="F500">
        <v>4.5</v>
      </c>
      <c r="G500">
        <v>0</v>
      </c>
      <c r="H500">
        <v>25</v>
      </c>
      <c r="I500">
        <v>110</v>
      </c>
      <c r="J500">
        <v>44</v>
      </c>
      <c r="K500">
        <v>0</v>
      </c>
      <c r="L500">
        <v>44</v>
      </c>
      <c r="M500">
        <v>8</v>
      </c>
      <c r="N500">
        <v>320.5</v>
      </c>
      <c r="O500" s="3">
        <f t="shared" si="26"/>
        <v>2.8571428571428572</v>
      </c>
      <c r="P500">
        <f t="shared" si="27"/>
        <v>0</v>
      </c>
      <c r="Q500">
        <f t="shared" si="28"/>
        <v>0</v>
      </c>
    </row>
    <row r="501" spans="1:17" x14ac:dyDescent="0.2">
      <c r="A501" t="s">
        <v>25</v>
      </c>
      <c r="B501" t="s">
        <v>516</v>
      </c>
      <c r="C501">
        <v>460</v>
      </c>
      <c r="D501">
        <v>160</v>
      </c>
      <c r="E501">
        <v>18</v>
      </c>
      <c r="F501">
        <v>10</v>
      </c>
      <c r="G501">
        <v>0.5</v>
      </c>
      <c r="H501">
        <v>40</v>
      </c>
      <c r="I501">
        <v>220</v>
      </c>
      <c r="J501">
        <v>63</v>
      </c>
      <c r="K501">
        <v>0</v>
      </c>
      <c r="L501">
        <v>54</v>
      </c>
      <c r="M501">
        <v>13</v>
      </c>
      <c r="N501">
        <v>511</v>
      </c>
      <c r="O501" s="3">
        <f t="shared" si="26"/>
        <v>2.8260869565217392</v>
      </c>
      <c r="P501">
        <f t="shared" si="27"/>
        <v>0</v>
      </c>
      <c r="Q501">
        <f t="shared" si="28"/>
        <v>0</v>
      </c>
    </row>
    <row r="502" spans="1:17" x14ac:dyDescent="0.2">
      <c r="A502" t="s">
        <v>25</v>
      </c>
      <c r="B502" t="s">
        <v>517</v>
      </c>
      <c r="C502">
        <v>250</v>
      </c>
      <c r="D502">
        <v>90</v>
      </c>
      <c r="E502">
        <v>11</v>
      </c>
      <c r="F502">
        <v>6</v>
      </c>
      <c r="G502">
        <v>0</v>
      </c>
      <c r="H502">
        <v>25</v>
      </c>
      <c r="I502">
        <v>150</v>
      </c>
      <c r="J502">
        <v>33</v>
      </c>
      <c r="K502">
        <v>0</v>
      </c>
      <c r="L502">
        <v>31</v>
      </c>
      <c r="M502">
        <v>7</v>
      </c>
      <c r="N502">
        <v>280</v>
      </c>
      <c r="O502" s="3">
        <f t="shared" si="26"/>
        <v>2.8000000000000003</v>
      </c>
      <c r="P502">
        <f t="shared" si="27"/>
        <v>0</v>
      </c>
      <c r="Q502">
        <f t="shared" si="28"/>
        <v>0</v>
      </c>
    </row>
    <row r="503" spans="1:17" x14ac:dyDescent="0.2">
      <c r="A503" t="s">
        <v>25</v>
      </c>
      <c r="B503" t="s">
        <v>523</v>
      </c>
      <c r="C503">
        <v>360</v>
      </c>
      <c r="D503">
        <v>130</v>
      </c>
      <c r="E503">
        <v>14</v>
      </c>
      <c r="F503">
        <v>8</v>
      </c>
      <c r="G503">
        <v>0.5</v>
      </c>
      <c r="H503">
        <v>35</v>
      </c>
      <c r="I503">
        <v>220</v>
      </c>
      <c r="J503">
        <v>47</v>
      </c>
      <c r="K503">
        <v>0</v>
      </c>
      <c r="L503">
        <v>46</v>
      </c>
      <c r="M503">
        <v>10</v>
      </c>
      <c r="N503">
        <v>404</v>
      </c>
      <c r="O503" s="3">
        <f t="shared" si="26"/>
        <v>2.7777777777777777</v>
      </c>
      <c r="P503">
        <f t="shared" si="27"/>
        <v>0</v>
      </c>
      <c r="Q503">
        <f t="shared" si="28"/>
        <v>0</v>
      </c>
    </row>
    <row r="504" spans="1:17" x14ac:dyDescent="0.2">
      <c r="A504" t="s">
        <v>25</v>
      </c>
      <c r="B504" t="s">
        <v>527</v>
      </c>
      <c r="C504">
        <v>290</v>
      </c>
      <c r="D504">
        <v>70</v>
      </c>
      <c r="E504">
        <v>8</v>
      </c>
      <c r="F504">
        <v>4.5</v>
      </c>
      <c r="G504">
        <v>0</v>
      </c>
      <c r="H504">
        <v>25</v>
      </c>
      <c r="I504">
        <v>190</v>
      </c>
      <c r="J504">
        <v>49</v>
      </c>
      <c r="K504">
        <v>0</v>
      </c>
      <c r="L504">
        <v>49</v>
      </c>
      <c r="M504">
        <v>8</v>
      </c>
      <c r="N504">
        <v>335.5</v>
      </c>
      <c r="O504" s="3">
        <f t="shared" si="26"/>
        <v>2.7586206896551726</v>
      </c>
      <c r="P504">
        <f t="shared" si="27"/>
        <v>0</v>
      </c>
      <c r="Q504">
        <f t="shared" si="28"/>
        <v>0</v>
      </c>
    </row>
    <row r="505" spans="1:17" x14ac:dyDescent="0.2">
      <c r="A505" t="s">
        <v>25</v>
      </c>
      <c r="B505" t="s">
        <v>528</v>
      </c>
      <c r="C505">
        <v>290</v>
      </c>
      <c r="D505">
        <v>100</v>
      </c>
      <c r="E505">
        <v>12</v>
      </c>
      <c r="F505">
        <v>7</v>
      </c>
      <c r="G505">
        <v>0</v>
      </c>
      <c r="H505">
        <v>25</v>
      </c>
      <c r="I505">
        <v>180</v>
      </c>
      <c r="J505">
        <v>39</v>
      </c>
      <c r="K505">
        <v>0</v>
      </c>
      <c r="L505">
        <v>38</v>
      </c>
      <c r="M505">
        <v>8</v>
      </c>
      <c r="N505">
        <v>327</v>
      </c>
      <c r="O505" s="3">
        <f t="shared" si="26"/>
        <v>2.7586206896551726</v>
      </c>
      <c r="P505">
        <f t="shared" si="27"/>
        <v>0</v>
      </c>
      <c r="Q505">
        <f t="shared" si="28"/>
        <v>0</v>
      </c>
    </row>
    <row r="506" spans="1:17" x14ac:dyDescent="0.2">
      <c r="A506" t="s">
        <v>25</v>
      </c>
      <c r="B506" t="s">
        <v>529</v>
      </c>
      <c r="C506">
        <v>330</v>
      </c>
      <c r="D506">
        <v>80</v>
      </c>
      <c r="E506">
        <v>9</v>
      </c>
      <c r="F506">
        <v>5</v>
      </c>
      <c r="G506">
        <v>0</v>
      </c>
      <c r="H506">
        <v>30</v>
      </c>
      <c r="I506">
        <v>210</v>
      </c>
      <c r="J506">
        <v>52</v>
      </c>
      <c r="K506">
        <v>0</v>
      </c>
      <c r="L506">
        <v>51</v>
      </c>
      <c r="M506">
        <v>9</v>
      </c>
      <c r="N506">
        <v>377</v>
      </c>
      <c r="O506" s="3">
        <f t="shared" si="26"/>
        <v>2.7272727272727271</v>
      </c>
      <c r="P506">
        <f t="shared" si="27"/>
        <v>0</v>
      </c>
      <c r="Q506">
        <f t="shared" si="28"/>
        <v>0</v>
      </c>
    </row>
    <row r="507" spans="1:17" x14ac:dyDescent="0.2">
      <c r="A507" t="s">
        <v>25</v>
      </c>
      <c r="B507" t="s">
        <v>530</v>
      </c>
      <c r="C507">
        <v>330</v>
      </c>
      <c r="D507">
        <v>80</v>
      </c>
      <c r="E507">
        <v>9</v>
      </c>
      <c r="F507">
        <v>5</v>
      </c>
      <c r="G507">
        <v>0</v>
      </c>
      <c r="H507">
        <v>30</v>
      </c>
      <c r="I507">
        <v>130</v>
      </c>
      <c r="J507">
        <v>53</v>
      </c>
      <c r="K507">
        <v>0</v>
      </c>
      <c r="L507">
        <v>53</v>
      </c>
      <c r="M507">
        <v>9</v>
      </c>
      <c r="N507">
        <v>379</v>
      </c>
      <c r="O507" s="3">
        <f t="shared" si="26"/>
        <v>2.7272727272727271</v>
      </c>
      <c r="P507">
        <f t="shared" si="27"/>
        <v>0</v>
      </c>
      <c r="Q507">
        <f t="shared" si="28"/>
        <v>0</v>
      </c>
    </row>
    <row r="508" spans="1:17" x14ac:dyDescent="0.2">
      <c r="A508" t="s">
        <v>25</v>
      </c>
      <c r="B508" t="s">
        <v>531</v>
      </c>
      <c r="C508">
        <v>330</v>
      </c>
      <c r="D508">
        <v>80</v>
      </c>
      <c r="E508">
        <v>9</v>
      </c>
      <c r="F508">
        <v>5</v>
      </c>
      <c r="G508">
        <v>0</v>
      </c>
      <c r="H508">
        <v>30</v>
      </c>
      <c r="I508">
        <v>130</v>
      </c>
      <c r="J508">
        <v>53</v>
      </c>
      <c r="K508">
        <v>0</v>
      </c>
      <c r="L508">
        <v>53</v>
      </c>
      <c r="M508">
        <v>9</v>
      </c>
      <c r="N508">
        <v>379</v>
      </c>
      <c r="O508" s="3">
        <f t="shared" si="26"/>
        <v>2.7272727272727271</v>
      </c>
      <c r="P508">
        <f t="shared" si="27"/>
        <v>0</v>
      </c>
      <c r="Q508">
        <f t="shared" si="28"/>
        <v>0</v>
      </c>
    </row>
    <row r="509" spans="1:17" x14ac:dyDescent="0.2">
      <c r="A509" t="s">
        <v>25</v>
      </c>
      <c r="B509" t="s">
        <v>532</v>
      </c>
      <c r="C509">
        <v>150</v>
      </c>
      <c r="D509">
        <v>35</v>
      </c>
      <c r="E509">
        <v>3.5</v>
      </c>
      <c r="F509">
        <v>2</v>
      </c>
      <c r="G509">
        <v>0</v>
      </c>
      <c r="H509">
        <v>15</v>
      </c>
      <c r="I509">
        <v>60</v>
      </c>
      <c r="J509">
        <v>24</v>
      </c>
      <c r="K509">
        <v>0</v>
      </c>
      <c r="L509">
        <v>18</v>
      </c>
      <c r="M509">
        <v>4</v>
      </c>
      <c r="N509">
        <v>166</v>
      </c>
      <c r="O509" s="3">
        <f t="shared" si="26"/>
        <v>2.666666666666667</v>
      </c>
      <c r="P509">
        <f t="shared" si="27"/>
        <v>0</v>
      </c>
      <c r="Q509">
        <f t="shared" si="28"/>
        <v>0</v>
      </c>
    </row>
    <row r="510" spans="1:17" x14ac:dyDescent="0.2">
      <c r="A510" t="s">
        <v>25</v>
      </c>
      <c r="B510" t="s">
        <v>533</v>
      </c>
      <c r="C510">
        <v>300</v>
      </c>
      <c r="D510">
        <v>110</v>
      </c>
      <c r="E510">
        <v>12</v>
      </c>
      <c r="F510">
        <v>7</v>
      </c>
      <c r="G510">
        <v>0</v>
      </c>
      <c r="H510">
        <v>25</v>
      </c>
      <c r="I510">
        <v>135</v>
      </c>
      <c r="J510">
        <v>41</v>
      </c>
      <c r="K510">
        <v>0</v>
      </c>
      <c r="L510">
        <v>35</v>
      </c>
      <c r="M510">
        <v>8</v>
      </c>
      <c r="N510">
        <v>334</v>
      </c>
      <c r="O510" s="3">
        <f t="shared" si="26"/>
        <v>2.666666666666667</v>
      </c>
      <c r="P510">
        <f t="shared" si="27"/>
        <v>0</v>
      </c>
      <c r="Q510">
        <f t="shared" si="28"/>
        <v>0</v>
      </c>
    </row>
    <row r="511" spans="1:17" x14ac:dyDescent="0.2">
      <c r="A511" t="s">
        <v>25</v>
      </c>
      <c r="B511" t="s">
        <v>534</v>
      </c>
      <c r="C511">
        <v>300</v>
      </c>
      <c r="D511">
        <v>120</v>
      </c>
      <c r="E511">
        <v>14</v>
      </c>
      <c r="F511">
        <v>8</v>
      </c>
      <c r="G511">
        <v>0</v>
      </c>
      <c r="H511">
        <v>30</v>
      </c>
      <c r="I511">
        <v>160</v>
      </c>
      <c r="J511">
        <v>36</v>
      </c>
      <c r="K511">
        <v>0</v>
      </c>
      <c r="L511">
        <v>33</v>
      </c>
      <c r="M511">
        <v>8</v>
      </c>
      <c r="N511">
        <v>333</v>
      </c>
      <c r="O511" s="3">
        <f t="shared" si="26"/>
        <v>2.666666666666667</v>
      </c>
      <c r="P511">
        <f t="shared" si="27"/>
        <v>0</v>
      </c>
      <c r="Q511">
        <f t="shared" si="28"/>
        <v>0</v>
      </c>
    </row>
    <row r="512" spans="1:17" x14ac:dyDescent="0.2">
      <c r="A512" t="s">
        <v>25</v>
      </c>
      <c r="B512" t="s">
        <v>540</v>
      </c>
      <c r="C512">
        <v>380</v>
      </c>
      <c r="D512">
        <v>130</v>
      </c>
      <c r="E512">
        <v>15</v>
      </c>
      <c r="F512">
        <v>9</v>
      </c>
      <c r="G512">
        <v>0.5</v>
      </c>
      <c r="H512">
        <v>30</v>
      </c>
      <c r="I512">
        <v>170</v>
      </c>
      <c r="J512">
        <v>53</v>
      </c>
      <c r="K512">
        <v>0</v>
      </c>
      <c r="L512">
        <v>45</v>
      </c>
      <c r="M512">
        <v>10</v>
      </c>
      <c r="N512">
        <v>424</v>
      </c>
      <c r="O512" s="3">
        <f t="shared" si="26"/>
        <v>2.6315789473684208</v>
      </c>
      <c r="P512">
        <f t="shared" si="27"/>
        <v>0</v>
      </c>
      <c r="Q512">
        <f t="shared" si="28"/>
        <v>0</v>
      </c>
    </row>
    <row r="513" spans="1:17" x14ac:dyDescent="0.2">
      <c r="A513" t="s">
        <v>25</v>
      </c>
      <c r="B513" t="s">
        <v>541</v>
      </c>
      <c r="C513">
        <v>190</v>
      </c>
      <c r="D513">
        <v>40</v>
      </c>
      <c r="E513">
        <v>4.5</v>
      </c>
      <c r="F513">
        <v>2.5</v>
      </c>
      <c r="G513">
        <v>0</v>
      </c>
      <c r="H513">
        <v>15</v>
      </c>
      <c r="I513">
        <v>70</v>
      </c>
      <c r="J513">
        <v>33</v>
      </c>
      <c r="K513">
        <v>0</v>
      </c>
      <c r="L513">
        <v>33</v>
      </c>
      <c r="M513">
        <v>5</v>
      </c>
      <c r="N513">
        <v>220.5</v>
      </c>
      <c r="O513" s="3">
        <f t="shared" si="26"/>
        <v>2.6315789473684208</v>
      </c>
      <c r="P513">
        <f t="shared" si="27"/>
        <v>0</v>
      </c>
      <c r="Q513">
        <f t="shared" si="28"/>
        <v>0</v>
      </c>
    </row>
    <row r="514" spans="1:17" x14ac:dyDescent="0.2">
      <c r="A514" t="s">
        <v>25</v>
      </c>
      <c r="B514" t="s">
        <v>542</v>
      </c>
      <c r="C514">
        <v>380</v>
      </c>
      <c r="D514">
        <v>140</v>
      </c>
      <c r="E514">
        <v>16</v>
      </c>
      <c r="F514">
        <v>9</v>
      </c>
      <c r="G514">
        <v>0.5</v>
      </c>
      <c r="H514">
        <v>35</v>
      </c>
      <c r="I514">
        <v>210</v>
      </c>
      <c r="J514">
        <v>48</v>
      </c>
      <c r="K514">
        <v>0</v>
      </c>
      <c r="L514">
        <v>46</v>
      </c>
      <c r="M514">
        <v>10</v>
      </c>
      <c r="N514">
        <v>425</v>
      </c>
      <c r="O514" s="3">
        <f t="shared" ref="O514:O577" si="29">M514/C514*100</f>
        <v>2.6315789473684208</v>
      </c>
      <c r="P514">
        <f t="shared" ref="P514:P577" si="30">IF(I514&gt;2300*0.2,1,0)</f>
        <v>0</v>
      </c>
      <c r="Q514">
        <f t="shared" ref="Q514:Q577" si="31">IF(H514&gt;300,1,0)</f>
        <v>0</v>
      </c>
    </row>
    <row r="515" spans="1:17" x14ac:dyDescent="0.2">
      <c r="A515" t="s">
        <v>25</v>
      </c>
      <c r="B515" t="s">
        <v>546</v>
      </c>
      <c r="C515">
        <v>420</v>
      </c>
      <c r="D515">
        <v>200</v>
      </c>
      <c r="E515">
        <v>22</v>
      </c>
      <c r="F515">
        <v>8</v>
      </c>
      <c r="G515">
        <v>0</v>
      </c>
      <c r="H515">
        <v>35</v>
      </c>
      <c r="I515">
        <v>1030</v>
      </c>
      <c r="J515">
        <v>44</v>
      </c>
      <c r="K515">
        <v>2</v>
      </c>
      <c r="L515">
        <v>15</v>
      </c>
      <c r="M515">
        <v>11</v>
      </c>
      <c r="N515">
        <v>432</v>
      </c>
      <c r="O515" s="3">
        <f t="shared" si="29"/>
        <v>2.6190476190476191</v>
      </c>
      <c r="P515">
        <f t="shared" si="30"/>
        <v>1</v>
      </c>
      <c r="Q515">
        <f t="shared" si="31"/>
        <v>0</v>
      </c>
    </row>
    <row r="516" spans="1:17" x14ac:dyDescent="0.2">
      <c r="A516" t="s">
        <v>25</v>
      </c>
      <c r="B516" t="s">
        <v>547</v>
      </c>
      <c r="C516">
        <v>230</v>
      </c>
      <c r="D516">
        <v>50</v>
      </c>
      <c r="E516">
        <v>6</v>
      </c>
      <c r="F516">
        <v>3.5</v>
      </c>
      <c r="G516">
        <v>0</v>
      </c>
      <c r="H516">
        <v>15</v>
      </c>
      <c r="I516">
        <v>150</v>
      </c>
      <c r="J516">
        <v>40</v>
      </c>
      <c r="K516">
        <v>0</v>
      </c>
      <c r="L516">
        <v>40</v>
      </c>
      <c r="M516">
        <v>6</v>
      </c>
      <c r="N516">
        <v>267.5</v>
      </c>
      <c r="O516" s="3">
        <f t="shared" si="29"/>
        <v>2.6086956521739131</v>
      </c>
      <c r="P516">
        <f t="shared" si="30"/>
        <v>0</v>
      </c>
      <c r="Q516">
        <f t="shared" si="31"/>
        <v>0</v>
      </c>
    </row>
    <row r="517" spans="1:17" x14ac:dyDescent="0.2">
      <c r="A517" t="s">
        <v>25</v>
      </c>
      <c r="B517" t="s">
        <v>548</v>
      </c>
      <c r="C517">
        <v>230</v>
      </c>
      <c r="D517">
        <v>50</v>
      </c>
      <c r="E517">
        <v>6</v>
      </c>
      <c r="F517">
        <v>3.5</v>
      </c>
      <c r="G517">
        <v>0</v>
      </c>
      <c r="H517">
        <v>15</v>
      </c>
      <c r="I517">
        <v>85</v>
      </c>
      <c r="J517">
        <v>41</v>
      </c>
      <c r="K517">
        <v>0</v>
      </c>
      <c r="L517">
        <v>41</v>
      </c>
      <c r="M517">
        <v>6</v>
      </c>
      <c r="N517">
        <v>268.5</v>
      </c>
      <c r="O517" s="3">
        <f t="shared" si="29"/>
        <v>2.6086956521739131</v>
      </c>
      <c r="P517">
        <f t="shared" si="30"/>
        <v>0</v>
      </c>
      <c r="Q517">
        <f t="shared" si="31"/>
        <v>0</v>
      </c>
    </row>
    <row r="518" spans="1:17" x14ac:dyDescent="0.2">
      <c r="A518" t="s">
        <v>25</v>
      </c>
      <c r="B518" t="s">
        <v>549</v>
      </c>
      <c r="C518">
        <v>230</v>
      </c>
      <c r="D518">
        <v>50</v>
      </c>
      <c r="E518">
        <v>6</v>
      </c>
      <c r="F518">
        <v>3.5</v>
      </c>
      <c r="G518">
        <v>0</v>
      </c>
      <c r="H518">
        <v>15</v>
      </c>
      <c r="I518">
        <v>85</v>
      </c>
      <c r="J518">
        <v>41</v>
      </c>
      <c r="K518">
        <v>0</v>
      </c>
      <c r="L518">
        <v>41</v>
      </c>
      <c r="M518">
        <v>6</v>
      </c>
      <c r="N518">
        <v>268.5</v>
      </c>
      <c r="O518" s="3">
        <f t="shared" si="29"/>
        <v>2.6086956521739131</v>
      </c>
      <c r="P518">
        <f t="shared" si="30"/>
        <v>0</v>
      </c>
      <c r="Q518">
        <f t="shared" si="31"/>
        <v>0</v>
      </c>
    </row>
    <row r="519" spans="1:17" x14ac:dyDescent="0.2">
      <c r="A519" t="s">
        <v>25</v>
      </c>
      <c r="B519" t="s">
        <v>550</v>
      </c>
      <c r="C519">
        <v>270</v>
      </c>
      <c r="D519">
        <v>70</v>
      </c>
      <c r="E519">
        <v>8</v>
      </c>
      <c r="F519">
        <v>4.5</v>
      </c>
      <c r="G519">
        <v>0</v>
      </c>
      <c r="H519">
        <v>10</v>
      </c>
      <c r="I519">
        <v>140</v>
      </c>
      <c r="J519">
        <v>43</v>
      </c>
      <c r="K519">
        <v>0</v>
      </c>
      <c r="L519">
        <v>35</v>
      </c>
      <c r="M519">
        <v>7</v>
      </c>
      <c r="N519">
        <v>302.5</v>
      </c>
      <c r="O519" s="3">
        <f t="shared" si="29"/>
        <v>2.5925925925925926</v>
      </c>
      <c r="P519">
        <f t="shared" si="30"/>
        <v>0</v>
      </c>
      <c r="Q519">
        <f t="shared" si="31"/>
        <v>0</v>
      </c>
    </row>
    <row r="520" spans="1:17" x14ac:dyDescent="0.2">
      <c r="A520" t="s">
        <v>25</v>
      </c>
      <c r="B520" t="s">
        <v>554</v>
      </c>
      <c r="C520">
        <v>430</v>
      </c>
      <c r="D520">
        <v>240</v>
      </c>
      <c r="E520">
        <v>27</v>
      </c>
      <c r="F520">
        <v>12</v>
      </c>
      <c r="G520">
        <v>0</v>
      </c>
      <c r="H520">
        <v>30</v>
      </c>
      <c r="I520">
        <v>1080</v>
      </c>
      <c r="J520">
        <v>34</v>
      </c>
      <c r="K520">
        <v>2</v>
      </c>
      <c r="L520">
        <v>2</v>
      </c>
      <c r="M520">
        <v>11</v>
      </c>
      <c r="N520">
        <v>433</v>
      </c>
      <c r="O520" s="3">
        <f t="shared" si="29"/>
        <v>2.558139534883721</v>
      </c>
      <c r="P520">
        <f t="shared" si="30"/>
        <v>1</v>
      </c>
      <c r="Q520">
        <f t="shared" si="31"/>
        <v>0</v>
      </c>
    </row>
    <row r="521" spans="1:17" x14ac:dyDescent="0.2">
      <c r="A521" t="s">
        <v>25</v>
      </c>
      <c r="B521" t="s">
        <v>557</v>
      </c>
      <c r="C521">
        <v>160</v>
      </c>
      <c r="D521">
        <v>20</v>
      </c>
      <c r="E521">
        <v>2</v>
      </c>
      <c r="F521">
        <v>1</v>
      </c>
      <c r="G521">
        <v>0</v>
      </c>
      <c r="H521">
        <v>5</v>
      </c>
      <c r="I521">
        <v>85</v>
      </c>
      <c r="J521">
        <v>31</v>
      </c>
      <c r="K521">
        <v>1</v>
      </c>
      <c r="L521">
        <v>21</v>
      </c>
      <c r="M521">
        <v>4</v>
      </c>
      <c r="N521">
        <v>178</v>
      </c>
      <c r="O521" s="3">
        <f t="shared" si="29"/>
        <v>2.5</v>
      </c>
      <c r="P521">
        <f t="shared" si="30"/>
        <v>0</v>
      </c>
      <c r="Q521">
        <f t="shared" si="31"/>
        <v>0</v>
      </c>
    </row>
    <row r="522" spans="1:17" x14ac:dyDescent="0.2">
      <c r="A522" t="s">
        <v>25</v>
      </c>
      <c r="B522" t="s">
        <v>558</v>
      </c>
      <c r="C522">
        <v>200</v>
      </c>
      <c r="D522">
        <v>45</v>
      </c>
      <c r="E522">
        <v>5</v>
      </c>
      <c r="F522">
        <v>3</v>
      </c>
      <c r="G522">
        <v>0</v>
      </c>
      <c r="H522">
        <v>15</v>
      </c>
      <c r="I522">
        <v>125</v>
      </c>
      <c r="J522">
        <v>32</v>
      </c>
      <c r="K522">
        <v>0</v>
      </c>
      <c r="L522">
        <v>32</v>
      </c>
      <c r="M522">
        <v>5</v>
      </c>
      <c r="N522">
        <v>230</v>
      </c>
      <c r="O522" s="3">
        <f t="shared" si="29"/>
        <v>2.5</v>
      </c>
      <c r="P522">
        <f t="shared" si="30"/>
        <v>0</v>
      </c>
      <c r="Q522">
        <f t="shared" si="31"/>
        <v>0</v>
      </c>
    </row>
    <row r="523" spans="1:17" x14ac:dyDescent="0.2">
      <c r="A523" t="s">
        <v>25</v>
      </c>
      <c r="B523" t="s">
        <v>559</v>
      </c>
      <c r="C523">
        <v>240</v>
      </c>
      <c r="D523">
        <v>50</v>
      </c>
      <c r="E523">
        <v>6</v>
      </c>
      <c r="F523">
        <v>3.5</v>
      </c>
      <c r="G523">
        <v>0</v>
      </c>
      <c r="H523">
        <v>20</v>
      </c>
      <c r="I523">
        <v>150</v>
      </c>
      <c r="J523">
        <v>41</v>
      </c>
      <c r="K523">
        <v>0</v>
      </c>
      <c r="L523">
        <v>40</v>
      </c>
      <c r="M523">
        <v>6</v>
      </c>
      <c r="N523">
        <v>277.5</v>
      </c>
      <c r="O523" s="3">
        <f t="shared" si="29"/>
        <v>2.5</v>
      </c>
      <c r="P523">
        <f t="shared" si="30"/>
        <v>0</v>
      </c>
      <c r="Q523">
        <f t="shared" si="31"/>
        <v>0</v>
      </c>
    </row>
    <row r="524" spans="1:17" x14ac:dyDescent="0.2">
      <c r="A524" t="s">
        <v>25</v>
      </c>
      <c r="B524" t="s">
        <v>560</v>
      </c>
      <c r="C524">
        <v>200</v>
      </c>
      <c r="D524">
        <v>45</v>
      </c>
      <c r="E524">
        <v>5</v>
      </c>
      <c r="F524">
        <v>3</v>
      </c>
      <c r="G524">
        <v>0</v>
      </c>
      <c r="H524">
        <v>15</v>
      </c>
      <c r="I524">
        <v>70</v>
      </c>
      <c r="J524">
        <v>34</v>
      </c>
      <c r="K524">
        <v>0</v>
      </c>
      <c r="L524">
        <v>34</v>
      </c>
      <c r="M524">
        <v>5</v>
      </c>
      <c r="N524">
        <v>232</v>
      </c>
      <c r="O524" s="3">
        <f t="shared" si="29"/>
        <v>2.5</v>
      </c>
      <c r="P524">
        <f t="shared" si="30"/>
        <v>0</v>
      </c>
      <c r="Q524">
        <f t="shared" si="31"/>
        <v>0</v>
      </c>
    </row>
    <row r="525" spans="1:17" x14ac:dyDescent="0.2">
      <c r="A525" t="s">
        <v>25</v>
      </c>
      <c r="B525" t="s">
        <v>561</v>
      </c>
      <c r="C525">
        <v>240</v>
      </c>
      <c r="D525">
        <v>50</v>
      </c>
      <c r="E525">
        <v>6</v>
      </c>
      <c r="F525">
        <v>3.5</v>
      </c>
      <c r="G525">
        <v>0</v>
      </c>
      <c r="H525">
        <v>20</v>
      </c>
      <c r="I525">
        <v>85</v>
      </c>
      <c r="J525">
        <v>42</v>
      </c>
      <c r="K525">
        <v>0</v>
      </c>
      <c r="L525">
        <v>42</v>
      </c>
      <c r="M525">
        <v>6</v>
      </c>
      <c r="N525">
        <v>279.5</v>
      </c>
      <c r="O525" s="3">
        <f t="shared" si="29"/>
        <v>2.5</v>
      </c>
      <c r="P525">
        <f t="shared" si="30"/>
        <v>0</v>
      </c>
      <c r="Q525">
        <f t="shared" si="31"/>
        <v>0</v>
      </c>
    </row>
    <row r="526" spans="1:17" x14ac:dyDescent="0.2">
      <c r="A526" t="s">
        <v>25</v>
      </c>
      <c r="B526" t="s">
        <v>562</v>
      </c>
      <c r="C526">
        <v>200</v>
      </c>
      <c r="D526">
        <v>45</v>
      </c>
      <c r="E526">
        <v>5</v>
      </c>
      <c r="F526">
        <v>3</v>
      </c>
      <c r="G526">
        <v>0</v>
      </c>
      <c r="H526">
        <v>15</v>
      </c>
      <c r="I526">
        <v>70</v>
      </c>
      <c r="J526">
        <v>34</v>
      </c>
      <c r="K526">
        <v>0</v>
      </c>
      <c r="L526">
        <v>34</v>
      </c>
      <c r="M526">
        <v>5</v>
      </c>
      <c r="N526">
        <v>232</v>
      </c>
      <c r="O526" s="3">
        <f t="shared" si="29"/>
        <v>2.5</v>
      </c>
      <c r="P526">
        <f t="shared" si="30"/>
        <v>0</v>
      </c>
      <c r="Q526">
        <f t="shared" si="31"/>
        <v>0</v>
      </c>
    </row>
    <row r="527" spans="1:17" x14ac:dyDescent="0.2">
      <c r="A527" t="s">
        <v>25</v>
      </c>
      <c r="B527" t="s">
        <v>563</v>
      </c>
      <c r="C527">
        <v>240</v>
      </c>
      <c r="D527">
        <v>50</v>
      </c>
      <c r="E527">
        <v>6</v>
      </c>
      <c r="F527">
        <v>3.5</v>
      </c>
      <c r="G527">
        <v>0</v>
      </c>
      <c r="H527">
        <v>20</v>
      </c>
      <c r="I527">
        <v>85</v>
      </c>
      <c r="J527">
        <v>42</v>
      </c>
      <c r="K527">
        <v>0</v>
      </c>
      <c r="L527">
        <v>42</v>
      </c>
      <c r="M527">
        <v>6</v>
      </c>
      <c r="N527">
        <v>279.5</v>
      </c>
      <c r="O527" s="3">
        <f t="shared" si="29"/>
        <v>2.5</v>
      </c>
      <c r="P527">
        <f t="shared" si="30"/>
        <v>0</v>
      </c>
      <c r="Q527">
        <f t="shared" si="31"/>
        <v>0</v>
      </c>
    </row>
    <row r="528" spans="1:17" x14ac:dyDescent="0.2">
      <c r="A528" t="s">
        <v>25</v>
      </c>
      <c r="B528" t="s">
        <v>564</v>
      </c>
      <c r="C528">
        <v>400</v>
      </c>
      <c r="D528">
        <v>130</v>
      </c>
      <c r="E528">
        <v>14</v>
      </c>
      <c r="F528">
        <v>8</v>
      </c>
      <c r="G528">
        <v>0.5</v>
      </c>
      <c r="H528">
        <v>30</v>
      </c>
      <c r="I528">
        <v>190</v>
      </c>
      <c r="J528">
        <v>58</v>
      </c>
      <c r="K528">
        <v>0</v>
      </c>
      <c r="L528">
        <v>49</v>
      </c>
      <c r="M528">
        <v>10</v>
      </c>
      <c r="N528">
        <v>447</v>
      </c>
      <c r="O528" s="3">
        <f t="shared" si="29"/>
        <v>2.5</v>
      </c>
      <c r="P528">
        <f t="shared" si="30"/>
        <v>0</v>
      </c>
      <c r="Q528">
        <f t="shared" si="31"/>
        <v>0</v>
      </c>
    </row>
    <row r="529" spans="1:17" x14ac:dyDescent="0.2">
      <c r="A529" t="s">
        <v>25</v>
      </c>
      <c r="B529" t="s">
        <v>565</v>
      </c>
      <c r="C529">
        <v>240</v>
      </c>
      <c r="D529">
        <v>100</v>
      </c>
      <c r="E529">
        <v>12</v>
      </c>
      <c r="F529">
        <v>7</v>
      </c>
      <c r="G529">
        <v>0</v>
      </c>
      <c r="H529">
        <v>25</v>
      </c>
      <c r="I529">
        <v>130</v>
      </c>
      <c r="J529">
        <v>29</v>
      </c>
      <c r="K529">
        <v>0</v>
      </c>
      <c r="L529">
        <v>26</v>
      </c>
      <c r="M529">
        <v>6</v>
      </c>
      <c r="N529">
        <v>267</v>
      </c>
      <c r="O529" s="3">
        <f t="shared" si="29"/>
        <v>2.5</v>
      </c>
      <c r="P529">
        <f t="shared" si="30"/>
        <v>0</v>
      </c>
      <c r="Q529">
        <f t="shared" si="31"/>
        <v>0</v>
      </c>
    </row>
    <row r="530" spans="1:17" x14ac:dyDescent="0.2">
      <c r="A530" t="s">
        <v>25</v>
      </c>
      <c r="B530" t="s">
        <v>566</v>
      </c>
      <c r="C530">
        <v>330</v>
      </c>
      <c r="D530">
        <v>90</v>
      </c>
      <c r="E530">
        <v>10</v>
      </c>
      <c r="F530">
        <v>7</v>
      </c>
      <c r="G530">
        <v>0</v>
      </c>
      <c r="H530">
        <v>25</v>
      </c>
      <c r="I530">
        <v>180</v>
      </c>
      <c r="J530">
        <v>54</v>
      </c>
      <c r="K530">
        <v>2</v>
      </c>
      <c r="L530">
        <v>48</v>
      </c>
      <c r="M530">
        <v>8</v>
      </c>
      <c r="N530">
        <v>377</v>
      </c>
      <c r="O530" s="3">
        <f t="shared" si="29"/>
        <v>2.4242424242424243</v>
      </c>
      <c r="P530">
        <f t="shared" si="30"/>
        <v>0</v>
      </c>
      <c r="Q530">
        <f t="shared" si="31"/>
        <v>0</v>
      </c>
    </row>
    <row r="531" spans="1:17" x14ac:dyDescent="0.2">
      <c r="A531" t="s">
        <v>25</v>
      </c>
      <c r="B531" t="s">
        <v>567</v>
      </c>
      <c r="C531">
        <v>290</v>
      </c>
      <c r="D531">
        <v>70</v>
      </c>
      <c r="E531">
        <v>8</v>
      </c>
      <c r="F531">
        <v>4.5</v>
      </c>
      <c r="G531">
        <v>0</v>
      </c>
      <c r="H531">
        <v>25</v>
      </c>
      <c r="I531">
        <v>105</v>
      </c>
      <c r="J531">
        <v>51</v>
      </c>
      <c r="K531">
        <v>0</v>
      </c>
      <c r="L531">
        <v>51</v>
      </c>
      <c r="M531">
        <v>7</v>
      </c>
      <c r="N531">
        <v>338.5</v>
      </c>
      <c r="O531" s="3">
        <f t="shared" si="29"/>
        <v>2.4137931034482758</v>
      </c>
      <c r="P531">
        <f t="shared" si="30"/>
        <v>0</v>
      </c>
      <c r="Q531">
        <f t="shared" si="31"/>
        <v>0</v>
      </c>
    </row>
    <row r="532" spans="1:17" x14ac:dyDescent="0.2">
      <c r="A532" t="s">
        <v>25</v>
      </c>
      <c r="B532" t="s">
        <v>568</v>
      </c>
      <c r="C532">
        <v>290</v>
      </c>
      <c r="D532">
        <v>70</v>
      </c>
      <c r="E532">
        <v>8</v>
      </c>
      <c r="F532">
        <v>4.5</v>
      </c>
      <c r="G532">
        <v>0</v>
      </c>
      <c r="H532">
        <v>25</v>
      </c>
      <c r="I532">
        <v>105</v>
      </c>
      <c r="J532">
        <v>51</v>
      </c>
      <c r="K532">
        <v>0</v>
      </c>
      <c r="L532">
        <v>51</v>
      </c>
      <c r="M532">
        <v>7</v>
      </c>
      <c r="N532">
        <v>338.5</v>
      </c>
      <c r="O532" s="3">
        <f t="shared" si="29"/>
        <v>2.4137931034482758</v>
      </c>
      <c r="P532">
        <f t="shared" si="30"/>
        <v>0</v>
      </c>
      <c r="Q532">
        <f t="shared" si="31"/>
        <v>0</v>
      </c>
    </row>
    <row r="533" spans="1:17" x14ac:dyDescent="0.2">
      <c r="A533" t="s">
        <v>25</v>
      </c>
      <c r="B533" t="s">
        <v>571</v>
      </c>
      <c r="C533">
        <v>420</v>
      </c>
      <c r="D533">
        <v>90</v>
      </c>
      <c r="E533">
        <v>10</v>
      </c>
      <c r="F533">
        <v>6</v>
      </c>
      <c r="G533">
        <v>0.5</v>
      </c>
      <c r="H533">
        <v>40</v>
      </c>
      <c r="I533">
        <v>130</v>
      </c>
      <c r="J533">
        <v>73</v>
      </c>
      <c r="K533">
        <v>0</v>
      </c>
      <c r="L533">
        <v>63</v>
      </c>
      <c r="M533">
        <v>10</v>
      </c>
      <c r="N533">
        <v>479</v>
      </c>
      <c r="O533" s="3">
        <f t="shared" si="29"/>
        <v>2.3809523809523809</v>
      </c>
      <c r="P533">
        <f t="shared" si="30"/>
        <v>0</v>
      </c>
      <c r="Q533">
        <f t="shared" si="31"/>
        <v>0</v>
      </c>
    </row>
    <row r="534" spans="1:17" x14ac:dyDescent="0.2">
      <c r="A534" t="s">
        <v>25</v>
      </c>
      <c r="B534" t="s">
        <v>574</v>
      </c>
      <c r="C534">
        <v>550</v>
      </c>
      <c r="D534">
        <v>120</v>
      </c>
      <c r="E534">
        <v>13</v>
      </c>
      <c r="F534">
        <v>8</v>
      </c>
      <c r="G534">
        <v>1</v>
      </c>
      <c r="H534">
        <v>50</v>
      </c>
      <c r="I534">
        <v>190</v>
      </c>
      <c r="J534">
        <v>96</v>
      </c>
      <c r="K534">
        <v>0</v>
      </c>
      <c r="L534">
        <v>72</v>
      </c>
      <c r="M534">
        <v>13</v>
      </c>
      <c r="N534">
        <v>617</v>
      </c>
      <c r="O534" s="3">
        <f t="shared" si="29"/>
        <v>2.3636363636363638</v>
      </c>
      <c r="P534">
        <f t="shared" si="30"/>
        <v>0</v>
      </c>
      <c r="Q534">
        <f t="shared" si="31"/>
        <v>0</v>
      </c>
    </row>
    <row r="535" spans="1:17" x14ac:dyDescent="0.2">
      <c r="A535" t="s">
        <v>25</v>
      </c>
      <c r="B535" t="s">
        <v>575</v>
      </c>
      <c r="C535">
        <v>340</v>
      </c>
      <c r="D535">
        <v>100</v>
      </c>
      <c r="E535">
        <v>12</v>
      </c>
      <c r="F535">
        <v>6</v>
      </c>
      <c r="G535">
        <v>0</v>
      </c>
      <c r="H535">
        <v>30</v>
      </c>
      <c r="I535">
        <v>200</v>
      </c>
      <c r="J535">
        <v>53</v>
      </c>
      <c r="K535">
        <v>2</v>
      </c>
      <c r="L535">
        <v>43</v>
      </c>
      <c r="M535">
        <v>8</v>
      </c>
      <c r="N535">
        <v>381</v>
      </c>
      <c r="O535" s="3">
        <f t="shared" si="29"/>
        <v>2.3529411764705883</v>
      </c>
      <c r="P535">
        <f t="shared" si="30"/>
        <v>0</v>
      </c>
      <c r="Q535">
        <f t="shared" si="31"/>
        <v>0</v>
      </c>
    </row>
    <row r="536" spans="1:17" x14ac:dyDescent="0.2">
      <c r="A536" t="s">
        <v>25</v>
      </c>
      <c r="B536" t="s">
        <v>580</v>
      </c>
      <c r="C536">
        <v>770</v>
      </c>
      <c r="D536">
        <v>160</v>
      </c>
      <c r="E536">
        <v>18</v>
      </c>
      <c r="F536">
        <v>11</v>
      </c>
      <c r="G536">
        <v>1</v>
      </c>
      <c r="H536">
        <v>70</v>
      </c>
      <c r="I536">
        <v>330</v>
      </c>
      <c r="J536">
        <v>134</v>
      </c>
      <c r="K536">
        <v>1</v>
      </c>
      <c r="L536">
        <v>111</v>
      </c>
      <c r="M536">
        <v>18</v>
      </c>
      <c r="N536">
        <v>874</v>
      </c>
      <c r="O536" s="3">
        <f t="shared" si="29"/>
        <v>2.3376623376623376</v>
      </c>
      <c r="P536">
        <f t="shared" si="30"/>
        <v>0</v>
      </c>
      <c r="Q536">
        <f t="shared" si="31"/>
        <v>0</v>
      </c>
    </row>
    <row r="537" spans="1:17" x14ac:dyDescent="0.2">
      <c r="A537" t="s">
        <v>25</v>
      </c>
      <c r="B537" t="s">
        <v>583</v>
      </c>
      <c r="C537">
        <v>1160</v>
      </c>
      <c r="D537">
        <v>240</v>
      </c>
      <c r="E537">
        <v>27</v>
      </c>
      <c r="F537">
        <v>16</v>
      </c>
      <c r="G537">
        <v>2</v>
      </c>
      <c r="H537">
        <v>100</v>
      </c>
      <c r="I537">
        <v>510</v>
      </c>
      <c r="J537">
        <v>203</v>
      </c>
      <c r="K537">
        <v>2</v>
      </c>
      <c r="L537">
        <v>168</v>
      </c>
      <c r="M537">
        <v>27</v>
      </c>
      <c r="N537">
        <v>1317</v>
      </c>
      <c r="O537" s="3">
        <f t="shared" si="29"/>
        <v>2.327586206896552</v>
      </c>
      <c r="P537">
        <f t="shared" si="30"/>
        <v>1</v>
      </c>
      <c r="Q537">
        <f t="shared" si="31"/>
        <v>0</v>
      </c>
    </row>
    <row r="538" spans="1:17" x14ac:dyDescent="0.2">
      <c r="A538" t="s">
        <v>25</v>
      </c>
      <c r="B538" t="s">
        <v>584</v>
      </c>
      <c r="C538">
        <v>560</v>
      </c>
      <c r="D538">
        <v>120</v>
      </c>
      <c r="E538">
        <v>13</v>
      </c>
      <c r="F538">
        <v>8</v>
      </c>
      <c r="G538">
        <v>1</v>
      </c>
      <c r="H538">
        <v>50</v>
      </c>
      <c r="I538">
        <v>170</v>
      </c>
      <c r="J538">
        <v>97</v>
      </c>
      <c r="K538">
        <v>0</v>
      </c>
      <c r="L538">
        <v>84</v>
      </c>
      <c r="M538">
        <v>13</v>
      </c>
      <c r="N538">
        <v>639</v>
      </c>
      <c r="O538" s="3">
        <f t="shared" si="29"/>
        <v>2.3214285714285716</v>
      </c>
      <c r="P538">
        <f t="shared" si="30"/>
        <v>0</v>
      </c>
      <c r="Q538">
        <f t="shared" si="31"/>
        <v>0</v>
      </c>
    </row>
    <row r="539" spans="1:17" x14ac:dyDescent="0.2">
      <c r="A539" t="s">
        <v>25</v>
      </c>
      <c r="B539" t="s">
        <v>586</v>
      </c>
      <c r="C539">
        <v>740</v>
      </c>
      <c r="D539">
        <v>160</v>
      </c>
      <c r="E539">
        <v>18</v>
      </c>
      <c r="F539">
        <v>11</v>
      </c>
      <c r="G539">
        <v>1</v>
      </c>
      <c r="H539">
        <v>70</v>
      </c>
      <c r="I539">
        <v>230</v>
      </c>
      <c r="J539">
        <v>128</v>
      </c>
      <c r="K539">
        <v>0</v>
      </c>
      <c r="L539">
        <v>111</v>
      </c>
      <c r="M539">
        <v>17</v>
      </c>
      <c r="N539">
        <v>845</v>
      </c>
      <c r="O539" s="3">
        <f t="shared" si="29"/>
        <v>2.2972972972972974</v>
      </c>
      <c r="P539">
        <f t="shared" si="30"/>
        <v>0</v>
      </c>
      <c r="Q539">
        <f t="shared" si="31"/>
        <v>0</v>
      </c>
    </row>
    <row r="540" spans="1:17" x14ac:dyDescent="0.2">
      <c r="A540" t="s">
        <v>25</v>
      </c>
      <c r="B540" t="s">
        <v>587</v>
      </c>
      <c r="C540">
        <v>740</v>
      </c>
      <c r="D540">
        <v>160</v>
      </c>
      <c r="E540">
        <v>18</v>
      </c>
      <c r="F540">
        <v>11</v>
      </c>
      <c r="G540">
        <v>1</v>
      </c>
      <c r="H540">
        <v>70</v>
      </c>
      <c r="I540">
        <v>250</v>
      </c>
      <c r="J540">
        <v>128</v>
      </c>
      <c r="K540">
        <v>0</v>
      </c>
      <c r="L540">
        <v>96</v>
      </c>
      <c r="M540">
        <v>17</v>
      </c>
      <c r="N540">
        <v>830</v>
      </c>
      <c r="O540" s="3">
        <f t="shared" si="29"/>
        <v>2.2972972972972974</v>
      </c>
      <c r="P540">
        <f t="shared" si="30"/>
        <v>0</v>
      </c>
      <c r="Q540">
        <f t="shared" si="31"/>
        <v>0</v>
      </c>
    </row>
    <row r="541" spans="1:17" x14ac:dyDescent="0.2">
      <c r="A541" t="s">
        <v>25</v>
      </c>
      <c r="B541" t="s">
        <v>590</v>
      </c>
      <c r="C541">
        <v>480</v>
      </c>
      <c r="D541">
        <v>280</v>
      </c>
      <c r="E541">
        <v>31</v>
      </c>
      <c r="F541">
        <v>13</v>
      </c>
      <c r="G541">
        <v>0</v>
      </c>
      <c r="H541">
        <v>30</v>
      </c>
      <c r="I541">
        <v>1190</v>
      </c>
      <c r="J541">
        <v>39</v>
      </c>
      <c r="K541">
        <v>3</v>
      </c>
      <c r="L541">
        <v>3</v>
      </c>
      <c r="M541">
        <v>11</v>
      </c>
      <c r="N541">
        <v>485</v>
      </c>
      <c r="O541" s="3">
        <f t="shared" si="29"/>
        <v>2.2916666666666665</v>
      </c>
      <c r="P541">
        <f t="shared" si="30"/>
        <v>1</v>
      </c>
      <c r="Q541">
        <f t="shared" si="31"/>
        <v>0</v>
      </c>
    </row>
    <row r="542" spans="1:17" x14ac:dyDescent="0.2">
      <c r="A542" t="s">
        <v>25</v>
      </c>
      <c r="B542" t="s">
        <v>591</v>
      </c>
      <c r="C542">
        <v>350</v>
      </c>
      <c r="D542">
        <v>80</v>
      </c>
      <c r="E542">
        <v>9</v>
      </c>
      <c r="F542">
        <v>2</v>
      </c>
      <c r="G542">
        <v>0</v>
      </c>
      <c r="H542">
        <v>20</v>
      </c>
      <c r="I542">
        <v>590</v>
      </c>
      <c r="J542">
        <v>60</v>
      </c>
      <c r="K542">
        <v>3</v>
      </c>
      <c r="L542">
        <v>14</v>
      </c>
      <c r="M542">
        <v>8</v>
      </c>
      <c r="N542">
        <v>358</v>
      </c>
      <c r="O542" s="3">
        <f t="shared" si="29"/>
        <v>2.2857142857142856</v>
      </c>
      <c r="P542">
        <f t="shared" si="30"/>
        <v>1</v>
      </c>
      <c r="Q542">
        <f t="shared" si="31"/>
        <v>0</v>
      </c>
    </row>
    <row r="543" spans="1:17" x14ac:dyDescent="0.2">
      <c r="A543" t="s">
        <v>25</v>
      </c>
      <c r="B543" t="s">
        <v>592</v>
      </c>
      <c r="C543">
        <v>440</v>
      </c>
      <c r="D543">
        <v>90</v>
      </c>
      <c r="E543">
        <v>10</v>
      </c>
      <c r="F543">
        <v>6</v>
      </c>
      <c r="G543">
        <v>0.5</v>
      </c>
      <c r="H543">
        <v>40</v>
      </c>
      <c r="I543">
        <v>190</v>
      </c>
      <c r="J543">
        <v>76</v>
      </c>
      <c r="K543">
        <v>1</v>
      </c>
      <c r="L543">
        <v>63</v>
      </c>
      <c r="M543">
        <v>10</v>
      </c>
      <c r="N543">
        <v>499</v>
      </c>
      <c r="O543" s="3">
        <f t="shared" si="29"/>
        <v>2.2727272727272729</v>
      </c>
      <c r="P543">
        <f t="shared" si="30"/>
        <v>0</v>
      </c>
      <c r="Q543">
        <f t="shared" si="31"/>
        <v>0</v>
      </c>
    </row>
    <row r="544" spans="1:17" x14ac:dyDescent="0.2">
      <c r="A544" t="s">
        <v>25</v>
      </c>
      <c r="B544" t="s">
        <v>593</v>
      </c>
      <c r="C544">
        <v>310</v>
      </c>
      <c r="D544">
        <v>120</v>
      </c>
      <c r="E544">
        <v>13</v>
      </c>
      <c r="F544">
        <v>8</v>
      </c>
      <c r="G544">
        <v>0</v>
      </c>
      <c r="H544">
        <v>25</v>
      </c>
      <c r="I544">
        <v>140</v>
      </c>
      <c r="J544">
        <v>42</v>
      </c>
      <c r="K544">
        <v>0</v>
      </c>
      <c r="L544">
        <v>35</v>
      </c>
      <c r="M544">
        <v>7</v>
      </c>
      <c r="N544">
        <v>346</v>
      </c>
      <c r="O544" s="3">
        <f t="shared" si="29"/>
        <v>2.258064516129032</v>
      </c>
      <c r="P544">
        <f t="shared" si="30"/>
        <v>0</v>
      </c>
      <c r="Q544">
        <f t="shared" si="31"/>
        <v>0</v>
      </c>
    </row>
    <row r="545" spans="1:17" x14ac:dyDescent="0.2">
      <c r="A545" t="s">
        <v>25</v>
      </c>
      <c r="B545" t="s">
        <v>594</v>
      </c>
      <c r="C545">
        <v>1110</v>
      </c>
      <c r="D545">
        <v>240</v>
      </c>
      <c r="E545">
        <v>26</v>
      </c>
      <c r="F545">
        <v>16</v>
      </c>
      <c r="G545">
        <v>2</v>
      </c>
      <c r="H545">
        <v>100</v>
      </c>
      <c r="I545">
        <v>350</v>
      </c>
      <c r="J545">
        <v>194</v>
      </c>
      <c r="K545">
        <v>0</v>
      </c>
      <c r="L545">
        <v>168</v>
      </c>
      <c r="M545">
        <v>25</v>
      </c>
      <c r="N545">
        <v>1269</v>
      </c>
      <c r="O545" s="3">
        <f t="shared" si="29"/>
        <v>2.2522522522522523</v>
      </c>
      <c r="P545">
        <f t="shared" si="30"/>
        <v>0</v>
      </c>
      <c r="Q545">
        <f t="shared" si="31"/>
        <v>0</v>
      </c>
    </row>
    <row r="546" spans="1:17" x14ac:dyDescent="0.2">
      <c r="A546" t="s">
        <v>25</v>
      </c>
      <c r="B546" t="s">
        <v>595</v>
      </c>
      <c r="C546">
        <v>1110</v>
      </c>
      <c r="D546">
        <v>240</v>
      </c>
      <c r="E546">
        <v>26</v>
      </c>
      <c r="F546">
        <v>16</v>
      </c>
      <c r="G546">
        <v>2</v>
      </c>
      <c r="H546">
        <v>100</v>
      </c>
      <c r="I546">
        <v>370</v>
      </c>
      <c r="J546">
        <v>193</v>
      </c>
      <c r="K546">
        <v>0</v>
      </c>
      <c r="L546">
        <v>145</v>
      </c>
      <c r="M546">
        <v>25</v>
      </c>
      <c r="N546">
        <v>1246</v>
      </c>
      <c r="O546" s="3">
        <f t="shared" si="29"/>
        <v>2.2522522522522523</v>
      </c>
      <c r="P546">
        <f t="shared" si="30"/>
        <v>0</v>
      </c>
      <c r="Q546">
        <f t="shared" si="31"/>
        <v>0</v>
      </c>
    </row>
    <row r="547" spans="1:17" x14ac:dyDescent="0.2">
      <c r="A547" t="s">
        <v>25</v>
      </c>
      <c r="B547" t="s">
        <v>598</v>
      </c>
      <c r="C547">
        <v>580</v>
      </c>
      <c r="D547">
        <v>170</v>
      </c>
      <c r="E547">
        <v>19</v>
      </c>
      <c r="F547">
        <v>10</v>
      </c>
      <c r="G547">
        <v>1</v>
      </c>
      <c r="H547">
        <v>50</v>
      </c>
      <c r="I547">
        <v>320</v>
      </c>
      <c r="J547">
        <v>89</v>
      </c>
      <c r="K547">
        <v>3</v>
      </c>
      <c r="L547">
        <v>73</v>
      </c>
      <c r="M547">
        <v>13</v>
      </c>
      <c r="N547">
        <v>650</v>
      </c>
      <c r="O547" s="3">
        <f t="shared" si="29"/>
        <v>2.2413793103448274</v>
      </c>
      <c r="P547">
        <f t="shared" si="30"/>
        <v>0</v>
      </c>
      <c r="Q547">
        <f t="shared" si="31"/>
        <v>0</v>
      </c>
    </row>
    <row r="548" spans="1:17" x14ac:dyDescent="0.2">
      <c r="A548" t="s">
        <v>25</v>
      </c>
      <c r="B548" t="s">
        <v>599</v>
      </c>
      <c r="C548">
        <v>580</v>
      </c>
      <c r="D548">
        <v>120</v>
      </c>
      <c r="E548">
        <v>14</v>
      </c>
      <c r="F548">
        <v>8</v>
      </c>
      <c r="G548">
        <v>1</v>
      </c>
      <c r="H548">
        <v>50</v>
      </c>
      <c r="I548">
        <v>250</v>
      </c>
      <c r="J548">
        <v>102</v>
      </c>
      <c r="K548">
        <v>1</v>
      </c>
      <c r="L548">
        <v>84</v>
      </c>
      <c r="M548">
        <v>13</v>
      </c>
      <c r="N548">
        <v>659</v>
      </c>
      <c r="O548" s="3">
        <f t="shared" si="29"/>
        <v>2.2413793103448274</v>
      </c>
      <c r="P548">
        <f t="shared" si="30"/>
        <v>0</v>
      </c>
      <c r="Q548">
        <f t="shared" si="31"/>
        <v>0</v>
      </c>
    </row>
    <row r="549" spans="1:17" x14ac:dyDescent="0.2">
      <c r="A549" t="s">
        <v>25</v>
      </c>
      <c r="B549" t="s">
        <v>600</v>
      </c>
      <c r="C549">
        <v>45</v>
      </c>
      <c r="D549">
        <v>10</v>
      </c>
      <c r="E549">
        <v>1</v>
      </c>
      <c r="F549">
        <v>0.5</v>
      </c>
      <c r="G549">
        <v>0</v>
      </c>
      <c r="H549">
        <v>5</v>
      </c>
      <c r="I549">
        <v>20</v>
      </c>
      <c r="J549">
        <v>8</v>
      </c>
      <c r="K549">
        <v>0</v>
      </c>
      <c r="L549">
        <v>6</v>
      </c>
      <c r="M549">
        <v>1</v>
      </c>
      <c r="N549">
        <v>50.5</v>
      </c>
      <c r="O549" s="3">
        <f t="shared" si="29"/>
        <v>2.2222222222222223</v>
      </c>
      <c r="P549">
        <f t="shared" si="30"/>
        <v>0</v>
      </c>
      <c r="Q549">
        <f t="shared" si="31"/>
        <v>0</v>
      </c>
    </row>
    <row r="550" spans="1:17" x14ac:dyDescent="0.2">
      <c r="A550" t="s">
        <v>25</v>
      </c>
      <c r="B550" t="s">
        <v>601</v>
      </c>
      <c r="C550">
        <v>90</v>
      </c>
      <c r="D550">
        <v>70</v>
      </c>
      <c r="E550">
        <v>8</v>
      </c>
      <c r="F550">
        <v>5</v>
      </c>
      <c r="G550">
        <v>0</v>
      </c>
      <c r="H550">
        <v>30</v>
      </c>
      <c r="I550">
        <v>100</v>
      </c>
      <c r="J550">
        <v>11</v>
      </c>
      <c r="K550">
        <v>0</v>
      </c>
      <c r="L550">
        <v>2</v>
      </c>
      <c r="M550">
        <v>2</v>
      </c>
      <c r="N550">
        <v>95</v>
      </c>
      <c r="O550" s="3">
        <f t="shared" si="29"/>
        <v>2.2222222222222223</v>
      </c>
      <c r="P550">
        <f t="shared" si="30"/>
        <v>0</v>
      </c>
      <c r="Q550">
        <f t="shared" si="31"/>
        <v>0</v>
      </c>
    </row>
    <row r="551" spans="1:17" x14ac:dyDescent="0.2">
      <c r="A551" t="s">
        <v>25</v>
      </c>
      <c r="B551" t="s">
        <v>602</v>
      </c>
      <c r="C551">
        <v>180</v>
      </c>
      <c r="D551">
        <v>40</v>
      </c>
      <c r="E551">
        <v>4.5</v>
      </c>
      <c r="F551">
        <v>2.5</v>
      </c>
      <c r="G551">
        <v>0</v>
      </c>
      <c r="H551">
        <v>15</v>
      </c>
      <c r="I551">
        <v>120</v>
      </c>
      <c r="J551">
        <v>31</v>
      </c>
      <c r="K551">
        <v>0</v>
      </c>
      <c r="L551">
        <v>31</v>
      </c>
      <c r="M551">
        <v>4</v>
      </c>
      <c r="N551">
        <v>209.5</v>
      </c>
      <c r="O551" s="3">
        <f t="shared" si="29"/>
        <v>2.2222222222222223</v>
      </c>
      <c r="P551">
        <f t="shared" si="30"/>
        <v>0</v>
      </c>
      <c r="Q551">
        <f t="shared" si="31"/>
        <v>0</v>
      </c>
    </row>
    <row r="552" spans="1:17" x14ac:dyDescent="0.2">
      <c r="A552" t="s">
        <v>25</v>
      </c>
      <c r="B552" t="s">
        <v>603</v>
      </c>
      <c r="C552">
        <v>180</v>
      </c>
      <c r="D552">
        <v>40</v>
      </c>
      <c r="E552">
        <v>4.5</v>
      </c>
      <c r="F552">
        <v>2.5</v>
      </c>
      <c r="G552">
        <v>0</v>
      </c>
      <c r="H552">
        <v>15</v>
      </c>
      <c r="I552">
        <v>65</v>
      </c>
      <c r="J552">
        <v>33</v>
      </c>
      <c r="K552">
        <v>0</v>
      </c>
      <c r="L552">
        <v>33</v>
      </c>
      <c r="M552">
        <v>4</v>
      </c>
      <c r="N552">
        <v>211.5</v>
      </c>
      <c r="O552" s="3">
        <f t="shared" si="29"/>
        <v>2.2222222222222223</v>
      </c>
      <c r="P552">
        <f t="shared" si="30"/>
        <v>0</v>
      </c>
      <c r="Q552">
        <f t="shared" si="31"/>
        <v>0</v>
      </c>
    </row>
    <row r="553" spans="1:17" x14ac:dyDescent="0.2">
      <c r="A553" t="s">
        <v>25</v>
      </c>
      <c r="B553" t="s">
        <v>610</v>
      </c>
      <c r="C553">
        <v>280</v>
      </c>
      <c r="D553">
        <v>60</v>
      </c>
      <c r="E553">
        <v>6</v>
      </c>
      <c r="F553">
        <v>4</v>
      </c>
      <c r="G553">
        <v>0</v>
      </c>
      <c r="H553">
        <v>25</v>
      </c>
      <c r="I553">
        <v>95</v>
      </c>
      <c r="J553">
        <v>49</v>
      </c>
      <c r="K553">
        <v>1</v>
      </c>
      <c r="L553">
        <v>45</v>
      </c>
      <c r="M553">
        <v>6</v>
      </c>
      <c r="N553">
        <v>323</v>
      </c>
      <c r="O553" s="3">
        <f t="shared" si="29"/>
        <v>2.1428571428571428</v>
      </c>
      <c r="P553">
        <f t="shared" si="30"/>
        <v>0</v>
      </c>
      <c r="Q553">
        <f t="shared" si="31"/>
        <v>0</v>
      </c>
    </row>
    <row r="554" spans="1:17" x14ac:dyDescent="0.2">
      <c r="A554" t="s">
        <v>25</v>
      </c>
      <c r="B554" t="s">
        <v>611</v>
      </c>
      <c r="C554">
        <v>420</v>
      </c>
      <c r="D554">
        <v>90</v>
      </c>
      <c r="E554">
        <v>10</v>
      </c>
      <c r="F554">
        <v>6</v>
      </c>
      <c r="G554">
        <v>0.5</v>
      </c>
      <c r="H554">
        <v>40</v>
      </c>
      <c r="I554">
        <v>140</v>
      </c>
      <c r="J554">
        <v>72</v>
      </c>
      <c r="K554">
        <v>0</v>
      </c>
      <c r="L554">
        <v>54</v>
      </c>
      <c r="M554">
        <v>9</v>
      </c>
      <c r="N554">
        <v>471</v>
      </c>
      <c r="O554" s="3">
        <f t="shared" si="29"/>
        <v>2.1428571428571428</v>
      </c>
      <c r="P554">
        <f t="shared" si="30"/>
        <v>0</v>
      </c>
      <c r="Q554">
        <f t="shared" si="31"/>
        <v>0</v>
      </c>
    </row>
    <row r="555" spans="1:17" x14ac:dyDescent="0.2">
      <c r="A555" t="s">
        <v>25</v>
      </c>
      <c r="B555" t="s">
        <v>612</v>
      </c>
      <c r="C555">
        <v>140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105</v>
      </c>
      <c r="J555">
        <v>30</v>
      </c>
      <c r="K555">
        <v>0</v>
      </c>
      <c r="L555">
        <v>30</v>
      </c>
      <c r="M555">
        <v>3</v>
      </c>
      <c r="N555">
        <v>167</v>
      </c>
      <c r="O555" s="3">
        <f t="shared" si="29"/>
        <v>2.1428571428571428</v>
      </c>
      <c r="P555">
        <f t="shared" si="30"/>
        <v>0</v>
      </c>
      <c r="Q555">
        <f t="shared" si="31"/>
        <v>0</v>
      </c>
    </row>
    <row r="556" spans="1:17" x14ac:dyDescent="0.2">
      <c r="A556" t="s">
        <v>25</v>
      </c>
      <c r="B556" t="s">
        <v>613</v>
      </c>
      <c r="C556">
        <v>140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50</v>
      </c>
      <c r="J556">
        <v>32</v>
      </c>
      <c r="K556">
        <v>0</v>
      </c>
      <c r="L556">
        <v>32</v>
      </c>
      <c r="M556">
        <v>3</v>
      </c>
      <c r="N556">
        <v>169</v>
      </c>
      <c r="O556" s="3">
        <f t="shared" si="29"/>
        <v>2.1428571428571428</v>
      </c>
      <c r="P556">
        <f t="shared" si="30"/>
        <v>0</v>
      </c>
      <c r="Q556">
        <f t="shared" si="31"/>
        <v>0</v>
      </c>
    </row>
    <row r="557" spans="1:17" x14ac:dyDescent="0.2">
      <c r="A557" t="s">
        <v>25</v>
      </c>
      <c r="B557" t="s">
        <v>614</v>
      </c>
      <c r="C557">
        <v>140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50</v>
      </c>
      <c r="J557">
        <v>31</v>
      </c>
      <c r="K557">
        <v>0</v>
      </c>
      <c r="L557">
        <v>31</v>
      </c>
      <c r="M557">
        <v>3</v>
      </c>
      <c r="N557">
        <v>168</v>
      </c>
      <c r="O557" s="3">
        <f t="shared" si="29"/>
        <v>2.1428571428571428</v>
      </c>
      <c r="P557">
        <f t="shared" si="30"/>
        <v>0</v>
      </c>
      <c r="Q557">
        <f t="shared" si="31"/>
        <v>0</v>
      </c>
    </row>
    <row r="558" spans="1:17" x14ac:dyDescent="0.2">
      <c r="A558" t="s">
        <v>25</v>
      </c>
      <c r="B558" t="s">
        <v>615</v>
      </c>
      <c r="C558">
        <v>280</v>
      </c>
      <c r="D558">
        <v>100</v>
      </c>
      <c r="E558">
        <v>11</v>
      </c>
      <c r="F558">
        <v>6</v>
      </c>
      <c r="G558">
        <v>0</v>
      </c>
      <c r="H558">
        <v>20</v>
      </c>
      <c r="I558">
        <v>125</v>
      </c>
      <c r="J558">
        <v>40</v>
      </c>
      <c r="K558">
        <v>0</v>
      </c>
      <c r="L558">
        <v>33</v>
      </c>
      <c r="M558">
        <v>6</v>
      </c>
      <c r="N558">
        <v>313</v>
      </c>
      <c r="O558" s="3">
        <f t="shared" si="29"/>
        <v>2.1428571428571428</v>
      </c>
      <c r="P558">
        <f t="shared" si="30"/>
        <v>0</v>
      </c>
      <c r="Q558">
        <f t="shared" si="31"/>
        <v>0</v>
      </c>
    </row>
    <row r="559" spans="1:17" x14ac:dyDescent="0.2">
      <c r="A559" t="s">
        <v>25</v>
      </c>
      <c r="B559" t="s">
        <v>616</v>
      </c>
      <c r="C559">
        <v>330</v>
      </c>
      <c r="D559">
        <v>110</v>
      </c>
      <c r="E559">
        <v>12</v>
      </c>
      <c r="F559">
        <v>7</v>
      </c>
      <c r="G559">
        <v>0</v>
      </c>
      <c r="H559">
        <v>25</v>
      </c>
      <c r="I559">
        <v>150</v>
      </c>
      <c r="J559">
        <v>48</v>
      </c>
      <c r="K559">
        <v>0</v>
      </c>
      <c r="L559">
        <v>41</v>
      </c>
      <c r="M559">
        <v>7</v>
      </c>
      <c r="N559">
        <v>371</v>
      </c>
      <c r="O559" s="3">
        <f t="shared" si="29"/>
        <v>2.1212121212121215</v>
      </c>
      <c r="P559">
        <f t="shared" si="30"/>
        <v>0</v>
      </c>
      <c r="Q559">
        <f t="shared" si="31"/>
        <v>0</v>
      </c>
    </row>
    <row r="560" spans="1:17" x14ac:dyDescent="0.2">
      <c r="A560" t="s">
        <v>25</v>
      </c>
      <c r="B560" t="s">
        <v>617</v>
      </c>
      <c r="C560">
        <v>710</v>
      </c>
      <c r="D560">
        <v>230</v>
      </c>
      <c r="E560">
        <v>25</v>
      </c>
      <c r="F560">
        <v>16</v>
      </c>
      <c r="G560">
        <v>1</v>
      </c>
      <c r="H560">
        <v>60</v>
      </c>
      <c r="I560">
        <v>220</v>
      </c>
      <c r="J560">
        <v>105</v>
      </c>
      <c r="K560">
        <v>4</v>
      </c>
      <c r="L560">
        <v>97</v>
      </c>
      <c r="M560">
        <v>15</v>
      </c>
      <c r="N560">
        <v>808</v>
      </c>
      <c r="O560" s="3">
        <f t="shared" si="29"/>
        <v>2.112676056338028</v>
      </c>
      <c r="P560">
        <f t="shared" si="30"/>
        <v>0</v>
      </c>
      <c r="Q560">
        <f t="shared" si="31"/>
        <v>0</v>
      </c>
    </row>
    <row r="561" spans="1:17" x14ac:dyDescent="0.2">
      <c r="A561" t="s">
        <v>25</v>
      </c>
      <c r="B561" t="s">
        <v>618</v>
      </c>
      <c r="C561">
        <v>430</v>
      </c>
      <c r="D561">
        <v>140</v>
      </c>
      <c r="E561">
        <v>16</v>
      </c>
      <c r="F561">
        <v>10</v>
      </c>
      <c r="G561">
        <v>0.5</v>
      </c>
      <c r="H561">
        <v>35</v>
      </c>
      <c r="I561">
        <v>130</v>
      </c>
      <c r="J561">
        <v>64</v>
      </c>
      <c r="K561">
        <v>2</v>
      </c>
      <c r="L561">
        <v>59</v>
      </c>
      <c r="M561">
        <v>9</v>
      </c>
      <c r="N561">
        <v>490</v>
      </c>
      <c r="O561" s="3">
        <f t="shared" si="29"/>
        <v>2.0930232558139537</v>
      </c>
      <c r="P561">
        <f t="shared" si="30"/>
        <v>0</v>
      </c>
      <c r="Q561">
        <f t="shared" si="31"/>
        <v>0</v>
      </c>
    </row>
    <row r="562" spans="1:17" x14ac:dyDescent="0.2">
      <c r="A562" t="s">
        <v>25</v>
      </c>
      <c r="B562" t="s">
        <v>619</v>
      </c>
      <c r="C562">
        <v>860</v>
      </c>
      <c r="D562">
        <v>220</v>
      </c>
      <c r="E562">
        <v>24</v>
      </c>
      <c r="F562">
        <v>15</v>
      </c>
      <c r="G562">
        <v>1.5</v>
      </c>
      <c r="H562">
        <v>75</v>
      </c>
      <c r="I562">
        <v>260</v>
      </c>
      <c r="J562">
        <v>144</v>
      </c>
      <c r="K562">
        <v>0</v>
      </c>
      <c r="L562">
        <v>124</v>
      </c>
      <c r="M562">
        <v>18</v>
      </c>
      <c r="N562">
        <v>981</v>
      </c>
      <c r="O562" s="3">
        <f t="shared" si="29"/>
        <v>2.0930232558139537</v>
      </c>
      <c r="P562">
        <f t="shared" si="30"/>
        <v>0</v>
      </c>
      <c r="Q562">
        <f t="shared" si="31"/>
        <v>0</v>
      </c>
    </row>
    <row r="563" spans="1:17" x14ac:dyDescent="0.2">
      <c r="A563" t="s">
        <v>25</v>
      </c>
      <c r="B563" t="s">
        <v>620</v>
      </c>
      <c r="C563">
        <v>720</v>
      </c>
      <c r="D563">
        <v>180</v>
      </c>
      <c r="E563">
        <v>20</v>
      </c>
      <c r="F563">
        <v>12</v>
      </c>
      <c r="G563">
        <v>1</v>
      </c>
      <c r="H563">
        <v>60</v>
      </c>
      <c r="I563">
        <v>300</v>
      </c>
      <c r="J563">
        <v>119</v>
      </c>
      <c r="K563">
        <v>1</v>
      </c>
      <c r="L563">
        <v>98</v>
      </c>
      <c r="M563">
        <v>15</v>
      </c>
      <c r="N563">
        <v>815</v>
      </c>
      <c r="O563" s="3">
        <f t="shared" si="29"/>
        <v>2.083333333333333</v>
      </c>
      <c r="P563">
        <f t="shared" si="30"/>
        <v>0</v>
      </c>
      <c r="Q563">
        <f t="shared" si="31"/>
        <v>0</v>
      </c>
    </row>
    <row r="564" spans="1:17" x14ac:dyDescent="0.2">
      <c r="A564" t="s">
        <v>25</v>
      </c>
      <c r="B564" t="s">
        <v>622</v>
      </c>
      <c r="C564">
        <v>340</v>
      </c>
      <c r="D564">
        <v>70</v>
      </c>
      <c r="E564">
        <v>8</v>
      </c>
      <c r="F564">
        <v>5</v>
      </c>
      <c r="G564">
        <v>0</v>
      </c>
      <c r="H564">
        <v>30</v>
      </c>
      <c r="I564">
        <v>160</v>
      </c>
      <c r="J564">
        <v>60</v>
      </c>
      <c r="K564">
        <v>1</v>
      </c>
      <c r="L564">
        <v>44</v>
      </c>
      <c r="M564">
        <v>7</v>
      </c>
      <c r="N564">
        <v>382</v>
      </c>
      <c r="O564" s="3">
        <f t="shared" si="29"/>
        <v>2.0588235294117645</v>
      </c>
      <c r="P564">
        <f t="shared" si="30"/>
        <v>0</v>
      </c>
      <c r="Q564">
        <f t="shared" si="31"/>
        <v>0</v>
      </c>
    </row>
    <row r="565" spans="1:17" x14ac:dyDescent="0.2">
      <c r="A565" t="s">
        <v>25</v>
      </c>
      <c r="B565" t="s">
        <v>623</v>
      </c>
      <c r="C565">
        <v>680</v>
      </c>
      <c r="D565">
        <v>180</v>
      </c>
      <c r="E565">
        <v>20</v>
      </c>
      <c r="F565">
        <v>12</v>
      </c>
      <c r="G565">
        <v>1</v>
      </c>
      <c r="H565">
        <v>60</v>
      </c>
      <c r="I565">
        <v>220</v>
      </c>
      <c r="J565">
        <v>111</v>
      </c>
      <c r="K565">
        <v>0</v>
      </c>
      <c r="L565">
        <v>82</v>
      </c>
      <c r="M565">
        <v>14</v>
      </c>
      <c r="N565">
        <v>760</v>
      </c>
      <c r="O565" s="3">
        <f t="shared" si="29"/>
        <v>2.0588235294117645</v>
      </c>
      <c r="P565">
        <f t="shared" si="30"/>
        <v>0</v>
      </c>
      <c r="Q565">
        <f t="shared" si="31"/>
        <v>0</v>
      </c>
    </row>
    <row r="566" spans="1:17" x14ac:dyDescent="0.2">
      <c r="A566" t="s">
        <v>25</v>
      </c>
      <c r="B566" t="s">
        <v>624</v>
      </c>
      <c r="C566">
        <v>830</v>
      </c>
      <c r="D566">
        <v>210</v>
      </c>
      <c r="E566">
        <v>24</v>
      </c>
      <c r="F566">
        <v>14</v>
      </c>
      <c r="G566">
        <v>1.5</v>
      </c>
      <c r="H566">
        <v>75</v>
      </c>
      <c r="I566">
        <v>270</v>
      </c>
      <c r="J566">
        <v>138</v>
      </c>
      <c r="K566">
        <v>0</v>
      </c>
      <c r="L566">
        <v>103</v>
      </c>
      <c r="M566">
        <v>17</v>
      </c>
      <c r="N566">
        <v>930</v>
      </c>
      <c r="O566" s="3">
        <f t="shared" si="29"/>
        <v>2.0481927710843375</v>
      </c>
      <c r="P566">
        <f t="shared" si="30"/>
        <v>0</v>
      </c>
      <c r="Q566">
        <f t="shared" si="31"/>
        <v>0</v>
      </c>
    </row>
    <row r="567" spans="1:17" x14ac:dyDescent="0.2">
      <c r="A567" t="s">
        <v>25</v>
      </c>
      <c r="B567" t="s">
        <v>625</v>
      </c>
      <c r="C567">
        <v>880</v>
      </c>
      <c r="D567">
        <v>220</v>
      </c>
      <c r="E567">
        <v>24</v>
      </c>
      <c r="F567">
        <v>15</v>
      </c>
      <c r="G567">
        <v>1.5</v>
      </c>
      <c r="H567">
        <v>75</v>
      </c>
      <c r="I567">
        <v>370</v>
      </c>
      <c r="J567">
        <v>147</v>
      </c>
      <c r="K567">
        <v>1</v>
      </c>
      <c r="L567">
        <v>121</v>
      </c>
      <c r="M567">
        <v>18</v>
      </c>
      <c r="N567">
        <v>998</v>
      </c>
      <c r="O567" s="3">
        <f t="shared" si="29"/>
        <v>2.0454545454545454</v>
      </c>
      <c r="P567">
        <f t="shared" si="30"/>
        <v>0</v>
      </c>
      <c r="Q567">
        <f t="shared" si="31"/>
        <v>0</v>
      </c>
    </row>
    <row r="568" spans="1:17" x14ac:dyDescent="0.2">
      <c r="A568" t="s">
        <v>25</v>
      </c>
      <c r="B568" t="s">
        <v>627</v>
      </c>
      <c r="C568">
        <v>710</v>
      </c>
      <c r="D568">
        <v>180</v>
      </c>
      <c r="E568">
        <v>20</v>
      </c>
      <c r="F568">
        <v>12</v>
      </c>
      <c r="G568">
        <v>1</v>
      </c>
      <c r="H568">
        <v>65</v>
      </c>
      <c r="I568">
        <v>210</v>
      </c>
      <c r="J568">
        <v>116</v>
      </c>
      <c r="K568">
        <v>0</v>
      </c>
      <c r="L568">
        <v>100</v>
      </c>
      <c r="M568">
        <v>14</v>
      </c>
      <c r="N568">
        <v>808</v>
      </c>
      <c r="O568" s="3">
        <f t="shared" si="29"/>
        <v>1.971830985915493</v>
      </c>
      <c r="P568">
        <f t="shared" si="30"/>
        <v>0</v>
      </c>
      <c r="Q568">
        <f t="shared" si="31"/>
        <v>0</v>
      </c>
    </row>
    <row r="569" spans="1:17" x14ac:dyDescent="0.2">
      <c r="A569" t="s">
        <v>25</v>
      </c>
      <c r="B569" t="s">
        <v>630</v>
      </c>
      <c r="C569">
        <v>570</v>
      </c>
      <c r="D569">
        <v>150</v>
      </c>
      <c r="E569">
        <v>17</v>
      </c>
      <c r="F569">
        <v>10</v>
      </c>
      <c r="G569">
        <v>1</v>
      </c>
      <c r="H569">
        <v>50</v>
      </c>
      <c r="I569">
        <v>170</v>
      </c>
      <c r="J569">
        <v>92</v>
      </c>
      <c r="K569">
        <v>0</v>
      </c>
      <c r="L569">
        <v>79</v>
      </c>
      <c r="M569">
        <v>11</v>
      </c>
      <c r="N569">
        <v>648</v>
      </c>
      <c r="O569" s="3">
        <f t="shared" si="29"/>
        <v>1.9298245614035088</v>
      </c>
      <c r="P569">
        <f t="shared" si="30"/>
        <v>0</v>
      </c>
      <c r="Q569">
        <f t="shared" si="31"/>
        <v>0</v>
      </c>
    </row>
    <row r="570" spans="1:17" x14ac:dyDescent="0.2">
      <c r="A570" t="s">
        <v>25</v>
      </c>
      <c r="B570" t="s">
        <v>631</v>
      </c>
      <c r="C570">
        <v>260</v>
      </c>
      <c r="D570">
        <v>40</v>
      </c>
      <c r="E570">
        <v>4.5</v>
      </c>
      <c r="F570">
        <v>2</v>
      </c>
      <c r="G570">
        <v>0</v>
      </c>
      <c r="H570">
        <v>10</v>
      </c>
      <c r="I570">
        <v>115</v>
      </c>
      <c r="J570">
        <v>48</v>
      </c>
      <c r="K570">
        <v>5</v>
      </c>
      <c r="L570">
        <v>18</v>
      </c>
      <c r="M570">
        <v>5</v>
      </c>
      <c r="N570">
        <v>275</v>
      </c>
      <c r="O570" s="3">
        <f t="shared" si="29"/>
        <v>1.9230769230769231</v>
      </c>
      <c r="P570">
        <f t="shared" si="30"/>
        <v>0</v>
      </c>
      <c r="Q570">
        <f t="shared" si="31"/>
        <v>0</v>
      </c>
    </row>
    <row r="571" spans="1:17" x14ac:dyDescent="0.2">
      <c r="A571" t="s">
        <v>25</v>
      </c>
      <c r="B571" t="s">
        <v>633</v>
      </c>
      <c r="C571">
        <v>210</v>
      </c>
      <c r="D571">
        <v>70</v>
      </c>
      <c r="E571">
        <v>8</v>
      </c>
      <c r="F571">
        <v>1.5</v>
      </c>
      <c r="G571">
        <v>0</v>
      </c>
      <c r="H571">
        <v>5</v>
      </c>
      <c r="I571">
        <v>60</v>
      </c>
      <c r="J571">
        <v>31</v>
      </c>
      <c r="K571">
        <v>2</v>
      </c>
      <c r="L571">
        <v>25</v>
      </c>
      <c r="M571">
        <v>4</v>
      </c>
      <c r="N571">
        <v>232.5</v>
      </c>
      <c r="O571" s="3">
        <f t="shared" si="29"/>
        <v>1.9047619047619049</v>
      </c>
      <c r="P571">
        <f t="shared" si="30"/>
        <v>0</v>
      </c>
      <c r="Q571">
        <f t="shared" si="31"/>
        <v>0</v>
      </c>
    </row>
    <row r="572" spans="1:17" x14ac:dyDescent="0.2">
      <c r="A572" t="s">
        <v>25</v>
      </c>
      <c r="B572" t="s">
        <v>634</v>
      </c>
      <c r="C572">
        <v>580</v>
      </c>
      <c r="D572">
        <v>150</v>
      </c>
      <c r="E572">
        <v>17</v>
      </c>
      <c r="F572">
        <v>10</v>
      </c>
      <c r="G572">
        <v>1</v>
      </c>
      <c r="H572">
        <v>50</v>
      </c>
      <c r="I572">
        <v>240</v>
      </c>
      <c r="J572">
        <v>94</v>
      </c>
      <c r="K572">
        <v>1</v>
      </c>
      <c r="L572">
        <v>77</v>
      </c>
      <c r="M572">
        <v>11</v>
      </c>
      <c r="N572">
        <v>656</v>
      </c>
      <c r="O572" s="3">
        <f t="shared" si="29"/>
        <v>1.896551724137931</v>
      </c>
      <c r="P572">
        <f t="shared" si="30"/>
        <v>0</v>
      </c>
      <c r="Q572">
        <f t="shared" si="31"/>
        <v>0</v>
      </c>
    </row>
    <row r="573" spans="1:17" x14ac:dyDescent="0.2">
      <c r="A573" t="s">
        <v>25</v>
      </c>
      <c r="B573" t="s">
        <v>635</v>
      </c>
      <c r="C573">
        <v>160</v>
      </c>
      <c r="D573">
        <v>25</v>
      </c>
      <c r="E573">
        <v>3</v>
      </c>
      <c r="F573">
        <v>1.5</v>
      </c>
      <c r="G573">
        <v>0</v>
      </c>
      <c r="H573">
        <v>10</v>
      </c>
      <c r="I573">
        <v>100</v>
      </c>
      <c r="J573">
        <v>29</v>
      </c>
      <c r="K573">
        <v>0</v>
      </c>
      <c r="L573">
        <v>29</v>
      </c>
      <c r="M573">
        <v>3</v>
      </c>
      <c r="N573">
        <v>187.5</v>
      </c>
      <c r="O573" s="3">
        <f t="shared" si="29"/>
        <v>1.875</v>
      </c>
      <c r="P573">
        <f t="shared" si="30"/>
        <v>0</v>
      </c>
      <c r="Q573">
        <f t="shared" si="31"/>
        <v>0</v>
      </c>
    </row>
    <row r="574" spans="1:17" x14ac:dyDescent="0.2">
      <c r="A574" t="s">
        <v>25</v>
      </c>
      <c r="B574" t="s">
        <v>636</v>
      </c>
      <c r="C574">
        <v>160</v>
      </c>
      <c r="D574">
        <v>25</v>
      </c>
      <c r="E574">
        <v>3</v>
      </c>
      <c r="F574">
        <v>1.5</v>
      </c>
      <c r="G574">
        <v>0</v>
      </c>
      <c r="H574">
        <v>10</v>
      </c>
      <c r="I574">
        <v>45</v>
      </c>
      <c r="J574">
        <v>31</v>
      </c>
      <c r="K574">
        <v>0</v>
      </c>
      <c r="L574">
        <v>31</v>
      </c>
      <c r="M574">
        <v>3</v>
      </c>
      <c r="N574">
        <v>189.5</v>
      </c>
      <c r="O574" s="3">
        <f t="shared" si="29"/>
        <v>1.875</v>
      </c>
      <c r="P574">
        <f t="shared" si="30"/>
        <v>0</v>
      </c>
      <c r="Q574">
        <f t="shared" si="31"/>
        <v>0</v>
      </c>
    </row>
    <row r="575" spans="1:17" x14ac:dyDescent="0.2">
      <c r="A575" t="s">
        <v>25</v>
      </c>
      <c r="B575" t="s">
        <v>637</v>
      </c>
      <c r="C575">
        <v>160</v>
      </c>
      <c r="D575">
        <v>25</v>
      </c>
      <c r="E575">
        <v>3</v>
      </c>
      <c r="F575">
        <v>1.5</v>
      </c>
      <c r="G575">
        <v>0</v>
      </c>
      <c r="H575">
        <v>10</v>
      </c>
      <c r="I575">
        <v>45</v>
      </c>
      <c r="J575">
        <v>31</v>
      </c>
      <c r="K575">
        <v>0</v>
      </c>
      <c r="L575">
        <v>31</v>
      </c>
      <c r="M575">
        <v>3</v>
      </c>
      <c r="N575">
        <v>189.5</v>
      </c>
      <c r="O575" s="3">
        <f t="shared" si="29"/>
        <v>1.875</v>
      </c>
      <c r="P575">
        <f t="shared" si="30"/>
        <v>0</v>
      </c>
      <c r="Q575">
        <f t="shared" si="31"/>
        <v>0</v>
      </c>
    </row>
    <row r="576" spans="1:17" x14ac:dyDescent="0.2">
      <c r="A576" t="s">
        <v>25</v>
      </c>
      <c r="B576" t="s">
        <v>638</v>
      </c>
      <c r="C576">
        <v>540</v>
      </c>
      <c r="D576">
        <v>150</v>
      </c>
      <c r="E576">
        <v>16</v>
      </c>
      <c r="F576">
        <v>10</v>
      </c>
      <c r="G576">
        <v>1</v>
      </c>
      <c r="H576">
        <v>45</v>
      </c>
      <c r="I576">
        <v>170</v>
      </c>
      <c r="J576">
        <v>88</v>
      </c>
      <c r="K576">
        <v>0</v>
      </c>
      <c r="L576">
        <v>64</v>
      </c>
      <c r="M576">
        <v>10</v>
      </c>
      <c r="N576">
        <v>604</v>
      </c>
      <c r="O576" s="3">
        <f t="shared" si="29"/>
        <v>1.8518518518518516</v>
      </c>
      <c r="P576">
        <f t="shared" si="30"/>
        <v>0</v>
      </c>
      <c r="Q576">
        <f t="shared" si="31"/>
        <v>0</v>
      </c>
    </row>
    <row r="577" spans="1:17" x14ac:dyDescent="0.2">
      <c r="A577" t="s">
        <v>25</v>
      </c>
      <c r="B577" t="s">
        <v>642</v>
      </c>
      <c r="C577">
        <v>290</v>
      </c>
      <c r="D577">
        <v>40</v>
      </c>
      <c r="E577">
        <v>4.5</v>
      </c>
      <c r="F577">
        <v>2</v>
      </c>
      <c r="G577">
        <v>0</v>
      </c>
      <c r="H577">
        <v>10</v>
      </c>
      <c r="I577">
        <v>160</v>
      </c>
      <c r="J577">
        <v>57</v>
      </c>
      <c r="K577">
        <v>5</v>
      </c>
      <c r="L577">
        <v>32</v>
      </c>
      <c r="M577">
        <v>5</v>
      </c>
      <c r="N577">
        <v>319</v>
      </c>
      <c r="O577" s="3">
        <f t="shared" si="29"/>
        <v>1.7241379310344827</v>
      </c>
      <c r="P577">
        <f t="shared" si="30"/>
        <v>0</v>
      </c>
      <c r="Q577">
        <f t="shared" si="31"/>
        <v>0</v>
      </c>
    </row>
    <row r="578" spans="1:17" x14ac:dyDescent="0.2">
      <c r="A578" t="s">
        <v>25</v>
      </c>
      <c r="B578" t="s">
        <v>644</v>
      </c>
      <c r="C578">
        <v>60</v>
      </c>
      <c r="D578">
        <v>20</v>
      </c>
      <c r="E578">
        <v>2.5</v>
      </c>
      <c r="F578">
        <v>0</v>
      </c>
      <c r="G578">
        <v>0</v>
      </c>
      <c r="H578">
        <v>5</v>
      </c>
      <c r="I578">
        <v>250</v>
      </c>
      <c r="J578">
        <v>9</v>
      </c>
      <c r="K578">
        <v>2</v>
      </c>
      <c r="L578">
        <v>6</v>
      </c>
      <c r="M578">
        <v>1</v>
      </c>
      <c r="N578">
        <v>65</v>
      </c>
      <c r="O578" s="3">
        <f t="shared" ref="O578:O625" si="32">M578/C578*100</f>
        <v>1.6666666666666667</v>
      </c>
      <c r="P578">
        <f t="shared" ref="P578:P641" si="33">IF(I578&gt;2300*0.2,1,0)</f>
        <v>0</v>
      </c>
      <c r="Q578">
        <f t="shared" ref="Q578:Q641" si="34">IF(H578&gt;300,1,0)</f>
        <v>0</v>
      </c>
    </row>
    <row r="579" spans="1:17" x14ac:dyDescent="0.2">
      <c r="A579" t="s">
        <v>25</v>
      </c>
      <c r="B579" t="s">
        <v>645</v>
      </c>
      <c r="C579">
        <v>60</v>
      </c>
      <c r="D579">
        <v>20</v>
      </c>
      <c r="E579">
        <v>2.5</v>
      </c>
      <c r="F579">
        <v>0</v>
      </c>
      <c r="G579">
        <v>0</v>
      </c>
      <c r="H579">
        <v>0</v>
      </c>
      <c r="I579">
        <v>730</v>
      </c>
      <c r="J579">
        <v>8</v>
      </c>
      <c r="K579">
        <v>0</v>
      </c>
      <c r="L579">
        <v>1</v>
      </c>
      <c r="M579">
        <v>1</v>
      </c>
      <c r="N579">
        <v>60</v>
      </c>
      <c r="O579" s="3">
        <f t="shared" si="32"/>
        <v>1.6666666666666667</v>
      </c>
      <c r="P579">
        <f t="shared" si="33"/>
        <v>1</v>
      </c>
      <c r="Q579">
        <f t="shared" si="34"/>
        <v>0</v>
      </c>
    </row>
    <row r="580" spans="1:17" x14ac:dyDescent="0.2">
      <c r="A580" t="s">
        <v>25</v>
      </c>
      <c r="B580" t="s">
        <v>646</v>
      </c>
      <c r="C580">
        <v>60</v>
      </c>
      <c r="D580">
        <v>50</v>
      </c>
      <c r="E580">
        <v>5</v>
      </c>
      <c r="F580">
        <v>3.5</v>
      </c>
      <c r="G580">
        <v>0</v>
      </c>
      <c r="H580">
        <v>20</v>
      </c>
      <c r="I580">
        <v>70</v>
      </c>
      <c r="J580">
        <v>8</v>
      </c>
      <c r="K580">
        <v>0</v>
      </c>
      <c r="L580">
        <v>1</v>
      </c>
      <c r="M580">
        <v>1</v>
      </c>
      <c r="N580">
        <v>63.5</v>
      </c>
      <c r="O580" s="3">
        <f t="shared" si="32"/>
        <v>1.6666666666666667</v>
      </c>
      <c r="P580">
        <f t="shared" si="33"/>
        <v>0</v>
      </c>
      <c r="Q580">
        <f t="shared" si="34"/>
        <v>0</v>
      </c>
    </row>
    <row r="581" spans="1:17" x14ac:dyDescent="0.2">
      <c r="A581" t="s">
        <v>25</v>
      </c>
      <c r="B581" t="s">
        <v>647</v>
      </c>
      <c r="C581">
        <v>120</v>
      </c>
      <c r="D581">
        <v>100</v>
      </c>
      <c r="E581">
        <v>11</v>
      </c>
      <c r="F581">
        <v>7</v>
      </c>
      <c r="G581">
        <v>0</v>
      </c>
      <c r="H581">
        <v>40</v>
      </c>
      <c r="I581">
        <v>140</v>
      </c>
      <c r="J581">
        <v>16</v>
      </c>
      <c r="K581">
        <v>0</v>
      </c>
      <c r="L581">
        <v>2</v>
      </c>
      <c r="M581">
        <v>2</v>
      </c>
      <c r="N581">
        <v>127</v>
      </c>
      <c r="O581" s="3">
        <f t="shared" si="32"/>
        <v>1.6666666666666667</v>
      </c>
      <c r="P581">
        <f t="shared" si="33"/>
        <v>0</v>
      </c>
      <c r="Q581">
        <f t="shared" si="34"/>
        <v>0</v>
      </c>
    </row>
    <row r="582" spans="1:17" x14ac:dyDescent="0.2">
      <c r="A582" t="s">
        <v>25</v>
      </c>
      <c r="B582" t="s">
        <v>652</v>
      </c>
      <c r="C582">
        <v>190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39</v>
      </c>
      <c r="K582">
        <v>0</v>
      </c>
      <c r="L582">
        <v>39</v>
      </c>
      <c r="M582">
        <v>3</v>
      </c>
      <c r="N582">
        <v>226</v>
      </c>
      <c r="O582" s="3">
        <f t="shared" si="32"/>
        <v>1.5789473684210527</v>
      </c>
      <c r="P582">
        <f t="shared" si="33"/>
        <v>0</v>
      </c>
      <c r="Q582">
        <f t="shared" si="34"/>
        <v>0</v>
      </c>
    </row>
    <row r="583" spans="1:17" x14ac:dyDescent="0.2">
      <c r="A583" t="s">
        <v>25</v>
      </c>
      <c r="B583" t="s">
        <v>655</v>
      </c>
      <c r="C583">
        <v>450</v>
      </c>
      <c r="D583">
        <v>180</v>
      </c>
      <c r="E583">
        <v>20</v>
      </c>
      <c r="F583">
        <v>13</v>
      </c>
      <c r="G583">
        <v>1</v>
      </c>
      <c r="H583">
        <v>55</v>
      </c>
      <c r="I583">
        <v>130</v>
      </c>
      <c r="J583">
        <v>62</v>
      </c>
      <c r="K583">
        <v>1</v>
      </c>
      <c r="L583">
        <v>56</v>
      </c>
      <c r="M583">
        <v>7</v>
      </c>
      <c r="N583">
        <v>512</v>
      </c>
      <c r="O583" s="3">
        <f t="shared" si="32"/>
        <v>1.5555555555555556</v>
      </c>
      <c r="P583">
        <f t="shared" si="33"/>
        <v>0</v>
      </c>
      <c r="Q583">
        <f t="shared" si="34"/>
        <v>0</v>
      </c>
    </row>
    <row r="584" spans="1:17" x14ac:dyDescent="0.2">
      <c r="A584" t="s">
        <v>25</v>
      </c>
      <c r="B584" t="s">
        <v>657</v>
      </c>
      <c r="C584">
        <v>260</v>
      </c>
      <c r="D584">
        <v>70</v>
      </c>
      <c r="E584">
        <v>8</v>
      </c>
      <c r="F584">
        <v>2.5</v>
      </c>
      <c r="G584">
        <v>0</v>
      </c>
      <c r="H584">
        <v>0</v>
      </c>
      <c r="I584">
        <v>300</v>
      </c>
      <c r="J584">
        <v>43</v>
      </c>
      <c r="K584">
        <v>1</v>
      </c>
      <c r="L584">
        <v>13</v>
      </c>
      <c r="M584">
        <v>4</v>
      </c>
      <c r="N584">
        <v>271.5</v>
      </c>
      <c r="O584" s="3">
        <f t="shared" si="32"/>
        <v>1.5384615384615385</v>
      </c>
      <c r="P584">
        <f t="shared" si="33"/>
        <v>0</v>
      </c>
      <c r="Q584">
        <f t="shared" si="34"/>
        <v>0</v>
      </c>
    </row>
    <row r="585" spans="1:17" x14ac:dyDescent="0.2">
      <c r="A585" t="s">
        <v>25</v>
      </c>
      <c r="B585" t="s">
        <v>658</v>
      </c>
      <c r="C585">
        <v>680</v>
      </c>
      <c r="D585">
        <v>260</v>
      </c>
      <c r="E585">
        <v>29</v>
      </c>
      <c r="F585">
        <v>18</v>
      </c>
      <c r="G585">
        <v>1.5</v>
      </c>
      <c r="H585">
        <v>85</v>
      </c>
      <c r="I585">
        <v>200</v>
      </c>
      <c r="J585">
        <v>94</v>
      </c>
      <c r="K585">
        <v>0</v>
      </c>
      <c r="L585">
        <v>88</v>
      </c>
      <c r="M585">
        <v>10</v>
      </c>
      <c r="N585">
        <v>776</v>
      </c>
      <c r="O585" s="3">
        <f t="shared" si="32"/>
        <v>1.4705882352941175</v>
      </c>
      <c r="P585">
        <f t="shared" si="33"/>
        <v>0</v>
      </c>
      <c r="Q585">
        <f t="shared" si="34"/>
        <v>0</v>
      </c>
    </row>
    <row r="586" spans="1:17" x14ac:dyDescent="0.2">
      <c r="A586" t="s">
        <v>25</v>
      </c>
      <c r="B586" t="s">
        <v>659</v>
      </c>
      <c r="C586">
        <v>680</v>
      </c>
      <c r="D586">
        <v>250</v>
      </c>
      <c r="E586">
        <v>28</v>
      </c>
      <c r="F586">
        <v>18</v>
      </c>
      <c r="G586">
        <v>1</v>
      </c>
      <c r="H586">
        <v>80</v>
      </c>
      <c r="I586">
        <v>200</v>
      </c>
      <c r="J586">
        <v>96</v>
      </c>
      <c r="K586">
        <v>1</v>
      </c>
      <c r="L586">
        <v>87</v>
      </c>
      <c r="M586">
        <v>10</v>
      </c>
      <c r="N586">
        <v>775</v>
      </c>
      <c r="O586" s="3">
        <f t="shared" si="32"/>
        <v>1.4705882352941175</v>
      </c>
      <c r="P586">
        <f t="shared" si="33"/>
        <v>0</v>
      </c>
      <c r="Q586">
        <f t="shared" si="34"/>
        <v>0</v>
      </c>
    </row>
    <row r="587" spans="1:17" x14ac:dyDescent="0.2">
      <c r="A587" t="s">
        <v>25</v>
      </c>
      <c r="B587" t="s">
        <v>660</v>
      </c>
      <c r="C587">
        <v>550</v>
      </c>
      <c r="D587">
        <v>220</v>
      </c>
      <c r="E587">
        <v>24</v>
      </c>
      <c r="F587">
        <v>15</v>
      </c>
      <c r="G587">
        <v>1</v>
      </c>
      <c r="H587">
        <v>70</v>
      </c>
      <c r="I587">
        <v>160</v>
      </c>
      <c r="J587">
        <v>76</v>
      </c>
      <c r="K587">
        <v>0</v>
      </c>
      <c r="L587">
        <v>71</v>
      </c>
      <c r="M587">
        <v>8</v>
      </c>
      <c r="N587">
        <v>628</v>
      </c>
      <c r="O587" s="3">
        <f t="shared" si="32"/>
        <v>1.4545454545454546</v>
      </c>
      <c r="P587">
        <f t="shared" si="33"/>
        <v>0</v>
      </c>
      <c r="Q587">
        <f t="shared" si="34"/>
        <v>0</v>
      </c>
    </row>
    <row r="588" spans="1:17" x14ac:dyDescent="0.2">
      <c r="A588" t="s">
        <v>25</v>
      </c>
      <c r="B588" t="s">
        <v>661</v>
      </c>
      <c r="C588">
        <v>280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5</v>
      </c>
      <c r="J588">
        <v>58</v>
      </c>
      <c r="K588">
        <v>0</v>
      </c>
      <c r="L588">
        <v>58</v>
      </c>
      <c r="M588">
        <v>4</v>
      </c>
      <c r="N588">
        <v>334</v>
      </c>
      <c r="O588" s="3">
        <f t="shared" si="32"/>
        <v>1.4285714285714286</v>
      </c>
      <c r="P588">
        <f t="shared" si="33"/>
        <v>0</v>
      </c>
      <c r="Q588">
        <f t="shared" si="34"/>
        <v>0</v>
      </c>
    </row>
    <row r="589" spans="1:17" x14ac:dyDescent="0.2">
      <c r="A589" t="s">
        <v>25</v>
      </c>
      <c r="B589" t="s">
        <v>662</v>
      </c>
      <c r="C589">
        <v>560</v>
      </c>
      <c r="D589">
        <v>210</v>
      </c>
      <c r="E589">
        <v>24</v>
      </c>
      <c r="F589">
        <v>15</v>
      </c>
      <c r="G589">
        <v>1</v>
      </c>
      <c r="H589">
        <v>65</v>
      </c>
      <c r="I589">
        <v>160</v>
      </c>
      <c r="J589">
        <v>78</v>
      </c>
      <c r="K589">
        <v>1</v>
      </c>
      <c r="L589">
        <v>70</v>
      </c>
      <c r="M589">
        <v>8</v>
      </c>
      <c r="N589">
        <v>637</v>
      </c>
      <c r="O589" s="3">
        <f t="shared" si="32"/>
        <v>1.4285714285714286</v>
      </c>
      <c r="P589">
        <f t="shared" si="33"/>
        <v>0</v>
      </c>
      <c r="Q589">
        <f t="shared" si="34"/>
        <v>0</v>
      </c>
    </row>
    <row r="590" spans="1:17" x14ac:dyDescent="0.2">
      <c r="A590" t="s">
        <v>25</v>
      </c>
      <c r="B590" t="s">
        <v>671</v>
      </c>
      <c r="C590">
        <v>150</v>
      </c>
      <c r="D590">
        <v>50</v>
      </c>
      <c r="E590">
        <v>6</v>
      </c>
      <c r="F590">
        <v>2.5</v>
      </c>
      <c r="G590">
        <v>0</v>
      </c>
      <c r="H590">
        <v>10</v>
      </c>
      <c r="I590">
        <v>135</v>
      </c>
      <c r="J590">
        <v>22</v>
      </c>
      <c r="K590">
        <v>1</v>
      </c>
      <c r="L590">
        <v>13</v>
      </c>
      <c r="M590">
        <v>2</v>
      </c>
      <c r="N590">
        <v>163.5</v>
      </c>
      <c r="O590" s="3">
        <f t="shared" si="32"/>
        <v>1.3333333333333335</v>
      </c>
      <c r="P590">
        <f t="shared" si="33"/>
        <v>0</v>
      </c>
      <c r="Q590">
        <f t="shared" si="34"/>
        <v>0</v>
      </c>
    </row>
    <row r="591" spans="1:17" x14ac:dyDescent="0.2">
      <c r="A591" t="s">
        <v>25</v>
      </c>
      <c r="B591" t="s">
        <v>672</v>
      </c>
      <c r="C591">
        <v>150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30</v>
      </c>
      <c r="K591">
        <v>0</v>
      </c>
      <c r="L591">
        <v>30</v>
      </c>
      <c r="M591">
        <v>2</v>
      </c>
      <c r="N591">
        <v>178</v>
      </c>
      <c r="O591" s="3">
        <f t="shared" si="32"/>
        <v>1.3333333333333335</v>
      </c>
      <c r="P591">
        <f t="shared" si="33"/>
        <v>0</v>
      </c>
      <c r="Q591">
        <f t="shared" si="34"/>
        <v>0</v>
      </c>
    </row>
    <row r="592" spans="1:17" x14ac:dyDescent="0.2">
      <c r="A592" t="s">
        <v>25</v>
      </c>
      <c r="B592" t="s">
        <v>673</v>
      </c>
      <c r="C592">
        <v>450</v>
      </c>
      <c r="D592">
        <v>180</v>
      </c>
      <c r="E592">
        <v>20</v>
      </c>
      <c r="F592">
        <v>13</v>
      </c>
      <c r="G592">
        <v>1</v>
      </c>
      <c r="H592">
        <v>55</v>
      </c>
      <c r="I592">
        <v>135</v>
      </c>
      <c r="J592">
        <v>61</v>
      </c>
      <c r="K592">
        <v>0</v>
      </c>
      <c r="L592">
        <v>57</v>
      </c>
      <c r="M592">
        <v>6</v>
      </c>
      <c r="N592">
        <v>514</v>
      </c>
      <c r="O592" s="3">
        <f t="shared" si="32"/>
        <v>1.3333333333333335</v>
      </c>
      <c r="P592">
        <f t="shared" si="33"/>
        <v>0</v>
      </c>
      <c r="Q592">
        <f t="shared" si="34"/>
        <v>0</v>
      </c>
    </row>
    <row r="593" spans="1:17" x14ac:dyDescent="0.2">
      <c r="A593" t="s">
        <v>25</v>
      </c>
      <c r="B593" t="s">
        <v>677</v>
      </c>
      <c r="C593">
        <v>230</v>
      </c>
      <c r="D593">
        <v>100</v>
      </c>
      <c r="E593">
        <v>11</v>
      </c>
      <c r="F593">
        <v>1.5</v>
      </c>
      <c r="G593">
        <v>0</v>
      </c>
      <c r="H593">
        <v>0</v>
      </c>
      <c r="I593">
        <v>160</v>
      </c>
      <c r="J593">
        <v>29</v>
      </c>
      <c r="K593">
        <v>3</v>
      </c>
      <c r="L593">
        <v>0</v>
      </c>
      <c r="M593">
        <v>3</v>
      </c>
      <c r="N593">
        <v>228.5</v>
      </c>
      <c r="O593" s="3">
        <f t="shared" si="32"/>
        <v>1.3043478260869565</v>
      </c>
      <c r="P593">
        <f t="shared" si="33"/>
        <v>0</v>
      </c>
      <c r="Q593">
        <f t="shared" si="34"/>
        <v>0</v>
      </c>
    </row>
    <row r="594" spans="1:17" x14ac:dyDescent="0.2">
      <c r="A594" t="s">
        <v>25</v>
      </c>
      <c r="B594" t="s">
        <v>678</v>
      </c>
      <c r="C594">
        <v>460</v>
      </c>
      <c r="D594">
        <v>170</v>
      </c>
      <c r="E594">
        <v>19</v>
      </c>
      <c r="F594">
        <v>9</v>
      </c>
      <c r="G594">
        <v>0</v>
      </c>
      <c r="H594">
        <v>15</v>
      </c>
      <c r="I594">
        <v>370</v>
      </c>
      <c r="J594">
        <v>66</v>
      </c>
      <c r="K594">
        <v>3</v>
      </c>
      <c r="L594">
        <v>32</v>
      </c>
      <c r="M594">
        <v>6</v>
      </c>
      <c r="N594">
        <v>495</v>
      </c>
      <c r="O594" s="3">
        <f t="shared" si="32"/>
        <v>1.3043478260869565</v>
      </c>
      <c r="P594">
        <f t="shared" si="33"/>
        <v>0</v>
      </c>
      <c r="Q594">
        <f t="shared" si="34"/>
        <v>0</v>
      </c>
    </row>
    <row r="595" spans="1:17" x14ac:dyDescent="0.2">
      <c r="A595" t="s">
        <v>25</v>
      </c>
      <c r="B595" t="s">
        <v>683</v>
      </c>
      <c r="C595">
        <v>160</v>
      </c>
      <c r="D595">
        <v>70</v>
      </c>
      <c r="E595">
        <v>8</v>
      </c>
      <c r="F595">
        <v>3.5</v>
      </c>
      <c r="G595">
        <v>0</v>
      </c>
      <c r="H595">
        <v>10</v>
      </c>
      <c r="I595">
        <v>90</v>
      </c>
      <c r="J595">
        <v>21</v>
      </c>
      <c r="K595">
        <v>1</v>
      </c>
      <c r="L595">
        <v>15</v>
      </c>
      <c r="M595">
        <v>2</v>
      </c>
      <c r="N595">
        <v>176.5</v>
      </c>
      <c r="O595" s="3">
        <f t="shared" si="32"/>
        <v>1.25</v>
      </c>
      <c r="P595">
        <f t="shared" si="33"/>
        <v>0</v>
      </c>
      <c r="Q595">
        <f t="shared" si="34"/>
        <v>0</v>
      </c>
    </row>
    <row r="596" spans="1:17" x14ac:dyDescent="0.2">
      <c r="A596" t="s">
        <v>25</v>
      </c>
      <c r="B596" t="s">
        <v>684</v>
      </c>
      <c r="C596">
        <v>160</v>
      </c>
      <c r="D596">
        <v>60</v>
      </c>
      <c r="E596">
        <v>7</v>
      </c>
      <c r="F596">
        <v>3</v>
      </c>
      <c r="G596">
        <v>0</v>
      </c>
      <c r="H596">
        <v>5</v>
      </c>
      <c r="I596">
        <v>120</v>
      </c>
      <c r="J596">
        <v>21</v>
      </c>
      <c r="K596">
        <v>0</v>
      </c>
      <c r="L596">
        <v>11</v>
      </c>
      <c r="M596">
        <v>2</v>
      </c>
      <c r="N596">
        <v>172</v>
      </c>
      <c r="O596" s="3">
        <f t="shared" si="32"/>
        <v>1.25</v>
      </c>
      <c r="P596">
        <f t="shared" si="33"/>
        <v>0</v>
      </c>
      <c r="Q596">
        <f t="shared" si="34"/>
        <v>0</v>
      </c>
    </row>
    <row r="597" spans="1:17" x14ac:dyDescent="0.2">
      <c r="A597" t="s">
        <v>25</v>
      </c>
      <c r="B597" t="s">
        <v>694</v>
      </c>
      <c r="C597">
        <v>500</v>
      </c>
      <c r="D597">
        <v>220</v>
      </c>
      <c r="E597">
        <v>25</v>
      </c>
      <c r="F597">
        <v>3.5</v>
      </c>
      <c r="G597">
        <v>0</v>
      </c>
      <c r="H597">
        <v>0</v>
      </c>
      <c r="I597">
        <v>350</v>
      </c>
      <c r="J597">
        <v>63</v>
      </c>
      <c r="K597">
        <v>6</v>
      </c>
      <c r="L597">
        <v>0</v>
      </c>
      <c r="M597">
        <v>6</v>
      </c>
      <c r="N597">
        <v>497.5</v>
      </c>
      <c r="O597" s="3">
        <f t="shared" si="32"/>
        <v>1.2</v>
      </c>
      <c r="P597">
        <f t="shared" si="33"/>
        <v>0</v>
      </c>
      <c r="Q597">
        <f t="shared" si="34"/>
        <v>0</v>
      </c>
    </row>
    <row r="598" spans="1:17" x14ac:dyDescent="0.2">
      <c r="A598" t="s">
        <v>25</v>
      </c>
      <c r="B598" t="s">
        <v>699</v>
      </c>
      <c r="C598">
        <v>260</v>
      </c>
      <c r="D598">
        <v>5</v>
      </c>
      <c r="E598">
        <v>1</v>
      </c>
      <c r="F598">
        <v>0</v>
      </c>
      <c r="G598">
        <v>0</v>
      </c>
      <c r="H598">
        <v>5</v>
      </c>
      <c r="I598">
        <v>35</v>
      </c>
      <c r="J598">
        <v>60</v>
      </c>
      <c r="K598">
        <v>4</v>
      </c>
      <c r="L598">
        <v>55</v>
      </c>
      <c r="M598">
        <v>3</v>
      </c>
      <c r="N598">
        <v>312</v>
      </c>
      <c r="O598" s="3">
        <f t="shared" si="32"/>
        <v>1.153846153846154</v>
      </c>
      <c r="P598">
        <f t="shared" si="33"/>
        <v>0</v>
      </c>
      <c r="Q598">
        <f t="shared" si="34"/>
        <v>0</v>
      </c>
    </row>
    <row r="599" spans="1:17" x14ac:dyDescent="0.2">
      <c r="A599" t="s">
        <v>25</v>
      </c>
      <c r="B599" t="s">
        <v>703</v>
      </c>
      <c r="C599">
        <v>380</v>
      </c>
      <c r="D599">
        <v>170</v>
      </c>
      <c r="E599">
        <v>19</v>
      </c>
      <c r="F599">
        <v>2.5</v>
      </c>
      <c r="G599">
        <v>0</v>
      </c>
      <c r="H599">
        <v>0</v>
      </c>
      <c r="I599">
        <v>270</v>
      </c>
      <c r="J599">
        <v>48</v>
      </c>
      <c r="K599">
        <v>5</v>
      </c>
      <c r="L599">
        <v>0</v>
      </c>
      <c r="M599">
        <v>4</v>
      </c>
      <c r="N599">
        <v>378.5</v>
      </c>
      <c r="O599" s="3">
        <f t="shared" si="32"/>
        <v>1.0526315789473684</v>
      </c>
      <c r="P599">
        <f t="shared" si="33"/>
        <v>0</v>
      </c>
      <c r="Q599">
        <f t="shared" si="34"/>
        <v>0</v>
      </c>
    </row>
    <row r="600" spans="1:17" x14ac:dyDescent="0.2">
      <c r="A600" t="s">
        <v>25</v>
      </c>
      <c r="B600" t="s">
        <v>704</v>
      </c>
      <c r="C600">
        <v>190</v>
      </c>
      <c r="D600">
        <v>170</v>
      </c>
      <c r="E600">
        <v>18</v>
      </c>
      <c r="F600">
        <v>3.5</v>
      </c>
      <c r="G600">
        <v>0</v>
      </c>
      <c r="H600">
        <v>20</v>
      </c>
      <c r="I600">
        <v>500</v>
      </c>
      <c r="J600">
        <v>4</v>
      </c>
      <c r="K600">
        <v>0</v>
      </c>
      <c r="L600">
        <v>2</v>
      </c>
      <c r="M600">
        <v>2</v>
      </c>
      <c r="N600">
        <v>193.5</v>
      </c>
      <c r="O600" s="3">
        <f t="shared" si="32"/>
        <v>1.0526315789473684</v>
      </c>
      <c r="P600">
        <f t="shared" si="33"/>
        <v>1</v>
      </c>
      <c r="Q600">
        <f t="shared" si="34"/>
        <v>0</v>
      </c>
    </row>
    <row r="601" spans="1:17" x14ac:dyDescent="0.2">
      <c r="A601" t="s">
        <v>25</v>
      </c>
      <c r="B601" t="s">
        <v>705</v>
      </c>
      <c r="C601">
        <v>190</v>
      </c>
      <c r="D601">
        <v>70</v>
      </c>
      <c r="E601">
        <v>8</v>
      </c>
      <c r="F601">
        <v>5</v>
      </c>
      <c r="G601">
        <v>0</v>
      </c>
      <c r="H601">
        <v>30</v>
      </c>
      <c r="I601">
        <v>115</v>
      </c>
      <c r="J601">
        <v>27</v>
      </c>
      <c r="K601">
        <v>0</v>
      </c>
      <c r="L601">
        <v>27</v>
      </c>
      <c r="M601">
        <v>2</v>
      </c>
      <c r="N601">
        <v>220</v>
      </c>
      <c r="O601" s="3">
        <f t="shared" si="32"/>
        <v>1.0526315789473684</v>
      </c>
      <c r="P601">
        <f t="shared" si="33"/>
        <v>0</v>
      </c>
      <c r="Q601">
        <f t="shared" si="34"/>
        <v>0</v>
      </c>
    </row>
    <row r="602" spans="1:17" x14ac:dyDescent="0.2">
      <c r="A602" t="s">
        <v>25</v>
      </c>
      <c r="B602" t="s">
        <v>706</v>
      </c>
      <c r="C602">
        <v>190</v>
      </c>
      <c r="D602">
        <v>70</v>
      </c>
      <c r="E602">
        <v>8</v>
      </c>
      <c r="F602">
        <v>5</v>
      </c>
      <c r="G602">
        <v>0</v>
      </c>
      <c r="H602">
        <v>30</v>
      </c>
      <c r="I602">
        <v>60</v>
      </c>
      <c r="J602">
        <v>29</v>
      </c>
      <c r="K602">
        <v>0</v>
      </c>
      <c r="L602">
        <v>29</v>
      </c>
      <c r="M602">
        <v>2</v>
      </c>
      <c r="N602">
        <v>222</v>
      </c>
      <c r="O602" s="3">
        <f t="shared" si="32"/>
        <v>1.0526315789473684</v>
      </c>
      <c r="P602">
        <f t="shared" si="33"/>
        <v>0</v>
      </c>
      <c r="Q602">
        <f t="shared" si="34"/>
        <v>0</v>
      </c>
    </row>
    <row r="603" spans="1:17" x14ac:dyDescent="0.2">
      <c r="A603" t="s">
        <v>25</v>
      </c>
      <c r="B603" t="s">
        <v>707</v>
      </c>
      <c r="C603">
        <v>190</v>
      </c>
      <c r="D603">
        <v>70</v>
      </c>
      <c r="E603">
        <v>8</v>
      </c>
      <c r="F603">
        <v>5</v>
      </c>
      <c r="G603">
        <v>0</v>
      </c>
      <c r="H603">
        <v>30</v>
      </c>
      <c r="I603">
        <v>60</v>
      </c>
      <c r="J603">
        <v>29</v>
      </c>
      <c r="K603">
        <v>0</v>
      </c>
      <c r="L603">
        <v>28</v>
      </c>
      <c r="M603">
        <v>2</v>
      </c>
      <c r="N603">
        <v>221</v>
      </c>
      <c r="O603" s="3">
        <f t="shared" si="32"/>
        <v>1.0526315789473684</v>
      </c>
      <c r="P603">
        <f t="shared" si="33"/>
        <v>0</v>
      </c>
      <c r="Q603">
        <f t="shared" si="34"/>
        <v>0</v>
      </c>
    </row>
    <row r="604" spans="1:17" x14ac:dyDescent="0.2">
      <c r="A604" t="s">
        <v>25</v>
      </c>
      <c r="B604" t="s">
        <v>709</v>
      </c>
      <c r="C604">
        <v>100</v>
      </c>
      <c r="D604">
        <v>50</v>
      </c>
      <c r="E604">
        <v>6</v>
      </c>
      <c r="F604">
        <v>1</v>
      </c>
      <c r="G604">
        <v>0</v>
      </c>
      <c r="H604">
        <v>20</v>
      </c>
      <c r="I604">
        <v>340</v>
      </c>
      <c r="J604">
        <v>11</v>
      </c>
      <c r="K604">
        <v>0</v>
      </c>
      <c r="L604">
        <v>3</v>
      </c>
      <c r="M604">
        <v>1</v>
      </c>
      <c r="N604">
        <v>103</v>
      </c>
      <c r="O604" s="3">
        <f t="shared" si="32"/>
        <v>1</v>
      </c>
      <c r="P604">
        <f t="shared" si="33"/>
        <v>0</v>
      </c>
      <c r="Q604">
        <f t="shared" si="34"/>
        <v>0</v>
      </c>
    </row>
    <row r="605" spans="1:17" x14ac:dyDescent="0.2">
      <c r="A605" t="s">
        <v>25</v>
      </c>
      <c r="B605" t="s">
        <v>710</v>
      </c>
      <c r="C605">
        <v>200</v>
      </c>
      <c r="D605">
        <v>70</v>
      </c>
      <c r="E605">
        <v>8</v>
      </c>
      <c r="F605">
        <v>5</v>
      </c>
      <c r="G605">
        <v>0</v>
      </c>
      <c r="H605">
        <v>30</v>
      </c>
      <c r="I605">
        <v>60</v>
      </c>
      <c r="J605">
        <v>30</v>
      </c>
      <c r="K605">
        <v>0</v>
      </c>
      <c r="L605">
        <v>30</v>
      </c>
      <c r="M605">
        <v>2</v>
      </c>
      <c r="N605">
        <v>233</v>
      </c>
      <c r="O605" s="3">
        <f t="shared" si="32"/>
        <v>1</v>
      </c>
      <c r="P605">
        <f t="shared" si="33"/>
        <v>0</v>
      </c>
      <c r="Q605">
        <f t="shared" si="34"/>
        <v>0</v>
      </c>
    </row>
    <row r="606" spans="1:17" x14ac:dyDescent="0.2">
      <c r="A606" t="s">
        <v>25</v>
      </c>
      <c r="B606" t="s">
        <v>722</v>
      </c>
      <c r="C606">
        <v>210</v>
      </c>
      <c r="D606">
        <v>5</v>
      </c>
      <c r="E606">
        <v>0.5</v>
      </c>
      <c r="F606">
        <v>0</v>
      </c>
      <c r="G606">
        <v>0</v>
      </c>
      <c r="H606">
        <v>5</v>
      </c>
      <c r="I606">
        <v>35</v>
      </c>
      <c r="J606">
        <v>49</v>
      </c>
      <c r="K606">
        <v>2</v>
      </c>
      <c r="L606">
        <v>44</v>
      </c>
      <c r="M606">
        <v>2</v>
      </c>
      <c r="N606">
        <v>252</v>
      </c>
      <c r="O606" s="3">
        <f t="shared" si="32"/>
        <v>0.95238095238095244</v>
      </c>
      <c r="P606">
        <f t="shared" si="33"/>
        <v>0</v>
      </c>
      <c r="Q606">
        <f t="shared" si="34"/>
        <v>0</v>
      </c>
    </row>
    <row r="607" spans="1:17" x14ac:dyDescent="0.2">
      <c r="A607" t="s">
        <v>25</v>
      </c>
      <c r="B607" t="s">
        <v>723</v>
      </c>
      <c r="C607">
        <v>210</v>
      </c>
      <c r="D607">
        <v>5</v>
      </c>
      <c r="E607">
        <v>0.5</v>
      </c>
      <c r="F607">
        <v>0</v>
      </c>
      <c r="G607">
        <v>0</v>
      </c>
      <c r="H607">
        <v>5</v>
      </c>
      <c r="I607">
        <v>30</v>
      </c>
      <c r="J607">
        <v>48</v>
      </c>
      <c r="K607">
        <v>3</v>
      </c>
      <c r="L607">
        <v>44</v>
      </c>
      <c r="M607">
        <v>2</v>
      </c>
      <c r="N607">
        <v>252</v>
      </c>
      <c r="O607" s="3">
        <f t="shared" si="32"/>
        <v>0.95238095238095244</v>
      </c>
      <c r="P607">
        <f t="shared" si="33"/>
        <v>0</v>
      </c>
      <c r="Q607">
        <f t="shared" si="34"/>
        <v>0</v>
      </c>
    </row>
    <row r="608" spans="1:17" x14ac:dyDescent="0.2">
      <c r="A608" t="s">
        <v>25</v>
      </c>
      <c r="B608" t="s">
        <v>724</v>
      </c>
      <c r="C608">
        <v>320</v>
      </c>
      <c r="D608">
        <v>10</v>
      </c>
      <c r="E608">
        <v>1</v>
      </c>
      <c r="F608">
        <v>0.5</v>
      </c>
      <c r="G608">
        <v>0</v>
      </c>
      <c r="H608">
        <v>5</v>
      </c>
      <c r="I608">
        <v>45</v>
      </c>
      <c r="J608">
        <v>75</v>
      </c>
      <c r="K608">
        <v>4</v>
      </c>
      <c r="L608">
        <v>69</v>
      </c>
      <c r="M608">
        <v>3</v>
      </c>
      <c r="N608">
        <v>386.5</v>
      </c>
      <c r="O608" s="3">
        <f t="shared" si="32"/>
        <v>0.9375</v>
      </c>
      <c r="P608">
        <f t="shared" si="33"/>
        <v>0</v>
      </c>
      <c r="Q608">
        <f t="shared" si="34"/>
        <v>0</v>
      </c>
    </row>
    <row r="609" spans="1:17" x14ac:dyDescent="0.2">
      <c r="A609" t="s">
        <v>25</v>
      </c>
      <c r="B609" t="s">
        <v>726</v>
      </c>
      <c r="C609">
        <v>330</v>
      </c>
      <c r="D609">
        <v>10</v>
      </c>
      <c r="E609">
        <v>1</v>
      </c>
      <c r="F609">
        <v>0.5</v>
      </c>
      <c r="G609">
        <v>0</v>
      </c>
      <c r="H609">
        <v>5</v>
      </c>
      <c r="I609">
        <v>55</v>
      </c>
      <c r="J609">
        <v>77</v>
      </c>
      <c r="K609">
        <v>4</v>
      </c>
      <c r="L609">
        <v>70</v>
      </c>
      <c r="M609">
        <v>3</v>
      </c>
      <c r="N609">
        <v>397.5</v>
      </c>
      <c r="O609" s="3">
        <f t="shared" si="32"/>
        <v>0.90909090909090906</v>
      </c>
      <c r="P609">
        <f t="shared" si="33"/>
        <v>0</v>
      </c>
      <c r="Q609">
        <f t="shared" si="34"/>
        <v>0</v>
      </c>
    </row>
    <row r="610" spans="1:17" x14ac:dyDescent="0.2">
      <c r="A610" t="s">
        <v>25</v>
      </c>
      <c r="B610" t="s">
        <v>736</v>
      </c>
      <c r="C610">
        <v>250</v>
      </c>
      <c r="D610">
        <v>110</v>
      </c>
      <c r="E610">
        <v>13</v>
      </c>
      <c r="F610">
        <v>7</v>
      </c>
      <c r="G610">
        <v>0</v>
      </c>
      <c r="H610">
        <v>0</v>
      </c>
      <c r="I610">
        <v>170</v>
      </c>
      <c r="J610">
        <v>32</v>
      </c>
      <c r="K610">
        <v>4</v>
      </c>
      <c r="L610">
        <v>13</v>
      </c>
      <c r="M610">
        <v>2</v>
      </c>
      <c r="N610">
        <v>268</v>
      </c>
      <c r="O610" s="3">
        <f t="shared" si="32"/>
        <v>0.8</v>
      </c>
      <c r="P610">
        <f t="shared" si="33"/>
        <v>0</v>
      </c>
      <c r="Q610">
        <f t="shared" si="34"/>
        <v>0</v>
      </c>
    </row>
    <row r="611" spans="1:17" x14ac:dyDescent="0.2">
      <c r="A611" t="s">
        <v>25</v>
      </c>
      <c r="B611" t="s">
        <v>739</v>
      </c>
      <c r="C611">
        <v>130</v>
      </c>
      <c r="D611">
        <v>50</v>
      </c>
      <c r="E611">
        <v>5</v>
      </c>
      <c r="F611">
        <v>3.5</v>
      </c>
      <c r="G611">
        <v>0</v>
      </c>
      <c r="H611">
        <v>20</v>
      </c>
      <c r="I611">
        <v>80</v>
      </c>
      <c r="J611">
        <v>21</v>
      </c>
      <c r="K611">
        <v>0</v>
      </c>
      <c r="L611">
        <v>20</v>
      </c>
      <c r="M611">
        <v>1</v>
      </c>
      <c r="N611">
        <v>152.5</v>
      </c>
      <c r="O611" s="3">
        <f t="shared" si="32"/>
        <v>0.76923076923076927</v>
      </c>
      <c r="P611">
        <f t="shared" si="33"/>
        <v>0</v>
      </c>
      <c r="Q611">
        <f t="shared" si="34"/>
        <v>0</v>
      </c>
    </row>
    <row r="612" spans="1:17" x14ac:dyDescent="0.2">
      <c r="A612" t="s">
        <v>25</v>
      </c>
      <c r="B612" t="s">
        <v>740</v>
      </c>
      <c r="C612">
        <v>130</v>
      </c>
      <c r="D612">
        <v>50</v>
      </c>
      <c r="E612">
        <v>5</v>
      </c>
      <c r="F612">
        <v>3.5</v>
      </c>
      <c r="G612">
        <v>0</v>
      </c>
      <c r="H612">
        <v>20</v>
      </c>
      <c r="I612">
        <v>40</v>
      </c>
      <c r="J612">
        <v>21</v>
      </c>
      <c r="K612">
        <v>0</v>
      </c>
      <c r="L612">
        <v>21</v>
      </c>
      <c r="M612">
        <v>1</v>
      </c>
      <c r="N612">
        <v>153.5</v>
      </c>
      <c r="O612" s="3">
        <f t="shared" si="32"/>
        <v>0.76923076923076927</v>
      </c>
      <c r="P612">
        <f t="shared" si="33"/>
        <v>0</v>
      </c>
      <c r="Q612">
        <f t="shared" si="34"/>
        <v>0</v>
      </c>
    </row>
    <row r="613" spans="1:17" x14ac:dyDescent="0.2">
      <c r="A613" t="s">
        <v>25</v>
      </c>
      <c r="B613" t="s">
        <v>741</v>
      </c>
      <c r="C613">
        <v>130</v>
      </c>
      <c r="D613">
        <v>50</v>
      </c>
      <c r="E613">
        <v>5</v>
      </c>
      <c r="F613">
        <v>3.5</v>
      </c>
      <c r="G613">
        <v>0</v>
      </c>
      <c r="H613">
        <v>20</v>
      </c>
      <c r="I613">
        <v>40</v>
      </c>
      <c r="J613">
        <v>21</v>
      </c>
      <c r="K613">
        <v>0</v>
      </c>
      <c r="L613">
        <v>21</v>
      </c>
      <c r="M613">
        <v>1</v>
      </c>
      <c r="N613">
        <v>153.5</v>
      </c>
      <c r="O613" s="3">
        <f t="shared" si="32"/>
        <v>0.76923076923076927</v>
      </c>
      <c r="P613">
        <f t="shared" si="33"/>
        <v>0</v>
      </c>
      <c r="Q613">
        <f t="shared" si="34"/>
        <v>0</v>
      </c>
    </row>
    <row r="614" spans="1:17" x14ac:dyDescent="0.2">
      <c r="A614" t="s">
        <v>25</v>
      </c>
      <c r="B614" t="s">
        <v>742</v>
      </c>
      <c r="C614">
        <v>260</v>
      </c>
      <c r="D614">
        <v>5</v>
      </c>
      <c r="E614">
        <v>1</v>
      </c>
      <c r="F614">
        <v>0</v>
      </c>
      <c r="G614">
        <v>0</v>
      </c>
      <c r="H614">
        <v>5</v>
      </c>
      <c r="I614">
        <v>40</v>
      </c>
      <c r="J614">
        <v>60</v>
      </c>
      <c r="K614">
        <v>3</v>
      </c>
      <c r="L614">
        <v>54</v>
      </c>
      <c r="M614">
        <v>2</v>
      </c>
      <c r="N614">
        <v>312</v>
      </c>
      <c r="O614" s="3">
        <f t="shared" si="32"/>
        <v>0.76923076923076927</v>
      </c>
      <c r="P614">
        <f t="shared" si="33"/>
        <v>0</v>
      </c>
      <c r="Q614">
        <f t="shared" si="34"/>
        <v>0</v>
      </c>
    </row>
    <row r="615" spans="1:17" x14ac:dyDescent="0.2">
      <c r="A615" t="s">
        <v>25</v>
      </c>
      <c r="B615" t="s">
        <v>746</v>
      </c>
      <c r="C615">
        <v>270</v>
      </c>
      <c r="D615">
        <v>100</v>
      </c>
      <c r="E615">
        <v>11</v>
      </c>
      <c r="F615">
        <v>7</v>
      </c>
      <c r="G615">
        <v>0</v>
      </c>
      <c r="H615">
        <v>40</v>
      </c>
      <c r="I615">
        <v>160</v>
      </c>
      <c r="J615">
        <v>41</v>
      </c>
      <c r="K615">
        <v>0</v>
      </c>
      <c r="L615">
        <v>41</v>
      </c>
      <c r="M615">
        <v>2</v>
      </c>
      <c r="N615">
        <v>316</v>
      </c>
      <c r="O615" s="3">
        <f t="shared" si="32"/>
        <v>0.74074074074074081</v>
      </c>
      <c r="P615">
        <f t="shared" si="33"/>
        <v>0</v>
      </c>
      <c r="Q615">
        <f t="shared" si="34"/>
        <v>0</v>
      </c>
    </row>
    <row r="616" spans="1:17" x14ac:dyDescent="0.2">
      <c r="A616" t="s">
        <v>25</v>
      </c>
      <c r="B616" t="s">
        <v>747</v>
      </c>
      <c r="C616">
        <v>270</v>
      </c>
      <c r="D616">
        <v>100</v>
      </c>
      <c r="E616">
        <v>11</v>
      </c>
      <c r="F616">
        <v>7</v>
      </c>
      <c r="G616">
        <v>0</v>
      </c>
      <c r="H616">
        <v>40</v>
      </c>
      <c r="I616">
        <v>85</v>
      </c>
      <c r="J616">
        <v>43</v>
      </c>
      <c r="K616">
        <v>0</v>
      </c>
      <c r="L616">
        <v>43</v>
      </c>
      <c r="M616">
        <v>2</v>
      </c>
      <c r="N616">
        <v>318</v>
      </c>
      <c r="O616" s="3">
        <f t="shared" si="32"/>
        <v>0.74074074074074081</v>
      </c>
      <c r="P616">
        <f t="shared" si="33"/>
        <v>0</v>
      </c>
      <c r="Q616">
        <f t="shared" si="34"/>
        <v>0</v>
      </c>
    </row>
    <row r="617" spans="1:17" x14ac:dyDescent="0.2">
      <c r="A617" t="s">
        <v>25</v>
      </c>
      <c r="B617" t="s">
        <v>748</v>
      </c>
      <c r="C617">
        <v>270</v>
      </c>
      <c r="D617">
        <v>100</v>
      </c>
      <c r="E617">
        <v>11</v>
      </c>
      <c r="F617">
        <v>7</v>
      </c>
      <c r="G617">
        <v>0</v>
      </c>
      <c r="H617">
        <v>40</v>
      </c>
      <c r="I617">
        <v>80</v>
      </c>
      <c r="J617">
        <v>43</v>
      </c>
      <c r="K617">
        <v>0</v>
      </c>
      <c r="L617">
        <v>43</v>
      </c>
      <c r="M617">
        <v>2</v>
      </c>
      <c r="N617">
        <v>318</v>
      </c>
      <c r="O617" s="3">
        <f t="shared" si="32"/>
        <v>0.74074074074074081</v>
      </c>
      <c r="P617">
        <f t="shared" si="33"/>
        <v>0</v>
      </c>
      <c r="Q617">
        <f t="shared" si="34"/>
        <v>0</v>
      </c>
    </row>
    <row r="618" spans="1:17" x14ac:dyDescent="0.2">
      <c r="A618" t="s">
        <v>25</v>
      </c>
      <c r="B618" t="s">
        <v>749</v>
      </c>
      <c r="C618">
        <v>140</v>
      </c>
      <c r="D618">
        <v>50</v>
      </c>
      <c r="E618">
        <v>5</v>
      </c>
      <c r="F618">
        <v>3.5</v>
      </c>
      <c r="G618">
        <v>0</v>
      </c>
      <c r="H618">
        <v>20</v>
      </c>
      <c r="I618">
        <v>40</v>
      </c>
      <c r="J618">
        <v>22</v>
      </c>
      <c r="K618">
        <v>0</v>
      </c>
      <c r="L618">
        <v>22</v>
      </c>
      <c r="M618">
        <v>1</v>
      </c>
      <c r="N618">
        <v>164.5</v>
      </c>
      <c r="O618" s="3">
        <f t="shared" si="32"/>
        <v>0.7142857142857143</v>
      </c>
      <c r="P618">
        <f t="shared" si="33"/>
        <v>0</v>
      </c>
      <c r="Q618">
        <f t="shared" si="34"/>
        <v>0</v>
      </c>
    </row>
    <row r="619" spans="1:17" x14ac:dyDescent="0.2">
      <c r="A619" t="s">
        <v>25</v>
      </c>
      <c r="B619" t="s">
        <v>750</v>
      </c>
      <c r="C619">
        <v>280</v>
      </c>
      <c r="D619">
        <v>100</v>
      </c>
      <c r="E619">
        <v>11</v>
      </c>
      <c r="F619">
        <v>7</v>
      </c>
      <c r="G619">
        <v>0</v>
      </c>
      <c r="H619">
        <v>40</v>
      </c>
      <c r="I619">
        <v>85</v>
      </c>
      <c r="J619">
        <v>45</v>
      </c>
      <c r="K619">
        <v>0</v>
      </c>
      <c r="L619">
        <v>45</v>
      </c>
      <c r="M619">
        <v>2</v>
      </c>
      <c r="N619">
        <v>330</v>
      </c>
      <c r="O619" s="3">
        <f t="shared" si="32"/>
        <v>0.7142857142857143</v>
      </c>
      <c r="P619">
        <f t="shared" si="33"/>
        <v>0</v>
      </c>
      <c r="Q619">
        <f t="shared" si="34"/>
        <v>0</v>
      </c>
    </row>
    <row r="620" spans="1:17" x14ac:dyDescent="0.2">
      <c r="A620" t="s">
        <v>25</v>
      </c>
      <c r="B620" t="s">
        <v>753</v>
      </c>
      <c r="C620">
        <v>150</v>
      </c>
      <c r="D620">
        <v>80</v>
      </c>
      <c r="E620">
        <v>9</v>
      </c>
      <c r="F620">
        <v>1.5</v>
      </c>
      <c r="G620">
        <v>0</v>
      </c>
      <c r="H620">
        <v>0</v>
      </c>
      <c r="I620">
        <v>310</v>
      </c>
      <c r="J620">
        <v>15</v>
      </c>
      <c r="K620">
        <v>2</v>
      </c>
      <c r="L620">
        <v>0</v>
      </c>
      <c r="M620">
        <v>1</v>
      </c>
      <c r="N620">
        <v>150.5</v>
      </c>
      <c r="O620" s="3">
        <f t="shared" si="32"/>
        <v>0.66666666666666674</v>
      </c>
      <c r="P620">
        <f t="shared" si="33"/>
        <v>0</v>
      </c>
      <c r="Q620">
        <f t="shared" si="34"/>
        <v>0</v>
      </c>
    </row>
    <row r="621" spans="1:17" x14ac:dyDescent="0.2">
      <c r="A621" t="s">
        <v>25</v>
      </c>
      <c r="B621" t="s">
        <v>754</v>
      </c>
      <c r="C621">
        <v>150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10</v>
      </c>
      <c r="J621">
        <v>36</v>
      </c>
      <c r="K621">
        <v>0</v>
      </c>
      <c r="L621">
        <v>36</v>
      </c>
      <c r="M621">
        <v>1</v>
      </c>
      <c r="N621">
        <v>185</v>
      </c>
      <c r="O621" s="3">
        <f t="shared" si="32"/>
        <v>0.66666666666666674</v>
      </c>
      <c r="P621">
        <f t="shared" si="33"/>
        <v>0</v>
      </c>
      <c r="Q621">
        <f t="shared" si="34"/>
        <v>0</v>
      </c>
    </row>
    <row r="622" spans="1:17" x14ac:dyDescent="0.2">
      <c r="A622" t="s">
        <v>25</v>
      </c>
      <c r="B622" t="s">
        <v>761</v>
      </c>
      <c r="C622">
        <v>170</v>
      </c>
      <c r="D622">
        <v>130</v>
      </c>
      <c r="E622">
        <v>15</v>
      </c>
      <c r="F622">
        <v>2.5</v>
      </c>
      <c r="G622">
        <v>0</v>
      </c>
      <c r="H622">
        <v>20</v>
      </c>
      <c r="I622">
        <v>530</v>
      </c>
      <c r="J622">
        <v>9</v>
      </c>
      <c r="K622">
        <v>0</v>
      </c>
      <c r="L622">
        <v>4</v>
      </c>
      <c r="M622">
        <v>1</v>
      </c>
      <c r="N622">
        <v>175.5</v>
      </c>
      <c r="O622" s="3">
        <f t="shared" si="32"/>
        <v>0.58823529411764708</v>
      </c>
      <c r="P622">
        <f t="shared" si="33"/>
        <v>1</v>
      </c>
      <c r="Q622">
        <f t="shared" si="34"/>
        <v>0</v>
      </c>
    </row>
    <row r="623" spans="1:17" x14ac:dyDescent="0.2">
      <c r="A623" t="s">
        <v>25</v>
      </c>
      <c r="B623" t="s">
        <v>767</v>
      </c>
      <c r="C623">
        <v>180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10</v>
      </c>
      <c r="J623">
        <v>45</v>
      </c>
      <c r="K623">
        <v>0</v>
      </c>
      <c r="L623">
        <v>45</v>
      </c>
      <c r="M623">
        <v>1</v>
      </c>
      <c r="N623">
        <v>224</v>
      </c>
      <c r="O623" s="3">
        <f t="shared" si="32"/>
        <v>0.55555555555555558</v>
      </c>
      <c r="P623">
        <f t="shared" si="33"/>
        <v>0</v>
      </c>
      <c r="Q623">
        <f t="shared" si="34"/>
        <v>0</v>
      </c>
    </row>
    <row r="624" spans="1:17" x14ac:dyDescent="0.2">
      <c r="A624" t="s">
        <v>25</v>
      </c>
      <c r="B624" t="s">
        <v>769</v>
      </c>
      <c r="C624">
        <v>280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15</v>
      </c>
      <c r="J624">
        <v>69</v>
      </c>
      <c r="K624">
        <v>0</v>
      </c>
      <c r="L624">
        <v>69</v>
      </c>
      <c r="M624">
        <v>1</v>
      </c>
      <c r="N624">
        <v>348</v>
      </c>
      <c r="O624" s="3">
        <f t="shared" si="32"/>
        <v>0.35714285714285715</v>
      </c>
      <c r="P624">
        <f t="shared" si="33"/>
        <v>0</v>
      </c>
      <c r="Q624">
        <f t="shared" si="34"/>
        <v>0</v>
      </c>
    </row>
    <row r="625" spans="1:17" x14ac:dyDescent="0.2">
      <c r="A625" t="s">
        <v>25</v>
      </c>
      <c r="B625" t="s">
        <v>770</v>
      </c>
      <c r="C625">
        <v>15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110</v>
      </c>
      <c r="J625">
        <v>3</v>
      </c>
      <c r="K625">
        <v>0</v>
      </c>
      <c r="L625">
        <v>2</v>
      </c>
      <c r="M625">
        <v>0</v>
      </c>
      <c r="N625">
        <v>17</v>
      </c>
      <c r="O625" s="3">
        <f t="shared" si="32"/>
        <v>0</v>
      </c>
      <c r="P625">
        <f t="shared" si="33"/>
        <v>0</v>
      </c>
      <c r="Q625">
        <f t="shared" si="34"/>
        <v>0</v>
      </c>
    </row>
    <row r="626" spans="1:17" x14ac:dyDescent="0.2">
      <c r="A626" t="s">
        <v>25</v>
      </c>
      <c r="B626" t="s">
        <v>771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270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f t="shared" si="33"/>
        <v>0</v>
      </c>
      <c r="Q626">
        <f t="shared" si="34"/>
        <v>0</v>
      </c>
    </row>
    <row r="627" spans="1:17" x14ac:dyDescent="0.2">
      <c r="A627" t="s">
        <v>25</v>
      </c>
      <c r="B627" t="s">
        <v>772</v>
      </c>
      <c r="C627">
        <v>50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260</v>
      </c>
      <c r="J627">
        <v>12</v>
      </c>
      <c r="K627">
        <v>0</v>
      </c>
      <c r="L627">
        <v>10</v>
      </c>
      <c r="M627">
        <v>0</v>
      </c>
      <c r="N627">
        <v>60</v>
      </c>
      <c r="O627" s="3">
        <f t="shared" ref="O627:O657" si="35">M627/C627*100</f>
        <v>0</v>
      </c>
      <c r="P627">
        <f t="shared" si="33"/>
        <v>0</v>
      </c>
      <c r="Q627">
        <f t="shared" si="34"/>
        <v>0</v>
      </c>
    </row>
    <row r="628" spans="1:17" x14ac:dyDescent="0.2">
      <c r="A628" t="s">
        <v>25</v>
      </c>
      <c r="B628" t="s">
        <v>773</v>
      </c>
      <c r="C628">
        <v>50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12</v>
      </c>
      <c r="K628">
        <v>0</v>
      </c>
      <c r="L628">
        <v>11</v>
      </c>
      <c r="M628">
        <v>0</v>
      </c>
      <c r="N628">
        <v>61</v>
      </c>
      <c r="O628" s="3">
        <f t="shared" si="35"/>
        <v>0</v>
      </c>
      <c r="P628">
        <f t="shared" si="33"/>
        <v>0</v>
      </c>
      <c r="Q628">
        <f t="shared" si="34"/>
        <v>0</v>
      </c>
    </row>
    <row r="629" spans="1:17" x14ac:dyDescent="0.2">
      <c r="A629" t="s">
        <v>25</v>
      </c>
      <c r="B629" t="s">
        <v>774</v>
      </c>
      <c r="C629">
        <v>50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150</v>
      </c>
      <c r="J629">
        <v>12</v>
      </c>
      <c r="K629">
        <v>0</v>
      </c>
      <c r="L629">
        <v>10</v>
      </c>
      <c r="M629">
        <v>0</v>
      </c>
      <c r="N629">
        <v>60</v>
      </c>
      <c r="O629" s="3">
        <f t="shared" si="35"/>
        <v>0</v>
      </c>
      <c r="P629">
        <f t="shared" si="33"/>
        <v>0</v>
      </c>
      <c r="Q629">
        <f t="shared" si="34"/>
        <v>0</v>
      </c>
    </row>
    <row r="630" spans="1:17" x14ac:dyDescent="0.2">
      <c r="A630" t="s">
        <v>25</v>
      </c>
      <c r="B630" t="s">
        <v>775</v>
      </c>
      <c r="C630">
        <v>60</v>
      </c>
      <c r="D630">
        <v>50</v>
      </c>
      <c r="E630">
        <v>6</v>
      </c>
      <c r="F630">
        <v>1</v>
      </c>
      <c r="G630">
        <v>0</v>
      </c>
      <c r="H630">
        <v>0</v>
      </c>
      <c r="I630">
        <v>800</v>
      </c>
      <c r="J630">
        <v>1</v>
      </c>
      <c r="K630">
        <v>1</v>
      </c>
      <c r="L630">
        <v>0</v>
      </c>
      <c r="M630">
        <v>0</v>
      </c>
      <c r="N630">
        <v>61</v>
      </c>
      <c r="O630" s="3">
        <f t="shared" si="35"/>
        <v>0</v>
      </c>
      <c r="P630">
        <f t="shared" si="33"/>
        <v>1</v>
      </c>
      <c r="Q630">
        <f t="shared" si="34"/>
        <v>0</v>
      </c>
    </row>
    <row r="631" spans="1:17" x14ac:dyDescent="0.2">
      <c r="A631" t="s">
        <v>25</v>
      </c>
      <c r="B631" t="s">
        <v>776</v>
      </c>
      <c r="C631">
        <v>170</v>
      </c>
      <c r="D631">
        <v>160</v>
      </c>
      <c r="E631">
        <v>18</v>
      </c>
      <c r="F631">
        <v>3</v>
      </c>
      <c r="G631">
        <v>0</v>
      </c>
      <c r="H631">
        <v>10</v>
      </c>
      <c r="I631">
        <v>270</v>
      </c>
      <c r="J631">
        <v>2</v>
      </c>
      <c r="K631">
        <v>0</v>
      </c>
      <c r="L631">
        <v>1</v>
      </c>
      <c r="M631">
        <v>0</v>
      </c>
      <c r="N631">
        <v>174</v>
      </c>
      <c r="O631" s="3">
        <f t="shared" si="35"/>
        <v>0</v>
      </c>
      <c r="P631">
        <f t="shared" si="33"/>
        <v>0</v>
      </c>
      <c r="Q631">
        <f t="shared" si="34"/>
        <v>0</v>
      </c>
    </row>
    <row r="632" spans="1:17" x14ac:dyDescent="0.2">
      <c r="A632" t="s">
        <v>25</v>
      </c>
      <c r="B632" t="s">
        <v>777</v>
      </c>
      <c r="C632">
        <v>60</v>
      </c>
      <c r="D632">
        <v>20</v>
      </c>
      <c r="E632">
        <v>2</v>
      </c>
      <c r="F632">
        <v>0</v>
      </c>
      <c r="G632">
        <v>0</v>
      </c>
      <c r="H632">
        <v>5</v>
      </c>
      <c r="I632">
        <v>140</v>
      </c>
      <c r="J632">
        <v>10</v>
      </c>
      <c r="K632">
        <v>0</v>
      </c>
      <c r="L632">
        <v>8</v>
      </c>
      <c r="M632">
        <v>0</v>
      </c>
      <c r="N632">
        <v>68</v>
      </c>
      <c r="O632" s="3">
        <f t="shared" si="35"/>
        <v>0</v>
      </c>
      <c r="P632">
        <f t="shared" si="33"/>
        <v>0</v>
      </c>
      <c r="Q632">
        <f t="shared" si="34"/>
        <v>0</v>
      </c>
    </row>
    <row r="633" spans="1:17" x14ac:dyDescent="0.2">
      <c r="A633" t="s">
        <v>25</v>
      </c>
      <c r="B633" t="s">
        <v>778</v>
      </c>
      <c r="C633">
        <v>60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210</v>
      </c>
      <c r="J633">
        <v>15</v>
      </c>
      <c r="K633">
        <v>1</v>
      </c>
      <c r="L633">
        <v>11</v>
      </c>
      <c r="M633">
        <v>0</v>
      </c>
      <c r="N633">
        <v>71</v>
      </c>
      <c r="O633" s="3">
        <f t="shared" si="35"/>
        <v>0</v>
      </c>
      <c r="P633">
        <f t="shared" si="33"/>
        <v>0</v>
      </c>
      <c r="Q633">
        <f t="shared" si="34"/>
        <v>0</v>
      </c>
    </row>
    <row r="634" spans="1:17" x14ac:dyDescent="0.2">
      <c r="A634" t="s">
        <v>25</v>
      </c>
      <c r="B634" t="s">
        <v>779</v>
      </c>
      <c r="C634">
        <v>40</v>
      </c>
      <c r="D634">
        <v>25</v>
      </c>
      <c r="E634">
        <v>3</v>
      </c>
      <c r="F634">
        <v>0</v>
      </c>
      <c r="G634">
        <v>0</v>
      </c>
      <c r="H634">
        <v>0</v>
      </c>
      <c r="I634">
        <v>730</v>
      </c>
      <c r="J634">
        <v>4</v>
      </c>
      <c r="K634">
        <v>0</v>
      </c>
      <c r="L634">
        <v>3</v>
      </c>
      <c r="M634">
        <v>0</v>
      </c>
      <c r="N634">
        <v>43</v>
      </c>
      <c r="O634" s="3">
        <f t="shared" si="35"/>
        <v>0</v>
      </c>
      <c r="P634">
        <f t="shared" si="33"/>
        <v>1</v>
      </c>
      <c r="Q634">
        <f t="shared" si="34"/>
        <v>0</v>
      </c>
    </row>
    <row r="635" spans="1:17" x14ac:dyDescent="0.2">
      <c r="A635" t="s">
        <v>25</v>
      </c>
      <c r="B635" t="s">
        <v>780</v>
      </c>
      <c r="C635">
        <v>180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20</v>
      </c>
      <c r="J635">
        <v>45</v>
      </c>
      <c r="K635">
        <v>0</v>
      </c>
      <c r="L635">
        <v>32</v>
      </c>
      <c r="M635">
        <v>0</v>
      </c>
      <c r="N635">
        <v>212</v>
      </c>
      <c r="O635" s="3">
        <f t="shared" si="35"/>
        <v>0</v>
      </c>
      <c r="P635">
        <f t="shared" si="33"/>
        <v>0</v>
      </c>
      <c r="Q635">
        <f t="shared" si="34"/>
        <v>0</v>
      </c>
    </row>
    <row r="636" spans="1:17" x14ac:dyDescent="0.2">
      <c r="A636" t="s">
        <v>25</v>
      </c>
      <c r="B636" t="s">
        <v>781</v>
      </c>
      <c r="C636">
        <v>40</v>
      </c>
      <c r="D636">
        <v>40</v>
      </c>
      <c r="E636">
        <v>4.5</v>
      </c>
      <c r="F636">
        <v>1.5</v>
      </c>
      <c r="G636">
        <v>0</v>
      </c>
      <c r="H636">
        <v>0</v>
      </c>
      <c r="I636">
        <v>55</v>
      </c>
      <c r="J636">
        <v>0</v>
      </c>
      <c r="K636">
        <v>0</v>
      </c>
      <c r="L636">
        <v>0</v>
      </c>
      <c r="M636">
        <v>0</v>
      </c>
      <c r="N636">
        <v>41.5</v>
      </c>
      <c r="O636" s="3">
        <f t="shared" si="35"/>
        <v>0</v>
      </c>
      <c r="P636">
        <f t="shared" si="33"/>
        <v>0</v>
      </c>
      <c r="Q636">
        <f t="shared" si="34"/>
        <v>0</v>
      </c>
    </row>
    <row r="637" spans="1:17" x14ac:dyDescent="0.2">
      <c r="A637" t="s">
        <v>25</v>
      </c>
      <c r="B637" t="s">
        <v>782</v>
      </c>
      <c r="C637">
        <v>35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9</v>
      </c>
      <c r="K637">
        <v>0</v>
      </c>
      <c r="L637">
        <v>9</v>
      </c>
      <c r="M637">
        <v>0</v>
      </c>
      <c r="N637">
        <v>44</v>
      </c>
      <c r="O637" s="3">
        <f t="shared" si="35"/>
        <v>0</v>
      </c>
      <c r="P637">
        <f t="shared" si="33"/>
        <v>0</v>
      </c>
      <c r="Q637">
        <f t="shared" si="34"/>
        <v>0</v>
      </c>
    </row>
    <row r="638" spans="1:17" x14ac:dyDescent="0.2">
      <c r="A638" t="s">
        <v>25</v>
      </c>
      <c r="B638" t="s">
        <v>783</v>
      </c>
      <c r="C638">
        <v>35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9</v>
      </c>
      <c r="K638">
        <v>0</v>
      </c>
      <c r="L638">
        <v>9</v>
      </c>
      <c r="M638">
        <v>0</v>
      </c>
      <c r="N638">
        <v>44</v>
      </c>
      <c r="O638" s="3">
        <f t="shared" si="35"/>
        <v>0</v>
      </c>
      <c r="P638">
        <f t="shared" si="33"/>
        <v>0</v>
      </c>
      <c r="Q638">
        <f t="shared" si="34"/>
        <v>0</v>
      </c>
    </row>
    <row r="639" spans="1:17" x14ac:dyDescent="0.2">
      <c r="A639" t="s">
        <v>25</v>
      </c>
      <c r="B639" t="s">
        <v>784</v>
      </c>
      <c r="C639">
        <v>70</v>
      </c>
      <c r="D639">
        <v>5</v>
      </c>
      <c r="E639">
        <v>0.5</v>
      </c>
      <c r="F639">
        <v>0</v>
      </c>
      <c r="G639">
        <v>0</v>
      </c>
      <c r="H639">
        <v>5</v>
      </c>
      <c r="I639">
        <v>35</v>
      </c>
      <c r="J639">
        <v>15</v>
      </c>
      <c r="K639">
        <v>0</v>
      </c>
      <c r="L639">
        <v>9</v>
      </c>
      <c r="M639">
        <v>0</v>
      </c>
      <c r="N639">
        <v>79</v>
      </c>
      <c r="O639" s="3">
        <f t="shared" si="35"/>
        <v>0</v>
      </c>
      <c r="P639">
        <f t="shared" si="33"/>
        <v>0</v>
      </c>
      <c r="Q639">
        <f t="shared" si="34"/>
        <v>0</v>
      </c>
    </row>
    <row r="640" spans="1:17" x14ac:dyDescent="0.2">
      <c r="A640" t="s">
        <v>25</v>
      </c>
      <c r="B640" t="s">
        <v>785</v>
      </c>
      <c r="C640">
        <v>100</v>
      </c>
      <c r="D640">
        <v>5</v>
      </c>
      <c r="E640">
        <v>0.5</v>
      </c>
      <c r="F640">
        <v>0</v>
      </c>
      <c r="G640">
        <v>0</v>
      </c>
      <c r="H640">
        <v>5</v>
      </c>
      <c r="I640">
        <v>35</v>
      </c>
      <c r="J640">
        <v>23</v>
      </c>
      <c r="K640">
        <v>0</v>
      </c>
      <c r="L640">
        <v>15</v>
      </c>
      <c r="M640">
        <v>0</v>
      </c>
      <c r="N640">
        <v>115</v>
      </c>
      <c r="O640" s="3">
        <f t="shared" si="35"/>
        <v>0</v>
      </c>
      <c r="P640">
        <f t="shared" si="33"/>
        <v>0</v>
      </c>
      <c r="Q640">
        <f t="shared" si="34"/>
        <v>0</v>
      </c>
    </row>
    <row r="641" spans="1:17" x14ac:dyDescent="0.2">
      <c r="A641" t="s">
        <v>25</v>
      </c>
      <c r="B641" t="s">
        <v>786</v>
      </c>
      <c r="C641">
        <v>100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15</v>
      </c>
      <c r="J641">
        <v>23</v>
      </c>
      <c r="K641">
        <v>0</v>
      </c>
      <c r="L641">
        <v>22</v>
      </c>
      <c r="M641">
        <v>0</v>
      </c>
      <c r="N641">
        <v>122</v>
      </c>
      <c r="O641" s="3">
        <f t="shared" si="35"/>
        <v>0</v>
      </c>
      <c r="P641">
        <f t="shared" si="33"/>
        <v>0</v>
      </c>
      <c r="Q641">
        <f t="shared" si="34"/>
        <v>0</v>
      </c>
    </row>
    <row r="642" spans="1:17" x14ac:dyDescent="0.2">
      <c r="A642" t="s">
        <v>25</v>
      </c>
      <c r="B642" t="s">
        <v>788</v>
      </c>
      <c r="C642">
        <v>110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5</v>
      </c>
      <c r="J642">
        <v>29</v>
      </c>
      <c r="K642">
        <v>0</v>
      </c>
      <c r="L642">
        <v>29</v>
      </c>
      <c r="M642">
        <v>0</v>
      </c>
      <c r="N642">
        <v>139</v>
      </c>
      <c r="O642" s="3">
        <f t="shared" si="35"/>
        <v>0</v>
      </c>
      <c r="P642">
        <f t="shared" ref="P642:P705" si="36">IF(I642&gt;2300*0.2,1,0)</f>
        <v>0</v>
      </c>
      <c r="Q642">
        <f t="shared" ref="Q642:Q705" si="37">IF(H642&gt;300,1,0)</f>
        <v>0</v>
      </c>
    </row>
    <row r="643" spans="1:17" x14ac:dyDescent="0.2">
      <c r="A643" t="s">
        <v>25</v>
      </c>
      <c r="B643" t="s">
        <v>789</v>
      </c>
      <c r="C643">
        <v>150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10</v>
      </c>
      <c r="J643">
        <v>40</v>
      </c>
      <c r="K643">
        <v>0</v>
      </c>
      <c r="L643">
        <v>40</v>
      </c>
      <c r="M643">
        <v>0</v>
      </c>
      <c r="N643">
        <v>190</v>
      </c>
      <c r="O643" s="3">
        <f t="shared" si="35"/>
        <v>0</v>
      </c>
      <c r="P643">
        <f t="shared" si="36"/>
        <v>0</v>
      </c>
      <c r="Q643">
        <f t="shared" si="37"/>
        <v>0</v>
      </c>
    </row>
    <row r="644" spans="1:17" x14ac:dyDescent="0.2">
      <c r="A644" t="s">
        <v>25</v>
      </c>
      <c r="B644" t="s">
        <v>790</v>
      </c>
      <c r="C644">
        <v>210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15</v>
      </c>
      <c r="J644">
        <v>58</v>
      </c>
      <c r="K644">
        <v>0</v>
      </c>
      <c r="L644">
        <v>58</v>
      </c>
      <c r="M644">
        <v>0</v>
      </c>
      <c r="N644">
        <v>268</v>
      </c>
      <c r="O644" s="3">
        <f t="shared" si="35"/>
        <v>0</v>
      </c>
      <c r="P644">
        <f t="shared" si="36"/>
        <v>0</v>
      </c>
      <c r="Q644">
        <f t="shared" si="37"/>
        <v>0</v>
      </c>
    </row>
    <row r="645" spans="1:17" x14ac:dyDescent="0.2">
      <c r="A645" t="s">
        <v>25</v>
      </c>
      <c r="B645" t="s">
        <v>791</v>
      </c>
      <c r="C645">
        <v>310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20</v>
      </c>
      <c r="J645">
        <v>86</v>
      </c>
      <c r="K645">
        <v>0</v>
      </c>
      <c r="L645">
        <v>86</v>
      </c>
      <c r="M645">
        <v>0</v>
      </c>
      <c r="N645">
        <v>396</v>
      </c>
      <c r="O645" s="3">
        <f t="shared" si="35"/>
        <v>0</v>
      </c>
      <c r="P645">
        <f t="shared" si="36"/>
        <v>0</v>
      </c>
      <c r="Q645">
        <f t="shared" si="37"/>
        <v>0</v>
      </c>
    </row>
    <row r="646" spans="1:17" x14ac:dyDescent="0.2">
      <c r="A646" t="s">
        <v>25</v>
      </c>
      <c r="B646" t="s">
        <v>796</v>
      </c>
      <c r="C646">
        <v>110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30</v>
      </c>
      <c r="J646">
        <v>28</v>
      </c>
      <c r="K646">
        <v>0</v>
      </c>
      <c r="L646">
        <v>28</v>
      </c>
      <c r="M646">
        <v>0</v>
      </c>
      <c r="N646">
        <v>138</v>
      </c>
      <c r="O646" s="3">
        <f t="shared" si="35"/>
        <v>0</v>
      </c>
      <c r="P646">
        <f t="shared" si="36"/>
        <v>0</v>
      </c>
      <c r="Q646">
        <f t="shared" si="37"/>
        <v>0</v>
      </c>
    </row>
    <row r="647" spans="1:17" x14ac:dyDescent="0.2">
      <c r="A647" t="s">
        <v>25</v>
      </c>
      <c r="B647" t="s">
        <v>797</v>
      </c>
      <c r="C647">
        <v>150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40</v>
      </c>
      <c r="J647">
        <v>39</v>
      </c>
      <c r="K647">
        <v>0</v>
      </c>
      <c r="L647">
        <v>39</v>
      </c>
      <c r="M647">
        <v>0</v>
      </c>
      <c r="N647">
        <v>189</v>
      </c>
      <c r="O647" s="3">
        <f t="shared" si="35"/>
        <v>0</v>
      </c>
      <c r="P647">
        <f t="shared" si="36"/>
        <v>0</v>
      </c>
      <c r="Q647">
        <f t="shared" si="37"/>
        <v>0</v>
      </c>
    </row>
    <row r="648" spans="1:17" x14ac:dyDescent="0.2">
      <c r="A648" t="s">
        <v>25</v>
      </c>
      <c r="B648" t="s">
        <v>798</v>
      </c>
      <c r="C648">
        <v>210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55</v>
      </c>
      <c r="J648">
        <v>56</v>
      </c>
      <c r="K648">
        <v>0</v>
      </c>
      <c r="L648">
        <v>56</v>
      </c>
      <c r="M648">
        <v>0</v>
      </c>
      <c r="N648">
        <v>266</v>
      </c>
      <c r="O648" s="3">
        <f t="shared" si="35"/>
        <v>0</v>
      </c>
      <c r="P648">
        <f t="shared" si="36"/>
        <v>0</v>
      </c>
      <c r="Q648">
        <f t="shared" si="37"/>
        <v>0</v>
      </c>
    </row>
    <row r="649" spans="1:17" x14ac:dyDescent="0.2">
      <c r="A649" t="s">
        <v>25</v>
      </c>
      <c r="B649" t="s">
        <v>799</v>
      </c>
      <c r="C649">
        <v>310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80</v>
      </c>
      <c r="J649">
        <v>83</v>
      </c>
      <c r="K649">
        <v>0</v>
      </c>
      <c r="L649">
        <v>83</v>
      </c>
      <c r="M649">
        <v>0</v>
      </c>
      <c r="N649">
        <v>393</v>
      </c>
      <c r="O649" s="3">
        <f t="shared" si="35"/>
        <v>0</v>
      </c>
      <c r="P649">
        <f t="shared" si="36"/>
        <v>0</v>
      </c>
      <c r="Q649">
        <f t="shared" si="37"/>
        <v>0</v>
      </c>
    </row>
    <row r="650" spans="1:17" x14ac:dyDescent="0.2">
      <c r="A650" t="s">
        <v>25</v>
      </c>
      <c r="B650" t="s">
        <v>800</v>
      </c>
      <c r="C650">
        <v>120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32</v>
      </c>
      <c r="K650">
        <v>0</v>
      </c>
      <c r="L650">
        <v>32</v>
      </c>
      <c r="M650">
        <v>0</v>
      </c>
      <c r="N650">
        <v>152</v>
      </c>
      <c r="O650" s="3">
        <f t="shared" si="35"/>
        <v>0</v>
      </c>
      <c r="P650">
        <f t="shared" si="36"/>
        <v>0</v>
      </c>
      <c r="Q650">
        <f t="shared" si="37"/>
        <v>0</v>
      </c>
    </row>
    <row r="651" spans="1:17" x14ac:dyDescent="0.2">
      <c r="A651" t="s">
        <v>25</v>
      </c>
      <c r="B651" t="s">
        <v>801</v>
      </c>
      <c r="C651">
        <v>160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</v>
      </c>
      <c r="J651">
        <v>44</v>
      </c>
      <c r="K651">
        <v>0</v>
      </c>
      <c r="L651">
        <v>44</v>
      </c>
      <c r="M651">
        <v>0</v>
      </c>
      <c r="N651">
        <v>204</v>
      </c>
      <c r="O651" s="3">
        <f t="shared" si="35"/>
        <v>0</v>
      </c>
      <c r="P651">
        <f t="shared" si="36"/>
        <v>0</v>
      </c>
      <c r="Q651">
        <f t="shared" si="37"/>
        <v>0</v>
      </c>
    </row>
    <row r="652" spans="1:17" x14ac:dyDescent="0.2">
      <c r="A652" t="s">
        <v>25</v>
      </c>
      <c r="B652" t="s">
        <v>802</v>
      </c>
      <c r="C652">
        <v>240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10</v>
      </c>
      <c r="J652">
        <v>64</v>
      </c>
      <c r="K652">
        <v>0</v>
      </c>
      <c r="L652">
        <v>64</v>
      </c>
      <c r="M652">
        <v>0</v>
      </c>
      <c r="N652">
        <v>304</v>
      </c>
      <c r="O652" s="3">
        <f t="shared" si="35"/>
        <v>0</v>
      </c>
      <c r="P652">
        <f t="shared" si="36"/>
        <v>0</v>
      </c>
      <c r="Q652">
        <f t="shared" si="37"/>
        <v>0</v>
      </c>
    </row>
    <row r="653" spans="1:17" x14ac:dyDescent="0.2">
      <c r="A653" t="s">
        <v>25</v>
      </c>
      <c r="B653" t="s">
        <v>803</v>
      </c>
      <c r="C653">
        <v>350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10</v>
      </c>
      <c r="J653">
        <v>94</v>
      </c>
      <c r="K653">
        <v>0</v>
      </c>
      <c r="L653">
        <v>94</v>
      </c>
      <c r="M653">
        <v>0</v>
      </c>
      <c r="N653">
        <v>444</v>
      </c>
      <c r="O653" s="3">
        <f t="shared" si="35"/>
        <v>0</v>
      </c>
      <c r="P653">
        <f t="shared" si="36"/>
        <v>0</v>
      </c>
      <c r="Q653">
        <f t="shared" si="37"/>
        <v>0</v>
      </c>
    </row>
    <row r="654" spans="1:17" x14ac:dyDescent="0.2">
      <c r="A654" t="s">
        <v>25</v>
      </c>
      <c r="B654" t="s">
        <v>804</v>
      </c>
      <c r="C654">
        <v>70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65</v>
      </c>
      <c r="J654">
        <v>20</v>
      </c>
      <c r="K654">
        <v>0</v>
      </c>
      <c r="L654">
        <v>16</v>
      </c>
      <c r="M654">
        <v>0</v>
      </c>
      <c r="N654">
        <v>86</v>
      </c>
      <c r="O654" s="3">
        <f t="shared" si="35"/>
        <v>0</v>
      </c>
      <c r="P654">
        <f t="shared" si="36"/>
        <v>0</v>
      </c>
      <c r="Q654">
        <f t="shared" si="37"/>
        <v>0</v>
      </c>
    </row>
    <row r="655" spans="1:17" x14ac:dyDescent="0.2">
      <c r="A655" t="s">
        <v>25</v>
      </c>
      <c r="B655" t="s">
        <v>805</v>
      </c>
      <c r="C655">
        <v>100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85</v>
      </c>
      <c r="J655">
        <v>27</v>
      </c>
      <c r="K655">
        <v>0</v>
      </c>
      <c r="L655">
        <v>21</v>
      </c>
      <c r="M655">
        <v>0</v>
      </c>
      <c r="N655">
        <v>121</v>
      </c>
      <c r="O655" s="3">
        <f t="shared" si="35"/>
        <v>0</v>
      </c>
      <c r="P655">
        <f t="shared" si="36"/>
        <v>0</v>
      </c>
      <c r="Q655">
        <f t="shared" si="37"/>
        <v>0</v>
      </c>
    </row>
    <row r="656" spans="1:17" x14ac:dyDescent="0.2">
      <c r="A656" t="s">
        <v>25</v>
      </c>
      <c r="B656" t="s">
        <v>806</v>
      </c>
      <c r="C656">
        <v>150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130</v>
      </c>
      <c r="J656">
        <v>39</v>
      </c>
      <c r="K656">
        <v>0</v>
      </c>
      <c r="L656">
        <v>31</v>
      </c>
      <c r="M656">
        <v>0</v>
      </c>
      <c r="N656">
        <v>181</v>
      </c>
      <c r="O656" s="3">
        <f t="shared" si="35"/>
        <v>0</v>
      </c>
      <c r="P656">
        <f t="shared" si="36"/>
        <v>0</v>
      </c>
      <c r="Q656">
        <f t="shared" si="37"/>
        <v>0</v>
      </c>
    </row>
    <row r="657" spans="1:17" x14ac:dyDescent="0.2">
      <c r="A657" t="s">
        <v>25</v>
      </c>
      <c r="B657" t="s">
        <v>807</v>
      </c>
      <c r="C657">
        <v>220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190</v>
      </c>
      <c r="J657">
        <v>58</v>
      </c>
      <c r="K657">
        <v>0</v>
      </c>
      <c r="L657">
        <v>46</v>
      </c>
      <c r="M657">
        <v>0</v>
      </c>
      <c r="N657">
        <v>266</v>
      </c>
      <c r="O657" s="3">
        <f t="shared" si="35"/>
        <v>0</v>
      </c>
      <c r="P657">
        <f t="shared" si="36"/>
        <v>0</v>
      </c>
      <c r="Q657">
        <f t="shared" si="37"/>
        <v>0</v>
      </c>
    </row>
    <row r="658" spans="1:17" x14ac:dyDescent="0.2">
      <c r="A658" t="s">
        <v>25</v>
      </c>
      <c r="B658" t="s">
        <v>811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20</v>
      </c>
      <c r="J658">
        <v>1</v>
      </c>
      <c r="K658">
        <v>0</v>
      </c>
      <c r="L658">
        <v>0</v>
      </c>
      <c r="M658">
        <v>0</v>
      </c>
      <c r="N658">
        <v>0</v>
      </c>
      <c r="O658" s="3">
        <v>0</v>
      </c>
      <c r="P658">
        <f t="shared" si="36"/>
        <v>0</v>
      </c>
      <c r="Q658">
        <f t="shared" si="37"/>
        <v>0</v>
      </c>
    </row>
    <row r="659" spans="1:17" x14ac:dyDescent="0.2">
      <c r="A659" t="s">
        <v>25</v>
      </c>
      <c r="B659" t="s">
        <v>814</v>
      </c>
      <c r="C659">
        <v>20</v>
      </c>
      <c r="D659">
        <v>20</v>
      </c>
      <c r="E659">
        <v>2</v>
      </c>
      <c r="F659">
        <v>1.5</v>
      </c>
      <c r="G659">
        <v>0</v>
      </c>
      <c r="H659">
        <v>10</v>
      </c>
      <c r="I659">
        <v>15</v>
      </c>
      <c r="J659">
        <v>0</v>
      </c>
      <c r="K659">
        <v>0</v>
      </c>
      <c r="L659">
        <v>0</v>
      </c>
      <c r="M659">
        <v>0</v>
      </c>
      <c r="N659">
        <v>21.5</v>
      </c>
      <c r="O659" s="3">
        <f>M659/C659*100</f>
        <v>0</v>
      </c>
      <c r="P659">
        <f t="shared" si="36"/>
        <v>0</v>
      </c>
      <c r="Q659">
        <f t="shared" si="37"/>
        <v>0</v>
      </c>
    </row>
    <row r="660" spans="1:17" x14ac:dyDescent="0.2">
      <c r="A660" t="s">
        <v>25</v>
      </c>
      <c r="B660" t="s">
        <v>815</v>
      </c>
      <c r="C660">
        <v>15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4</v>
      </c>
      <c r="K660">
        <v>0</v>
      </c>
      <c r="L660">
        <v>4</v>
      </c>
      <c r="M660">
        <v>0</v>
      </c>
      <c r="N660">
        <v>19</v>
      </c>
      <c r="O660" s="3">
        <f>M660/C660*100</f>
        <v>0</v>
      </c>
      <c r="P660">
        <f t="shared" si="36"/>
        <v>0</v>
      </c>
      <c r="Q660">
        <f t="shared" si="37"/>
        <v>0</v>
      </c>
    </row>
    <row r="661" spans="1:17" ht="34" x14ac:dyDescent="0.2">
      <c r="A661" t="s">
        <v>25</v>
      </c>
      <c r="B661" s="1" t="s">
        <v>816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1</v>
      </c>
      <c r="O661" s="3">
        <v>0</v>
      </c>
      <c r="P661">
        <f t="shared" si="36"/>
        <v>0</v>
      </c>
      <c r="Q661">
        <f t="shared" si="37"/>
        <v>0</v>
      </c>
    </row>
    <row r="662" spans="1:17" ht="34" x14ac:dyDescent="0.2">
      <c r="A662" t="s">
        <v>25</v>
      </c>
      <c r="B662" s="1" t="s">
        <v>817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  <c r="O662" s="3">
        <v>0</v>
      </c>
      <c r="P662">
        <f t="shared" si="36"/>
        <v>0</v>
      </c>
      <c r="Q662">
        <f t="shared" si="37"/>
        <v>0</v>
      </c>
    </row>
    <row r="663" spans="1:17" x14ac:dyDescent="0.2">
      <c r="A663" t="s">
        <v>25</v>
      </c>
      <c r="B663" t="s">
        <v>818</v>
      </c>
      <c r="C663">
        <v>110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5</v>
      </c>
      <c r="J663">
        <v>27</v>
      </c>
      <c r="K663">
        <v>0</v>
      </c>
      <c r="L663">
        <v>27</v>
      </c>
      <c r="M663">
        <v>0</v>
      </c>
      <c r="N663">
        <v>137</v>
      </c>
      <c r="O663" s="3">
        <f t="shared" ref="O663:O726" si="38">M663/C663*100</f>
        <v>0</v>
      </c>
      <c r="P663">
        <f t="shared" si="36"/>
        <v>0</v>
      </c>
      <c r="Q663">
        <f t="shared" si="37"/>
        <v>0</v>
      </c>
    </row>
    <row r="664" spans="1:17" x14ac:dyDescent="0.2">
      <c r="A664" t="s">
        <v>159</v>
      </c>
      <c r="B664" t="s">
        <v>160</v>
      </c>
      <c r="C664">
        <v>130</v>
      </c>
      <c r="D664" s="2">
        <v>0</v>
      </c>
      <c r="E664">
        <v>4</v>
      </c>
      <c r="F664">
        <v>1.5</v>
      </c>
      <c r="G664">
        <v>0</v>
      </c>
      <c r="H664">
        <v>10</v>
      </c>
      <c r="I664">
        <v>270</v>
      </c>
      <c r="J664">
        <v>17</v>
      </c>
      <c r="K664">
        <v>1</v>
      </c>
      <c r="L664">
        <v>1</v>
      </c>
      <c r="M664">
        <v>7</v>
      </c>
      <c r="O664" s="3">
        <f t="shared" si="38"/>
        <v>5.384615384615385</v>
      </c>
      <c r="P664">
        <f t="shared" si="36"/>
        <v>0</v>
      </c>
      <c r="Q664">
        <f t="shared" si="37"/>
        <v>0</v>
      </c>
    </row>
    <row r="665" spans="1:17" x14ac:dyDescent="0.2">
      <c r="A665" t="s">
        <v>159</v>
      </c>
      <c r="B665" t="s">
        <v>164</v>
      </c>
      <c r="C665">
        <v>280</v>
      </c>
      <c r="D665" s="2">
        <v>0</v>
      </c>
      <c r="E665">
        <v>9</v>
      </c>
      <c r="F665">
        <v>4</v>
      </c>
      <c r="G665">
        <v>0</v>
      </c>
      <c r="H665">
        <v>30</v>
      </c>
      <c r="I665">
        <v>580</v>
      </c>
      <c r="J665">
        <v>36</v>
      </c>
      <c r="K665">
        <v>3</v>
      </c>
      <c r="L665">
        <v>3</v>
      </c>
      <c r="M665">
        <v>15</v>
      </c>
      <c r="O665" s="3">
        <f t="shared" si="38"/>
        <v>5.3571428571428568</v>
      </c>
      <c r="P665">
        <f t="shared" si="36"/>
        <v>1</v>
      </c>
      <c r="Q665">
        <f t="shared" si="37"/>
        <v>0</v>
      </c>
    </row>
    <row r="666" spans="1:17" x14ac:dyDescent="0.2">
      <c r="A666" t="s">
        <v>159</v>
      </c>
      <c r="B666" t="s">
        <v>169</v>
      </c>
      <c r="C666">
        <v>150</v>
      </c>
      <c r="D666" s="2">
        <v>0</v>
      </c>
      <c r="E666">
        <v>5</v>
      </c>
      <c r="F666">
        <v>2</v>
      </c>
      <c r="G666">
        <v>0</v>
      </c>
      <c r="H666">
        <v>15</v>
      </c>
      <c r="I666">
        <v>330</v>
      </c>
      <c r="J666">
        <v>18</v>
      </c>
      <c r="K666">
        <v>1</v>
      </c>
      <c r="L666">
        <v>3</v>
      </c>
      <c r="M666">
        <v>8</v>
      </c>
      <c r="O666" s="3">
        <f t="shared" si="38"/>
        <v>5.3333333333333339</v>
      </c>
      <c r="P666">
        <f t="shared" si="36"/>
        <v>0</v>
      </c>
      <c r="Q666">
        <f t="shared" si="37"/>
        <v>0</v>
      </c>
    </row>
    <row r="667" spans="1:17" x14ac:dyDescent="0.2">
      <c r="A667" t="s">
        <v>159</v>
      </c>
      <c r="B667" t="s">
        <v>188</v>
      </c>
      <c r="C667">
        <v>310</v>
      </c>
      <c r="D667" s="2">
        <v>0</v>
      </c>
      <c r="E667">
        <v>13</v>
      </c>
      <c r="F667">
        <v>5</v>
      </c>
      <c r="G667">
        <v>0</v>
      </c>
      <c r="H667">
        <v>35</v>
      </c>
      <c r="I667">
        <v>560</v>
      </c>
      <c r="J667">
        <v>33</v>
      </c>
      <c r="K667">
        <v>2</v>
      </c>
      <c r="L667">
        <v>1</v>
      </c>
      <c r="M667">
        <v>16</v>
      </c>
      <c r="O667" s="3">
        <f t="shared" si="38"/>
        <v>5.161290322580645</v>
      </c>
      <c r="P667">
        <f t="shared" si="36"/>
        <v>1</v>
      </c>
      <c r="Q667">
        <f t="shared" si="37"/>
        <v>0</v>
      </c>
    </row>
    <row r="668" spans="1:17" x14ac:dyDescent="0.2">
      <c r="A668" t="s">
        <v>159</v>
      </c>
      <c r="B668" t="s">
        <v>217</v>
      </c>
      <c r="C668">
        <v>180</v>
      </c>
      <c r="D668" s="2">
        <v>0</v>
      </c>
      <c r="E668">
        <v>8</v>
      </c>
      <c r="F668">
        <v>3</v>
      </c>
      <c r="G668">
        <v>0</v>
      </c>
      <c r="H668">
        <v>20</v>
      </c>
      <c r="I668">
        <v>350</v>
      </c>
      <c r="J668">
        <v>17</v>
      </c>
      <c r="K668">
        <v>1</v>
      </c>
      <c r="L668">
        <v>2</v>
      </c>
      <c r="M668">
        <v>9</v>
      </c>
      <c r="O668" s="3">
        <f t="shared" si="38"/>
        <v>5</v>
      </c>
      <c r="P668">
        <f t="shared" si="36"/>
        <v>0</v>
      </c>
      <c r="Q668">
        <f t="shared" si="37"/>
        <v>0</v>
      </c>
    </row>
    <row r="669" spans="1:17" x14ac:dyDescent="0.2">
      <c r="A669" t="s">
        <v>159</v>
      </c>
      <c r="B669" t="s">
        <v>218</v>
      </c>
      <c r="C669">
        <v>240</v>
      </c>
      <c r="D669" s="2">
        <v>0</v>
      </c>
      <c r="E669">
        <v>9</v>
      </c>
      <c r="F669">
        <v>3.5</v>
      </c>
      <c r="G669">
        <v>0</v>
      </c>
      <c r="H669">
        <v>20</v>
      </c>
      <c r="I669">
        <v>480</v>
      </c>
      <c r="J669">
        <v>29</v>
      </c>
      <c r="K669">
        <v>2</v>
      </c>
      <c r="L669">
        <v>2</v>
      </c>
      <c r="M669">
        <v>12</v>
      </c>
      <c r="O669" s="3">
        <f t="shared" si="38"/>
        <v>5</v>
      </c>
      <c r="P669">
        <f t="shared" si="36"/>
        <v>1</v>
      </c>
      <c r="Q669">
        <f t="shared" si="37"/>
        <v>0</v>
      </c>
    </row>
    <row r="670" spans="1:17" x14ac:dyDescent="0.2">
      <c r="A670" t="s">
        <v>159</v>
      </c>
      <c r="B670" t="s">
        <v>222</v>
      </c>
      <c r="C670">
        <v>350</v>
      </c>
      <c r="D670" s="2">
        <v>0</v>
      </c>
      <c r="E670">
        <v>15</v>
      </c>
      <c r="F670">
        <v>5</v>
      </c>
      <c r="G670">
        <v>0</v>
      </c>
      <c r="H670">
        <v>30</v>
      </c>
      <c r="I670">
        <v>690</v>
      </c>
      <c r="J670">
        <v>38</v>
      </c>
      <c r="K670">
        <v>2</v>
      </c>
      <c r="L670">
        <v>3</v>
      </c>
      <c r="M670">
        <v>17</v>
      </c>
      <c r="O670" s="3">
        <f t="shared" si="38"/>
        <v>4.8571428571428568</v>
      </c>
      <c r="P670">
        <f t="shared" si="36"/>
        <v>1</v>
      </c>
      <c r="Q670">
        <f t="shared" si="37"/>
        <v>0</v>
      </c>
    </row>
    <row r="671" spans="1:17" x14ac:dyDescent="0.2">
      <c r="A671" t="s">
        <v>159</v>
      </c>
      <c r="B671" t="s">
        <v>225</v>
      </c>
      <c r="C671">
        <v>310</v>
      </c>
      <c r="D671" s="2">
        <v>0</v>
      </c>
      <c r="E671">
        <v>13</v>
      </c>
      <c r="F671">
        <v>6</v>
      </c>
      <c r="G671">
        <v>0</v>
      </c>
      <c r="H671">
        <v>35</v>
      </c>
      <c r="I671">
        <v>540</v>
      </c>
      <c r="J671">
        <v>33</v>
      </c>
      <c r="K671">
        <v>2</v>
      </c>
      <c r="L671">
        <v>1</v>
      </c>
      <c r="M671">
        <v>15</v>
      </c>
      <c r="O671" s="3">
        <f t="shared" si="38"/>
        <v>4.838709677419355</v>
      </c>
      <c r="P671">
        <f t="shared" si="36"/>
        <v>1</v>
      </c>
      <c r="Q671">
        <f t="shared" si="37"/>
        <v>0</v>
      </c>
    </row>
    <row r="672" spans="1:17" x14ac:dyDescent="0.2">
      <c r="A672" t="s">
        <v>159</v>
      </c>
      <c r="B672" t="s">
        <v>228</v>
      </c>
      <c r="C672">
        <v>270</v>
      </c>
      <c r="D672" s="2">
        <v>0</v>
      </c>
      <c r="E672">
        <v>8</v>
      </c>
      <c r="F672">
        <v>4</v>
      </c>
      <c r="G672">
        <v>0</v>
      </c>
      <c r="H672">
        <v>30</v>
      </c>
      <c r="I672">
        <v>740</v>
      </c>
      <c r="J672">
        <v>37</v>
      </c>
      <c r="K672">
        <v>2</v>
      </c>
      <c r="L672">
        <v>2</v>
      </c>
      <c r="M672">
        <v>13</v>
      </c>
      <c r="O672" s="3">
        <f t="shared" si="38"/>
        <v>4.8148148148148149</v>
      </c>
      <c r="P672">
        <f t="shared" si="36"/>
        <v>1</v>
      </c>
      <c r="Q672">
        <f t="shared" si="37"/>
        <v>0</v>
      </c>
    </row>
    <row r="673" spans="1:17" x14ac:dyDescent="0.2">
      <c r="A673" t="s">
        <v>159</v>
      </c>
      <c r="B673" t="s">
        <v>231</v>
      </c>
      <c r="C673">
        <v>230</v>
      </c>
      <c r="D673" s="2">
        <v>0</v>
      </c>
      <c r="E673">
        <v>9</v>
      </c>
      <c r="F673">
        <v>4</v>
      </c>
      <c r="G673">
        <v>0</v>
      </c>
      <c r="H673">
        <v>25</v>
      </c>
      <c r="I673">
        <v>410</v>
      </c>
      <c r="J673">
        <v>25</v>
      </c>
      <c r="K673">
        <v>2</v>
      </c>
      <c r="L673">
        <v>1</v>
      </c>
      <c r="M673">
        <v>11</v>
      </c>
      <c r="O673" s="3">
        <f t="shared" si="38"/>
        <v>4.7826086956521738</v>
      </c>
      <c r="P673">
        <f t="shared" si="36"/>
        <v>0</v>
      </c>
      <c r="Q673">
        <f t="shared" si="37"/>
        <v>0</v>
      </c>
    </row>
    <row r="674" spans="1:17" x14ac:dyDescent="0.2">
      <c r="A674" t="s">
        <v>159</v>
      </c>
      <c r="B674" t="s">
        <v>232</v>
      </c>
      <c r="C674">
        <v>230</v>
      </c>
      <c r="D674" s="2">
        <v>0</v>
      </c>
      <c r="E674">
        <v>10</v>
      </c>
      <c r="F674">
        <v>4.5</v>
      </c>
      <c r="G674">
        <v>0</v>
      </c>
      <c r="H674">
        <v>25</v>
      </c>
      <c r="I674">
        <v>390</v>
      </c>
      <c r="J674">
        <v>25</v>
      </c>
      <c r="K674">
        <v>2</v>
      </c>
      <c r="L674">
        <v>1</v>
      </c>
      <c r="M674">
        <v>11</v>
      </c>
      <c r="O674" s="3">
        <f t="shared" si="38"/>
        <v>4.7826086956521738</v>
      </c>
      <c r="P674">
        <f t="shared" si="36"/>
        <v>0</v>
      </c>
      <c r="Q674">
        <f t="shared" si="37"/>
        <v>0</v>
      </c>
    </row>
    <row r="675" spans="1:17" x14ac:dyDescent="0.2">
      <c r="A675" t="s">
        <v>159</v>
      </c>
      <c r="B675" t="s">
        <v>235</v>
      </c>
      <c r="C675">
        <v>210</v>
      </c>
      <c r="D675" s="2">
        <v>0</v>
      </c>
      <c r="E675">
        <v>8</v>
      </c>
      <c r="F675">
        <v>3.5</v>
      </c>
      <c r="G675">
        <v>0</v>
      </c>
      <c r="H675">
        <v>20</v>
      </c>
      <c r="I675">
        <v>390</v>
      </c>
      <c r="J675">
        <v>26</v>
      </c>
      <c r="K675">
        <v>2</v>
      </c>
      <c r="L675">
        <v>1</v>
      </c>
      <c r="M675">
        <v>10</v>
      </c>
      <c r="O675" s="3">
        <f t="shared" si="38"/>
        <v>4.7619047619047619</v>
      </c>
      <c r="P675">
        <f t="shared" si="36"/>
        <v>0</v>
      </c>
      <c r="Q675">
        <f t="shared" si="37"/>
        <v>0</v>
      </c>
    </row>
    <row r="676" spans="1:17" x14ac:dyDescent="0.2">
      <c r="A676" t="s">
        <v>159</v>
      </c>
      <c r="B676" t="s">
        <v>236</v>
      </c>
      <c r="C676">
        <v>210</v>
      </c>
      <c r="D676" s="2">
        <v>0</v>
      </c>
      <c r="E676">
        <v>6</v>
      </c>
      <c r="F676">
        <v>3</v>
      </c>
      <c r="G676">
        <v>0</v>
      </c>
      <c r="H676">
        <v>20</v>
      </c>
      <c r="I676">
        <v>420</v>
      </c>
      <c r="J676">
        <v>27</v>
      </c>
      <c r="K676">
        <v>2</v>
      </c>
      <c r="L676">
        <v>2</v>
      </c>
      <c r="M676">
        <v>10</v>
      </c>
      <c r="O676" s="3">
        <f t="shared" si="38"/>
        <v>4.7619047619047619</v>
      </c>
      <c r="P676">
        <f t="shared" si="36"/>
        <v>0</v>
      </c>
      <c r="Q676">
        <f t="shared" si="37"/>
        <v>0</v>
      </c>
    </row>
    <row r="677" spans="1:17" x14ac:dyDescent="0.2">
      <c r="A677" t="s">
        <v>159</v>
      </c>
      <c r="B677" t="s">
        <v>248</v>
      </c>
      <c r="C677">
        <v>170</v>
      </c>
      <c r="D677" s="2">
        <v>0</v>
      </c>
      <c r="E677">
        <v>8</v>
      </c>
      <c r="F677">
        <v>3.5</v>
      </c>
      <c r="G677">
        <v>0</v>
      </c>
      <c r="H677">
        <v>15</v>
      </c>
      <c r="I677">
        <v>330</v>
      </c>
      <c r="J677">
        <v>17</v>
      </c>
      <c r="K677">
        <v>1</v>
      </c>
      <c r="L677">
        <v>2</v>
      </c>
      <c r="M677">
        <v>8</v>
      </c>
      <c r="O677" s="3">
        <f t="shared" si="38"/>
        <v>4.7058823529411766</v>
      </c>
      <c r="P677">
        <f t="shared" si="36"/>
        <v>0</v>
      </c>
      <c r="Q677">
        <f t="shared" si="37"/>
        <v>0</v>
      </c>
    </row>
    <row r="678" spans="1:17" x14ac:dyDescent="0.2">
      <c r="A678" t="s">
        <v>159</v>
      </c>
      <c r="B678" t="s">
        <v>254</v>
      </c>
      <c r="C678">
        <v>150</v>
      </c>
      <c r="D678" s="2">
        <v>0</v>
      </c>
      <c r="E678">
        <v>6</v>
      </c>
      <c r="F678">
        <v>2.5</v>
      </c>
      <c r="G678">
        <v>0</v>
      </c>
      <c r="H678">
        <v>15</v>
      </c>
      <c r="I678">
        <v>310</v>
      </c>
      <c r="J678">
        <v>17</v>
      </c>
      <c r="K678">
        <v>1</v>
      </c>
      <c r="L678">
        <v>2</v>
      </c>
      <c r="M678">
        <v>7</v>
      </c>
      <c r="O678" s="3">
        <f t="shared" si="38"/>
        <v>4.666666666666667</v>
      </c>
      <c r="P678">
        <f t="shared" si="36"/>
        <v>0</v>
      </c>
      <c r="Q678">
        <f t="shared" si="37"/>
        <v>0</v>
      </c>
    </row>
    <row r="679" spans="1:17" x14ac:dyDescent="0.2">
      <c r="A679" t="s">
        <v>159</v>
      </c>
      <c r="B679" t="s">
        <v>255</v>
      </c>
      <c r="C679">
        <v>300</v>
      </c>
      <c r="D679" s="2">
        <v>0</v>
      </c>
      <c r="E679">
        <v>10</v>
      </c>
      <c r="F679">
        <v>4.5</v>
      </c>
      <c r="G679">
        <v>0</v>
      </c>
      <c r="H679">
        <v>30</v>
      </c>
      <c r="I679">
        <v>530</v>
      </c>
      <c r="J679">
        <v>40</v>
      </c>
      <c r="K679">
        <v>2</v>
      </c>
      <c r="L679">
        <v>7</v>
      </c>
      <c r="M679">
        <v>14</v>
      </c>
      <c r="O679" s="3">
        <f t="shared" si="38"/>
        <v>4.666666666666667</v>
      </c>
      <c r="P679">
        <f t="shared" si="36"/>
        <v>1</v>
      </c>
      <c r="Q679">
        <f t="shared" si="37"/>
        <v>0</v>
      </c>
    </row>
    <row r="680" spans="1:17" x14ac:dyDescent="0.2">
      <c r="A680" t="s">
        <v>159</v>
      </c>
      <c r="B680" t="s">
        <v>256</v>
      </c>
      <c r="C680">
        <v>150</v>
      </c>
      <c r="D680" s="2">
        <v>0</v>
      </c>
      <c r="E680">
        <v>6</v>
      </c>
      <c r="F680">
        <v>2.5</v>
      </c>
      <c r="G680">
        <v>0</v>
      </c>
      <c r="H680">
        <v>15</v>
      </c>
      <c r="I680">
        <v>270</v>
      </c>
      <c r="J680">
        <v>16</v>
      </c>
      <c r="K680">
        <v>1</v>
      </c>
      <c r="L680">
        <v>0</v>
      </c>
      <c r="M680">
        <v>7</v>
      </c>
      <c r="O680" s="3">
        <f t="shared" si="38"/>
        <v>4.666666666666667</v>
      </c>
      <c r="P680">
        <f t="shared" si="36"/>
        <v>0</v>
      </c>
      <c r="Q680">
        <f t="shared" si="37"/>
        <v>0</v>
      </c>
    </row>
    <row r="681" spans="1:17" x14ac:dyDescent="0.2">
      <c r="A681" t="s">
        <v>159</v>
      </c>
      <c r="B681" t="s">
        <v>261</v>
      </c>
      <c r="C681">
        <v>280</v>
      </c>
      <c r="D681" s="2">
        <v>0</v>
      </c>
      <c r="E681">
        <v>12</v>
      </c>
      <c r="F681">
        <v>6</v>
      </c>
      <c r="G681">
        <v>0</v>
      </c>
      <c r="H681">
        <v>30</v>
      </c>
      <c r="I681">
        <v>560</v>
      </c>
      <c r="J681">
        <v>31</v>
      </c>
      <c r="K681">
        <v>2</v>
      </c>
      <c r="L681">
        <v>2</v>
      </c>
      <c r="M681">
        <v>13</v>
      </c>
      <c r="O681" s="3">
        <f t="shared" si="38"/>
        <v>4.6428571428571432</v>
      </c>
      <c r="P681">
        <f t="shared" si="36"/>
        <v>1</v>
      </c>
      <c r="Q681">
        <f t="shared" si="37"/>
        <v>0</v>
      </c>
    </row>
    <row r="682" spans="1:17" x14ac:dyDescent="0.2">
      <c r="A682" t="s">
        <v>159</v>
      </c>
      <c r="B682" t="s">
        <v>266</v>
      </c>
      <c r="C682">
        <v>390</v>
      </c>
      <c r="D682" s="2">
        <v>0</v>
      </c>
      <c r="E682">
        <v>20</v>
      </c>
      <c r="F682">
        <v>7</v>
      </c>
      <c r="G682">
        <v>0</v>
      </c>
      <c r="H682">
        <v>40</v>
      </c>
      <c r="I682">
        <v>680</v>
      </c>
      <c r="J682">
        <v>35</v>
      </c>
      <c r="K682">
        <v>2</v>
      </c>
      <c r="L682">
        <v>2</v>
      </c>
      <c r="M682">
        <v>18</v>
      </c>
      <c r="O682" s="3">
        <f t="shared" si="38"/>
        <v>4.6153846153846159</v>
      </c>
      <c r="P682">
        <f t="shared" si="36"/>
        <v>1</v>
      </c>
      <c r="Q682">
        <f t="shared" si="37"/>
        <v>0</v>
      </c>
    </row>
    <row r="683" spans="1:17" x14ac:dyDescent="0.2">
      <c r="A683" t="s">
        <v>159</v>
      </c>
      <c r="B683" t="s">
        <v>267</v>
      </c>
      <c r="C683">
        <v>130</v>
      </c>
      <c r="D683" s="2">
        <v>0</v>
      </c>
      <c r="E683">
        <v>3.5</v>
      </c>
      <c r="F683">
        <v>1.5</v>
      </c>
      <c r="G683">
        <v>0</v>
      </c>
      <c r="H683">
        <v>10</v>
      </c>
      <c r="I683">
        <v>380</v>
      </c>
      <c r="J683">
        <v>19</v>
      </c>
      <c r="K683">
        <v>0</v>
      </c>
      <c r="L683">
        <v>0</v>
      </c>
      <c r="M683">
        <v>6</v>
      </c>
      <c r="O683" s="3">
        <f t="shared" si="38"/>
        <v>4.6153846153846159</v>
      </c>
      <c r="P683">
        <f t="shared" si="36"/>
        <v>0</v>
      </c>
      <c r="Q683">
        <f t="shared" si="37"/>
        <v>0</v>
      </c>
    </row>
    <row r="684" spans="1:17" x14ac:dyDescent="0.2">
      <c r="A684" t="s">
        <v>159</v>
      </c>
      <c r="B684" t="s">
        <v>268</v>
      </c>
      <c r="C684">
        <v>130</v>
      </c>
      <c r="D684" s="2">
        <v>0</v>
      </c>
      <c r="E684">
        <v>4.5</v>
      </c>
      <c r="F684">
        <v>2</v>
      </c>
      <c r="G684">
        <v>0</v>
      </c>
      <c r="H684">
        <v>10</v>
      </c>
      <c r="I684">
        <v>250</v>
      </c>
      <c r="J684">
        <v>17</v>
      </c>
      <c r="K684">
        <v>1</v>
      </c>
      <c r="L684">
        <v>0</v>
      </c>
      <c r="M684">
        <v>6</v>
      </c>
      <c r="O684" s="3">
        <f t="shared" si="38"/>
        <v>4.6153846153846159</v>
      </c>
      <c r="P684">
        <f t="shared" si="36"/>
        <v>0</v>
      </c>
      <c r="Q684">
        <f t="shared" si="37"/>
        <v>0</v>
      </c>
    </row>
    <row r="685" spans="1:17" x14ac:dyDescent="0.2">
      <c r="A685" t="s">
        <v>159</v>
      </c>
      <c r="B685" t="s">
        <v>269</v>
      </c>
      <c r="C685">
        <v>130</v>
      </c>
      <c r="D685" s="2">
        <v>0</v>
      </c>
      <c r="E685">
        <v>5</v>
      </c>
      <c r="F685">
        <v>2</v>
      </c>
      <c r="G685">
        <v>0</v>
      </c>
      <c r="H685">
        <v>10</v>
      </c>
      <c r="I685">
        <v>260</v>
      </c>
      <c r="J685">
        <v>16</v>
      </c>
      <c r="K685">
        <v>1</v>
      </c>
      <c r="L685">
        <v>0</v>
      </c>
      <c r="M685">
        <v>6</v>
      </c>
      <c r="O685" s="3">
        <f t="shared" si="38"/>
        <v>4.6153846153846159</v>
      </c>
      <c r="P685">
        <f t="shared" si="36"/>
        <v>0</v>
      </c>
      <c r="Q685">
        <f t="shared" si="37"/>
        <v>0</v>
      </c>
    </row>
    <row r="686" spans="1:17" x14ac:dyDescent="0.2">
      <c r="A686" t="s">
        <v>159</v>
      </c>
      <c r="B686" t="s">
        <v>272</v>
      </c>
      <c r="C686">
        <v>370</v>
      </c>
      <c r="D686" s="2">
        <v>0</v>
      </c>
      <c r="E686">
        <v>18</v>
      </c>
      <c r="F686">
        <v>8</v>
      </c>
      <c r="G686">
        <v>0</v>
      </c>
      <c r="H686">
        <v>50</v>
      </c>
      <c r="I686">
        <v>740</v>
      </c>
      <c r="J686">
        <v>35</v>
      </c>
      <c r="K686">
        <v>3</v>
      </c>
      <c r="L686">
        <v>2</v>
      </c>
      <c r="M686">
        <v>17</v>
      </c>
      <c r="O686" s="3">
        <f t="shared" si="38"/>
        <v>4.5945945945945947</v>
      </c>
      <c r="P686">
        <f t="shared" si="36"/>
        <v>1</v>
      </c>
      <c r="Q686">
        <f t="shared" si="37"/>
        <v>0</v>
      </c>
    </row>
    <row r="687" spans="1:17" x14ac:dyDescent="0.2">
      <c r="A687" t="s">
        <v>159</v>
      </c>
      <c r="B687" t="s">
        <v>274</v>
      </c>
      <c r="C687">
        <v>240</v>
      </c>
      <c r="D687" s="2">
        <v>0</v>
      </c>
      <c r="E687">
        <v>9</v>
      </c>
      <c r="F687">
        <v>3.5</v>
      </c>
      <c r="G687">
        <v>0</v>
      </c>
      <c r="H687">
        <v>20</v>
      </c>
      <c r="I687">
        <v>680</v>
      </c>
      <c r="J687">
        <v>31</v>
      </c>
      <c r="K687">
        <v>2</v>
      </c>
      <c r="L687">
        <v>2</v>
      </c>
      <c r="M687">
        <v>11</v>
      </c>
      <c r="O687" s="3">
        <f t="shared" si="38"/>
        <v>4.583333333333333</v>
      </c>
      <c r="P687">
        <f t="shared" si="36"/>
        <v>1</v>
      </c>
      <c r="Q687">
        <f t="shared" si="37"/>
        <v>0</v>
      </c>
    </row>
    <row r="688" spans="1:17" x14ac:dyDescent="0.2">
      <c r="A688" t="s">
        <v>159</v>
      </c>
      <c r="B688" t="s">
        <v>280</v>
      </c>
      <c r="C688">
        <v>220</v>
      </c>
      <c r="D688" s="2">
        <v>0</v>
      </c>
      <c r="E688">
        <v>7</v>
      </c>
      <c r="F688">
        <v>3</v>
      </c>
      <c r="G688">
        <v>0</v>
      </c>
      <c r="H688">
        <v>20</v>
      </c>
      <c r="I688">
        <v>390</v>
      </c>
      <c r="J688">
        <v>31</v>
      </c>
      <c r="K688">
        <v>2</v>
      </c>
      <c r="L688">
        <v>6</v>
      </c>
      <c r="M688">
        <v>10</v>
      </c>
      <c r="O688" s="3">
        <f t="shared" si="38"/>
        <v>4.5454545454545459</v>
      </c>
      <c r="P688">
        <f t="shared" si="36"/>
        <v>0</v>
      </c>
      <c r="Q688">
        <f t="shared" si="37"/>
        <v>0</v>
      </c>
    </row>
    <row r="689" spans="1:17" x14ac:dyDescent="0.2">
      <c r="A689" t="s">
        <v>159</v>
      </c>
      <c r="B689" t="s">
        <v>283</v>
      </c>
      <c r="C689">
        <v>200</v>
      </c>
      <c r="D689" s="2">
        <v>0</v>
      </c>
      <c r="E689">
        <v>7</v>
      </c>
      <c r="F689">
        <v>3.5</v>
      </c>
      <c r="G689">
        <v>0</v>
      </c>
      <c r="H689">
        <v>15</v>
      </c>
      <c r="I689">
        <v>410</v>
      </c>
      <c r="J689">
        <v>26</v>
      </c>
      <c r="K689">
        <v>2</v>
      </c>
      <c r="L689">
        <v>1</v>
      </c>
      <c r="M689">
        <v>9</v>
      </c>
      <c r="O689" s="3">
        <f t="shared" si="38"/>
        <v>4.5</v>
      </c>
      <c r="P689">
        <f t="shared" si="36"/>
        <v>0</v>
      </c>
      <c r="Q689">
        <f t="shared" si="37"/>
        <v>0</v>
      </c>
    </row>
    <row r="690" spans="1:17" x14ac:dyDescent="0.2">
      <c r="A690" t="s">
        <v>159</v>
      </c>
      <c r="B690" t="s">
        <v>284</v>
      </c>
      <c r="C690">
        <v>200</v>
      </c>
      <c r="D690" s="2">
        <v>0</v>
      </c>
      <c r="E690">
        <v>5</v>
      </c>
      <c r="F690">
        <v>2.5</v>
      </c>
      <c r="G690">
        <v>0</v>
      </c>
      <c r="H690">
        <v>20</v>
      </c>
      <c r="I690">
        <v>560</v>
      </c>
      <c r="J690">
        <v>28</v>
      </c>
      <c r="K690">
        <v>2</v>
      </c>
      <c r="L690">
        <v>1</v>
      </c>
      <c r="M690">
        <v>9</v>
      </c>
      <c r="O690" s="3">
        <f t="shared" si="38"/>
        <v>4.5</v>
      </c>
      <c r="P690">
        <f t="shared" si="36"/>
        <v>1</v>
      </c>
      <c r="Q690">
        <f t="shared" si="37"/>
        <v>0</v>
      </c>
    </row>
    <row r="691" spans="1:17" x14ac:dyDescent="0.2">
      <c r="A691" t="s">
        <v>159</v>
      </c>
      <c r="B691" t="s">
        <v>286</v>
      </c>
      <c r="C691">
        <v>290</v>
      </c>
      <c r="D691" s="2">
        <v>0</v>
      </c>
      <c r="E691">
        <v>13</v>
      </c>
      <c r="F691">
        <v>6</v>
      </c>
      <c r="G691">
        <v>0</v>
      </c>
      <c r="H691">
        <v>30</v>
      </c>
      <c r="I691">
        <v>570</v>
      </c>
      <c r="J691">
        <v>31</v>
      </c>
      <c r="K691">
        <v>2</v>
      </c>
      <c r="L691">
        <v>2</v>
      </c>
      <c r="M691">
        <v>13</v>
      </c>
      <c r="O691" s="3">
        <f t="shared" si="38"/>
        <v>4.4827586206896548</v>
      </c>
      <c r="P691">
        <f t="shared" si="36"/>
        <v>1</v>
      </c>
      <c r="Q691">
        <f t="shared" si="37"/>
        <v>0</v>
      </c>
    </row>
    <row r="692" spans="1:17" x14ac:dyDescent="0.2">
      <c r="A692" t="s">
        <v>159</v>
      </c>
      <c r="B692" t="s">
        <v>287</v>
      </c>
      <c r="C692">
        <v>290</v>
      </c>
      <c r="D692" s="2">
        <v>0</v>
      </c>
      <c r="E692">
        <v>10</v>
      </c>
      <c r="F692">
        <v>5</v>
      </c>
      <c r="G692">
        <v>0</v>
      </c>
      <c r="H692">
        <v>30</v>
      </c>
      <c r="I692">
        <v>540</v>
      </c>
      <c r="J692">
        <v>34</v>
      </c>
      <c r="K692">
        <v>3</v>
      </c>
      <c r="L692">
        <v>2</v>
      </c>
      <c r="M692">
        <v>13</v>
      </c>
      <c r="O692" s="3">
        <f t="shared" si="38"/>
        <v>4.4827586206896548</v>
      </c>
      <c r="P692">
        <f t="shared" si="36"/>
        <v>1</v>
      </c>
      <c r="Q692">
        <f t="shared" si="37"/>
        <v>0</v>
      </c>
    </row>
    <row r="693" spans="1:17" x14ac:dyDescent="0.2">
      <c r="A693" t="s">
        <v>159</v>
      </c>
      <c r="B693" t="s">
        <v>291</v>
      </c>
      <c r="C693">
        <v>180</v>
      </c>
      <c r="D693" s="2">
        <v>0</v>
      </c>
      <c r="E693">
        <v>6</v>
      </c>
      <c r="F693">
        <v>2</v>
      </c>
      <c r="G693">
        <v>0</v>
      </c>
      <c r="H693">
        <v>15</v>
      </c>
      <c r="I693">
        <v>370</v>
      </c>
      <c r="J693">
        <v>25</v>
      </c>
      <c r="K693">
        <v>1</v>
      </c>
      <c r="L693">
        <v>8</v>
      </c>
      <c r="M693">
        <v>8</v>
      </c>
      <c r="O693" s="3">
        <f t="shared" si="38"/>
        <v>4.4444444444444446</v>
      </c>
      <c r="P693">
        <f t="shared" si="36"/>
        <v>0</v>
      </c>
      <c r="Q693">
        <f t="shared" si="37"/>
        <v>0</v>
      </c>
    </row>
    <row r="694" spans="1:17" x14ac:dyDescent="0.2">
      <c r="A694" t="s">
        <v>159</v>
      </c>
      <c r="B694" t="s">
        <v>292</v>
      </c>
      <c r="C694">
        <v>360</v>
      </c>
      <c r="D694" s="2">
        <v>0</v>
      </c>
      <c r="E694">
        <v>17</v>
      </c>
      <c r="F694">
        <v>7</v>
      </c>
      <c r="G694">
        <v>0</v>
      </c>
      <c r="H694">
        <v>35</v>
      </c>
      <c r="I694">
        <v>660</v>
      </c>
      <c r="J694">
        <v>37</v>
      </c>
      <c r="K694">
        <v>2</v>
      </c>
      <c r="L694">
        <v>2</v>
      </c>
      <c r="M694">
        <v>16</v>
      </c>
      <c r="O694" s="3">
        <f t="shared" si="38"/>
        <v>4.4444444444444446</v>
      </c>
      <c r="P694">
        <f t="shared" si="36"/>
        <v>1</v>
      </c>
      <c r="Q694">
        <f t="shared" si="37"/>
        <v>0</v>
      </c>
    </row>
    <row r="695" spans="1:17" x14ac:dyDescent="0.2">
      <c r="A695" t="s">
        <v>159</v>
      </c>
      <c r="B695" t="s">
        <v>293</v>
      </c>
      <c r="C695">
        <v>270</v>
      </c>
      <c r="D695" s="2">
        <v>0</v>
      </c>
      <c r="E695">
        <v>13</v>
      </c>
      <c r="F695">
        <v>4.5</v>
      </c>
      <c r="G695">
        <v>0</v>
      </c>
      <c r="H695">
        <v>30</v>
      </c>
      <c r="I695">
        <v>470</v>
      </c>
      <c r="J695">
        <v>27</v>
      </c>
      <c r="K695">
        <v>2</v>
      </c>
      <c r="L695">
        <v>1</v>
      </c>
      <c r="M695">
        <v>12</v>
      </c>
      <c r="O695" s="3">
        <f t="shared" si="38"/>
        <v>4.4444444444444446</v>
      </c>
      <c r="P695">
        <f t="shared" si="36"/>
        <v>1</v>
      </c>
      <c r="Q695">
        <f t="shared" si="37"/>
        <v>0</v>
      </c>
    </row>
    <row r="696" spans="1:17" x14ac:dyDescent="0.2">
      <c r="A696" t="s">
        <v>159</v>
      </c>
      <c r="B696" t="s">
        <v>294</v>
      </c>
      <c r="C696">
        <v>180</v>
      </c>
      <c r="D696" s="2">
        <v>0</v>
      </c>
      <c r="E696">
        <v>9</v>
      </c>
      <c r="F696">
        <v>3.5</v>
      </c>
      <c r="G696">
        <v>0</v>
      </c>
      <c r="H696">
        <v>20</v>
      </c>
      <c r="I696">
        <v>370</v>
      </c>
      <c r="J696">
        <v>17</v>
      </c>
      <c r="K696">
        <v>1</v>
      </c>
      <c r="L696">
        <v>2</v>
      </c>
      <c r="M696">
        <v>8</v>
      </c>
      <c r="O696" s="3">
        <f t="shared" si="38"/>
        <v>4.4444444444444446</v>
      </c>
      <c r="P696">
        <f t="shared" si="36"/>
        <v>0</v>
      </c>
      <c r="Q696">
        <f t="shared" si="37"/>
        <v>0</v>
      </c>
    </row>
    <row r="697" spans="1:17" x14ac:dyDescent="0.2">
      <c r="A697" t="s">
        <v>159</v>
      </c>
      <c r="B697" t="s">
        <v>295</v>
      </c>
      <c r="C697">
        <v>270</v>
      </c>
      <c r="D697" s="2">
        <v>0</v>
      </c>
      <c r="E697">
        <v>13</v>
      </c>
      <c r="F697">
        <v>5</v>
      </c>
      <c r="G697">
        <v>0</v>
      </c>
      <c r="H697">
        <v>25</v>
      </c>
      <c r="I697">
        <v>470</v>
      </c>
      <c r="J697">
        <v>27</v>
      </c>
      <c r="K697">
        <v>2</v>
      </c>
      <c r="L697">
        <v>1</v>
      </c>
      <c r="M697">
        <v>12</v>
      </c>
      <c r="O697" s="3">
        <f t="shared" si="38"/>
        <v>4.4444444444444446</v>
      </c>
      <c r="P697">
        <f t="shared" si="36"/>
        <v>1</v>
      </c>
      <c r="Q697">
        <f t="shared" si="37"/>
        <v>0</v>
      </c>
    </row>
    <row r="698" spans="1:17" x14ac:dyDescent="0.2">
      <c r="A698" t="s">
        <v>159</v>
      </c>
      <c r="B698" t="s">
        <v>296</v>
      </c>
      <c r="C698">
        <v>270</v>
      </c>
      <c r="D698" s="2">
        <v>0</v>
      </c>
      <c r="E698">
        <v>13</v>
      </c>
      <c r="F698">
        <v>6</v>
      </c>
      <c r="G698">
        <v>0</v>
      </c>
      <c r="H698">
        <v>35</v>
      </c>
      <c r="I698">
        <v>530</v>
      </c>
      <c r="J698">
        <v>26</v>
      </c>
      <c r="K698">
        <v>2</v>
      </c>
      <c r="L698">
        <v>1</v>
      </c>
      <c r="M698">
        <v>12</v>
      </c>
      <c r="O698" s="3">
        <f t="shared" si="38"/>
        <v>4.4444444444444446</v>
      </c>
      <c r="P698">
        <f t="shared" si="36"/>
        <v>1</v>
      </c>
      <c r="Q698">
        <f t="shared" si="37"/>
        <v>0</v>
      </c>
    </row>
    <row r="699" spans="1:17" x14ac:dyDescent="0.2">
      <c r="A699" t="s">
        <v>159</v>
      </c>
      <c r="B699" t="s">
        <v>303</v>
      </c>
      <c r="C699">
        <v>250</v>
      </c>
      <c r="D699" s="2">
        <v>0</v>
      </c>
      <c r="E699">
        <v>10</v>
      </c>
      <c r="F699">
        <v>4.5</v>
      </c>
      <c r="G699">
        <v>0</v>
      </c>
      <c r="H699">
        <v>25</v>
      </c>
      <c r="I699">
        <v>450</v>
      </c>
      <c r="J699">
        <v>28</v>
      </c>
      <c r="K699">
        <v>2</v>
      </c>
      <c r="L699">
        <v>1</v>
      </c>
      <c r="M699">
        <v>11</v>
      </c>
      <c r="O699" s="3">
        <f t="shared" si="38"/>
        <v>4.3999999999999995</v>
      </c>
      <c r="P699">
        <f t="shared" si="36"/>
        <v>0</v>
      </c>
      <c r="Q699">
        <f t="shared" si="37"/>
        <v>0</v>
      </c>
    </row>
    <row r="700" spans="1:17" x14ac:dyDescent="0.2">
      <c r="A700" t="s">
        <v>159</v>
      </c>
      <c r="B700" t="s">
        <v>307</v>
      </c>
      <c r="C700">
        <v>320</v>
      </c>
      <c r="D700" s="2">
        <v>0</v>
      </c>
      <c r="E700">
        <v>16</v>
      </c>
      <c r="F700">
        <v>6</v>
      </c>
      <c r="G700">
        <v>0</v>
      </c>
      <c r="H700">
        <v>35</v>
      </c>
      <c r="I700">
        <v>640</v>
      </c>
      <c r="J700">
        <v>31</v>
      </c>
      <c r="K700">
        <v>2</v>
      </c>
      <c r="L700">
        <v>2</v>
      </c>
      <c r="M700">
        <v>14</v>
      </c>
      <c r="O700" s="3">
        <f t="shared" si="38"/>
        <v>4.375</v>
      </c>
      <c r="P700">
        <f t="shared" si="36"/>
        <v>1</v>
      </c>
      <c r="Q700">
        <f t="shared" si="37"/>
        <v>0</v>
      </c>
    </row>
    <row r="701" spans="1:17" x14ac:dyDescent="0.2">
      <c r="A701" t="s">
        <v>159</v>
      </c>
      <c r="B701" t="s">
        <v>308</v>
      </c>
      <c r="C701">
        <v>160</v>
      </c>
      <c r="D701" s="2">
        <v>0</v>
      </c>
      <c r="E701">
        <v>5</v>
      </c>
      <c r="F701">
        <v>2</v>
      </c>
      <c r="G701">
        <v>0</v>
      </c>
      <c r="H701">
        <v>15</v>
      </c>
      <c r="I701">
        <v>570</v>
      </c>
      <c r="J701">
        <v>22</v>
      </c>
      <c r="K701">
        <v>1</v>
      </c>
      <c r="L701">
        <v>2</v>
      </c>
      <c r="M701">
        <v>7</v>
      </c>
      <c r="O701" s="3">
        <f t="shared" si="38"/>
        <v>4.375</v>
      </c>
      <c r="P701">
        <f t="shared" si="36"/>
        <v>1</v>
      </c>
      <c r="Q701">
        <f t="shared" si="37"/>
        <v>0</v>
      </c>
    </row>
    <row r="702" spans="1:17" x14ac:dyDescent="0.2">
      <c r="A702" t="s">
        <v>159</v>
      </c>
      <c r="B702" t="s">
        <v>309</v>
      </c>
      <c r="C702">
        <v>160</v>
      </c>
      <c r="D702" s="2">
        <v>0</v>
      </c>
      <c r="E702">
        <v>7</v>
      </c>
      <c r="F702">
        <v>3</v>
      </c>
      <c r="G702">
        <v>0</v>
      </c>
      <c r="H702">
        <v>20</v>
      </c>
      <c r="I702">
        <v>310</v>
      </c>
      <c r="J702">
        <v>17</v>
      </c>
      <c r="K702">
        <v>1</v>
      </c>
      <c r="L702">
        <v>0</v>
      </c>
      <c r="M702">
        <v>7</v>
      </c>
      <c r="O702" s="3">
        <f t="shared" si="38"/>
        <v>4.375</v>
      </c>
      <c r="P702">
        <f t="shared" si="36"/>
        <v>0</v>
      </c>
      <c r="Q702">
        <f t="shared" si="37"/>
        <v>0</v>
      </c>
    </row>
    <row r="703" spans="1:17" x14ac:dyDescent="0.2">
      <c r="A703" t="s">
        <v>159</v>
      </c>
      <c r="B703" t="s">
        <v>310</v>
      </c>
      <c r="C703">
        <v>320</v>
      </c>
      <c r="D703" s="2">
        <v>0</v>
      </c>
      <c r="E703">
        <v>14</v>
      </c>
      <c r="F703">
        <v>6</v>
      </c>
      <c r="G703">
        <v>0</v>
      </c>
      <c r="H703">
        <v>35</v>
      </c>
      <c r="I703">
        <v>630</v>
      </c>
      <c r="J703">
        <v>35</v>
      </c>
      <c r="K703">
        <v>3</v>
      </c>
      <c r="L703">
        <v>2</v>
      </c>
      <c r="M703">
        <v>14</v>
      </c>
      <c r="O703" s="3">
        <f t="shared" si="38"/>
        <v>4.375</v>
      </c>
      <c r="P703">
        <f t="shared" si="36"/>
        <v>1</v>
      </c>
      <c r="Q703">
        <f t="shared" si="37"/>
        <v>0</v>
      </c>
    </row>
    <row r="704" spans="1:17" x14ac:dyDescent="0.2">
      <c r="A704" t="s">
        <v>159</v>
      </c>
      <c r="B704" t="s">
        <v>311</v>
      </c>
      <c r="C704">
        <v>390</v>
      </c>
      <c r="D704" s="2">
        <v>0</v>
      </c>
      <c r="E704">
        <v>20</v>
      </c>
      <c r="F704">
        <v>8</v>
      </c>
      <c r="G704">
        <v>0</v>
      </c>
      <c r="H704">
        <v>40</v>
      </c>
      <c r="I704">
        <v>670</v>
      </c>
      <c r="J704">
        <v>36</v>
      </c>
      <c r="K704">
        <v>2</v>
      </c>
      <c r="L704">
        <v>2</v>
      </c>
      <c r="M704">
        <v>17</v>
      </c>
      <c r="O704" s="3">
        <f t="shared" si="38"/>
        <v>4.3589743589743586</v>
      </c>
      <c r="P704">
        <f t="shared" si="36"/>
        <v>1</v>
      </c>
      <c r="Q704">
        <f t="shared" si="37"/>
        <v>0</v>
      </c>
    </row>
    <row r="705" spans="1:17" x14ac:dyDescent="0.2">
      <c r="A705" t="s">
        <v>159</v>
      </c>
      <c r="B705" t="s">
        <v>312</v>
      </c>
      <c r="C705">
        <v>390</v>
      </c>
      <c r="D705" s="2">
        <v>0</v>
      </c>
      <c r="E705">
        <v>21</v>
      </c>
      <c r="F705">
        <v>8</v>
      </c>
      <c r="G705">
        <v>0</v>
      </c>
      <c r="H705">
        <v>45</v>
      </c>
      <c r="I705">
        <v>830</v>
      </c>
      <c r="J705">
        <v>34</v>
      </c>
      <c r="K705">
        <v>3</v>
      </c>
      <c r="L705">
        <v>2</v>
      </c>
      <c r="M705">
        <v>17</v>
      </c>
      <c r="O705" s="3">
        <f t="shared" si="38"/>
        <v>4.3589743589743586</v>
      </c>
      <c r="P705">
        <f t="shared" si="36"/>
        <v>1</v>
      </c>
      <c r="Q705">
        <f t="shared" si="37"/>
        <v>0</v>
      </c>
    </row>
    <row r="706" spans="1:17" x14ac:dyDescent="0.2">
      <c r="A706" t="s">
        <v>159</v>
      </c>
      <c r="B706" t="s">
        <v>314</v>
      </c>
      <c r="C706">
        <v>300</v>
      </c>
      <c r="D706" s="2">
        <v>0</v>
      </c>
      <c r="E706">
        <v>15</v>
      </c>
      <c r="F706">
        <v>6</v>
      </c>
      <c r="G706">
        <v>0</v>
      </c>
      <c r="H706">
        <v>35</v>
      </c>
      <c r="I706">
        <v>580</v>
      </c>
      <c r="J706">
        <v>28</v>
      </c>
      <c r="K706">
        <v>2</v>
      </c>
      <c r="L706">
        <v>1</v>
      </c>
      <c r="M706">
        <v>13</v>
      </c>
      <c r="O706" s="3">
        <f t="shared" si="38"/>
        <v>4.3333333333333339</v>
      </c>
      <c r="P706">
        <f t="shared" ref="P706:P763" si="39">IF(I706&gt;2300*0.2,1,0)</f>
        <v>1</v>
      </c>
      <c r="Q706">
        <f t="shared" ref="Q706:Q763" si="40">IF(H706&gt;300,1,0)</f>
        <v>0</v>
      </c>
    </row>
    <row r="707" spans="1:17" x14ac:dyDescent="0.2">
      <c r="A707" t="s">
        <v>159</v>
      </c>
      <c r="B707" t="s">
        <v>315</v>
      </c>
      <c r="C707">
        <v>300</v>
      </c>
      <c r="D707" s="2">
        <v>0</v>
      </c>
      <c r="E707">
        <v>13</v>
      </c>
      <c r="F707">
        <v>6</v>
      </c>
      <c r="G707">
        <v>0</v>
      </c>
      <c r="H707">
        <v>30</v>
      </c>
      <c r="I707">
        <v>590</v>
      </c>
      <c r="J707">
        <v>34</v>
      </c>
      <c r="K707">
        <v>3</v>
      </c>
      <c r="L707">
        <v>2</v>
      </c>
      <c r="M707">
        <v>13</v>
      </c>
      <c r="O707" s="3">
        <f t="shared" si="38"/>
        <v>4.3333333333333339</v>
      </c>
      <c r="P707">
        <f t="shared" si="39"/>
        <v>1</v>
      </c>
      <c r="Q707">
        <f t="shared" si="40"/>
        <v>0</v>
      </c>
    </row>
    <row r="708" spans="1:17" x14ac:dyDescent="0.2">
      <c r="A708" t="s">
        <v>159</v>
      </c>
      <c r="B708" t="s">
        <v>318</v>
      </c>
      <c r="C708">
        <v>440</v>
      </c>
      <c r="D708" s="2">
        <v>0</v>
      </c>
      <c r="E708">
        <v>24</v>
      </c>
      <c r="F708">
        <v>9</v>
      </c>
      <c r="G708">
        <v>0.5</v>
      </c>
      <c r="H708">
        <v>50</v>
      </c>
      <c r="I708">
        <v>850</v>
      </c>
      <c r="J708">
        <v>37</v>
      </c>
      <c r="K708">
        <v>3</v>
      </c>
      <c r="L708">
        <v>2</v>
      </c>
      <c r="M708">
        <v>19</v>
      </c>
      <c r="O708" s="3">
        <f t="shared" si="38"/>
        <v>4.3181818181818183</v>
      </c>
      <c r="P708">
        <f t="shared" si="39"/>
        <v>1</v>
      </c>
      <c r="Q708">
        <f t="shared" si="40"/>
        <v>0</v>
      </c>
    </row>
    <row r="709" spans="1:17" x14ac:dyDescent="0.2">
      <c r="A709" t="s">
        <v>159</v>
      </c>
      <c r="B709" t="s">
        <v>323</v>
      </c>
      <c r="C709">
        <v>350</v>
      </c>
      <c r="D709" s="2">
        <v>0</v>
      </c>
      <c r="E709">
        <v>14</v>
      </c>
      <c r="F709">
        <v>5</v>
      </c>
      <c r="G709">
        <v>0</v>
      </c>
      <c r="H709">
        <v>30</v>
      </c>
      <c r="I709">
        <v>850</v>
      </c>
      <c r="J709">
        <v>40</v>
      </c>
      <c r="K709">
        <v>2</v>
      </c>
      <c r="L709">
        <v>2</v>
      </c>
      <c r="M709">
        <v>15</v>
      </c>
      <c r="O709" s="3">
        <f t="shared" si="38"/>
        <v>4.2857142857142856</v>
      </c>
      <c r="P709">
        <f t="shared" si="39"/>
        <v>1</v>
      </c>
      <c r="Q709">
        <f t="shared" si="40"/>
        <v>0</v>
      </c>
    </row>
    <row r="710" spans="1:17" x14ac:dyDescent="0.2">
      <c r="A710" t="s">
        <v>159</v>
      </c>
      <c r="B710" t="s">
        <v>324</v>
      </c>
      <c r="C710">
        <v>210</v>
      </c>
      <c r="D710" s="2">
        <v>0</v>
      </c>
      <c r="E710">
        <v>12</v>
      </c>
      <c r="F710">
        <v>4.5</v>
      </c>
      <c r="G710">
        <v>0</v>
      </c>
      <c r="H710">
        <v>25</v>
      </c>
      <c r="I710">
        <v>460</v>
      </c>
      <c r="J710">
        <v>18</v>
      </c>
      <c r="K710">
        <v>1</v>
      </c>
      <c r="L710">
        <v>2</v>
      </c>
      <c r="M710">
        <v>9</v>
      </c>
      <c r="O710" s="3">
        <f t="shared" si="38"/>
        <v>4.2857142857142856</v>
      </c>
      <c r="P710">
        <f t="shared" si="39"/>
        <v>0</v>
      </c>
      <c r="Q710">
        <f t="shared" si="40"/>
        <v>0</v>
      </c>
    </row>
    <row r="711" spans="1:17" x14ac:dyDescent="0.2">
      <c r="A711" t="s">
        <v>159</v>
      </c>
      <c r="B711" t="s">
        <v>325</v>
      </c>
      <c r="C711">
        <v>140</v>
      </c>
      <c r="D711" s="2">
        <v>0</v>
      </c>
      <c r="E711">
        <v>5</v>
      </c>
      <c r="F711">
        <v>2</v>
      </c>
      <c r="G711">
        <v>0</v>
      </c>
      <c r="H711">
        <v>10</v>
      </c>
      <c r="I711">
        <v>290</v>
      </c>
      <c r="J711">
        <v>18</v>
      </c>
      <c r="K711">
        <v>1</v>
      </c>
      <c r="L711">
        <v>2</v>
      </c>
      <c r="M711">
        <v>6</v>
      </c>
      <c r="O711" s="3">
        <f t="shared" si="38"/>
        <v>4.2857142857142856</v>
      </c>
      <c r="P711">
        <f t="shared" si="39"/>
        <v>0</v>
      </c>
      <c r="Q711">
        <f t="shared" si="40"/>
        <v>0</v>
      </c>
    </row>
    <row r="712" spans="1:17" x14ac:dyDescent="0.2">
      <c r="A712" t="s">
        <v>159</v>
      </c>
      <c r="B712" t="s">
        <v>326</v>
      </c>
      <c r="C712">
        <v>140</v>
      </c>
      <c r="D712" s="2">
        <v>0</v>
      </c>
      <c r="E712">
        <v>4</v>
      </c>
      <c r="F712">
        <v>2</v>
      </c>
      <c r="G712">
        <v>0</v>
      </c>
      <c r="H712">
        <v>15</v>
      </c>
      <c r="I712">
        <v>250</v>
      </c>
      <c r="J712">
        <v>20</v>
      </c>
      <c r="K712">
        <v>1</v>
      </c>
      <c r="L712">
        <v>4</v>
      </c>
      <c r="M712">
        <v>6</v>
      </c>
      <c r="O712" s="3">
        <f t="shared" si="38"/>
        <v>4.2857142857142856</v>
      </c>
      <c r="P712">
        <f t="shared" si="39"/>
        <v>0</v>
      </c>
      <c r="Q712">
        <f t="shared" si="40"/>
        <v>0</v>
      </c>
    </row>
    <row r="713" spans="1:17" x14ac:dyDescent="0.2">
      <c r="A713" t="s">
        <v>159</v>
      </c>
      <c r="B713" t="s">
        <v>327</v>
      </c>
      <c r="C713">
        <v>280</v>
      </c>
      <c r="D713" s="2">
        <v>0</v>
      </c>
      <c r="E713">
        <v>10</v>
      </c>
      <c r="F713">
        <v>5</v>
      </c>
      <c r="G713">
        <v>0</v>
      </c>
      <c r="H713">
        <v>20</v>
      </c>
      <c r="I713">
        <v>560</v>
      </c>
      <c r="J713">
        <v>35</v>
      </c>
      <c r="K713">
        <v>3</v>
      </c>
      <c r="L713">
        <v>2</v>
      </c>
      <c r="M713">
        <v>12</v>
      </c>
      <c r="O713" s="3">
        <f t="shared" si="38"/>
        <v>4.2857142857142856</v>
      </c>
      <c r="P713">
        <f t="shared" si="39"/>
        <v>1</v>
      </c>
      <c r="Q713">
        <f t="shared" si="40"/>
        <v>0</v>
      </c>
    </row>
    <row r="714" spans="1:17" x14ac:dyDescent="0.2">
      <c r="A714" t="s">
        <v>159</v>
      </c>
      <c r="B714" t="s">
        <v>334</v>
      </c>
      <c r="C714">
        <v>330</v>
      </c>
      <c r="D714" s="2">
        <v>0</v>
      </c>
      <c r="E714">
        <v>17</v>
      </c>
      <c r="F714">
        <v>7</v>
      </c>
      <c r="G714">
        <v>0</v>
      </c>
      <c r="H714">
        <v>40</v>
      </c>
      <c r="I714">
        <v>720</v>
      </c>
      <c r="J714">
        <v>30</v>
      </c>
      <c r="K714">
        <v>2</v>
      </c>
      <c r="L714">
        <v>2</v>
      </c>
      <c r="M714">
        <v>14</v>
      </c>
      <c r="O714" s="3">
        <f t="shared" si="38"/>
        <v>4.2424242424242431</v>
      </c>
      <c r="P714">
        <f t="shared" si="39"/>
        <v>1</v>
      </c>
      <c r="Q714">
        <f t="shared" si="40"/>
        <v>0</v>
      </c>
    </row>
    <row r="715" spans="1:17" x14ac:dyDescent="0.2">
      <c r="A715" t="s">
        <v>159</v>
      </c>
      <c r="B715" t="s">
        <v>335</v>
      </c>
      <c r="C715">
        <v>330</v>
      </c>
      <c r="D715" s="2">
        <v>0</v>
      </c>
      <c r="E715">
        <v>15</v>
      </c>
      <c r="F715">
        <v>5</v>
      </c>
      <c r="G715">
        <v>0</v>
      </c>
      <c r="H715">
        <v>25</v>
      </c>
      <c r="I715">
        <v>620</v>
      </c>
      <c r="J715">
        <v>38</v>
      </c>
      <c r="K715">
        <v>3</v>
      </c>
      <c r="L715">
        <v>3</v>
      </c>
      <c r="M715">
        <v>14</v>
      </c>
      <c r="O715" s="3">
        <f t="shared" si="38"/>
        <v>4.2424242424242431</v>
      </c>
      <c r="P715">
        <f t="shared" si="39"/>
        <v>1</v>
      </c>
      <c r="Q715">
        <f t="shared" si="40"/>
        <v>0</v>
      </c>
    </row>
    <row r="716" spans="1:17" x14ac:dyDescent="0.2">
      <c r="A716" t="s">
        <v>159</v>
      </c>
      <c r="B716" t="s">
        <v>336</v>
      </c>
      <c r="C716">
        <v>260</v>
      </c>
      <c r="D716" s="2">
        <v>0</v>
      </c>
      <c r="E716">
        <v>9</v>
      </c>
      <c r="F716">
        <v>4</v>
      </c>
      <c r="G716">
        <v>0</v>
      </c>
      <c r="H716">
        <v>20</v>
      </c>
      <c r="I716">
        <v>510</v>
      </c>
      <c r="J716">
        <v>36</v>
      </c>
      <c r="K716">
        <v>3</v>
      </c>
      <c r="L716">
        <v>3</v>
      </c>
      <c r="M716">
        <v>11</v>
      </c>
      <c r="O716" s="3">
        <f t="shared" si="38"/>
        <v>4.2307692307692308</v>
      </c>
      <c r="P716">
        <f t="shared" si="39"/>
        <v>1</v>
      </c>
      <c r="Q716">
        <f t="shared" si="40"/>
        <v>0</v>
      </c>
    </row>
    <row r="717" spans="1:17" x14ac:dyDescent="0.2">
      <c r="A717" t="s">
        <v>159</v>
      </c>
      <c r="B717" t="s">
        <v>340</v>
      </c>
      <c r="C717">
        <v>380</v>
      </c>
      <c r="D717" s="2">
        <v>0</v>
      </c>
      <c r="E717">
        <v>16</v>
      </c>
      <c r="F717">
        <v>6</v>
      </c>
      <c r="G717">
        <v>0</v>
      </c>
      <c r="H717">
        <v>35</v>
      </c>
      <c r="I717">
        <v>650</v>
      </c>
      <c r="J717">
        <v>43</v>
      </c>
      <c r="K717">
        <v>2</v>
      </c>
      <c r="L717">
        <v>7</v>
      </c>
      <c r="M717">
        <v>16</v>
      </c>
      <c r="O717" s="3">
        <f t="shared" si="38"/>
        <v>4.2105263157894735</v>
      </c>
      <c r="P717">
        <f t="shared" si="39"/>
        <v>1</v>
      </c>
      <c r="Q717">
        <f t="shared" si="40"/>
        <v>0</v>
      </c>
    </row>
    <row r="718" spans="1:17" x14ac:dyDescent="0.2">
      <c r="A718" t="s">
        <v>159</v>
      </c>
      <c r="B718" t="s">
        <v>342</v>
      </c>
      <c r="C718">
        <v>240</v>
      </c>
      <c r="D718" s="2">
        <v>0</v>
      </c>
      <c r="E718">
        <v>10</v>
      </c>
      <c r="F718">
        <v>4.5</v>
      </c>
      <c r="G718">
        <v>0</v>
      </c>
      <c r="H718">
        <v>15</v>
      </c>
      <c r="I718">
        <v>470</v>
      </c>
      <c r="J718">
        <v>29</v>
      </c>
      <c r="K718">
        <v>2</v>
      </c>
      <c r="L718">
        <v>1</v>
      </c>
      <c r="M718">
        <v>10</v>
      </c>
      <c r="O718" s="3">
        <f t="shared" si="38"/>
        <v>4.1666666666666661</v>
      </c>
      <c r="P718">
        <f t="shared" si="39"/>
        <v>1</v>
      </c>
      <c r="Q718">
        <f t="shared" si="40"/>
        <v>0</v>
      </c>
    </row>
    <row r="719" spans="1:17" x14ac:dyDescent="0.2">
      <c r="A719" t="s">
        <v>159</v>
      </c>
      <c r="B719" t="s">
        <v>343</v>
      </c>
      <c r="C719">
        <v>240</v>
      </c>
      <c r="D719" s="2">
        <v>0</v>
      </c>
      <c r="E719">
        <v>10</v>
      </c>
      <c r="F719">
        <v>4</v>
      </c>
      <c r="G719">
        <v>0</v>
      </c>
      <c r="H719">
        <v>25</v>
      </c>
      <c r="I719">
        <v>450</v>
      </c>
      <c r="J719">
        <v>26</v>
      </c>
      <c r="K719">
        <v>2</v>
      </c>
      <c r="L719">
        <v>2</v>
      </c>
      <c r="M719">
        <v>10</v>
      </c>
      <c r="O719" s="3">
        <f t="shared" si="38"/>
        <v>4.1666666666666661</v>
      </c>
      <c r="P719">
        <f t="shared" si="39"/>
        <v>0</v>
      </c>
      <c r="Q719">
        <f t="shared" si="40"/>
        <v>0</v>
      </c>
    </row>
    <row r="720" spans="1:17" x14ac:dyDescent="0.2">
      <c r="A720" t="s">
        <v>159</v>
      </c>
      <c r="B720" t="s">
        <v>344</v>
      </c>
      <c r="C720">
        <v>120</v>
      </c>
      <c r="D720" s="2">
        <v>0</v>
      </c>
      <c r="E720">
        <v>4</v>
      </c>
      <c r="F720">
        <v>1.5</v>
      </c>
      <c r="G720">
        <v>0</v>
      </c>
      <c r="H720">
        <v>10</v>
      </c>
      <c r="I720">
        <v>230</v>
      </c>
      <c r="J720">
        <v>17</v>
      </c>
      <c r="K720">
        <v>1</v>
      </c>
      <c r="L720">
        <v>1</v>
      </c>
      <c r="M720">
        <v>5</v>
      </c>
      <c r="O720" s="3">
        <f t="shared" si="38"/>
        <v>4.1666666666666661</v>
      </c>
      <c r="P720">
        <f t="shared" si="39"/>
        <v>0</v>
      </c>
      <c r="Q720">
        <f t="shared" si="40"/>
        <v>0</v>
      </c>
    </row>
    <row r="721" spans="1:17" x14ac:dyDescent="0.2">
      <c r="A721" t="s">
        <v>159</v>
      </c>
      <c r="B721" t="s">
        <v>346</v>
      </c>
      <c r="C721">
        <v>290</v>
      </c>
      <c r="D721" s="2">
        <v>0</v>
      </c>
      <c r="E721">
        <v>15</v>
      </c>
      <c r="F721">
        <v>6</v>
      </c>
      <c r="G721">
        <v>0</v>
      </c>
      <c r="H721">
        <v>30</v>
      </c>
      <c r="I721">
        <v>590</v>
      </c>
      <c r="J721">
        <v>26</v>
      </c>
      <c r="K721">
        <v>2</v>
      </c>
      <c r="L721">
        <v>1</v>
      </c>
      <c r="M721">
        <v>12</v>
      </c>
      <c r="O721" s="3">
        <f t="shared" si="38"/>
        <v>4.1379310344827589</v>
      </c>
      <c r="P721">
        <f t="shared" si="39"/>
        <v>1</v>
      </c>
      <c r="Q721">
        <f t="shared" si="40"/>
        <v>0</v>
      </c>
    </row>
    <row r="722" spans="1:17" x14ac:dyDescent="0.2">
      <c r="A722" t="s">
        <v>159</v>
      </c>
      <c r="B722" t="s">
        <v>351</v>
      </c>
      <c r="C722">
        <v>170</v>
      </c>
      <c r="D722" s="2">
        <v>0</v>
      </c>
      <c r="E722">
        <v>8</v>
      </c>
      <c r="F722">
        <v>3</v>
      </c>
      <c r="G722">
        <v>0</v>
      </c>
      <c r="H722">
        <v>15</v>
      </c>
      <c r="I722">
        <v>360</v>
      </c>
      <c r="J722">
        <v>18</v>
      </c>
      <c r="K722">
        <v>1</v>
      </c>
      <c r="L722">
        <v>2</v>
      </c>
      <c r="M722">
        <v>7</v>
      </c>
      <c r="O722" s="3">
        <f t="shared" si="38"/>
        <v>4.117647058823529</v>
      </c>
      <c r="P722">
        <f t="shared" si="39"/>
        <v>0</v>
      </c>
      <c r="Q722">
        <f t="shared" si="40"/>
        <v>0</v>
      </c>
    </row>
    <row r="723" spans="1:17" x14ac:dyDescent="0.2">
      <c r="A723" t="s">
        <v>159</v>
      </c>
      <c r="B723" t="s">
        <v>355</v>
      </c>
      <c r="C723">
        <v>390</v>
      </c>
      <c r="D723" s="2">
        <v>0</v>
      </c>
      <c r="E723">
        <v>20</v>
      </c>
      <c r="F723">
        <v>7</v>
      </c>
      <c r="G723">
        <v>0</v>
      </c>
      <c r="H723">
        <v>40</v>
      </c>
      <c r="I723">
        <v>740</v>
      </c>
      <c r="J723">
        <v>37</v>
      </c>
      <c r="K723">
        <v>2</v>
      </c>
      <c r="L723">
        <v>2</v>
      </c>
      <c r="M723">
        <v>16</v>
      </c>
      <c r="O723" s="3">
        <f t="shared" si="38"/>
        <v>4.1025641025641022</v>
      </c>
      <c r="P723">
        <f t="shared" si="39"/>
        <v>1</v>
      </c>
      <c r="Q723">
        <f t="shared" si="40"/>
        <v>0</v>
      </c>
    </row>
    <row r="724" spans="1:17" x14ac:dyDescent="0.2">
      <c r="A724" t="s">
        <v>159</v>
      </c>
      <c r="B724" t="s">
        <v>359</v>
      </c>
      <c r="C724">
        <v>220</v>
      </c>
      <c r="D724" s="2">
        <v>0</v>
      </c>
      <c r="E724">
        <v>9</v>
      </c>
      <c r="F724">
        <v>4</v>
      </c>
      <c r="G724">
        <v>0</v>
      </c>
      <c r="H724">
        <v>20</v>
      </c>
      <c r="I724">
        <v>420</v>
      </c>
      <c r="J724">
        <v>25</v>
      </c>
      <c r="K724">
        <v>2</v>
      </c>
      <c r="L724">
        <v>1</v>
      </c>
      <c r="M724">
        <v>9</v>
      </c>
      <c r="O724" s="3">
        <f t="shared" si="38"/>
        <v>4.0909090909090908</v>
      </c>
      <c r="P724">
        <f t="shared" si="39"/>
        <v>0</v>
      </c>
      <c r="Q724">
        <f t="shared" si="40"/>
        <v>0</v>
      </c>
    </row>
    <row r="725" spans="1:17" x14ac:dyDescent="0.2">
      <c r="A725" t="s">
        <v>159</v>
      </c>
      <c r="B725" t="s">
        <v>362</v>
      </c>
      <c r="C725">
        <v>270</v>
      </c>
      <c r="D725" s="2">
        <v>0</v>
      </c>
      <c r="E725">
        <v>10</v>
      </c>
      <c r="F725">
        <v>4</v>
      </c>
      <c r="G725">
        <v>0</v>
      </c>
      <c r="H725">
        <v>25</v>
      </c>
      <c r="I725">
        <v>450</v>
      </c>
      <c r="J725">
        <v>33</v>
      </c>
      <c r="K725">
        <v>2</v>
      </c>
      <c r="L725">
        <v>6</v>
      </c>
      <c r="M725">
        <v>11</v>
      </c>
      <c r="O725" s="3">
        <f t="shared" si="38"/>
        <v>4.0740740740740744</v>
      </c>
      <c r="P725">
        <f t="shared" si="39"/>
        <v>0</v>
      </c>
      <c r="Q725">
        <f t="shared" si="40"/>
        <v>0</v>
      </c>
    </row>
    <row r="726" spans="1:17" x14ac:dyDescent="0.2">
      <c r="A726" t="s">
        <v>159</v>
      </c>
      <c r="B726" t="s">
        <v>363</v>
      </c>
      <c r="C726">
        <v>270</v>
      </c>
      <c r="D726" s="2">
        <v>0</v>
      </c>
      <c r="E726">
        <v>13</v>
      </c>
      <c r="F726">
        <v>5</v>
      </c>
      <c r="G726">
        <v>0</v>
      </c>
      <c r="H726">
        <v>25</v>
      </c>
      <c r="I726">
        <v>500</v>
      </c>
      <c r="J726">
        <v>29</v>
      </c>
      <c r="K726">
        <v>2</v>
      </c>
      <c r="L726">
        <v>2</v>
      </c>
      <c r="M726">
        <v>11</v>
      </c>
      <c r="O726" s="3">
        <f t="shared" si="38"/>
        <v>4.0740740740740744</v>
      </c>
      <c r="P726">
        <f t="shared" si="39"/>
        <v>1</v>
      </c>
      <c r="Q726">
        <f t="shared" si="40"/>
        <v>0</v>
      </c>
    </row>
    <row r="727" spans="1:17" x14ac:dyDescent="0.2">
      <c r="A727" t="s">
        <v>159</v>
      </c>
      <c r="B727" t="s">
        <v>364</v>
      </c>
      <c r="C727">
        <v>320</v>
      </c>
      <c r="D727" s="2">
        <v>0</v>
      </c>
      <c r="E727">
        <v>17</v>
      </c>
      <c r="F727">
        <v>6</v>
      </c>
      <c r="G727">
        <v>0</v>
      </c>
      <c r="H727">
        <v>35</v>
      </c>
      <c r="I727">
        <v>640</v>
      </c>
      <c r="J727">
        <v>28</v>
      </c>
      <c r="K727">
        <v>2</v>
      </c>
      <c r="L727">
        <v>1</v>
      </c>
      <c r="M727">
        <v>13</v>
      </c>
      <c r="O727" s="3">
        <f t="shared" ref="O727:O780" si="41">M727/C727*100</f>
        <v>4.0625</v>
      </c>
      <c r="P727">
        <f t="shared" si="39"/>
        <v>1</v>
      </c>
      <c r="Q727">
        <f t="shared" si="40"/>
        <v>0</v>
      </c>
    </row>
    <row r="728" spans="1:17" x14ac:dyDescent="0.2">
      <c r="A728" t="s">
        <v>159</v>
      </c>
      <c r="B728" t="s">
        <v>366</v>
      </c>
      <c r="C728">
        <v>370</v>
      </c>
      <c r="D728" s="2">
        <v>0</v>
      </c>
      <c r="E728">
        <v>18</v>
      </c>
      <c r="F728">
        <v>6</v>
      </c>
      <c r="G728">
        <v>0</v>
      </c>
      <c r="H728">
        <v>35</v>
      </c>
      <c r="I728">
        <v>680</v>
      </c>
      <c r="J728">
        <v>36</v>
      </c>
      <c r="K728">
        <v>2</v>
      </c>
      <c r="L728">
        <v>2</v>
      </c>
      <c r="M728">
        <v>15</v>
      </c>
      <c r="O728" s="3">
        <f t="shared" si="41"/>
        <v>4.0540540540540544</v>
      </c>
      <c r="P728">
        <f t="shared" si="39"/>
        <v>1</v>
      </c>
      <c r="Q728">
        <f t="shared" si="40"/>
        <v>0</v>
      </c>
    </row>
    <row r="729" spans="1:17" x14ac:dyDescent="0.2">
      <c r="A729" t="s">
        <v>159</v>
      </c>
      <c r="B729" t="s">
        <v>370</v>
      </c>
      <c r="C729">
        <v>470</v>
      </c>
      <c r="D729" s="2">
        <v>0</v>
      </c>
      <c r="E729">
        <v>27</v>
      </c>
      <c r="F729">
        <v>10</v>
      </c>
      <c r="G729">
        <v>0</v>
      </c>
      <c r="H729">
        <v>50</v>
      </c>
      <c r="I729">
        <v>940</v>
      </c>
      <c r="J729">
        <v>37</v>
      </c>
      <c r="K729">
        <v>2</v>
      </c>
      <c r="L729">
        <v>2</v>
      </c>
      <c r="M729">
        <v>19</v>
      </c>
      <c r="O729" s="3">
        <f t="shared" si="41"/>
        <v>4.042553191489362</v>
      </c>
      <c r="P729">
        <f t="shared" si="39"/>
        <v>1</v>
      </c>
      <c r="Q729">
        <f t="shared" si="40"/>
        <v>0</v>
      </c>
    </row>
    <row r="730" spans="1:17" x14ac:dyDescent="0.2">
      <c r="A730" t="s">
        <v>159</v>
      </c>
      <c r="B730" t="s">
        <v>381</v>
      </c>
      <c r="C730">
        <v>350</v>
      </c>
      <c r="D730" s="2">
        <v>0</v>
      </c>
      <c r="E730">
        <v>16</v>
      </c>
      <c r="F730">
        <v>6</v>
      </c>
      <c r="G730">
        <v>0</v>
      </c>
      <c r="H730">
        <v>25</v>
      </c>
      <c r="I730">
        <v>680</v>
      </c>
      <c r="J730">
        <v>38</v>
      </c>
      <c r="K730">
        <v>3</v>
      </c>
      <c r="L730">
        <v>2</v>
      </c>
      <c r="M730">
        <v>14</v>
      </c>
      <c r="O730" s="3">
        <f t="shared" si="41"/>
        <v>4</v>
      </c>
      <c r="P730">
        <f t="shared" si="39"/>
        <v>1</v>
      </c>
      <c r="Q730">
        <f t="shared" si="40"/>
        <v>0</v>
      </c>
    </row>
    <row r="731" spans="1:17" x14ac:dyDescent="0.2">
      <c r="A731" t="s">
        <v>159</v>
      </c>
      <c r="B731" t="s">
        <v>382</v>
      </c>
      <c r="C731">
        <v>150</v>
      </c>
      <c r="D731" s="2">
        <v>0</v>
      </c>
      <c r="E731">
        <v>7</v>
      </c>
      <c r="F731">
        <v>2.5</v>
      </c>
      <c r="G731">
        <v>0</v>
      </c>
      <c r="H731">
        <v>15</v>
      </c>
      <c r="I731">
        <v>310</v>
      </c>
      <c r="J731">
        <v>17</v>
      </c>
      <c r="K731">
        <v>1</v>
      </c>
      <c r="L731">
        <v>2</v>
      </c>
      <c r="M731">
        <v>6</v>
      </c>
      <c r="O731" s="3">
        <f t="shared" si="41"/>
        <v>4</v>
      </c>
      <c r="P731">
        <f t="shared" si="39"/>
        <v>0</v>
      </c>
      <c r="Q731">
        <f t="shared" si="40"/>
        <v>0</v>
      </c>
    </row>
    <row r="732" spans="1:17" x14ac:dyDescent="0.2">
      <c r="A732" t="s">
        <v>159</v>
      </c>
      <c r="B732" t="s">
        <v>383</v>
      </c>
      <c r="C732">
        <v>250</v>
      </c>
      <c r="D732" s="2">
        <v>0</v>
      </c>
      <c r="E732">
        <v>11</v>
      </c>
      <c r="F732">
        <v>4.5</v>
      </c>
      <c r="G732">
        <v>0</v>
      </c>
      <c r="H732">
        <v>25</v>
      </c>
      <c r="I732">
        <v>470</v>
      </c>
      <c r="J732">
        <v>28</v>
      </c>
      <c r="K732">
        <v>2</v>
      </c>
      <c r="L732">
        <v>1</v>
      </c>
      <c r="M732">
        <v>10</v>
      </c>
      <c r="O732" s="3">
        <f t="shared" si="41"/>
        <v>4</v>
      </c>
      <c r="P732">
        <f t="shared" si="39"/>
        <v>1</v>
      </c>
      <c r="Q732">
        <f t="shared" si="40"/>
        <v>0</v>
      </c>
    </row>
    <row r="733" spans="1:17" x14ac:dyDescent="0.2">
      <c r="A733" t="s">
        <v>159</v>
      </c>
      <c r="B733" t="s">
        <v>384</v>
      </c>
      <c r="C733">
        <v>150</v>
      </c>
      <c r="D733" s="2">
        <v>0</v>
      </c>
      <c r="E733">
        <v>6</v>
      </c>
      <c r="F733">
        <v>2.5</v>
      </c>
      <c r="G733">
        <v>0</v>
      </c>
      <c r="H733">
        <v>15</v>
      </c>
      <c r="I733">
        <v>280</v>
      </c>
      <c r="J733">
        <v>17</v>
      </c>
      <c r="K733">
        <v>1</v>
      </c>
      <c r="L733">
        <v>1</v>
      </c>
      <c r="M733">
        <v>6</v>
      </c>
      <c r="O733" s="3">
        <f t="shared" si="41"/>
        <v>4</v>
      </c>
      <c r="P733">
        <f t="shared" si="39"/>
        <v>0</v>
      </c>
      <c r="Q733">
        <f t="shared" si="40"/>
        <v>0</v>
      </c>
    </row>
    <row r="734" spans="1:17" x14ac:dyDescent="0.2">
      <c r="A734" t="s">
        <v>159</v>
      </c>
      <c r="B734" t="s">
        <v>385</v>
      </c>
      <c r="C734">
        <v>150</v>
      </c>
      <c r="D734" s="2">
        <v>0</v>
      </c>
      <c r="E734">
        <v>6</v>
      </c>
      <c r="F734">
        <v>2.5</v>
      </c>
      <c r="G734">
        <v>0</v>
      </c>
      <c r="H734">
        <v>15</v>
      </c>
      <c r="I734">
        <v>250</v>
      </c>
      <c r="J734">
        <v>16</v>
      </c>
      <c r="K734">
        <v>1</v>
      </c>
      <c r="L734" s="2">
        <v>0</v>
      </c>
      <c r="M734">
        <v>6</v>
      </c>
      <c r="O734" s="3">
        <f t="shared" si="41"/>
        <v>4</v>
      </c>
      <c r="P734">
        <f t="shared" si="39"/>
        <v>0</v>
      </c>
      <c r="Q734">
        <f t="shared" si="40"/>
        <v>0</v>
      </c>
    </row>
    <row r="735" spans="1:17" x14ac:dyDescent="0.2">
      <c r="A735" t="s">
        <v>159</v>
      </c>
      <c r="B735" t="s">
        <v>386</v>
      </c>
      <c r="C735">
        <v>200</v>
      </c>
      <c r="D735" s="2">
        <v>0</v>
      </c>
      <c r="E735">
        <v>6</v>
      </c>
      <c r="F735">
        <v>2.5</v>
      </c>
      <c r="G735">
        <v>0</v>
      </c>
      <c r="H735">
        <v>15</v>
      </c>
      <c r="I735">
        <v>370</v>
      </c>
      <c r="J735">
        <v>27</v>
      </c>
      <c r="K735">
        <v>2</v>
      </c>
      <c r="L735">
        <v>2</v>
      </c>
      <c r="M735">
        <v>8</v>
      </c>
      <c r="O735" s="3">
        <f t="shared" si="41"/>
        <v>4</v>
      </c>
      <c r="P735">
        <f t="shared" si="39"/>
        <v>0</v>
      </c>
      <c r="Q735">
        <f t="shared" si="40"/>
        <v>0</v>
      </c>
    </row>
    <row r="736" spans="1:17" x14ac:dyDescent="0.2">
      <c r="A736" t="s">
        <v>159</v>
      </c>
      <c r="B736" t="s">
        <v>391</v>
      </c>
      <c r="C736">
        <v>230</v>
      </c>
      <c r="D736" s="2">
        <v>0</v>
      </c>
      <c r="E736">
        <v>9</v>
      </c>
      <c r="F736">
        <v>3.5</v>
      </c>
      <c r="G736">
        <v>0</v>
      </c>
      <c r="H736">
        <v>15</v>
      </c>
      <c r="I736">
        <v>420</v>
      </c>
      <c r="J736">
        <v>29</v>
      </c>
      <c r="K736">
        <v>2</v>
      </c>
      <c r="L736">
        <v>2</v>
      </c>
      <c r="M736">
        <v>9</v>
      </c>
      <c r="O736" s="3">
        <f t="shared" si="41"/>
        <v>3.9130434782608701</v>
      </c>
      <c r="P736">
        <f t="shared" si="39"/>
        <v>0</v>
      </c>
      <c r="Q736">
        <f t="shared" si="40"/>
        <v>0</v>
      </c>
    </row>
    <row r="737" spans="1:17" x14ac:dyDescent="0.2">
      <c r="A737" t="s">
        <v>159</v>
      </c>
      <c r="B737" t="s">
        <v>395</v>
      </c>
      <c r="C737">
        <v>180</v>
      </c>
      <c r="D737" s="2">
        <v>0</v>
      </c>
      <c r="E737">
        <v>9</v>
      </c>
      <c r="F737">
        <v>3.5</v>
      </c>
      <c r="G737">
        <v>0</v>
      </c>
      <c r="H737">
        <v>20</v>
      </c>
      <c r="I737">
        <v>370</v>
      </c>
      <c r="J737">
        <v>17</v>
      </c>
      <c r="K737">
        <v>1</v>
      </c>
      <c r="L737">
        <v>0</v>
      </c>
      <c r="M737">
        <v>7</v>
      </c>
      <c r="O737" s="3">
        <f t="shared" si="41"/>
        <v>3.8888888888888888</v>
      </c>
      <c r="P737">
        <f t="shared" si="39"/>
        <v>0</v>
      </c>
      <c r="Q737">
        <f t="shared" si="40"/>
        <v>0</v>
      </c>
    </row>
    <row r="738" spans="1:17" x14ac:dyDescent="0.2">
      <c r="A738" t="s">
        <v>17</v>
      </c>
      <c r="B738" t="s">
        <v>18</v>
      </c>
      <c r="C738">
        <v>10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O738" s="3">
        <f t="shared" si="41"/>
        <v>20</v>
      </c>
      <c r="P738">
        <f t="shared" si="39"/>
        <v>0</v>
      </c>
      <c r="Q738">
        <f t="shared" si="40"/>
        <v>0</v>
      </c>
    </row>
    <row r="739" spans="1:17" x14ac:dyDescent="0.2">
      <c r="A739" t="s">
        <v>17</v>
      </c>
      <c r="B739" t="s">
        <v>19</v>
      </c>
      <c r="C739">
        <v>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  <c r="O739" s="3">
        <f t="shared" si="41"/>
        <v>20</v>
      </c>
      <c r="P739">
        <f t="shared" si="39"/>
        <v>0</v>
      </c>
      <c r="Q739">
        <f t="shared" si="40"/>
        <v>0</v>
      </c>
    </row>
    <row r="740" spans="1:17" x14ac:dyDescent="0.2">
      <c r="A740" t="s">
        <v>17</v>
      </c>
      <c r="B740" t="s">
        <v>62</v>
      </c>
      <c r="C740">
        <v>100</v>
      </c>
      <c r="D740">
        <v>20</v>
      </c>
      <c r="E740">
        <v>2</v>
      </c>
      <c r="F740">
        <v>1.5</v>
      </c>
      <c r="G740">
        <v>0</v>
      </c>
      <c r="H740">
        <v>10</v>
      </c>
      <c r="I740">
        <v>130</v>
      </c>
      <c r="J740">
        <v>13</v>
      </c>
      <c r="K740">
        <v>0</v>
      </c>
      <c r="L740">
        <v>12</v>
      </c>
      <c r="M740">
        <v>9</v>
      </c>
      <c r="O740" s="3">
        <f t="shared" si="41"/>
        <v>9</v>
      </c>
      <c r="P740">
        <f t="shared" si="39"/>
        <v>0</v>
      </c>
      <c r="Q740">
        <f t="shared" si="40"/>
        <v>0</v>
      </c>
    </row>
    <row r="741" spans="1:17" x14ac:dyDescent="0.2">
      <c r="A741" t="s">
        <v>17</v>
      </c>
      <c r="B741" t="s">
        <v>66</v>
      </c>
      <c r="C741">
        <v>80</v>
      </c>
      <c r="D741">
        <v>20</v>
      </c>
      <c r="E741">
        <v>2</v>
      </c>
      <c r="F741">
        <v>1.5</v>
      </c>
      <c r="G741">
        <v>0</v>
      </c>
      <c r="H741">
        <v>10</v>
      </c>
      <c r="I741">
        <v>100</v>
      </c>
      <c r="J741">
        <v>10</v>
      </c>
      <c r="K741">
        <v>0</v>
      </c>
      <c r="L741">
        <v>9</v>
      </c>
      <c r="M741">
        <v>7</v>
      </c>
      <c r="O741" s="3">
        <f t="shared" si="41"/>
        <v>8.75</v>
      </c>
      <c r="P741">
        <f t="shared" si="39"/>
        <v>0</v>
      </c>
      <c r="Q741">
        <f t="shared" si="40"/>
        <v>0</v>
      </c>
    </row>
    <row r="742" spans="1:17" x14ac:dyDescent="0.2">
      <c r="A742" t="s">
        <v>17</v>
      </c>
      <c r="B742" t="s">
        <v>82</v>
      </c>
      <c r="C742">
        <v>160</v>
      </c>
      <c r="D742">
        <v>50</v>
      </c>
      <c r="E742">
        <v>5</v>
      </c>
      <c r="F742">
        <v>2.5</v>
      </c>
      <c r="G742">
        <v>0</v>
      </c>
      <c r="H742">
        <v>30</v>
      </c>
      <c r="I742">
        <v>500</v>
      </c>
      <c r="J742">
        <v>16</v>
      </c>
      <c r="K742">
        <v>1</v>
      </c>
      <c r="L742">
        <v>1</v>
      </c>
      <c r="M742">
        <v>12</v>
      </c>
      <c r="O742" s="3">
        <f t="shared" si="41"/>
        <v>7.5</v>
      </c>
      <c r="P742">
        <f t="shared" si="39"/>
        <v>1</v>
      </c>
      <c r="Q742">
        <f t="shared" si="40"/>
        <v>0</v>
      </c>
    </row>
    <row r="743" spans="1:17" x14ac:dyDescent="0.2">
      <c r="A743" t="s">
        <v>17</v>
      </c>
      <c r="B743" t="s">
        <v>82</v>
      </c>
      <c r="C743">
        <v>180</v>
      </c>
      <c r="D743">
        <v>60</v>
      </c>
      <c r="E743">
        <v>7</v>
      </c>
      <c r="F743">
        <v>3.5</v>
      </c>
      <c r="G743">
        <v>0</v>
      </c>
      <c r="H743">
        <v>35</v>
      </c>
      <c r="I743">
        <v>520</v>
      </c>
      <c r="J743">
        <v>18</v>
      </c>
      <c r="K743">
        <v>2</v>
      </c>
      <c r="L743">
        <v>2</v>
      </c>
      <c r="M743">
        <v>13</v>
      </c>
      <c r="O743" s="3">
        <f t="shared" si="41"/>
        <v>7.2222222222222214</v>
      </c>
      <c r="P743">
        <f t="shared" si="39"/>
        <v>1</v>
      </c>
      <c r="Q743">
        <f t="shared" si="40"/>
        <v>0</v>
      </c>
    </row>
    <row r="744" spans="1:17" x14ac:dyDescent="0.2">
      <c r="A744" t="s">
        <v>17</v>
      </c>
      <c r="B744" t="s">
        <v>108</v>
      </c>
      <c r="C744">
        <v>190</v>
      </c>
      <c r="D744">
        <v>80</v>
      </c>
      <c r="E744">
        <v>9</v>
      </c>
      <c r="F744">
        <v>3</v>
      </c>
      <c r="G744">
        <v>0</v>
      </c>
      <c r="H744">
        <v>35</v>
      </c>
      <c r="I744">
        <v>530</v>
      </c>
      <c r="J744">
        <v>15</v>
      </c>
      <c r="K744">
        <v>1</v>
      </c>
      <c r="L744" s="2">
        <v>0</v>
      </c>
      <c r="M744">
        <v>12</v>
      </c>
      <c r="O744" s="3">
        <f t="shared" si="41"/>
        <v>6.3157894736842106</v>
      </c>
      <c r="P744">
        <f t="shared" si="39"/>
        <v>1</v>
      </c>
      <c r="Q744">
        <f t="shared" si="40"/>
        <v>0</v>
      </c>
    </row>
    <row r="745" spans="1:17" x14ac:dyDescent="0.2">
      <c r="A745" t="s">
        <v>17</v>
      </c>
      <c r="B745" t="s">
        <v>149</v>
      </c>
      <c r="C745">
        <v>470</v>
      </c>
      <c r="D745">
        <v>170</v>
      </c>
      <c r="E745">
        <v>19</v>
      </c>
      <c r="F745">
        <v>6</v>
      </c>
      <c r="G745">
        <v>0</v>
      </c>
      <c r="H745">
        <v>70</v>
      </c>
      <c r="I745">
        <v>1200</v>
      </c>
      <c r="J745">
        <v>50</v>
      </c>
      <c r="K745">
        <v>7</v>
      </c>
      <c r="L745">
        <v>2</v>
      </c>
      <c r="M745">
        <v>26</v>
      </c>
      <c r="O745" s="3">
        <f t="shared" si="41"/>
        <v>5.5319148936170208</v>
      </c>
      <c r="P745">
        <f t="shared" si="39"/>
        <v>1</v>
      </c>
      <c r="Q745">
        <f t="shared" si="40"/>
        <v>0</v>
      </c>
    </row>
    <row r="746" spans="1:17" x14ac:dyDescent="0.2">
      <c r="A746" t="s">
        <v>17</v>
      </c>
      <c r="B746" t="s">
        <v>150</v>
      </c>
      <c r="C746">
        <v>470</v>
      </c>
      <c r="D746">
        <v>170</v>
      </c>
      <c r="E746">
        <v>19</v>
      </c>
      <c r="F746">
        <v>6</v>
      </c>
      <c r="G746">
        <v>0</v>
      </c>
      <c r="H746">
        <v>70</v>
      </c>
      <c r="I746">
        <v>1200</v>
      </c>
      <c r="J746">
        <v>50</v>
      </c>
      <c r="K746">
        <v>7</v>
      </c>
      <c r="L746">
        <v>2</v>
      </c>
      <c r="M746">
        <v>26</v>
      </c>
      <c r="O746" s="3">
        <f t="shared" si="41"/>
        <v>5.5319148936170208</v>
      </c>
      <c r="P746">
        <f t="shared" si="39"/>
        <v>1</v>
      </c>
      <c r="Q746">
        <f t="shared" si="40"/>
        <v>0</v>
      </c>
    </row>
    <row r="747" spans="1:17" x14ac:dyDescent="0.2">
      <c r="A747" t="s">
        <v>17</v>
      </c>
      <c r="B747" t="s">
        <v>177</v>
      </c>
      <c r="C747">
        <v>510</v>
      </c>
      <c r="D747">
        <v>240</v>
      </c>
      <c r="E747">
        <v>26</v>
      </c>
      <c r="F747">
        <v>12</v>
      </c>
      <c r="G747">
        <v>0.5</v>
      </c>
      <c r="H747">
        <v>75</v>
      </c>
      <c r="I747">
        <v>1250</v>
      </c>
      <c r="J747">
        <v>38</v>
      </c>
      <c r="K747">
        <v>4</v>
      </c>
      <c r="L747">
        <v>2</v>
      </c>
      <c r="M747">
        <v>27</v>
      </c>
      <c r="O747" s="3">
        <f t="shared" si="41"/>
        <v>5.2941176470588234</v>
      </c>
      <c r="P747">
        <f t="shared" si="39"/>
        <v>1</v>
      </c>
      <c r="Q747">
        <f t="shared" si="40"/>
        <v>0</v>
      </c>
    </row>
    <row r="748" spans="1:17" x14ac:dyDescent="0.2">
      <c r="A748" t="s">
        <v>17</v>
      </c>
      <c r="B748" t="s">
        <v>185</v>
      </c>
      <c r="C748">
        <v>480</v>
      </c>
      <c r="D748">
        <v>180</v>
      </c>
      <c r="E748">
        <v>20</v>
      </c>
      <c r="F748">
        <v>7</v>
      </c>
      <c r="G748">
        <v>0</v>
      </c>
      <c r="H748">
        <v>60</v>
      </c>
      <c r="I748">
        <v>1150</v>
      </c>
      <c r="J748">
        <v>51</v>
      </c>
      <c r="K748">
        <v>7</v>
      </c>
      <c r="L748">
        <v>2</v>
      </c>
      <c r="M748">
        <v>25</v>
      </c>
      <c r="O748" s="3">
        <f t="shared" si="41"/>
        <v>5.2083333333333339</v>
      </c>
      <c r="P748">
        <f t="shared" si="39"/>
        <v>1</v>
      </c>
      <c r="Q748">
        <f t="shared" si="40"/>
        <v>0</v>
      </c>
    </row>
    <row r="749" spans="1:17" x14ac:dyDescent="0.2">
      <c r="A749" t="s">
        <v>17</v>
      </c>
      <c r="B749" t="s">
        <v>187</v>
      </c>
      <c r="C749">
        <v>520</v>
      </c>
      <c r="D749">
        <v>240</v>
      </c>
      <c r="E749">
        <v>27</v>
      </c>
      <c r="F749">
        <v>12</v>
      </c>
      <c r="G749">
        <v>0.5</v>
      </c>
      <c r="H749">
        <v>70</v>
      </c>
      <c r="I749">
        <v>1230</v>
      </c>
      <c r="J749">
        <v>38</v>
      </c>
      <c r="K749">
        <v>4</v>
      </c>
      <c r="L749">
        <v>2</v>
      </c>
      <c r="M749">
        <v>27</v>
      </c>
      <c r="O749" s="3">
        <f t="shared" si="41"/>
        <v>5.1923076923076925</v>
      </c>
      <c r="P749">
        <f t="shared" si="39"/>
        <v>1</v>
      </c>
      <c r="Q749">
        <f t="shared" si="40"/>
        <v>0</v>
      </c>
    </row>
    <row r="750" spans="1:17" x14ac:dyDescent="0.2">
      <c r="A750" t="s">
        <v>17</v>
      </c>
      <c r="B750" t="s">
        <v>189</v>
      </c>
      <c r="C750">
        <v>370</v>
      </c>
      <c r="D750">
        <v>100</v>
      </c>
      <c r="E750">
        <v>11</v>
      </c>
      <c r="F750">
        <v>4.5</v>
      </c>
      <c r="G750">
        <v>0</v>
      </c>
      <c r="H750">
        <v>35</v>
      </c>
      <c r="I750">
        <v>1110</v>
      </c>
      <c r="J750">
        <v>49</v>
      </c>
      <c r="K750">
        <v>8</v>
      </c>
      <c r="L750">
        <v>4</v>
      </c>
      <c r="M750">
        <v>19</v>
      </c>
      <c r="O750" s="3">
        <f t="shared" si="41"/>
        <v>5.1351351351351351</v>
      </c>
      <c r="P750">
        <f t="shared" si="39"/>
        <v>1</v>
      </c>
      <c r="Q750">
        <f t="shared" si="40"/>
        <v>0</v>
      </c>
    </row>
    <row r="751" spans="1:17" x14ac:dyDescent="0.2">
      <c r="A751" t="s">
        <v>17</v>
      </c>
      <c r="B751" t="s">
        <v>212</v>
      </c>
      <c r="C751">
        <v>180</v>
      </c>
      <c r="D751">
        <v>80</v>
      </c>
      <c r="E751">
        <v>9</v>
      </c>
      <c r="F751">
        <v>4</v>
      </c>
      <c r="G751">
        <v>0</v>
      </c>
      <c r="H751">
        <v>25</v>
      </c>
      <c r="I751">
        <v>500</v>
      </c>
      <c r="J751">
        <v>17</v>
      </c>
      <c r="K751">
        <v>3</v>
      </c>
      <c r="L751">
        <v>1</v>
      </c>
      <c r="M751">
        <v>9</v>
      </c>
      <c r="O751" s="3">
        <f t="shared" si="41"/>
        <v>5</v>
      </c>
      <c r="P751">
        <f t="shared" si="39"/>
        <v>1</v>
      </c>
      <c r="Q751">
        <f t="shared" si="40"/>
        <v>0</v>
      </c>
    </row>
    <row r="752" spans="1:17" x14ac:dyDescent="0.2">
      <c r="A752" t="s">
        <v>17</v>
      </c>
      <c r="B752" t="s">
        <v>216</v>
      </c>
      <c r="C752">
        <v>180</v>
      </c>
      <c r="D752">
        <v>80</v>
      </c>
      <c r="E752">
        <v>9</v>
      </c>
      <c r="F752">
        <v>5</v>
      </c>
      <c r="G752">
        <v>0</v>
      </c>
      <c r="H752">
        <v>20</v>
      </c>
      <c r="I752">
        <v>430</v>
      </c>
      <c r="J752">
        <v>15</v>
      </c>
      <c r="K752">
        <v>2</v>
      </c>
      <c r="L752" s="2">
        <v>0</v>
      </c>
      <c r="M752">
        <v>9</v>
      </c>
      <c r="O752" s="3">
        <f t="shared" si="41"/>
        <v>5</v>
      </c>
      <c r="P752">
        <f t="shared" si="39"/>
        <v>0</v>
      </c>
      <c r="Q752">
        <f t="shared" si="40"/>
        <v>0</v>
      </c>
    </row>
    <row r="753" spans="1:17" x14ac:dyDescent="0.2">
      <c r="A753" t="s">
        <v>17</v>
      </c>
      <c r="B753" t="s">
        <v>221</v>
      </c>
      <c r="C753">
        <v>370</v>
      </c>
      <c r="D753">
        <v>110</v>
      </c>
      <c r="E753">
        <v>12</v>
      </c>
      <c r="F753">
        <v>5</v>
      </c>
      <c r="G753">
        <v>0</v>
      </c>
      <c r="H753">
        <v>30</v>
      </c>
      <c r="I753">
        <v>1090</v>
      </c>
      <c r="J753">
        <v>49</v>
      </c>
      <c r="K753">
        <v>7</v>
      </c>
      <c r="L753">
        <v>4</v>
      </c>
      <c r="M753">
        <v>18</v>
      </c>
      <c r="O753" s="3">
        <f t="shared" si="41"/>
        <v>4.8648648648648649</v>
      </c>
      <c r="P753">
        <f t="shared" si="39"/>
        <v>1</v>
      </c>
      <c r="Q753">
        <f t="shared" si="40"/>
        <v>0</v>
      </c>
    </row>
    <row r="754" spans="1:17" x14ac:dyDescent="0.2">
      <c r="A754" t="s">
        <v>17</v>
      </c>
      <c r="B754" t="s">
        <v>224</v>
      </c>
      <c r="C754">
        <v>330</v>
      </c>
      <c r="D754">
        <v>140</v>
      </c>
      <c r="E754">
        <v>15</v>
      </c>
      <c r="F754">
        <v>3.5</v>
      </c>
      <c r="G754">
        <v>0</v>
      </c>
      <c r="H754">
        <v>35</v>
      </c>
      <c r="I754">
        <v>560</v>
      </c>
      <c r="J754">
        <v>31</v>
      </c>
      <c r="K754">
        <v>2</v>
      </c>
      <c r="L754">
        <v>3</v>
      </c>
      <c r="M754">
        <v>16</v>
      </c>
      <c r="O754" s="3">
        <f t="shared" si="41"/>
        <v>4.8484848484848486</v>
      </c>
      <c r="P754">
        <f t="shared" si="39"/>
        <v>1</v>
      </c>
      <c r="Q754">
        <f t="shared" si="40"/>
        <v>0</v>
      </c>
    </row>
    <row r="755" spans="1:17" x14ac:dyDescent="0.2">
      <c r="A755" t="s">
        <v>17</v>
      </c>
      <c r="B755" t="s">
        <v>226</v>
      </c>
      <c r="C755">
        <v>560</v>
      </c>
      <c r="D755">
        <v>250</v>
      </c>
      <c r="E755">
        <v>28</v>
      </c>
      <c r="F755">
        <v>9</v>
      </c>
      <c r="G755">
        <v>0</v>
      </c>
      <c r="H755">
        <v>240</v>
      </c>
      <c r="I755">
        <v>1310</v>
      </c>
      <c r="J755">
        <v>50</v>
      </c>
      <c r="K755">
        <v>4</v>
      </c>
      <c r="L755">
        <v>3</v>
      </c>
      <c r="M755">
        <v>27</v>
      </c>
      <c r="O755" s="3">
        <f t="shared" si="41"/>
        <v>4.8214285714285721</v>
      </c>
      <c r="P755">
        <f t="shared" si="39"/>
        <v>1</v>
      </c>
      <c r="Q755">
        <f t="shared" si="40"/>
        <v>0</v>
      </c>
    </row>
    <row r="756" spans="1:17" x14ac:dyDescent="0.2">
      <c r="A756" t="s">
        <v>17</v>
      </c>
      <c r="B756" t="s">
        <v>212</v>
      </c>
      <c r="C756">
        <v>210</v>
      </c>
      <c r="D756">
        <v>90</v>
      </c>
      <c r="E756">
        <v>10</v>
      </c>
      <c r="F756">
        <v>5</v>
      </c>
      <c r="G756">
        <v>0</v>
      </c>
      <c r="H756">
        <v>25</v>
      </c>
      <c r="I756">
        <v>520</v>
      </c>
      <c r="J756">
        <v>20</v>
      </c>
      <c r="K756">
        <v>3</v>
      </c>
      <c r="L756">
        <v>2</v>
      </c>
      <c r="M756">
        <v>10</v>
      </c>
      <c r="O756" s="3">
        <f t="shared" si="41"/>
        <v>4.7619047619047619</v>
      </c>
      <c r="P756">
        <f t="shared" si="39"/>
        <v>1</v>
      </c>
      <c r="Q756">
        <f t="shared" si="40"/>
        <v>0</v>
      </c>
    </row>
    <row r="757" spans="1:17" x14ac:dyDescent="0.2">
      <c r="A757" t="s">
        <v>17</v>
      </c>
      <c r="B757" t="s">
        <v>234</v>
      </c>
      <c r="C757">
        <v>210</v>
      </c>
      <c r="D757">
        <v>90</v>
      </c>
      <c r="E757">
        <v>10</v>
      </c>
      <c r="F757">
        <v>5</v>
      </c>
      <c r="G757">
        <v>0</v>
      </c>
      <c r="H757">
        <v>25</v>
      </c>
      <c r="I757">
        <v>520</v>
      </c>
      <c r="J757">
        <v>20</v>
      </c>
      <c r="K757">
        <v>3</v>
      </c>
      <c r="L757">
        <v>2</v>
      </c>
      <c r="M757">
        <v>10</v>
      </c>
      <c r="O757" s="3">
        <f t="shared" si="41"/>
        <v>4.7619047619047619</v>
      </c>
      <c r="P757">
        <f t="shared" si="39"/>
        <v>1</v>
      </c>
      <c r="Q757">
        <f t="shared" si="40"/>
        <v>0</v>
      </c>
    </row>
    <row r="758" spans="1:17" x14ac:dyDescent="0.2">
      <c r="A758" t="s">
        <v>17</v>
      </c>
      <c r="B758" t="s">
        <v>244</v>
      </c>
      <c r="C758">
        <v>170</v>
      </c>
      <c r="D758">
        <v>80</v>
      </c>
      <c r="E758">
        <v>9</v>
      </c>
      <c r="F758">
        <v>3.5</v>
      </c>
      <c r="G758">
        <v>0</v>
      </c>
      <c r="H758">
        <v>25</v>
      </c>
      <c r="I758">
        <v>310</v>
      </c>
      <c r="J758">
        <v>13</v>
      </c>
      <c r="K758">
        <v>3</v>
      </c>
      <c r="L758" s="2">
        <v>0</v>
      </c>
      <c r="M758">
        <v>8</v>
      </c>
      <c r="O758" s="3">
        <f t="shared" si="41"/>
        <v>4.7058823529411766</v>
      </c>
      <c r="P758">
        <f t="shared" si="39"/>
        <v>0</v>
      </c>
      <c r="Q758">
        <f t="shared" si="40"/>
        <v>0</v>
      </c>
    </row>
    <row r="759" spans="1:17" x14ac:dyDescent="0.2">
      <c r="A759" t="s">
        <v>17</v>
      </c>
      <c r="B759" t="s">
        <v>245</v>
      </c>
      <c r="C759">
        <v>170</v>
      </c>
      <c r="D759">
        <v>80</v>
      </c>
      <c r="E759">
        <v>9</v>
      </c>
      <c r="F759">
        <v>3.5</v>
      </c>
      <c r="G759">
        <v>0</v>
      </c>
      <c r="H759">
        <v>25</v>
      </c>
      <c r="I759">
        <v>360</v>
      </c>
      <c r="J759">
        <v>13</v>
      </c>
      <c r="K759">
        <v>3</v>
      </c>
      <c r="L759" s="2">
        <v>0</v>
      </c>
      <c r="M759">
        <v>8</v>
      </c>
      <c r="O759" s="3">
        <f t="shared" si="41"/>
        <v>4.7058823529411766</v>
      </c>
      <c r="P759">
        <f t="shared" si="39"/>
        <v>0</v>
      </c>
      <c r="Q759">
        <f t="shared" si="40"/>
        <v>0</v>
      </c>
    </row>
    <row r="760" spans="1:17" x14ac:dyDescent="0.2">
      <c r="A760" t="s">
        <v>17</v>
      </c>
      <c r="B760" t="s">
        <v>277</v>
      </c>
      <c r="C760">
        <v>440</v>
      </c>
      <c r="D760">
        <v>240</v>
      </c>
      <c r="E760">
        <v>27</v>
      </c>
      <c r="F760">
        <v>5</v>
      </c>
      <c r="G760">
        <v>0</v>
      </c>
      <c r="H760">
        <v>50</v>
      </c>
      <c r="I760">
        <v>840</v>
      </c>
      <c r="J760">
        <v>31</v>
      </c>
      <c r="K760">
        <v>2</v>
      </c>
      <c r="L760">
        <v>3</v>
      </c>
      <c r="M760">
        <v>20</v>
      </c>
      <c r="O760" s="3">
        <f t="shared" si="41"/>
        <v>4.5454545454545459</v>
      </c>
      <c r="P760">
        <f t="shared" si="39"/>
        <v>1</v>
      </c>
      <c r="Q760">
        <f t="shared" si="40"/>
        <v>0</v>
      </c>
    </row>
    <row r="761" spans="1:17" x14ac:dyDescent="0.2">
      <c r="A761" t="s">
        <v>17</v>
      </c>
      <c r="B761" t="s">
        <v>278</v>
      </c>
      <c r="C761">
        <v>330</v>
      </c>
      <c r="D761">
        <v>140</v>
      </c>
      <c r="E761">
        <v>16</v>
      </c>
      <c r="F761">
        <v>4</v>
      </c>
      <c r="G761">
        <v>0</v>
      </c>
      <c r="H761">
        <v>30</v>
      </c>
      <c r="I761">
        <v>530</v>
      </c>
      <c r="J761">
        <v>32</v>
      </c>
      <c r="K761">
        <v>2</v>
      </c>
      <c r="L761">
        <v>3</v>
      </c>
      <c r="M761">
        <v>15</v>
      </c>
      <c r="O761" s="3">
        <f t="shared" si="41"/>
        <v>4.5454545454545459</v>
      </c>
      <c r="P761">
        <f t="shared" si="39"/>
        <v>1</v>
      </c>
      <c r="Q761">
        <f t="shared" si="40"/>
        <v>0</v>
      </c>
    </row>
    <row r="762" spans="1:17" x14ac:dyDescent="0.2">
      <c r="A762" t="s">
        <v>17</v>
      </c>
      <c r="B762" t="s">
        <v>279</v>
      </c>
      <c r="C762">
        <v>440</v>
      </c>
      <c r="D762">
        <v>240</v>
      </c>
      <c r="E762">
        <v>27</v>
      </c>
      <c r="F762">
        <v>5</v>
      </c>
      <c r="G762">
        <v>0</v>
      </c>
      <c r="H762">
        <v>50</v>
      </c>
      <c r="I762">
        <v>840</v>
      </c>
      <c r="J762">
        <v>31</v>
      </c>
      <c r="K762">
        <v>2</v>
      </c>
      <c r="L762">
        <v>3</v>
      </c>
      <c r="M762">
        <v>20</v>
      </c>
      <c r="O762" s="3">
        <f t="shared" si="41"/>
        <v>4.5454545454545459</v>
      </c>
      <c r="P762">
        <f t="shared" si="39"/>
        <v>1</v>
      </c>
      <c r="Q762">
        <f t="shared" si="40"/>
        <v>0</v>
      </c>
    </row>
    <row r="763" spans="1:17" x14ac:dyDescent="0.2">
      <c r="A763" t="s">
        <v>17</v>
      </c>
      <c r="B763" t="s">
        <v>317</v>
      </c>
      <c r="C763">
        <v>370</v>
      </c>
      <c r="D763">
        <v>150</v>
      </c>
      <c r="E763">
        <v>17</v>
      </c>
      <c r="F763">
        <v>8</v>
      </c>
      <c r="G763">
        <v>0</v>
      </c>
      <c r="H763">
        <v>35</v>
      </c>
      <c r="I763">
        <v>970</v>
      </c>
      <c r="J763">
        <v>40</v>
      </c>
      <c r="K763">
        <v>4</v>
      </c>
      <c r="L763">
        <v>2</v>
      </c>
      <c r="M763">
        <v>16</v>
      </c>
      <c r="O763" s="3">
        <f t="shared" si="41"/>
        <v>4.3243243243243246</v>
      </c>
      <c r="P763">
        <f t="shared" si="39"/>
        <v>1</v>
      </c>
      <c r="Q763">
        <f t="shared" si="40"/>
        <v>0</v>
      </c>
    </row>
    <row r="764" spans="1:17" x14ac:dyDescent="0.2">
      <c r="A764" t="s">
        <v>17</v>
      </c>
      <c r="B764" t="s">
        <v>322</v>
      </c>
      <c r="C764">
        <v>560</v>
      </c>
      <c r="D764">
        <v>270</v>
      </c>
      <c r="E764">
        <v>30</v>
      </c>
      <c r="F764">
        <v>10</v>
      </c>
      <c r="G764">
        <v>0</v>
      </c>
      <c r="H764">
        <v>230</v>
      </c>
      <c r="I764">
        <v>1290</v>
      </c>
      <c r="J764">
        <v>49</v>
      </c>
      <c r="K764">
        <v>4</v>
      </c>
      <c r="L764">
        <v>3</v>
      </c>
      <c r="M764">
        <v>24</v>
      </c>
      <c r="O764" s="3">
        <f t="shared" si="41"/>
        <v>4.2857142857142856</v>
      </c>
      <c r="P764">
        <f t="shared" ref="P764:P805" si="42">IF(I764&gt;2300*0.2,1,0)</f>
        <v>1</v>
      </c>
      <c r="Q764">
        <f t="shared" ref="Q764:Q805" si="43">IF(H764&gt;300,1,0)</f>
        <v>0</v>
      </c>
    </row>
    <row r="765" spans="1:17" x14ac:dyDescent="0.2">
      <c r="A765" t="s">
        <v>17</v>
      </c>
      <c r="B765" t="s">
        <v>337</v>
      </c>
      <c r="C765">
        <v>190</v>
      </c>
      <c r="D765">
        <v>100</v>
      </c>
      <c r="E765">
        <v>11</v>
      </c>
      <c r="F765">
        <v>4.5</v>
      </c>
      <c r="G765">
        <v>0</v>
      </c>
      <c r="H765">
        <v>25</v>
      </c>
      <c r="I765">
        <v>340</v>
      </c>
      <c r="J765">
        <v>15</v>
      </c>
      <c r="K765">
        <v>3</v>
      </c>
      <c r="L765">
        <v>2</v>
      </c>
      <c r="M765">
        <v>8</v>
      </c>
      <c r="O765" s="3">
        <f t="shared" si="41"/>
        <v>4.2105263157894735</v>
      </c>
      <c r="P765">
        <f t="shared" si="42"/>
        <v>0</v>
      </c>
      <c r="Q765">
        <f t="shared" si="43"/>
        <v>0</v>
      </c>
    </row>
    <row r="766" spans="1:17" x14ac:dyDescent="0.2">
      <c r="A766" t="s">
        <v>17</v>
      </c>
      <c r="B766" t="s">
        <v>338</v>
      </c>
      <c r="C766">
        <v>190</v>
      </c>
      <c r="D766">
        <v>100</v>
      </c>
      <c r="E766">
        <v>11</v>
      </c>
      <c r="F766">
        <v>4.5</v>
      </c>
      <c r="G766">
        <v>0</v>
      </c>
      <c r="H766">
        <v>30</v>
      </c>
      <c r="I766">
        <v>380</v>
      </c>
      <c r="J766">
        <v>15</v>
      </c>
      <c r="K766">
        <v>3</v>
      </c>
      <c r="L766">
        <v>2</v>
      </c>
      <c r="M766">
        <v>8</v>
      </c>
      <c r="O766" s="3">
        <f t="shared" si="41"/>
        <v>4.2105263157894735</v>
      </c>
      <c r="P766">
        <f t="shared" si="42"/>
        <v>0</v>
      </c>
      <c r="Q766">
        <f t="shared" si="43"/>
        <v>0</v>
      </c>
    </row>
    <row r="767" spans="1:17" x14ac:dyDescent="0.2">
      <c r="A767" t="s">
        <v>17</v>
      </c>
      <c r="B767" t="s">
        <v>339</v>
      </c>
      <c r="C767">
        <v>570</v>
      </c>
      <c r="D767">
        <v>270</v>
      </c>
      <c r="E767">
        <v>30</v>
      </c>
      <c r="F767">
        <v>9</v>
      </c>
      <c r="G767">
        <v>0</v>
      </c>
      <c r="H767">
        <v>140</v>
      </c>
      <c r="I767">
        <v>1290</v>
      </c>
      <c r="J767">
        <v>50</v>
      </c>
      <c r="K767">
        <v>4</v>
      </c>
      <c r="L767">
        <v>2</v>
      </c>
      <c r="M767">
        <v>24</v>
      </c>
      <c r="O767" s="3">
        <f t="shared" si="41"/>
        <v>4.2105263157894735</v>
      </c>
      <c r="P767">
        <f t="shared" si="42"/>
        <v>1</v>
      </c>
      <c r="Q767">
        <f t="shared" si="43"/>
        <v>0</v>
      </c>
    </row>
    <row r="768" spans="1:17" x14ac:dyDescent="0.2">
      <c r="A768" t="s">
        <v>17</v>
      </c>
      <c r="B768" t="s">
        <v>354</v>
      </c>
      <c r="C768">
        <v>390</v>
      </c>
      <c r="D768">
        <v>130</v>
      </c>
      <c r="E768">
        <v>14</v>
      </c>
      <c r="F768">
        <v>6</v>
      </c>
      <c r="G768">
        <v>0</v>
      </c>
      <c r="H768">
        <v>25</v>
      </c>
      <c r="I768">
        <v>1110</v>
      </c>
      <c r="J768">
        <v>51</v>
      </c>
      <c r="K768">
        <v>9</v>
      </c>
      <c r="L768">
        <v>4</v>
      </c>
      <c r="M768">
        <v>16</v>
      </c>
      <c r="O768" s="3">
        <f t="shared" si="41"/>
        <v>4.1025641025641022</v>
      </c>
      <c r="P768">
        <f t="shared" si="42"/>
        <v>1</v>
      </c>
      <c r="Q768">
        <f t="shared" si="43"/>
        <v>0</v>
      </c>
    </row>
    <row r="769" spans="1:17" x14ac:dyDescent="0.2">
      <c r="A769" t="s">
        <v>17</v>
      </c>
      <c r="B769" t="s">
        <v>369</v>
      </c>
      <c r="C769">
        <v>470</v>
      </c>
      <c r="D769">
        <v>230</v>
      </c>
      <c r="E769">
        <v>25</v>
      </c>
      <c r="F769">
        <v>12</v>
      </c>
      <c r="G769">
        <v>0.5</v>
      </c>
      <c r="H769">
        <v>50</v>
      </c>
      <c r="I769">
        <v>990</v>
      </c>
      <c r="J769">
        <v>37</v>
      </c>
      <c r="K769">
        <v>4</v>
      </c>
      <c r="L769">
        <v>2</v>
      </c>
      <c r="M769">
        <v>19</v>
      </c>
      <c r="O769" s="3">
        <f t="shared" si="41"/>
        <v>4.042553191489362</v>
      </c>
      <c r="P769">
        <f t="shared" si="42"/>
        <v>1</v>
      </c>
      <c r="Q769">
        <f t="shared" si="43"/>
        <v>0</v>
      </c>
    </row>
    <row r="770" spans="1:17" x14ac:dyDescent="0.2">
      <c r="A770" t="s">
        <v>17</v>
      </c>
      <c r="B770" t="s">
        <v>371</v>
      </c>
      <c r="C770">
        <v>620</v>
      </c>
      <c r="D770">
        <v>270</v>
      </c>
      <c r="E770">
        <v>29</v>
      </c>
      <c r="F770">
        <v>11</v>
      </c>
      <c r="G770">
        <v>0</v>
      </c>
      <c r="H770">
        <v>65</v>
      </c>
      <c r="I770">
        <v>1390</v>
      </c>
      <c r="J770">
        <v>66</v>
      </c>
      <c r="K770">
        <v>4</v>
      </c>
      <c r="L770">
        <v>4</v>
      </c>
      <c r="M770">
        <v>25</v>
      </c>
      <c r="O770" s="3">
        <f t="shared" si="41"/>
        <v>4.032258064516129</v>
      </c>
      <c r="P770">
        <f t="shared" si="42"/>
        <v>1</v>
      </c>
      <c r="Q770">
        <f t="shared" si="43"/>
        <v>0</v>
      </c>
    </row>
    <row r="771" spans="1:17" x14ac:dyDescent="0.2">
      <c r="A771" t="s">
        <v>17</v>
      </c>
      <c r="B771" t="s">
        <v>375</v>
      </c>
      <c r="C771">
        <v>250</v>
      </c>
      <c r="D771">
        <v>110</v>
      </c>
      <c r="E771">
        <v>12</v>
      </c>
      <c r="F771">
        <v>4.5</v>
      </c>
      <c r="G771">
        <v>0</v>
      </c>
      <c r="H771">
        <v>25</v>
      </c>
      <c r="I771">
        <v>610</v>
      </c>
      <c r="J771">
        <v>24</v>
      </c>
      <c r="K771">
        <v>3</v>
      </c>
      <c r="L771">
        <v>2</v>
      </c>
      <c r="M771">
        <v>10</v>
      </c>
      <c r="O771" s="3">
        <f t="shared" si="41"/>
        <v>4</v>
      </c>
      <c r="P771">
        <f t="shared" si="42"/>
        <v>1</v>
      </c>
      <c r="Q771">
        <f t="shared" si="43"/>
        <v>0</v>
      </c>
    </row>
    <row r="772" spans="1:17" x14ac:dyDescent="0.2">
      <c r="A772" t="s">
        <v>17</v>
      </c>
      <c r="B772" t="s">
        <v>376</v>
      </c>
      <c r="C772">
        <v>500</v>
      </c>
      <c r="D772">
        <v>250</v>
      </c>
      <c r="E772">
        <v>28</v>
      </c>
      <c r="F772">
        <v>10</v>
      </c>
      <c r="G772">
        <v>0.5</v>
      </c>
      <c r="H772">
        <v>55</v>
      </c>
      <c r="I772">
        <v>850</v>
      </c>
      <c r="J772">
        <v>41</v>
      </c>
      <c r="K772">
        <v>5</v>
      </c>
      <c r="L772">
        <v>4</v>
      </c>
      <c r="M772">
        <v>20</v>
      </c>
      <c r="O772" s="3">
        <f t="shared" si="41"/>
        <v>4</v>
      </c>
      <c r="P772">
        <f t="shared" si="42"/>
        <v>1</v>
      </c>
      <c r="Q772">
        <f t="shared" si="43"/>
        <v>0</v>
      </c>
    </row>
    <row r="773" spans="1:17" x14ac:dyDescent="0.2">
      <c r="A773" t="s">
        <v>17</v>
      </c>
      <c r="B773" t="s">
        <v>377</v>
      </c>
      <c r="C773">
        <v>250</v>
      </c>
      <c r="D773">
        <v>110</v>
      </c>
      <c r="E773">
        <v>12</v>
      </c>
      <c r="F773">
        <v>4.5</v>
      </c>
      <c r="G773">
        <v>0</v>
      </c>
      <c r="H773">
        <v>25</v>
      </c>
      <c r="I773">
        <v>610</v>
      </c>
      <c r="J773">
        <v>24</v>
      </c>
      <c r="K773">
        <v>3</v>
      </c>
      <c r="L773">
        <v>2</v>
      </c>
      <c r="M773">
        <v>10</v>
      </c>
      <c r="O773" s="3">
        <f t="shared" si="41"/>
        <v>4</v>
      </c>
      <c r="P773">
        <f t="shared" si="42"/>
        <v>1</v>
      </c>
      <c r="Q773">
        <f t="shared" si="43"/>
        <v>0</v>
      </c>
    </row>
    <row r="774" spans="1:17" x14ac:dyDescent="0.2">
      <c r="A774" t="s">
        <v>17</v>
      </c>
      <c r="B774" t="s">
        <v>379</v>
      </c>
      <c r="C774">
        <v>50</v>
      </c>
      <c r="D774">
        <v>10</v>
      </c>
      <c r="E774">
        <v>1</v>
      </c>
      <c r="F774">
        <v>0</v>
      </c>
      <c r="G774">
        <v>0</v>
      </c>
      <c r="H774">
        <v>0</v>
      </c>
      <c r="I774">
        <v>135</v>
      </c>
      <c r="J774">
        <v>8</v>
      </c>
      <c r="K774">
        <v>3</v>
      </c>
      <c r="L774">
        <v>0</v>
      </c>
      <c r="M774">
        <v>2</v>
      </c>
      <c r="O774" s="3">
        <f t="shared" si="41"/>
        <v>4</v>
      </c>
      <c r="P774">
        <f t="shared" si="42"/>
        <v>0</v>
      </c>
      <c r="Q774">
        <f t="shared" si="43"/>
        <v>0</v>
      </c>
    </row>
    <row r="775" spans="1:17" x14ac:dyDescent="0.2">
      <c r="A775" t="s">
        <v>17</v>
      </c>
      <c r="B775" t="s">
        <v>380</v>
      </c>
      <c r="C775">
        <v>250</v>
      </c>
      <c r="D775">
        <v>110</v>
      </c>
      <c r="E775">
        <v>12</v>
      </c>
      <c r="F775">
        <v>4.5</v>
      </c>
      <c r="G775">
        <v>0</v>
      </c>
      <c r="H775">
        <v>25</v>
      </c>
      <c r="I775">
        <v>610</v>
      </c>
      <c r="J775">
        <v>24</v>
      </c>
      <c r="K775">
        <v>3</v>
      </c>
      <c r="L775">
        <v>2</v>
      </c>
      <c r="M775">
        <v>10</v>
      </c>
      <c r="O775" s="3">
        <f t="shared" si="41"/>
        <v>4</v>
      </c>
      <c r="P775">
        <f t="shared" si="42"/>
        <v>1</v>
      </c>
      <c r="Q775">
        <f t="shared" si="43"/>
        <v>0</v>
      </c>
    </row>
    <row r="776" spans="1:17" x14ac:dyDescent="0.2">
      <c r="A776" t="s">
        <v>17</v>
      </c>
      <c r="B776" t="s">
        <v>390</v>
      </c>
      <c r="C776">
        <v>560</v>
      </c>
      <c r="D776">
        <v>280</v>
      </c>
      <c r="E776">
        <v>31</v>
      </c>
      <c r="F776">
        <v>10</v>
      </c>
      <c r="G776">
        <v>0</v>
      </c>
      <c r="H776">
        <v>230</v>
      </c>
      <c r="I776">
        <v>1150</v>
      </c>
      <c r="J776">
        <v>49</v>
      </c>
      <c r="K776">
        <v>4</v>
      </c>
      <c r="L776">
        <v>3</v>
      </c>
      <c r="M776">
        <v>22</v>
      </c>
      <c r="O776" s="3">
        <f t="shared" si="41"/>
        <v>3.9285714285714284</v>
      </c>
      <c r="P776">
        <f t="shared" si="42"/>
        <v>1</v>
      </c>
      <c r="Q776">
        <f t="shared" si="43"/>
        <v>0</v>
      </c>
    </row>
    <row r="777" spans="1:17" x14ac:dyDescent="0.2">
      <c r="A777" t="s">
        <v>17</v>
      </c>
      <c r="B777" t="s">
        <v>403</v>
      </c>
      <c r="C777">
        <v>630</v>
      </c>
      <c r="D777">
        <v>270</v>
      </c>
      <c r="E777">
        <v>30</v>
      </c>
      <c r="F777">
        <v>11</v>
      </c>
      <c r="G777">
        <v>0</v>
      </c>
      <c r="H777">
        <v>60</v>
      </c>
      <c r="I777">
        <v>1370</v>
      </c>
      <c r="J777">
        <v>66</v>
      </c>
      <c r="K777">
        <v>4</v>
      </c>
      <c r="L777">
        <v>4</v>
      </c>
      <c r="M777">
        <v>24</v>
      </c>
      <c r="O777" s="3">
        <f t="shared" si="41"/>
        <v>3.8095238095238098</v>
      </c>
      <c r="P777">
        <f t="shared" si="42"/>
        <v>1</v>
      </c>
      <c r="Q777">
        <f t="shared" si="43"/>
        <v>0</v>
      </c>
    </row>
    <row r="778" spans="1:17" x14ac:dyDescent="0.2">
      <c r="A778" t="s">
        <v>17</v>
      </c>
      <c r="B778" t="s">
        <v>415</v>
      </c>
      <c r="C778">
        <v>350</v>
      </c>
      <c r="D778">
        <v>170</v>
      </c>
      <c r="E778">
        <v>18</v>
      </c>
      <c r="F778">
        <v>5</v>
      </c>
      <c r="G778">
        <v>0</v>
      </c>
      <c r="H778">
        <v>25</v>
      </c>
      <c r="I778">
        <v>560</v>
      </c>
      <c r="J778">
        <v>33</v>
      </c>
      <c r="K778">
        <v>4</v>
      </c>
      <c r="L778">
        <v>3</v>
      </c>
      <c r="M778">
        <v>13</v>
      </c>
      <c r="O778" s="3">
        <f t="shared" si="41"/>
        <v>3.7142857142857144</v>
      </c>
      <c r="P778">
        <f t="shared" si="42"/>
        <v>1</v>
      </c>
      <c r="Q778">
        <f t="shared" si="43"/>
        <v>0</v>
      </c>
    </row>
    <row r="779" spans="1:17" x14ac:dyDescent="0.2">
      <c r="A779" t="s">
        <v>17</v>
      </c>
      <c r="B779" t="s">
        <v>418</v>
      </c>
      <c r="C779">
        <v>350</v>
      </c>
      <c r="D779">
        <v>80</v>
      </c>
      <c r="E779">
        <v>9</v>
      </c>
      <c r="F779">
        <v>3.5</v>
      </c>
      <c r="G779">
        <v>0</v>
      </c>
      <c r="H779">
        <v>5</v>
      </c>
      <c r="I779">
        <v>1000</v>
      </c>
      <c r="J779">
        <v>54</v>
      </c>
      <c r="K779">
        <v>11</v>
      </c>
      <c r="L779">
        <v>3</v>
      </c>
      <c r="M779">
        <v>13</v>
      </c>
      <c r="O779" s="3">
        <f t="shared" si="41"/>
        <v>3.7142857142857144</v>
      </c>
      <c r="P779">
        <f t="shared" si="42"/>
        <v>1</v>
      </c>
      <c r="Q779">
        <f t="shared" si="43"/>
        <v>0</v>
      </c>
    </row>
    <row r="780" spans="1:17" x14ac:dyDescent="0.2">
      <c r="A780" t="s">
        <v>17</v>
      </c>
      <c r="B780" t="s">
        <v>419</v>
      </c>
      <c r="C780">
        <v>350</v>
      </c>
      <c r="D780">
        <v>150</v>
      </c>
      <c r="E780">
        <v>16</v>
      </c>
      <c r="F780">
        <v>4.5</v>
      </c>
      <c r="G780">
        <v>0</v>
      </c>
      <c r="H780">
        <v>115</v>
      </c>
      <c r="I780">
        <v>870</v>
      </c>
      <c r="J780">
        <v>36</v>
      </c>
      <c r="K780">
        <v>2</v>
      </c>
      <c r="L780">
        <v>3</v>
      </c>
      <c r="M780">
        <v>13</v>
      </c>
      <c r="O780" s="3">
        <f t="shared" si="41"/>
        <v>3.7142857142857144</v>
      </c>
      <c r="P780">
        <f t="shared" si="42"/>
        <v>1</v>
      </c>
      <c r="Q780">
        <f t="shared" si="43"/>
        <v>0</v>
      </c>
    </row>
    <row r="781" spans="1:17" x14ac:dyDescent="0.2">
      <c r="A781" t="s">
        <v>17</v>
      </c>
      <c r="B781" t="s">
        <v>420</v>
      </c>
      <c r="C781">
        <v>570</v>
      </c>
      <c r="D781">
        <v>300</v>
      </c>
      <c r="E781">
        <v>33</v>
      </c>
      <c r="F781">
        <v>10</v>
      </c>
      <c r="G781">
        <v>0</v>
      </c>
      <c r="H781">
        <v>135</v>
      </c>
      <c r="I781">
        <v>1270</v>
      </c>
      <c r="J781">
        <v>49</v>
      </c>
      <c r="K781">
        <v>4</v>
      </c>
      <c r="L781">
        <v>2</v>
      </c>
      <c r="M781">
        <v>21</v>
      </c>
      <c r="O781" s="3">
        <f t="shared" ref="O781:O820" si="44">M781/C781*100</f>
        <v>3.6842105263157889</v>
      </c>
      <c r="P781">
        <f t="shared" si="42"/>
        <v>1</v>
      </c>
      <c r="Q781">
        <f t="shared" si="43"/>
        <v>0</v>
      </c>
    </row>
    <row r="782" spans="1:17" x14ac:dyDescent="0.2">
      <c r="A782" t="s">
        <v>17</v>
      </c>
      <c r="B782" t="s">
        <v>421</v>
      </c>
      <c r="C782">
        <v>490</v>
      </c>
      <c r="D782">
        <v>160</v>
      </c>
      <c r="E782">
        <v>18</v>
      </c>
      <c r="F782">
        <v>7</v>
      </c>
      <c r="G782">
        <v>0</v>
      </c>
      <c r="H782">
        <v>30</v>
      </c>
      <c r="I782">
        <v>1250</v>
      </c>
      <c r="J782">
        <v>63</v>
      </c>
      <c r="K782">
        <v>9</v>
      </c>
      <c r="L782">
        <v>5</v>
      </c>
      <c r="M782">
        <v>18</v>
      </c>
      <c r="O782" s="3">
        <f t="shared" si="44"/>
        <v>3.6734693877551026</v>
      </c>
      <c r="P782">
        <f t="shared" si="42"/>
        <v>1</v>
      </c>
      <c r="Q782">
        <f t="shared" si="43"/>
        <v>0</v>
      </c>
    </row>
    <row r="783" spans="1:17" x14ac:dyDescent="0.2">
      <c r="A783" t="s">
        <v>17</v>
      </c>
      <c r="B783" t="s">
        <v>425</v>
      </c>
      <c r="C783">
        <v>660</v>
      </c>
      <c r="D783">
        <v>350</v>
      </c>
      <c r="E783">
        <v>38</v>
      </c>
      <c r="F783">
        <v>12</v>
      </c>
      <c r="G783">
        <v>0</v>
      </c>
      <c r="H783">
        <v>145</v>
      </c>
      <c r="I783">
        <v>1300</v>
      </c>
      <c r="J783">
        <v>51</v>
      </c>
      <c r="K783">
        <v>4</v>
      </c>
      <c r="L783">
        <v>3</v>
      </c>
      <c r="M783">
        <v>24</v>
      </c>
      <c r="O783" s="3">
        <f t="shared" si="44"/>
        <v>3.6363636363636362</v>
      </c>
      <c r="P783">
        <f t="shared" si="42"/>
        <v>1</v>
      </c>
      <c r="Q783">
        <f t="shared" si="43"/>
        <v>0</v>
      </c>
    </row>
    <row r="784" spans="1:17" x14ac:dyDescent="0.2">
      <c r="A784" t="s">
        <v>17</v>
      </c>
      <c r="B784" t="s">
        <v>446</v>
      </c>
      <c r="C784">
        <v>650</v>
      </c>
      <c r="D784">
        <v>300</v>
      </c>
      <c r="E784">
        <v>33</v>
      </c>
      <c r="F784">
        <v>12</v>
      </c>
      <c r="G784">
        <v>0.5</v>
      </c>
      <c r="H784">
        <v>55</v>
      </c>
      <c r="I784">
        <v>1390</v>
      </c>
      <c r="J784">
        <v>67</v>
      </c>
      <c r="K784">
        <v>6</v>
      </c>
      <c r="L784">
        <v>5</v>
      </c>
      <c r="M784">
        <v>22</v>
      </c>
      <c r="O784" s="3">
        <f t="shared" si="44"/>
        <v>3.3846153846153846</v>
      </c>
      <c r="P784">
        <f t="shared" si="42"/>
        <v>1</v>
      </c>
      <c r="Q784">
        <f t="shared" si="43"/>
        <v>0</v>
      </c>
    </row>
    <row r="785" spans="1:17" x14ac:dyDescent="0.2">
      <c r="A785" t="s">
        <v>17</v>
      </c>
      <c r="B785" t="s">
        <v>462</v>
      </c>
      <c r="C785">
        <v>340</v>
      </c>
      <c r="D785">
        <v>160</v>
      </c>
      <c r="E785">
        <v>17</v>
      </c>
      <c r="F785">
        <v>5</v>
      </c>
      <c r="G785">
        <v>0</v>
      </c>
      <c r="H785">
        <v>110</v>
      </c>
      <c r="I785">
        <v>730</v>
      </c>
      <c r="J785">
        <v>36</v>
      </c>
      <c r="K785">
        <v>2</v>
      </c>
      <c r="L785">
        <v>3</v>
      </c>
      <c r="M785">
        <v>11</v>
      </c>
      <c r="O785" s="3">
        <f t="shared" si="44"/>
        <v>3.2352941176470593</v>
      </c>
      <c r="P785">
        <f t="shared" si="42"/>
        <v>1</v>
      </c>
      <c r="Q785">
        <f t="shared" si="43"/>
        <v>0</v>
      </c>
    </row>
    <row r="786" spans="1:17" x14ac:dyDescent="0.2">
      <c r="A786" t="s">
        <v>17</v>
      </c>
      <c r="B786" t="s">
        <v>473</v>
      </c>
      <c r="C786">
        <v>570</v>
      </c>
      <c r="D786">
        <v>300</v>
      </c>
      <c r="E786">
        <v>34</v>
      </c>
      <c r="F786">
        <v>10</v>
      </c>
      <c r="G786">
        <v>0</v>
      </c>
      <c r="H786">
        <v>130</v>
      </c>
      <c r="I786">
        <v>1130</v>
      </c>
      <c r="J786">
        <v>49</v>
      </c>
      <c r="K786">
        <v>4</v>
      </c>
      <c r="L786">
        <v>2</v>
      </c>
      <c r="M786">
        <v>18</v>
      </c>
      <c r="O786" s="3">
        <f t="shared" si="44"/>
        <v>3.1578947368421053</v>
      </c>
      <c r="P786">
        <f t="shared" si="42"/>
        <v>1</v>
      </c>
      <c r="Q786">
        <f t="shared" si="43"/>
        <v>0</v>
      </c>
    </row>
    <row r="787" spans="1:17" x14ac:dyDescent="0.2">
      <c r="A787" t="s">
        <v>17</v>
      </c>
      <c r="B787" t="s">
        <v>475</v>
      </c>
      <c r="C787">
        <v>670</v>
      </c>
      <c r="D787">
        <v>370</v>
      </c>
      <c r="E787">
        <v>41</v>
      </c>
      <c r="F787">
        <v>12</v>
      </c>
      <c r="G787">
        <v>0</v>
      </c>
      <c r="H787">
        <v>140</v>
      </c>
      <c r="I787">
        <v>1270</v>
      </c>
      <c r="J787">
        <v>50</v>
      </c>
      <c r="K787">
        <v>4</v>
      </c>
      <c r="L787">
        <v>3</v>
      </c>
      <c r="M787">
        <v>21</v>
      </c>
      <c r="O787" s="3">
        <f t="shared" si="44"/>
        <v>3.1343283582089549</v>
      </c>
      <c r="P787">
        <f t="shared" si="42"/>
        <v>1</v>
      </c>
      <c r="Q787">
        <f t="shared" si="43"/>
        <v>0</v>
      </c>
    </row>
    <row r="788" spans="1:17" x14ac:dyDescent="0.2">
      <c r="A788" t="s">
        <v>17</v>
      </c>
      <c r="B788" t="s">
        <v>489</v>
      </c>
      <c r="C788">
        <v>330</v>
      </c>
      <c r="D788">
        <v>140</v>
      </c>
      <c r="E788">
        <v>15</v>
      </c>
      <c r="F788">
        <v>3</v>
      </c>
      <c r="G788">
        <v>0</v>
      </c>
      <c r="H788">
        <v>10</v>
      </c>
      <c r="I788">
        <v>430</v>
      </c>
      <c r="J788">
        <v>39</v>
      </c>
      <c r="K788">
        <v>5</v>
      </c>
      <c r="L788">
        <v>3</v>
      </c>
      <c r="M788">
        <v>10</v>
      </c>
      <c r="O788" s="3">
        <f t="shared" si="44"/>
        <v>3.0303030303030303</v>
      </c>
      <c r="P788">
        <f t="shared" si="42"/>
        <v>0</v>
      </c>
      <c r="Q788">
        <f t="shared" si="43"/>
        <v>0</v>
      </c>
    </row>
    <row r="789" spans="1:17" x14ac:dyDescent="0.2">
      <c r="A789" t="s">
        <v>17</v>
      </c>
      <c r="B789" t="s">
        <v>490</v>
      </c>
      <c r="C789">
        <v>530</v>
      </c>
      <c r="D789">
        <v>190</v>
      </c>
      <c r="E789">
        <v>21</v>
      </c>
      <c r="F789">
        <v>6</v>
      </c>
      <c r="G789">
        <v>0</v>
      </c>
      <c r="H789">
        <v>25</v>
      </c>
      <c r="I789">
        <v>1200</v>
      </c>
      <c r="J789">
        <v>71</v>
      </c>
      <c r="K789">
        <v>6</v>
      </c>
      <c r="L789">
        <v>6</v>
      </c>
      <c r="M789">
        <v>16</v>
      </c>
      <c r="O789" s="3">
        <f t="shared" si="44"/>
        <v>3.0188679245283021</v>
      </c>
      <c r="P789">
        <f t="shared" si="42"/>
        <v>1</v>
      </c>
      <c r="Q789">
        <f t="shared" si="43"/>
        <v>0</v>
      </c>
    </row>
    <row r="790" spans="1:17" x14ac:dyDescent="0.2">
      <c r="A790" t="s">
        <v>17</v>
      </c>
      <c r="B790" t="s">
        <v>494</v>
      </c>
      <c r="C790">
        <v>630</v>
      </c>
      <c r="D790">
        <v>270</v>
      </c>
      <c r="E790">
        <v>29</v>
      </c>
      <c r="F790">
        <v>10</v>
      </c>
      <c r="G790">
        <v>0</v>
      </c>
      <c r="H790">
        <v>35</v>
      </c>
      <c r="I790">
        <v>1260</v>
      </c>
      <c r="J790">
        <v>73</v>
      </c>
      <c r="K790">
        <v>7</v>
      </c>
      <c r="L790">
        <v>5</v>
      </c>
      <c r="M790">
        <v>19</v>
      </c>
      <c r="O790" s="3">
        <f t="shared" si="44"/>
        <v>3.0158730158730158</v>
      </c>
      <c r="P790">
        <f t="shared" si="42"/>
        <v>1</v>
      </c>
      <c r="Q790">
        <f t="shared" si="43"/>
        <v>0</v>
      </c>
    </row>
    <row r="791" spans="1:17" x14ac:dyDescent="0.2">
      <c r="A791" t="s">
        <v>17</v>
      </c>
      <c r="B791" t="s">
        <v>500</v>
      </c>
      <c r="C791">
        <v>340</v>
      </c>
      <c r="D791">
        <v>130</v>
      </c>
      <c r="E791">
        <v>14</v>
      </c>
      <c r="F791">
        <v>3.5</v>
      </c>
      <c r="G791">
        <v>0</v>
      </c>
      <c r="H791">
        <v>100</v>
      </c>
      <c r="I791">
        <v>750</v>
      </c>
      <c r="J791">
        <v>43</v>
      </c>
      <c r="K791">
        <v>3</v>
      </c>
      <c r="L791">
        <v>3</v>
      </c>
      <c r="M791">
        <v>10</v>
      </c>
      <c r="O791" s="3">
        <f t="shared" si="44"/>
        <v>2.9411764705882351</v>
      </c>
      <c r="P791">
        <f t="shared" si="42"/>
        <v>1</v>
      </c>
      <c r="Q791">
        <f t="shared" si="43"/>
        <v>0</v>
      </c>
    </row>
    <row r="792" spans="1:17" x14ac:dyDescent="0.2">
      <c r="A792" t="s">
        <v>17</v>
      </c>
      <c r="B792" t="s">
        <v>502</v>
      </c>
      <c r="C792">
        <v>720</v>
      </c>
      <c r="D792">
        <v>430</v>
      </c>
      <c r="E792">
        <v>47</v>
      </c>
      <c r="F792">
        <v>15</v>
      </c>
      <c r="G792">
        <v>0</v>
      </c>
      <c r="H792">
        <v>145</v>
      </c>
      <c r="I792">
        <v>1210</v>
      </c>
      <c r="J792">
        <v>51</v>
      </c>
      <c r="K792">
        <v>4</v>
      </c>
      <c r="L792">
        <v>3</v>
      </c>
      <c r="M792">
        <v>21</v>
      </c>
      <c r="O792" s="3">
        <f t="shared" si="44"/>
        <v>2.9166666666666665</v>
      </c>
      <c r="P792">
        <f t="shared" si="42"/>
        <v>1</v>
      </c>
      <c r="Q792">
        <f t="shared" si="43"/>
        <v>0</v>
      </c>
    </row>
    <row r="793" spans="1:17" x14ac:dyDescent="0.2">
      <c r="A793" t="s">
        <v>17</v>
      </c>
      <c r="B793" t="s">
        <v>519</v>
      </c>
      <c r="C793">
        <v>430</v>
      </c>
      <c r="D793">
        <v>160</v>
      </c>
      <c r="E793">
        <v>17</v>
      </c>
      <c r="F793">
        <v>5</v>
      </c>
      <c r="G793">
        <v>0</v>
      </c>
      <c r="H793">
        <v>20</v>
      </c>
      <c r="I793">
        <v>810</v>
      </c>
      <c r="J793">
        <v>57</v>
      </c>
      <c r="K793">
        <v>10</v>
      </c>
      <c r="L793">
        <v>2</v>
      </c>
      <c r="M793">
        <v>12</v>
      </c>
      <c r="O793" s="3">
        <f t="shared" si="44"/>
        <v>2.7906976744186047</v>
      </c>
      <c r="P793">
        <f t="shared" si="42"/>
        <v>1</v>
      </c>
      <c r="Q793">
        <f t="shared" si="43"/>
        <v>0</v>
      </c>
    </row>
    <row r="794" spans="1:17" x14ac:dyDescent="0.2">
      <c r="A794" t="s">
        <v>17</v>
      </c>
      <c r="B794" t="s">
        <v>520</v>
      </c>
      <c r="C794">
        <v>430</v>
      </c>
      <c r="D794">
        <v>170</v>
      </c>
      <c r="E794">
        <v>19</v>
      </c>
      <c r="F794">
        <v>5</v>
      </c>
      <c r="G794">
        <v>0</v>
      </c>
      <c r="H794">
        <v>20</v>
      </c>
      <c r="I794">
        <v>970</v>
      </c>
      <c r="J794">
        <v>51</v>
      </c>
      <c r="K794">
        <v>4</v>
      </c>
      <c r="L794">
        <v>3</v>
      </c>
      <c r="M794">
        <v>12</v>
      </c>
      <c r="O794" s="3">
        <f t="shared" si="44"/>
        <v>2.7906976744186047</v>
      </c>
      <c r="P794">
        <f t="shared" si="42"/>
        <v>1</v>
      </c>
      <c r="Q794">
        <f t="shared" si="43"/>
        <v>0</v>
      </c>
    </row>
    <row r="795" spans="1:17" x14ac:dyDescent="0.2">
      <c r="A795" t="s">
        <v>17</v>
      </c>
      <c r="B795" t="s">
        <v>522</v>
      </c>
      <c r="C795">
        <v>430</v>
      </c>
      <c r="D795">
        <v>160</v>
      </c>
      <c r="E795">
        <v>17</v>
      </c>
      <c r="F795">
        <v>5</v>
      </c>
      <c r="G795">
        <v>0</v>
      </c>
      <c r="H795">
        <v>20</v>
      </c>
      <c r="I795">
        <v>810</v>
      </c>
      <c r="J795">
        <v>57</v>
      </c>
      <c r="K795">
        <v>10</v>
      </c>
      <c r="L795">
        <v>2</v>
      </c>
      <c r="M795">
        <v>12</v>
      </c>
      <c r="O795" s="3">
        <f t="shared" si="44"/>
        <v>2.7906976744186047</v>
      </c>
      <c r="P795">
        <f t="shared" si="42"/>
        <v>1</v>
      </c>
      <c r="Q795">
        <f t="shared" si="43"/>
        <v>0</v>
      </c>
    </row>
    <row r="796" spans="1:17" x14ac:dyDescent="0.2">
      <c r="A796" t="s">
        <v>17</v>
      </c>
      <c r="B796" t="s">
        <v>539</v>
      </c>
      <c r="C796">
        <v>720</v>
      </c>
      <c r="D796">
        <v>320</v>
      </c>
      <c r="E796">
        <v>36</v>
      </c>
      <c r="F796">
        <v>6</v>
      </c>
      <c r="G796">
        <v>0</v>
      </c>
      <c r="H796">
        <v>30</v>
      </c>
      <c r="I796">
        <v>1030</v>
      </c>
      <c r="J796">
        <v>81</v>
      </c>
      <c r="K796">
        <v>14</v>
      </c>
      <c r="L796">
        <v>5</v>
      </c>
      <c r="M796">
        <v>19</v>
      </c>
      <c r="O796" s="3">
        <f t="shared" si="44"/>
        <v>2.6388888888888888</v>
      </c>
      <c r="P796">
        <f t="shared" si="42"/>
        <v>1</v>
      </c>
      <c r="Q796">
        <f t="shared" si="43"/>
        <v>0</v>
      </c>
    </row>
    <row r="797" spans="1:17" x14ac:dyDescent="0.2">
      <c r="A797" t="s">
        <v>17</v>
      </c>
      <c r="B797" t="s">
        <v>556</v>
      </c>
      <c r="C797">
        <v>510</v>
      </c>
      <c r="D797">
        <v>160</v>
      </c>
      <c r="E797">
        <v>17</v>
      </c>
      <c r="F797">
        <v>4.5</v>
      </c>
      <c r="G797">
        <v>0</v>
      </c>
      <c r="H797">
        <v>5</v>
      </c>
      <c r="I797">
        <v>1080</v>
      </c>
      <c r="J797">
        <v>77</v>
      </c>
      <c r="K797">
        <v>8</v>
      </c>
      <c r="L797">
        <v>6</v>
      </c>
      <c r="M797">
        <v>13</v>
      </c>
      <c r="O797" s="3">
        <f t="shared" si="44"/>
        <v>2.5490196078431371</v>
      </c>
      <c r="P797">
        <f t="shared" si="42"/>
        <v>1</v>
      </c>
      <c r="Q797">
        <f t="shared" si="43"/>
        <v>0</v>
      </c>
    </row>
    <row r="798" spans="1:17" x14ac:dyDescent="0.2">
      <c r="A798" t="s">
        <v>17</v>
      </c>
      <c r="B798" t="s">
        <v>573</v>
      </c>
      <c r="C798">
        <v>420</v>
      </c>
      <c r="D798">
        <v>140</v>
      </c>
      <c r="E798">
        <v>16</v>
      </c>
      <c r="F798">
        <v>4</v>
      </c>
      <c r="G798">
        <v>0</v>
      </c>
      <c r="H798">
        <v>0</v>
      </c>
      <c r="I798">
        <v>880</v>
      </c>
      <c r="J798">
        <v>56</v>
      </c>
      <c r="K798">
        <v>7</v>
      </c>
      <c r="L798">
        <v>3</v>
      </c>
      <c r="M798">
        <v>10</v>
      </c>
      <c r="O798" s="3">
        <f t="shared" si="44"/>
        <v>2.3809523809523809</v>
      </c>
      <c r="P798">
        <f t="shared" si="42"/>
        <v>1</v>
      </c>
      <c r="Q798">
        <f t="shared" si="43"/>
        <v>0</v>
      </c>
    </row>
    <row r="799" spans="1:17" x14ac:dyDescent="0.2">
      <c r="A799" t="s">
        <v>17</v>
      </c>
      <c r="B799" t="s">
        <v>579</v>
      </c>
      <c r="C799">
        <v>170</v>
      </c>
      <c r="D799">
        <v>30</v>
      </c>
      <c r="E799">
        <v>3.5</v>
      </c>
      <c r="F799">
        <v>0</v>
      </c>
      <c r="G799">
        <v>0</v>
      </c>
      <c r="H799">
        <v>0</v>
      </c>
      <c r="I799">
        <v>320</v>
      </c>
      <c r="J799">
        <v>31</v>
      </c>
      <c r="K799">
        <v>4</v>
      </c>
      <c r="L799">
        <v>0</v>
      </c>
      <c r="M799">
        <v>4</v>
      </c>
      <c r="O799" s="3">
        <f t="shared" si="44"/>
        <v>2.3529411764705883</v>
      </c>
      <c r="P799">
        <f t="shared" si="42"/>
        <v>0</v>
      </c>
      <c r="Q799">
        <f t="shared" si="43"/>
        <v>0</v>
      </c>
    </row>
    <row r="800" spans="1:17" x14ac:dyDescent="0.2">
      <c r="A800" t="s">
        <v>17</v>
      </c>
      <c r="B800" t="s">
        <v>608</v>
      </c>
      <c r="C800">
        <v>740</v>
      </c>
      <c r="D800">
        <v>340</v>
      </c>
      <c r="E800">
        <v>38</v>
      </c>
      <c r="F800">
        <v>7</v>
      </c>
      <c r="G800">
        <v>0</v>
      </c>
      <c r="H800">
        <v>25</v>
      </c>
      <c r="I800">
        <v>1050</v>
      </c>
      <c r="J800">
        <v>82</v>
      </c>
      <c r="K800">
        <v>15</v>
      </c>
      <c r="L800">
        <v>5</v>
      </c>
      <c r="M800">
        <v>16</v>
      </c>
      <c r="O800" s="3">
        <f t="shared" si="44"/>
        <v>2.1621621621621623</v>
      </c>
      <c r="P800">
        <f t="shared" si="42"/>
        <v>1</v>
      </c>
      <c r="Q800">
        <f t="shared" si="43"/>
        <v>0</v>
      </c>
    </row>
    <row r="801" spans="1:17" x14ac:dyDescent="0.2">
      <c r="A801" t="s">
        <v>17</v>
      </c>
      <c r="B801" t="s">
        <v>640</v>
      </c>
      <c r="C801">
        <v>710</v>
      </c>
      <c r="D801">
        <v>360</v>
      </c>
      <c r="E801">
        <v>40</v>
      </c>
      <c r="F801">
        <v>6</v>
      </c>
      <c r="G801">
        <v>0</v>
      </c>
      <c r="H801">
        <v>30</v>
      </c>
      <c r="I801">
        <v>1440</v>
      </c>
      <c r="J801">
        <v>73</v>
      </c>
      <c r="K801">
        <v>10</v>
      </c>
      <c r="L801">
        <v>4</v>
      </c>
      <c r="M801">
        <v>13</v>
      </c>
      <c r="O801" s="3">
        <f t="shared" si="44"/>
        <v>1.8309859154929577</v>
      </c>
      <c r="P801">
        <f t="shared" si="42"/>
        <v>1</v>
      </c>
      <c r="Q801">
        <f t="shared" si="43"/>
        <v>0</v>
      </c>
    </row>
    <row r="802" spans="1:17" x14ac:dyDescent="0.2">
      <c r="A802" t="s">
        <v>17</v>
      </c>
      <c r="B802" t="s">
        <v>667</v>
      </c>
      <c r="C802">
        <v>140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20</v>
      </c>
      <c r="J802">
        <v>33</v>
      </c>
      <c r="K802" s="2">
        <v>0</v>
      </c>
      <c r="L802">
        <v>28</v>
      </c>
      <c r="M802">
        <v>2</v>
      </c>
      <c r="O802" s="3">
        <f t="shared" si="44"/>
        <v>1.4285714285714286</v>
      </c>
      <c r="P802">
        <f t="shared" si="42"/>
        <v>0</v>
      </c>
      <c r="Q802">
        <f t="shared" si="43"/>
        <v>0</v>
      </c>
    </row>
    <row r="803" spans="1:17" x14ac:dyDescent="0.2">
      <c r="A803" t="s">
        <v>17</v>
      </c>
      <c r="B803" t="s">
        <v>689</v>
      </c>
      <c r="C803">
        <v>320</v>
      </c>
      <c r="D803">
        <v>160</v>
      </c>
      <c r="E803">
        <v>18</v>
      </c>
      <c r="F803">
        <v>1.5</v>
      </c>
      <c r="G803">
        <v>0</v>
      </c>
      <c r="H803">
        <v>0</v>
      </c>
      <c r="I803">
        <v>630</v>
      </c>
      <c r="J803">
        <v>35</v>
      </c>
      <c r="K803">
        <v>4</v>
      </c>
      <c r="L803">
        <v>2</v>
      </c>
      <c r="M803">
        <v>4</v>
      </c>
      <c r="O803" s="3">
        <f t="shared" si="44"/>
        <v>1.25</v>
      </c>
      <c r="P803">
        <f t="shared" si="42"/>
        <v>1</v>
      </c>
      <c r="Q803">
        <f t="shared" si="43"/>
        <v>0</v>
      </c>
    </row>
    <row r="804" spans="1:17" x14ac:dyDescent="0.2">
      <c r="A804" t="s">
        <v>17</v>
      </c>
      <c r="B804" t="s">
        <v>691</v>
      </c>
      <c r="C804">
        <v>160</v>
      </c>
      <c r="D804">
        <v>80</v>
      </c>
      <c r="E804">
        <v>9</v>
      </c>
      <c r="F804">
        <v>2</v>
      </c>
      <c r="G804">
        <v>0</v>
      </c>
      <c r="H804">
        <v>5</v>
      </c>
      <c r="I804">
        <v>80</v>
      </c>
      <c r="J804">
        <v>17</v>
      </c>
      <c r="K804">
        <v>0</v>
      </c>
      <c r="L804">
        <v>10</v>
      </c>
      <c r="M804">
        <v>2</v>
      </c>
      <c r="O804" s="3">
        <f t="shared" si="44"/>
        <v>1.25</v>
      </c>
      <c r="P804">
        <f t="shared" si="42"/>
        <v>0</v>
      </c>
      <c r="Q804">
        <f t="shared" si="43"/>
        <v>0</v>
      </c>
    </row>
    <row r="805" spans="1:17" x14ac:dyDescent="0.2">
      <c r="A805" t="s">
        <v>17</v>
      </c>
      <c r="B805" t="s">
        <v>719</v>
      </c>
      <c r="C805">
        <v>930</v>
      </c>
      <c r="D805">
        <v>480</v>
      </c>
      <c r="E805">
        <v>53</v>
      </c>
      <c r="F805">
        <v>13</v>
      </c>
      <c r="G805">
        <v>2</v>
      </c>
      <c r="H805">
        <v>40</v>
      </c>
      <c r="I805">
        <v>480</v>
      </c>
      <c r="J805">
        <v>104</v>
      </c>
      <c r="K805">
        <v>3</v>
      </c>
      <c r="L805">
        <v>59</v>
      </c>
      <c r="M805">
        <v>9</v>
      </c>
      <c r="O805" s="3">
        <f t="shared" si="44"/>
        <v>0.967741935483871</v>
      </c>
      <c r="P805">
        <f t="shared" si="42"/>
        <v>1</v>
      </c>
      <c r="Q805">
        <f t="shared" si="43"/>
        <v>0</v>
      </c>
    </row>
    <row r="806" spans="1:17" x14ac:dyDescent="0.2">
      <c r="A806" t="s">
        <v>17</v>
      </c>
      <c r="B806" t="s">
        <v>731</v>
      </c>
      <c r="C806">
        <v>220</v>
      </c>
      <c r="D806">
        <v>120</v>
      </c>
      <c r="E806">
        <v>13</v>
      </c>
      <c r="F806">
        <v>1.5</v>
      </c>
      <c r="G806">
        <v>0</v>
      </c>
      <c r="H806">
        <v>0</v>
      </c>
      <c r="I806">
        <v>250</v>
      </c>
      <c r="J806">
        <v>24</v>
      </c>
      <c r="K806">
        <v>2</v>
      </c>
      <c r="L806">
        <v>2</v>
      </c>
      <c r="M806">
        <v>2</v>
      </c>
      <c r="O806" s="3">
        <f t="shared" si="44"/>
        <v>0.90909090909090906</v>
      </c>
      <c r="P806">
        <f t="shared" ref="P806:P863" si="45">IF(I806&gt;2300*0.2,1,0)</f>
        <v>0</v>
      </c>
      <c r="Q806">
        <f t="shared" ref="Q806:Q863" si="46">IF(H806&gt;300,1,0)</f>
        <v>0</v>
      </c>
    </row>
    <row r="807" spans="1:17" x14ac:dyDescent="0.2">
      <c r="A807" t="s">
        <v>17</v>
      </c>
      <c r="B807" t="s">
        <v>753</v>
      </c>
      <c r="C807">
        <v>160</v>
      </c>
      <c r="D807">
        <v>100</v>
      </c>
      <c r="E807">
        <v>12</v>
      </c>
      <c r="F807">
        <v>1</v>
      </c>
      <c r="G807">
        <v>0</v>
      </c>
      <c r="H807">
        <v>0</v>
      </c>
      <c r="I807">
        <v>270</v>
      </c>
      <c r="J807">
        <v>13</v>
      </c>
      <c r="K807">
        <v>2</v>
      </c>
      <c r="L807">
        <v>0</v>
      </c>
      <c r="M807">
        <v>1</v>
      </c>
      <c r="O807" s="3">
        <f t="shared" si="44"/>
        <v>0.625</v>
      </c>
      <c r="P807">
        <f t="shared" si="45"/>
        <v>0</v>
      </c>
      <c r="Q807">
        <f t="shared" si="46"/>
        <v>0</v>
      </c>
    </row>
    <row r="808" spans="1:17" x14ac:dyDescent="0.2">
      <c r="A808" t="s">
        <v>17</v>
      </c>
      <c r="B808" t="s">
        <v>760</v>
      </c>
      <c r="C808">
        <v>160</v>
      </c>
      <c r="D808">
        <v>100</v>
      </c>
      <c r="E808">
        <v>12</v>
      </c>
      <c r="F808">
        <v>1</v>
      </c>
      <c r="G808">
        <v>0</v>
      </c>
      <c r="H808">
        <v>0</v>
      </c>
      <c r="I808">
        <v>270</v>
      </c>
      <c r="J808">
        <v>13</v>
      </c>
      <c r="K808">
        <v>2</v>
      </c>
      <c r="L808">
        <v>0</v>
      </c>
      <c r="M808">
        <v>1</v>
      </c>
      <c r="O808" s="3">
        <f t="shared" si="44"/>
        <v>0.625</v>
      </c>
      <c r="P808">
        <f t="shared" si="45"/>
        <v>0</v>
      </c>
      <c r="Q808">
        <f t="shared" si="46"/>
        <v>0</v>
      </c>
    </row>
    <row r="809" spans="1:17" x14ac:dyDescent="0.2">
      <c r="A809" t="s">
        <v>17</v>
      </c>
      <c r="B809" t="s">
        <v>766</v>
      </c>
      <c r="C809">
        <v>170</v>
      </c>
      <c r="D809">
        <v>50</v>
      </c>
      <c r="E809">
        <v>6</v>
      </c>
      <c r="F809">
        <v>0</v>
      </c>
      <c r="G809">
        <v>0</v>
      </c>
      <c r="H809">
        <v>0</v>
      </c>
      <c r="I809">
        <v>210</v>
      </c>
      <c r="J809">
        <v>27</v>
      </c>
      <c r="K809" s="2">
        <v>0</v>
      </c>
      <c r="L809">
        <v>13</v>
      </c>
      <c r="M809">
        <v>1</v>
      </c>
      <c r="O809" s="3">
        <f t="shared" si="44"/>
        <v>0.58823529411764708</v>
      </c>
      <c r="P809">
        <f t="shared" si="45"/>
        <v>0</v>
      </c>
      <c r="Q809">
        <f t="shared" si="46"/>
        <v>0</v>
      </c>
    </row>
    <row r="810" spans="1:17" x14ac:dyDescent="0.2">
      <c r="A810" t="s">
        <v>17</v>
      </c>
      <c r="B810" t="s">
        <v>1064</v>
      </c>
      <c r="C810">
        <v>120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35</v>
      </c>
      <c r="J810">
        <v>30</v>
      </c>
      <c r="K810">
        <v>0</v>
      </c>
      <c r="L810">
        <v>30</v>
      </c>
      <c r="M810">
        <v>0</v>
      </c>
      <c r="O810" s="3">
        <f t="shared" si="44"/>
        <v>0</v>
      </c>
      <c r="P810">
        <f t="shared" si="45"/>
        <v>0</v>
      </c>
      <c r="Q810">
        <f t="shared" si="46"/>
        <v>0</v>
      </c>
    </row>
    <row r="811" spans="1:17" x14ac:dyDescent="0.2">
      <c r="A811" t="s">
        <v>17</v>
      </c>
      <c r="B811" t="s">
        <v>1065</v>
      </c>
      <c r="C811">
        <v>150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40</v>
      </c>
      <c r="J811">
        <v>38</v>
      </c>
      <c r="K811">
        <v>0</v>
      </c>
      <c r="L811">
        <v>38</v>
      </c>
      <c r="M811">
        <v>0</v>
      </c>
      <c r="O811" s="3">
        <f t="shared" si="44"/>
        <v>0</v>
      </c>
      <c r="P811">
        <f t="shared" si="45"/>
        <v>0</v>
      </c>
      <c r="Q811">
        <f t="shared" si="46"/>
        <v>0</v>
      </c>
    </row>
    <row r="812" spans="1:17" x14ac:dyDescent="0.2">
      <c r="A812" t="s">
        <v>17</v>
      </c>
      <c r="B812" t="s">
        <v>1066</v>
      </c>
      <c r="C812">
        <v>140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35</v>
      </c>
      <c r="J812">
        <v>35</v>
      </c>
      <c r="K812">
        <v>0</v>
      </c>
      <c r="L812">
        <v>34</v>
      </c>
      <c r="M812">
        <v>0</v>
      </c>
      <c r="O812" s="3">
        <f t="shared" si="44"/>
        <v>0</v>
      </c>
      <c r="P812">
        <f t="shared" si="45"/>
        <v>0</v>
      </c>
      <c r="Q812">
        <f t="shared" si="46"/>
        <v>0</v>
      </c>
    </row>
    <row r="813" spans="1:17" x14ac:dyDescent="0.2">
      <c r="A813" t="s">
        <v>17</v>
      </c>
      <c r="B813" t="s">
        <v>1067</v>
      </c>
      <c r="C813">
        <v>170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40</v>
      </c>
      <c r="J813">
        <v>43</v>
      </c>
      <c r="K813">
        <v>0</v>
      </c>
      <c r="L813">
        <v>42</v>
      </c>
      <c r="M813">
        <v>0</v>
      </c>
      <c r="O813" s="3">
        <f t="shared" si="44"/>
        <v>0</v>
      </c>
      <c r="P813">
        <f t="shared" si="45"/>
        <v>0</v>
      </c>
      <c r="Q813">
        <f t="shared" si="46"/>
        <v>0</v>
      </c>
    </row>
    <row r="814" spans="1:17" x14ac:dyDescent="0.2">
      <c r="A814" t="s">
        <v>17</v>
      </c>
      <c r="B814" t="s">
        <v>1072</v>
      </c>
      <c r="C814">
        <v>120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35</v>
      </c>
      <c r="J814">
        <v>30</v>
      </c>
      <c r="K814">
        <v>0</v>
      </c>
      <c r="L814">
        <v>30</v>
      </c>
      <c r="M814">
        <v>0</v>
      </c>
      <c r="O814" s="3">
        <f t="shared" si="44"/>
        <v>0</v>
      </c>
      <c r="P814">
        <f t="shared" si="45"/>
        <v>0</v>
      </c>
      <c r="Q814">
        <f t="shared" si="46"/>
        <v>0</v>
      </c>
    </row>
    <row r="815" spans="1:17" x14ac:dyDescent="0.2">
      <c r="A815" t="s">
        <v>17</v>
      </c>
      <c r="B815" t="s">
        <v>1073</v>
      </c>
      <c r="C815">
        <v>150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40</v>
      </c>
      <c r="J815">
        <v>38</v>
      </c>
      <c r="K815">
        <v>0</v>
      </c>
      <c r="L815">
        <v>38</v>
      </c>
      <c r="M815">
        <v>0</v>
      </c>
      <c r="O815" s="3">
        <f t="shared" si="44"/>
        <v>0</v>
      </c>
      <c r="P815">
        <f t="shared" si="45"/>
        <v>0</v>
      </c>
      <c r="Q815">
        <f t="shared" si="46"/>
        <v>0</v>
      </c>
    </row>
    <row r="816" spans="1:17" x14ac:dyDescent="0.2">
      <c r="A816" t="s">
        <v>17</v>
      </c>
      <c r="B816" t="s">
        <v>1074</v>
      </c>
      <c r="C816">
        <v>190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50</v>
      </c>
      <c r="J816">
        <v>49</v>
      </c>
      <c r="K816">
        <v>0</v>
      </c>
      <c r="L816">
        <v>47</v>
      </c>
      <c r="M816">
        <v>0</v>
      </c>
      <c r="O816" s="3">
        <f t="shared" si="44"/>
        <v>0</v>
      </c>
      <c r="P816">
        <f t="shared" si="45"/>
        <v>0</v>
      </c>
      <c r="Q816">
        <f t="shared" si="46"/>
        <v>0</v>
      </c>
    </row>
    <row r="817" spans="1:17" x14ac:dyDescent="0.2">
      <c r="A817" t="s">
        <v>17</v>
      </c>
      <c r="B817" t="s">
        <v>1075</v>
      </c>
      <c r="C817">
        <v>230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60</v>
      </c>
      <c r="J817">
        <v>59</v>
      </c>
      <c r="K817">
        <v>0</v>
      </c>
      <c r="L817">
        <v>57</v>
      </c>
      <c r="M817">
        <v>0</v>
      </c>
      <c r="O817" s="3">
        <f t="shared" si="44"/>
        <v>0</v>
      </c>
      <c r="P817">
        <f t="shared" si="45"/>
        <v>0</v>
      </c>
      <c r="Q817">
        <f t="shared" si="46"/>
        <v>0</v>
      </c>
    </row>
    <row r="818" spans="1:17" x14ac:dyDescent="0.2">
      <c r="A818" t="s">
        <v>17</v>
      </c>
      <c r="B818" t="s">
        <v>1076</v>
      </c>
      <c r="C818">
        <v>140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35</v>
      </c>
      <c r="J818">
        <v>35</v>
      </c>
      <c r="K818">
        <v>0</v>
      </c>
      <c r="L818">
        <v>34</v>
      </c>
      <c r="M818">
        <v>0</v>
      </c>
      <c r="O818" s="3">
        <f t="shared" si="44"/>
        <v>0</v>
      </c>
      <c r="P818">
        <f t="shared" si="45"/>
        <v>0</v>
      </c>
      <c r="Q818">
        <f t="shared" si="46"/>
        <v>0</v>
      </c>
    </row>
    <row r="819" spans="1:17" x14ac:dyDescent="0.2">
      <c r="A819" t="s">
        <v>17</v>
      </c>
      <c r="B819" t="s">
        <v>1077</v>
      </c>
      <c r="C819">
        <v>170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40</v>
      </c>
      <c r="J819">
        <v>43</v>
      </c>
      <c r="K819">
        <v>0</v>
      </c>
      <c r="L819">
        <v>42</v>
      </c>
      <c r="M819">
        <v>0</v>
      </c>
      <c r="O819" s="3">
        <f t="shared" si="44"/>
        <v>0</v>
      </c>
      <c r="P819">
        <f t="shared" si="45"/>
        <v>0</v>
      </c>
      <c r="Q819">
        <f t="shared" si="46"/>
        <v>0</v>
      </c>
    </row>
    <row r="820" spans="1:17" x14ac:dyDescent="0.2">
      <c r="A820" t="s">
        <v>17</v>
      </c>
      <c r="B820" t="s">
        <v>1078</v>
      </c>
      <c r="C820">
        <v>150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45</v>
      </c>
      <c r="J820">
        <v>41</v>
      </c>
      <c r="K820">
        <v>0</v>
      </c>
      <c r="L820">
        <v>41</v>
      </c>
      <c r="M820">
        <v>0</v>
      </c>
      <c r="O820" s="3">
        <f t="shared" si="44"/>
        <v>0</v>
      </c>
      <c r="P820">
        <f t="shared" si="45"/>
        <v>0</v>
      </c>
      <c r="Q820">
        <f t="shared" si="46"/>
        <v>0</v>
      </c>
    </row>
    <row r="821" spans="1:17" x14ac:dyDescent="0.2">
      <c r="A821" t="s">
        <v>17</v>
      </c>
      <c r="B821" t="s">
        <v>1079</v>
      </c>
      <c r="C821">
        <v>190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55</v>
      </c>
      <c r="J821">
        <v>51</v>
      </c>
      <c r="K821">
        <v>0</v>
      </c>
      <c r="L821">
        <v>51</v>
      </c>
      <c r="M821">
        <v>0</v>
      </c>
      <c r="O821" s="3">
        <f t="shared" ref="O821:O884" si="47">M821/C821*100</f>
        <v>0</v>
      </c>
      <c r="P821">
        <f t="shared" si="45"/>
        <v>0</v>
      </c>
      <c r="Q821">
        <f t="shared" si="46"/>
        <v>0</v>
      </c>
    </row>
    <row r="822" spans="1:17" x14ac:dyDescent="0.2">
      <c r="A822" t="s">
        <v>17</v>
      </c>
      <c r="B822" t="s">
        <v>1081</v>
      </c>
      <c r="C822">
        <v>150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40</v>
      </c>
      <c r="J822">
        <v>41</v>
      </c>
      <c r="K822">
        <v>0</v>
      </c>
      <c r="L822">
        <v>41</v>
      </c>
      <c r="M822">
        <v>0</v>
      </c>
      <c r="O822" s="3">
        <f t="shared" si="47"/>
        <v>0</v>
      </c>
      <c r="P822">
        <f t="shared" si="45"/>
        <v>0</v>
      </c>
      <c r="Q822">
        <f t="shared" si="46"/>
        <v>0</v>
      </c>
    </row>
    <row r="823" spans="1:17" x14ac:dyDescent="0.2">
      <c r="A823" t="s">
        <v>17</v>
      </c>
      <c r="B823" t="s">
        <v>1082</v>
      </c>
      <c r="C823">
        <v>190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55</v>
      </c>
      <c r="J823">
        <v>51</v>
      </c>
      <c r="K823">
        <v>0</v>
      </c>
      <c r="L823">
        <v>51</v>
      </c>
      <c r="M823">
        <v>0</v>
      </c>
      <c r="O823" s="3">
        <f t="shared" si="47"/>
        <v>0</v>
      </c>
      <c r="P823">
        <f t="shared" si="45"/>
        <v>0</v>
      </c>
      <c r="Q823">
        <f t="shared" si="46"/>
        <v>0</v>
      </c>
    </row>
    <row r="824" spans="1:17" x14ac:dyDescent="0.2">
      <c r="A824" t="s">
        <v>58</v>
      </c>
      <c r="B824" t="s">
        <v>59</v>
      </c>
      <c r="C824">
        <v>250</v>
      </c>
      <c r="D824" s="2">
        <v>0</v>
      </c>
      <c r="E824">
        <v>7</v>
      </c>
      <c r="F824">
        <v>3</v>
      </c>
      <c r="G824">
        <v>0.5</v>
      </c>
      <c r="H824">
        <v>50</v>
      </c>
      <c r="I824">
        <v>1170</v>
      </c>
      <c r="J824">
        <v>23</v>
      </c>
      <c r="K824">
        <v>5</v>
      </c>
      <c r="L824">
        <v>9</v>
      </c>
      <c r="M824">
        <v>23</v>
      </c>
      <c r="N824">
        <v>239</v>
      </c>
      <c r="O824" s="3">
        <f t="shared" si="47"/>
        <v>9.1999999999999993</v>
      </c>
      <c r="P824">
        <f t="shared" si="45"/>
        <v>1</v>
      </c>
      <c r="Q824">
        <f t="shared" si="46"/>
        <v>0</v>
      </c>
    </row>
    <row r="825" spans="1:17" x14ac:dyDescent="0.2">
      <c r="A825" t="s">
        <v>58</v>
      </c>
      <c r="B825" t="s">
        <v>60</v>
      </c>
      <c r="C825">
        <v>370</v>
      </c>
      <c r="D825" s="2">
        <v>0</v>
      </c>
      <c r="E825">
        <v>10</v>
      </c>
      <c r="F825">
        <v>2</v>
      </c>
      <c r="G825">
        <v>0</v>
      </c>
      <c r="H825">
        <v>90</v>
      </c>
      <c r="I825">
        <v>830</v>
      </c>
      <c r="J825">
        <v>38</v>
      </c>
      <c r="K825">
        <v>3</v>
      </c>
      <c r="L825">
        <v>8</v>
      </c>
      <c r="M825">
        <v>34</v>
      </c>
      <c r="N825">
        <v>346</v>
      </c>
      <c r="O825" s="3">
        <f t="shared" si="47"/>
        <v>9.1891891891891895</v>
      </c>
      <c r="P825">
        <f t="shared" si="45"/>
        <v>1</v>
      </c>
      <c r="Q825">
        <f t="shared" si="46"/>
        <v>0</v>
      </c>
    </row>
    <row r="826" spans="1:17" x14ac:dyDescent="0.2">
      <c r="A826" t="s">
        <v>58</v>
      </c>
      <c r="B826" t="s">
        <v>63</v>
      </c>
      <c r="C826">
        <v>460</v>
      </c>
      <c r="D826" s="2">
        <v>0</v>
      </c>
      <c r="E826">
        <v>17</v>
      </c>
      <c r="F826">
        <v>4.5</v>
      </c>
      <c r="G826">
        <v>0</v>
      </c>
      <c r="H826">
        <v>105</v>
      </c>
      <c r="I826">
        <v>1090</v>
      </c>
      <c r="J826">
        <v>41</v>
      </c>
      <c r="K826">
        <v>7</v>
      </c>
      <c r="L826">
        <v>29</v>
      </c>
      <c r="M826">
        <v>41</v>
      </c>
      <c r="N826">
        <v>453</v>
      </c>
      <c r="O826" s="3">
        <f t="shared" si="47"/>
        <v>8.9130434782608692</v>
      </c>
      <c r="P826">
        <f t="shared" si="45"/>
        <v>1</v>
      </c>
      <c r="Q826">
        <f t="shared" si="46"/>
        <v>0</v>
      </c>
    </row>
    <row r="827" spans="1:17" x14ac:dyDescent="0.2">
      <c r="A827" t="s">
        <v>58</v>
      </c>
      <c r="B827" t="s">
        <v>64</v>
      </c>
      <c r="C827">
        <v>170</v>
      </c>
      <c r="D827" s="2">
        <v>0</v>
      </c>
      <c r="E827">
        <v>5</v>
      </c>
      <c r="F827">
        <v>2</v>
      </c>
      <c r="G827">
        <v>0</v>
      </c>
      <c r="H827">
        <v>35</v>
      </c>
      <c r="I827">
        <v>780</v>
      </c>
      <c r="J827">
        <v>16</v>
      </c>
      <c r="K827">
        <v>4</v>
      </c>
      <c r="L827">
        <v>6</v>
      </c>
      <c r="M827">
        <v>15</v>
      </c>
      <c r="N827">
        <v>163</v>
      </c>
      <c r="O827" s="3">
        <f t="shared" si="47"/>
        <v>8.8235294117647065</v>
      </c>
      <c r="P827">
        <f t="shared" si="45"/>
        <v>1</v>
      </c>
      <c r="Q827">
        <f t="shared" si="46"/>
        <v>0</v>
      </c>
    </row>
    <row r="828" spans="1:17" x14ac:dyDescent="0.2">
      <c r="A828" t="s">
        <v>58</v>
      </c>
      <c r="B828" t="s">
        <v>69</v>
      </c>
      <c r="C828">
        <v>530</v>
      </c>
      <c r="D828" s="2">
        <v>0</v>
      </c>
      <c r="E828">
        <v>23</v>
      </c>
      <c r="F828">
        <v>7</v>
      </c>
      <c r="G828">
        <v>0</v>
      </c>
      <c r="H828">
        <v>120</v>
      </c>
      <c r="I828">
        <v>1220</v>
      </c>
      <c r="J828">
        <v>36</v>
      </c>
      <c r="K828">
        <v>3</v>
      </c>
      <c r="L828">
        <v>6</v>
      </c>
      <c r="M828">
        <v>43</v>
      </c>
      <c r="N828">
        <v>500</v>
      </c>
      <c r="O828" s="3">
        <f t="shared" si="47"/>
        <v>8.1132075471698109</v>
      </c>
      <c r="P828">
        <f t="shared" si="45"/>
        <v>1</v>
      </c>
      <c r="Q828">
        <f t="shared" si="46"/>
        <v>0</v>
      </c>
    </row>
    <row r="829" spans="1:17" x14ac:dyDescent="0.2">
      <c r="A829" t="s">
        <v>58</v>
      </c>
      <c r="B829" t="s">
        <v>71</v>
      </c>
      <c r="C829">
        <v>290</v>
      </c>
      <c r="D829" s="2">
        <v>0</v>
      </c>
      <c r="E829">
        <v>13</v>
      </c>
      <c r="F829">
        <v>2.5</v>
      </c>
      <c r="G829">
        <v>0</v>
      </c>
      <c r="H829">
        <v>50</v>
      </c>
      <c r="I829">
        <v>570</v>
      </c>
      <c r="J829">
        <v>23</v>
      </c>
      <c r="K829">
        <v>5</v>
      </c>
      <c r="L829">
        <v>15</v>
      </c>
      <c r="M829">
        <v>23</v>
      </c>
      <c r="N829">
        <v>285</v>
      </c>
      <c r="O829" s="3">
        <f t="shared" si="47"/>
        <v>7.931034482758621</v>
      </c>
      <c r="P829">
        <f t="shared" si="45"/>
        <v>1</v>
      </c>
      <c r="Q829">
        <f t="shared" si="46"/>
        <v>0</v>
      </c>
    </row>
    <row r="830" spans="1:17" x14ac:dyDescent="0.2">
      <c r="A830" t="s">
        <v>58</v>
      </c>
      <c r="B830" t="s">
        <v>75</v>
      </c>
      <c r="C830">
        <v>90</v>
      </c>
      <c r="D830" s="2">
        <v>0</v>
      </c>
      <c r="E830">
        <v>2</v>
      </c>
      <c r="F830">
        <v>1.5</v>
      </c>
      <c r="G830">
        <v>0</v>
      </c>
      <c r="H830">
        <v>10</v>
      </c>
      <c r="I830">
        <v>105</v>
      </c>
      <c r="J830">
        <v>10</v>
      </c>
      <c r="K830">
        <v>0</v>
      </c>
      <c r="L830">
        <v>10</v>
      </c>
      <c r="M830">
        <v>7</v>
      </c>
      <c r="N830">
        <v>95</v>
      </c>
      <c r="O830" s="3">
        <f t="shared" si="47"/>
        <v>7.7777777777777777</v>
      </c>
      <c r="P830">
        <f t="shared" si="45"/>
        <v>0</v>
      </c>
      <c r="Q830">
        <f t="shared" si="46"/>
        <v>0</v>
      </c>
    </row>
    <row r="831" spans="1:17" x14ac:dyDescent="0.2">
      <c r="A831" t="s">
        <v>58</v>
      </c>
      <c r="B831" t="s">
        <v>80</v>
      </c>
      <c r="C831">
        <v>200</v>
      </c>
      <c r="D831" s="2">
        <v>0</v>
      </c>
      <c r="E831">
        <v>10</v>
      </c>
      <c r="F831">
        <v>1.5</v>
      </c>
      <c r="G831">
        <v>0</v>
      </c>
      <c r="H831">
        <v>45</v>
      </c>
      <c r="I831">
        <v>620</v>
      </c>
      <c r="J831">
        <v>13</v>
      </c>
      <c r="K831">
        <v>0</v>
      </c>
      <c r="L831">
        <v>0</v>
      </c>
      <c r="M831">
        <v>15</v>
      </c>
      <c r="N831">
        <v>187</v>
      </c>
      <c r="O831" s="3">
        <f t="shared" si="47"/>
        <v>7.5</v>
      </c>
      <c r="P831">
        <f t="shared" si="45"/>
        <v>1</v>
      </c>
      <c r="Q831">
        <f t="shared" si="46"/>
        <v>0</v>
      </c>
    </row>
    <row r="832" spans="1:17" x14ac:dyDescent="0.2">
      <c r="A832" t="s">
        <v>58</v>
      </c>
      <c r="B832" t="s">
        <v>83</v>
      </c>
      <c r="C832">
        <v>430</v>
      </c>
      <c r="D832" s="2">
        <v>0</v>
      </c>
      <c r="E832">
        <v>21</v>
      </c>
      <c r="F832">
        <v>3.5</v>
      </c>
      <c r="G832">
        <v>0</v>
      </c>
      <c r="H832">
        <v>100</v>
      </c>
      <c r="I832">
        <v>1350</v>
      </c>
      <c r="J832">
        <v>29</v>
      </c>
      <c r="K832">
        <v>0</v>
      </c>
      <c r="L832">
        <v>1</v>
      </c>
      <c r="M832">
        <v>32</v>
      </c>
      <c r="N832">
        <v>403</v>
      </c>
      <c r="O832" s="3">
        <f t="shared" si="47"/>
        <v>7.441860465116279</v>
      </c>
      <c r="P832">
        <f t="shared" si="45"/>
        <v>1</v>
      </c>
      <c r="Q832">
        <f t="shared" si="46"/>
        <v>0</v>
      </c>
    </row>
    <row r="833" spans="1:17" x14ac:dyDescent="0.2">
      <c r="A833" t="s">
        <v>58</v>
      </c>
      <c r="B833" t="s">
        <v>84</v>
      </c>
      <c r="C833">
        <v>270</v>
      </c>
      <c r="D833" s="2">
        <v>0</v>
      </c>
      <c r="E833">
        <v>10</v>
      </c>
      <c r="F833">
        <v>3.5</v>
      </c>
      <c r="G833">
        <v>0</v>
      </c>
      <c r="H833">
        <v>55</v>
      </c>
      <c r="I833">
        <v>640</v>
      </c>
      <c r="J833">
        <v>24</v>
      </c>
      <c r="K833">
        <v>2</v>
      </c>
      <c r="L833">
        <v>3</v>
      </c>
      <c r="M833">
        <v>20</v>
      </c>
      <c r="N833">
        <v>257</v>
      </c>
      <c r="O833" s="3">
        <f t="shared" si="47"/>
        <v>7.4074074074074066</v>
      </c>
      <c r="P833">
        <f t="shared" si="45"/>
        <v>1</v>
      </c>
      <c r="Q833">
        <f t="shared" si="46"/>
        <v>0</v>
      </c>
    </row>
    <row r="834" spans="1:17" x14ac:dyDescent="0.2">
      <c r="A834" t="s">
        <v>58</v>
      </c>
      <c r="B834" t="s">
        <v>85</v>
      </c>
      <c r="C834">
        <v>270</v>
      </c>
      <c r="D834" s="2">
        <v>0</v>
      </c>
      <c r="E834">
        <v>10</v>
      </c>
      <c r="F834">
        <v>3.5</v>
      </c>
      <c r="G834">
        <v>0</v>
      </c>
      <c r="H834">
        <v>55</v>
      </c>
      <c r="I834">
        <v>640</v>
      </c>
      <c r="J834">
        <v>24</v>
      </c>
      <c r="K834">
        <v>2</v>
      </c>
      <c r="L834">
        <v>3</v>
      </c>
      <c r="M834">
        <v>20</v>
      </c>
      <c r="N834">
        <v>257</v>
      </c>
      <c r="O834" s="3">
        <f t="shared" si="47"/>
        <v>7.4074074074074066</v>
      </c>
      <c r="P834">
        <f t="shared" si="45"/>
        <v>1</v>
      </c>
      <c r="Q834">
        <f t="shared" si="46"/>
        <v>0</v>
      </c>
    </row>
    <row r="835" spans="1:17" x14ac:dyDescent="0.2">
      <c r="A835" t="s">
        <v>58</v>
      </c>
      <c r="B835" t="s">
        <v>87</v>
      </c>
      <c r="C835">
        <v>650</v>
      </c>
      <c r="D835" s="2">
        <v>0</v>
      </c>
      <c r="E835">
        <v>32</v>
      </c>
      <c r="F835">
        <v>5</v>
      </c>
      <c r="G835">
        <v>0</v>
      </c>
      <c r="H835">
        <v>150</v>
      </c>
      <c r="I835">
        <v>2020</v>
      </c>
      <c r="J835">
        <v>43</v>
      </c>
      <c r="K835">
        <v>0</v>
      </c>
      <c r="L835">
        <v>1</v>
      </c>
      <c r="M835">
        <v>48</v>
      </c>
      <c r="N835">
        <v>608</v>
      </c>
      <c r="O835" s="3">
        <f t="shared" si="47"/>
        <v>7.384615384615385</v>
      </c>
      <c r="P835">
        <f t="shared" si="45"/>
        <v>1</v>
      </c>
      <c r="Q835">
        <f t="shared" si="46"/>
        <v>0</v>
      </c>
    </row>
    <row r="836" spans="1:17" x14ac:dyDescent="0.2">
      <c r="A836" t="s">
        <v>58</v>
      </c>
      <c r="B836" t="s">
        <v>89</v>
      </c>
      <c r="C836">
        <v>330</v>
      </c>
      <c r="D836" s="2">
        <v>0</v>
      </c>
      <c r="E836">
        <v>16</v>
      </c>
      <c r="F836">
        <v>2.5</v>
      </c>
      <c r="G836">
        <v>0</v>
      </c>
      <c r="H836">
        <v>75</v>
      </c>
      <c r="I836">
        <v>1010</v>
      </c>
      <c r="J836">
        <v>22</v>
      </c>
      <c r="K836">
        <v>0</v>
      </c>
      <c r="L836">
        <v>0</v>
      </c>
      <c r="M836">
        <v>24</v>
      </c>
      <c r="N836">
        <v>309</v>
      </c>
      <c r="O836" s="3">
        <f t="shared" si="47"/>
        <v>7.2727272727272725</v>
      </c>
      <c r="P836">
        <f t="shared" si="45"/>
        <v>1</v>
      </c>
      <c r="Q836">
        <f t="shared" si="46"/>
        <v>0</v>
      </c>
    </row>
    <row r="837" spans="1:17" x14ac:dyDescent="0.2">
      <c r="A837" t="s">
        <v>58</v>
      </c>
      <c r="B837" t="s">
        <v>90</v>
      </c>
      <c r="C837">
        <v>600</v>
      </c>
      <c r="D837" s="2">
        <v>0</v>
      </c>
      <c r="E837">
        <v>41</v>
      </c>
      <c r="F837">
        <v>11</v>
      </c>
      <c r="G837">
        <v>0</v>
      </c>
      <c r="H837">
        <v>135</v>
      </c>
      <c r="I837">
        <v>1220</v>
      </c>
      <c r="J837">
        <v>18</v>
      </c>
      <c r="K837">
        <v>7</v>
      </c>
      <c r="L837">
        <v>7</v>
      </c>
      <c r="M837">
        <v>42</v>
      </c>
      <c r="N837">
        <v>576</v>
      </c>
      <c r="O837" s="3">
        <f t="shared" si="47"/>
        <v>7.0000000000000009</v>
      </c>
      <c r="P837">
        <f t="shared" si="45"/>
        <v>1</v>
      </c>
      <c r="Q837">
        <f t="shared" si="46"/>
        <v>0</v>
      </c>
    </row>
    <row r="838" spans="1:17" x14ac:dyDescent="0.2">
      <c r="A838" t="s">
        <v>58</v>
      </c>
      <c r="B838" t="s">
        <v>91</v>
      </c>
      <c r="C838">
        <v>300</v>
      </c>
      <c r="D838" s="2">
        <v>0</v>
      </c>
      <c r="E838">
        <v>20</v>
      </c>
      <c r="F838">
        <v>6</v>
      </c>
      <c r="G838">
        <v>0</v>
      </c>
      <c r="H838">
        <v>70</v>
      </c>
      <c r="I838">
        <v>620</v>
      </c>
      <c r="J838">
        <v>10</v>
      </c>
      <c r="K838">
        <v>4</v>
      </c>
      <c r="L838">
        <v>4</v>
      </c>
      <c r="M838">
        <v>21</v>
      </c>
      <c r="N838">
        <v>289</v>
      </c>
      <c r="O838" s="3">
        <f t="shared" si="47"/>
        <v>7.0000000000000009</v>
      </c>
      <c r="P838">
        <f t="shared" si="45"/>
        <v>1</v>
      </c>
      <c r="Q838">
        <f t="shared" si="46"/>
        <v>0</v>
      </c>
    </row>
    <row r="839" spans="1:17" x14ac:dyDescent="0.2">
      <c r="A839" t="s">
        <v>58</v>
      </c>
      <c r="B839" t="s">
        <v>96</v>
      </c>
      <c r="C839">
        <v>560</v>
      </c>
      <c r="D839" s="2">
        <v>0</v>
      </c>
      <c r="E839">
        <v>24</v>
      </c>
      <c r="F839">
        <v>7</v>
      </c>
      <c r="G839">
        <v>0</v>
      </c>
      <c r="H839">
        <v>115</v>
      </c>
      <c r="I839">
        <v>1020</v>
      </c>
      <c r="J839">
        <v>52</v>
      </c>
      <c r="K839">
        <v>7</v>
      </c>
      <c r="L839">
        <v>40</v>
      </c>
      <c r="M839">
        <v>38</v>
      </c>
      <c r="N839">
        <v>569</v>
      </c>
      <c r="O839" s="3">
        <f t="shared" si="47"/>
        <v>6.7857142857142856</v>
      </c>
      <c r="P839">
        <f t="shared" si="45"/>
        <v>1</v>
      </c>
      <c r="Q839">
        <f t="shared" si="46"/>
        <v>0</v>
      </c>
    </row>
    <row r="840" spans="1:17" x14ac:dyDescent="0.2">
      <c r="A840" t="s">
        <v>58</v>
      </c>
      <c r="B840" t="s">
        <v>104</v>
      </c>
      <c r="C840">
        <v>1090</v>
      </c>
      <c r="D840" s="2">
        <v>0</v>
      </c>
      <c r="E840">
        <v>72</v>
      </c>
      <c r="F840">
        <v>30</v>
      </c>
      <c r="G840">
        <v>4</v>
      </c>
      <c r="H840">
        <v>260</v>
      </c>
      <c r="I840">
        <v>1650</v>
      </c>
      <c r="J840">
        <v>43</v>
      </c>
      <c r="K840">
        <v>3</v>
      </c>
      <c r="L840">
        <v>9</v>
      </c>
      <c r="M840">
        <v>71</v>
      </c>
      <c r="N840">
        <v>1058</v>
      </c>
      <c r="O840" s="3">
        <f t="shared" si="47"/>
        <v>6.5137614678899087</v>
      </c>
      <c r="P840">
        <f t="shared" si="45"/>
        <v>1</v>
      </c>
      <c r="Q840">
        <f t="shared" si="46"/>
        <v>0</v>
      </c>
    </row>
    <row r="841" spans="1:17" x14ac:dyDescent="0.2">
      <c r="A841" t="s">
        <v>58</v>
      </c>
      <c r="B841" t="s">
        <v>107</v>
      </c>
      <c r="C841">
        <v>390</v>
      </c>
      <c r="D841" s="2">
        <v>0</v>
      </c>
      <c r="E841">
        <v>21</v>
      </c>
      <c r="F841">
        <v>9</v>
      </c>
      <c r="G841">
        <v>1.5</v>
      </c>
      <c r="H841">
        <v>90</v>
      </c>
      <c r="I841">
        <v>740</v>
      </c>
      <c r="J841">
        <v>26</v>
      </c>
      <c r="K841">
        <v>1</v>
      </c>
      <c r="L841">
        <v>6</v>
      </c>
      <c r="M841">
        <v>25</v>
      </c>
      <c r="N841">
        <v>380</v>
      </c>
      <c r="O841" s="3">
        <f t="shared" si="47"/>
        <v>6.4102564102564097</v>
      </c>
      <c r="P841">
        <f t="shared" si="45"/>
        <v>1</v>
      </c>
      <c r="Q841">
        <f t="shared" si="46"/>
        <v>0</v>
      </c>
    </row>
    <row r="842" spans="1:17" x14ac:dyDescent="0.2">
      <c r="A842" t="s">
        <v>58</v>
      </c>
      <c r="B842" t="s">
        <v>111</v>
      </c>
      <c r="C842">
        <v>950</v>
      </c>
      <c r="D842" s="2">
        <v>0</v>
      </c>
      <c r="E842">
        <v>62</v>
      </c>
      <c r="F842">
        <v>24</v>
      </c>
      <c r="G842">
        <v>3</v>
      </c>
      <c r="H842">
        <v>205</v>
      </c>
      <c r="I842">
        <v>1630</v>
      </c>
      <c r="J842">
        <v>40</v>
      </c>
      <c r="K842">
        <v>2</v>
      </c>
      <c r="L842">
        <v>8</v>
      </c>
      <c r="M842">
        <v>59</v>
      </c>
      <c r="N842">
        <v>923</v>
      </c>
      <c r="O842" s="3">
        <f t="shared" si="47"/>
        <v>6.2105263157894743</v>
      </c>
      <c r="P842">
        <f t="shared" si="45"/>
        <v>1</v>
      </c>
      <c r="Q842">
        <f t="shared" si="46"/>
        <v>0</v>
      </c>
    </row>
    <row r="843" spans="1:17" x14ac:dyDescent="0.2">
      <c r="A843" t="s">
        <v>58</v>
      </c>
      <c r="B843" t="s">
        <v>112</v>
      </c>
      <c r="C843">
        <v>810</v>
      </c>
      <c r="D843" s="2">
        <v>0</v>
      </c>
      <c r="E843">
        <v>51</v>
      </c>
      <c r="F843">
        <v>20</v>
      </c>
      <c r="G843">
        <v>3</v>
      </c>
      <c r="H843">
        <v>175</v>
      </c>
      <c r="I843">
        <v>1280</v>
      </c>
      <c r="J843">
        <v>41</v>
      </c>
      <c r="K843">
        <v>3</v>
      </c>
      <c r="L843">
        <v>8</v>
      </c>
      <c r="M843">
        <v>49</v>
      </c>
      <c r="N843">
        <v>789</v>
      </c>
      <c r="O843" s="3">
        <f t="shared" si="47"/>
        <v>6.0493827160493829</v>
      </c>
      <c r="P843">
        <f t="shared" si="45"/>
        <v>1</v>
      </c>
      <c r="Q843">
        <f t="shared" si="46"/>
        <v>0</v>
      </c>
    </row>
    <row r="844" spans="1:17" x14ac:dyDescent="0.2">
      <c r="A844" t="s">
        <v>58</v>
      </c>
      <c r="B844" t="s">
        <v>121</v>
      </c>
      <c r="C844">
        <v>340</v>
      </c>
      <c r="D844" s="2">
        <v>0</v>
      </c>
      <c r="E844">
        <v>17</v>
      </c>
      <c r="F844">
        <v>4</v>
      </c>
      <c r="G844">
        <v>0</v>
      </c>
      <c r="H844">
        <v>55</v>
      </c>
      <c r="I844">
        <v>550</v>
      </c>
      <c r="J844">
        <v>29</v>
      </c>
      <c r="K844">
        <v>4</v>
      </c>
      <c r="L844">
        <v>22</v>
      </c>
      <c r="M844">
        <v>20</v>
      </c>
      <c r="N844">
        <v>346</v>
      </c>
      <c r="O844" s="3">
        <f t="shared" si="47"/>
        <v>5.8823529411764701</v>
      </c>
      <c r="P844">
        <f t="shared" si="45"/>
        <v>1</v>
      </c>
      <c r="Q844">
        <f t="shared" si="46"/>
        <v>0</v>
      </c>
    </row>
    <row r="845" spans="1:17" x14ac:dyDescent="0.2">
      <c r="A845" t="s">
        <v>58</v>
      </c>
      <c r="B845" t="s">
        <v>124</v>
      </c>
      <c r="C845">
        <v>720</v>
      </c>
      <c r="D845" s="2">
        <v>0</v>
      </c>
      <c r="E845">
        <v>42</v>
      </c>
      <c r="F845">
        <v>12</v>
      </c>
      <c r="G845">
        <v>1</v>
      </c>
      <c r="H845">
        <v>150</v>
      </c>
      <c r="I845">
        <v>1680</v>
      </c>
      <c r="J845">
        <v>44</v>
      </c>
      <c r="K845">
        <v>8</v>
      </c>
      <c r="L845">
        <v>6</v>
      </c>
      <c r="M845">
        <v>42</v>
      </c>
      <c r="N845">
        <v>696</v>
      </c>
      <c r="O845" s="3">
        <f t="shared" si="47"/>
        <v>5.833333333333333</v>
      </c>
      <c r="P845">
        <f t="shared" si="45"/>
        <v>1</v>
      </c>
      <c r="Q845">
        <f t="shared" si="46"/>
        <v>0</v>
      </c>
    </row>
    <row r="846" spans="1:17" x14ac:dyDescent="0.2">
      <c r="A846" t="s">
        <v>58</v>
      </c>
      <c r="B846" t="s">
        <v>130</v>
      </c>
      <c r="C846">
        <v>660</v>
      </c>
      <c r="D846" s="2">
        <v>0</v>
      </c>
      <c r="E846">
        <v>34</v>
      </c>
      <c r="F846">
        <v>9</v>
      </c>
      <c r="G846">
        <v>0</v>
      </c>
      <c r="H846">
        <v>100</v>
      </c>
      <c r="I846">
        <v>1650</v>
      </c>
      <c r="J846">
        <v>52</v>
      </c>
      <c r="K846">
        <v>3</v>
      </c>
      <c r="L846">
        <v>7</v>
      </c>
      <c r="M846">
        <v>38</v>
      </c>
      <c r="N846">
        <v>638</v>
      </c>
      <c r="O846" s="3">
        <f t="shared" si="47"/>
        <v>5.7575757575757578</v>
      </c>
      <c r="P846">
        <f t="shared" si="45"/>
        <v>1</v>
      </c>
      <c r="Q846">
        <f t="shared" si="46"/>
        <v>0</v>
      </c>
    </row>
    <row r="847" spans="1:17" x14ac:dyDescent="0.2">
      <c r="A847" t="s">
        <v>58</v>
      </c>
      <c r="B847" t="s">
        <v>135</v>
      </c>
      <c r="C847">
        <v>280</v>
      </c>
      <c r="D847" s="2">
        <v>0</v>
      </c>
      <c r="E847">
        <v>13</v>
      </c>
      <c r="F847">
        <v>6</v>
      </c>
      <c r="G847">
        <v>1</v>
      </c>
      <c r="H847">
        <v>50</v>
      </c>
      <c r="I847">
        <v>660</v>
      </c>
      <c r="J847">
        <v>26</v>
      </c>
      <c r="K847">
        <v>1</v>
      </c>
      <c r="L847">
        <v>6</v>
      </c>
      <c r="M847">
        <v>16</v>
      </c>
      <c r="N847">
        <v>276</v>
      </c>
      <c r="O847" s="3">
        <f t="shared" si="47"/>
        <v>5.7142857142857144</v>
      </c>
      <c r="P847">
        <f t="shared" si="45"/>
        <v>1</v>
      </c>
      <c r="Q847">
        <f t="shared" si="46"/>
        <v>0</v>
      </c>
    </row>
    <row r="848" spans="1:17" x14ac:dyDescent="0.2">
      <c r="A848" t="s">
        <v>58</v>
      </c>
      <c r="B848" t="s">
        <v>138</v>
      </c>
      <c r="C848">
        <v>510</v>
      </c>
      <c r="D848" s="2">
        <v>0</v>
      </c>
      <c r="E848">
        <v>20</v>
      </c>
      <c r="F848">
        <v>3.5</v>
      </c>
      <c r="G848">
        <v>0</v>
      </c>
      <c r="H848">
        <v>65</v>
      </c>
      <c r="I848">
        <v>1030</v>
      </c>
      <c r="J848">
        <v>54</v>
      </c>
      <c r="K848">
        <v>4</v>
      </c>
      <c r="L848">
        <v>6</v>
      </c>
      <c r="M848">
        <v>29</v>
      </c>
      <c r="N848">
        <v>491</v>
      </c>
      <c r="O848" s="3">
        <f t="shared" si="47"/>
        <v>5.6862745098039218</v>
      </c>
      <c r="P848">
        <f t="shared" si="45"/>
        <v>1</v>
      </c>
      <c r="Q848">
        <f t="shared" si="46"/>
        <v>0</v>
      </c>
    </row>
    <row r="849" spans="1:17" x14ac:dyDescent="0.2">
      <c r="A849" t="s">
        <v>58</v>
      </c>
      <c r="B849" t="s">
        <v>140</v>
      </c>
      <c r="C849">
        <v>670</v>
      </c>
      <c r="D849" s="2">
        <v>0</v>
      </c>
      <c r="E849">
        <v>32</v>
      </c>
      <c r="F849">
        <v>9</v>
      </c>
      <c r="G849">
        <v>0</v>
      </c>
      <c r="H849">
        <v>100</v>
      </c>
      <c r="I849">
        <v>1530</v>
      </c>
      <c r="J849">
        <v>55</v>
      </c>
      <c r="K849">
        <v>4</v>
      </c>
      <c r="L849">
        <v>6</v>
      </c>
      <c r="M849">
        <v>38</v>
      </c>
      <c r="N849">
        <v>647</v>
      </c>
      <c r="O849" s="3">
        <f t="shared" si="47"/>
        <v>5.6716417910447765</v>
      </c>
      <c r="P849">
        <f t="shared" si="45"/>
        <v>1</v>
      </c>
      <c r="Q849">
        <f t="shared" si="46"/>
        <v>0</v>
      </c>
    </row>
    <row r="850" spans="1:17" x14ac:dyDescent="0.2">
      <c r="A850" t="s">
        <v>58</v>
      </c>
      <c r="B850" t="s">
        <v>144</v>
      </c>
      <c r="C850">
        <v>320</v>
      </c>
      <c r="D850" s="2">
        <v>0</v>
      </c>
      <c r="E850">
        <v>17</v>
      </c>
      <c r="F850">
        <v>8</v>
      </c>
      <c r="G850">
        <v>0</v>
      </c>
      <c r="H850">
        <v>245</v>
      </c>
      <c r="I850">
        <v>750</v>
      </c>
      <c r="J850">
        <v>25</v>
      </c>
      <c r="K850">
        <v>1</v>
      </c>
      <c r="L850">
        <v>4</v>
      </c>
      <c r="M850">
        <v>18</v>
      </c>
      <c r="N850">
        <v>314</v>
      </c>
      <c r="O850" s="3">
        <f t="shared" si="47"/>
        <v>5.625</v>
      </c>
      <c r="P850">
        <f t="shared" si="45"/>
        <v>1</v>
      </c>
      <c r="Q850">
        <f t="shared" si="46"/>
        <v>0</v>
      </c>
    </row>
    <row r="851" spans="1:17" x14ac:dyDescent="0.2">
      <c r="A851" t="s">
        <v>58</v>
      </c>
      <c r="B851" t="s">
        <v>145</v>
      </c>
      <c r="C851">
        <v>410</v>
      </c>
      <c r="D851" s="2">
        <v>0</v>
      </c>
      <c r="E851">
        <v>23</v>
      </c>
      <c r="F851">
        <v>6</v>
      </c>
      <c r="G851">
        <v>0.5</v>
      </c>
      <c r="H851">
        <v>75</v>
      </c>
      <c r="I851">
        <v>930</v>
      </c>
      <c r="J851">
        <v>30</v>
      </c>
      <c r="K851">
        <v>5</v>
      </c>
      <c r="L851">
        <v>4</v>
      </c>
      <c r="M851">
        <v>23</v>
      </c>
      <c r="N851">
        <v>397</v>
      </c>
      <c r="O851" s="3">
        <f t="shared" si="47"/>
        <v>5.6097560975609762</v>
      </c>
      <c r="P851">
        <f t="shared" si="45"/>
        <v>1</v>
      </c>
      <c r="Q851">
        <f t="shared" si="46"/>
        <v>0</v>
      </c>
    </row>
    <row r="852" spans="1:17" x14ac:dyDescent="0.2">
      <c r="A852" t="s">
        <v>58</v>
      </c>
      <c r="B852" t="s">
        <v>152</v>
      </c>
      <c r="C852">
        <v>510</v>
      </c>
      <c r="D852" s="2">
        <v>0</v>
      </c>
      <c r="E852">
        <v>22</v>
      </c>
      <c r="F852">
        <v>4</v>
      </c>
      <c r="G852">
        <v>0</v>
      </c>
      <c r="H852">
        <v>70</v>
      </c>
      <c r="I852">
        <v>1150</v>
      </c>
      <c r="J852">
        <v>51</v>
      </c>
      <c r="K852">
        <v>3</v>
      </c>
      <c r="L852">
        <v>6</v>
      </c>
      <c r="M852">
        <v>28</v>
      </c>
      <c r="N852">
        <v>492</v>
      </c>
      <c r="O852" s="3">
        <f t="shared" si="47"/>
        <v>5.4901960784313726</v>
      </c>
      <c r="P852">
        <f t="shared" si="45"/>
        <v>1</v>
      </c>
      <c r="Q852">
        <f t="shared" si="46"/>
        <v>0</v>
      </c>
    </row>
    <row r="853" spans="1:17" x14ac:dyDescent="0.2">
      <c r="A853" t="s">
        <v>58</v>
      </c>
      <c r="B853" t="s">
        <v>155</v>
      </c>
      <c r="C853">
        <v>240</v>
      </c>
      <c r="D853" s="2">
        <v>0</v>
      </c>
      <c r="E853">
        <v>9</v>
      </c>
      <c r="F853">
        <v>3.5</v>
      </c>
      <c r="G853">
        <v>0.5</v>
      </c>
      <c r="H853">
        <v>40</v>
      </c>
      <c r="I853">
        <v>350</v>
      </c>
      <c r="J853">
        <v>24</v>
      </c>
      <c r="K853">
        <v>1</v>
      </c>
      <c r="L853">
        <v>5</v>
      </c>
      <c r="M853">
        <v>13</v>
      </c>
      <c r="N853">
        <v>236</v>
      </c>
      <c r="O853" s="3">
        <f t="shared" si="47"/>
        <v>5.416666666666667</v>
      </c>
      <c r="P853">
        <f t="shared" si="45"/>
        <v>0</v>
      </c>
      <c r="Q853">
        <f t="shared" si="46"/>
        <v>0</v>
      </c>
    </row>
    <row r="854" spans="1:17" x14ac:dyDescent="0.2">
      <c r="A854" t="s">
        <v>58</v>
      </c>
      <c r="B854" t="s">
        <v>156</v>
      </c>
      <c r="C854">
        <v>630</v>
      </c>
      <c r="D854" s="2">
        <v>0</v>
      </c>
      <c r="E854">
        <v>39</v>
      </c>
      <c r="F854">
        <v>15</v>
      </c>
      <c r="G854">
        <v>1.5</v>
      </c>
      <c r="H854">
        <v>125</v>
      </c>
      <c r="I854">
        <v>1280</v>
      </c>
      <c r="J854">
        <v>37</v>
      </c>
      <c r="K854">
        <v>2</v>
      </c>
      <c r="L854">
        <v>7</v>
      </c>
      <c r="M854">
        <v>34</v>
      </c>
      <c r="N854">
        <v>618</v>
      </c>
      <c r="O854" s="3">
        <f t="shared" si="47"/>
        <v>5.3968253968253972</v>
      </c>
      <c r="P854">
        <f t="shared" si="45"/>
        <v>1</v>
      </c>
      <c r="Q854">
        <f t="shared" si="46"/>
        <v>0</v>
      </c>
    </row>
    <row r="855" spans="1:17" x14ac:dyDescent="0.2">
      <c r="A855" t="s">
        <v>58</v>
      </c>
      <c r="B855" t="s">
        <v>163</v>
      </c>
      <c r="C855">
        <v>280</v>
      </c>
      <c r="D855" s="2">
        <v>0</v>
      </c>
      <c r="E855">
        <v>13</v>
      </c>
      <c r="F855">
        <v>6</v>
      </c>
      <c r="G855">
        <v>0.5</v>
      </c>
      <c r="H855">
        <v>50</v>
      </c>
      <c r="I855">
        <v>540</v>
      </c>
      <c r="J855">
        <v>25</v>
      </c>
      <c r="K855">
        <v>1</v>
      </c>
      <c r="L855">
        <v>5</v>
      </c>
      <c r="M855">
        <v>15</v>
      </c>
      <c r="N855">
        <v>276</v>
      </c>
      <c r="O855" s="3">
        <f t="shared" si="47"/>
        <v>5.3571428571428568</v>
      </c>
      <c r="P855">
        <f t="shared" si="45"/>
        <v>1</v>
      </c>
      <c r="Q855">
        <f t="shared" si="46"/>
        <v>0</v>
      </c>
    </row>
    <row r="856" spans="1:17" x14ac:dyDescent="0.2">
      <c r="A856" t="s">
        <v>58</v>
      </c>
      <c r="B856" t="s">
        <v>175</v>
      </c>
      <c r="C856">
        <v>170</v>
      </c>
      <c r="D856" s="2">
        <v>0</v>
      </c>
      <c r="E856">
        <v>11</v>
      </c>
      <c r="F856">
        <v>2</v>
      </c>
      <c r="G856">
        <v>0</v>
      </c>
      <c r="H856">
        <v>35</v>
      </c>
      <c r="I856">
        <v>340</v>
      </c>
      <c r="J856">
        <v>10</v>
      </c>
      <c r="K856">
        <v>0</v>
      </c>
      <c r="L856">
        <v>0</v>
      </c>
      <c r="M856">
        <v>9</v>
      </c>
      <c r="N856">
        <v>163</v>
      </c>
      <c r="O856" s="3">
        <f t="shared" si="47"/>
        <v>5.2941176470588234</v>
      </c>
      <c r="P856">
        <f t="shared" si="45"/>
        <v>0</v>
      </c>
      <c r="Q856">
        <f t="shared" si="46"/>
        <v>0</v>
      </c>
    </row>
    <row r="857" spans="1:17" x14ac:dyDescent="0.2">
      <c r="A857" t="s">
        <v>58</v>
      </c>
      <c r="B857" t="s">
        <v>176</v>
      </c>
      <c r="C857">
        <v>170</v>
      </c>
      <c r="D857" s="2">
        <v>0</v>
      </c>
      <c r="E857">
        <v>11</v>
      </c>
      <c r="F857">
        <v>2</v>
      </c>
      <c r="G857">
        <v>0</v>
      </c>
      <c r="H857">
        <v>35</v>
      </c>
      <c r="I857">
        <v>340</v>
      </c>
      <c r="J857">
        <v>10</v>
      </c>
      <c r="K857">
        <v>0</v>
      </c>
      <c r="L857">
        <v>0</v>
      </c>
      <c r="M857">
        <v>9</v>
      </c>
      <c r="N857">
        <v>163</v>
      </c>
      <c r="O857" s="3">
        <f t="shared" si="47"/>
        <v>5.2941176470588234</v>
      </c>
      <c r="P857">
        <f t="shared" si="45"/>
        <v>0</v>
      </c>
      <c r="Q857">
        <f t="shared" si="46"/>
        <v>0</v>
      </c>
    </row>
    <row r="858" spans="1:17" x14ac:dyDescent="0.2">
      <c r="A858" t="s">
        <v>58</v>
      </c>
      <c r="B858" t="s">
        <v>179</v>
      </c>
      <c r="C858">
        <v>570</v>
      </c>
      <c r="D858" s="2">
        <v>0</v>
      </c>
      <c r="E858">
        <v>34</v>
      </c>
      <c r="F858">
        <v>13</v>
      </c>
      <c r="G858">
        <v>1.5</v>
      </c>
      <c r="H858">
        <v>100</v>
      </c>
      <c r="I858">
        <v>1110</v>
      </c>
      <c r="J858">
        <v>40</v>
      </c>
      <c r="K858">
        <v>3</v>
      </c>
      <c r="L858">
        <v>9</v>
      </c>
      <c r="M858">
        <v>30</v>
      </c>
      <c r="N858">
        <v>562</v>
      </c>
      <c r="O858" s="3">
        <f t="shared" si="47"/>
        <v>5.2631578947368416</v>
      </c>
      <c r="P858">
        <f t="shared" si="45"/>
        <v>1</v>
      </c>
      <c r="Q858">
        <f t="shared" si="46"/>
        <v>0</v>
      </c>
    </row>
    <row r="859" spans="1:17" x14ac:dyDescent="0.2">
      <c r="A859" t="s">
        <v>58</v>
      </c>
      <c r="B859" t="s">
        <v>182</v>
      </c>
      <c r="C859">
        <v>420</v>
      </c>
      <c r="D859" s="2">
        <v>0</v>
      </c>
      <c r="E859">
        <v>27</v>
      </c>
      <c r="F859">
        <v>5</v>
      </c>
      <c r="G859">
        <v>0</v>
      </c>
      <c r="H859">
        <v>80</v>
      </c>
      <c r="I859">
        <v>850</v>
      </c>
      <c r="J859">
        <v>24</v>
      </c>
      <c r="K859">
        <v>1</v>
      </c>
      <c r="L859">
        <v>0</v>
      </c>
      <c r="M859">
        <v>22</v>
      </c>
      <c r="N859">
        <v>403</v>
      </c>
      <c r="O859" s="3">
        <f t="shared" si="47"/>
        <v>5.2380952380952381</v>
      </c>
      <c r="P859">
        <f t="shared" si="45"/>
        <v>1</v>
      </c>
      <c r="Q859">
        <f t="shared" si="46"/>
        <v>0</v>
      </c>
    </row>
    <row r="860" spans="1:17" x14ac:dyDescent="0.2">
      <c r="A860" t="s">
        <v>58</v>
      </c>
      <c r="B860" t="s">
        <v>186</v>
      </c>
      <c r="C860">
        <v>250</v>
      </c>
      <c r="D860" s="2">
        <v>0</v>
      </c>
      <c r="E860">
        <v>16</v>
      </c>
      <c r="F860">
        <v>3.5</v>
      </c>
      <c r="G860">
        <v>0</v>
      </c>
      <c r="H860">
        <v>50</v>
      </c>
      <c r="I860">
        <v>510</v>
      </c>
      <c r="J860">
        <v>14</v>
      </c>
      <c r="K860">
        <v>1</v>
      </c>
      <c r="L860">
        <v>0</v>
      </c>
      <c r="M860">
        <v>13</v>
      </c>
      <c r="N860">
        <v>241</v>
      </c>
      <c r="O860" s="3">
        <f t="shared" si="47"/>
        <v>5.2</v>
      </c>
      <c r="P860">
        <f t="shared" si="45"/>
        <v>1</v>
      </c>
      <c r="Q860">
        <f t="shared" si="46"/>
        <v>0</v>
      </c>
    </row>
    <row r="861" spans="1:17" x14ac:dyDescent="0.2">
      <c r="A861" t="s">
        <v>58</v>
      </c>
      <c r="B861" t="s">
        <v>208</v>
      </c>
      <c r="C861">
        <v>380</v>
      </c>
      <c r="D861" s="2">
        <v>0</v>
      </c>
      <c r="E861">
        <v>22</v>
      </c>
      <c r="F861">
        <v>8</v>
      </c>
      <c r="G861">
        <v>1</v>
      </c>
      <c r="H861">
        <v>65</v>
      </c>
      <c r="I861">
        <v>680</v>
      </c>
      <c r="J861">
        <v>25</v>
      </c>
      <c r="K861">
        <v>1</v>
      </c>
      <c r="L861">
        <v>5</v>
      </c>
      <c r="M861">
        <v>19</v>
      </c>
      <c r="N861">
        <v>374</v>
      </c>
      <c r="O861" s="3">
        <f t="shared" si="47"/>
        <v>5</v>
      </c>
      <c r="P861">
        <f t="shared" si="45"/>
        <v>1</v>
      </c>
      <c r="Q861">
        <f t="shared" si="46"/>
        <v>0</v>
      </c>
    </row>
    <row r="862" spans="1:17" x14ac:dyDescent="0.2">
      <c r="A862" t="s">
        <v>58</v>
      </c>
      <c r="B862" t="s">
        <v>220</v>
      </c>
      <c r="C862">
        <v>370</v>
      </c>
      <c r="D862" s="2">
        <v>0</v>
      </c>
      <c r="E862">
        <v>20</v>
      </c>
      <c r="F862">
        <v>5</v>
      </c>
      <c r="G862">
        <v>0</v>
      </c>
      <c r="H862">
        <v>50</v>
      </c>
      <c r="I862">
        <v>850</v>
      </c>
      <c r="J862">
        <v>30</v>
      </c>
      <c r="K862">
        <v>2</v>
      </c>
      <c r="L862">
        <v>2</v>
      </c>
      <c r="M862">
        <v>18</v>
      </c>
      <c r="N862">
        <v>359</v>
      </c>
      <c r="O862" s="3">
        <f t="shared" si="47"/>
        <v>4.8648648648648649</v>
      </c>
      <c r="P862">
        <f t="shared" si="45"/>
        <v>1</v>
      </c>
      <c r="Q862">
        <f t="shared" si="46"/>
        <v>0</v>
      </c>
    </row>
    <row r="863" spans="1:17" x14ac:dyDescent="0.2">
      <c r="A863" t="s">
        <v>58</v>
      </c>
      <c r="B863" t="s">
        <v>223</v>
      </c>
      <c r="C863">
        <v>660</v>
      </c>
      <c r="D863" s="2">
        <v>0</v>
      </c>
      <c r="E863">
        <v>32</v>
      </c>
      <c r="F863">
        <v>13</v>
      </c>
      <c r="G863">
        <v>1</v>
      </c>
      <c r="H863">
        <v>85</v>
      </c>
      <c r="I863">
        <v>1820</v>
      </c>
      <c r="J863">
        <v>63</v>
      </c>
      <c r="K863">
        <v>10</v>
      </c>
      <c r="L863">
        <v>18</v>
      </c>
      <c r="M863">
        <v>32</v>
      </c>
      <c r="N863">
        <v>659</v>
      </c>
      <c r="O863" s="3">
        <f t="shared" si="47"/>
        <v>4.8484848484848486</v>
      </c>
      <c r="P863">
        <f t="shared" si="45"/>
        <v>1</v>
      </c>
      <c r="Q863">
        <f t="shared" si="46"/>
        <v>0</v>
      </c>
    </row>
    <row r="864" spans="1:17" x14ac:dyDescent="0.2">
      <c r="A864" t="s">
        <v>58</v>
      </c>
      <c r="B864" t="s">
        <v>233</v>
      </c>
      <c r="C864">
        <v>420</v>
      </c>
      <c r="D864" s="2">
        <v>0</v>
      </c>
      <c r="E864">
        <v>23</v>
      </c>
      <c r="F864">
        <v>6</v>
      </c>
      <c r="G864">
        <v>0</v>
      </c>
      <c r="H864">
        <v>50</v>
      </c>
      <c r="I864">
        <v>950</v>
      </c>
      <c r="J864">
        <v>35</v>
      </c>
      <c r="K864">
        <v>2</v>
      </c>
      <c r="L864">
        <v>5</v>
      </c>
      <c r="M864">
        <v>20</v>
      </c>
      <c r="N864">
        <v>411</v>
      </c>
      <c r="O864" s="3">
        <f t="shared" si="47"/>
        <v>4.7619047619047619</v>
      </c>
      <c r="P864">
        <f t="shared" ref="P864:P927" si="48">IF(I864&gt;2300*0.2,1,0)</f>
        <v>1</v>
      </c>
      <c r="Q864">
        <f t="shared" ref="Q864:Q927" si="49">IF(H864&gt;300,1,0)</f>
        <v>0</v>
      </c>
    </row>
    <row r="865" spans="1:17" x14ac:dyDescent="0.2">
      <c r="A865" t="s">
        <v>58</v>
      </c>
      <c r="B865" t="s">
        <v>238</v>
      </c>
      <c r="C865">
        <v>360</v>
      </c>
      <c r="D865" s="2">
        <v>0</v>
      </c>
      <c r="E865">
        <v>20</v>
      </c>
      <c r="F865">
        <v>8</v>
      </c>
      <c r="G865">
        <v>0</v>
      </c>
      <c r="H865">
        <v>210</v>
      </c>
      <c r="I865">
        <v>920</v>
      </c>
      <c r="J865">
        <v>29</v>
      </c>
      <c r="K865">
        <v>1</v>
      </c>
      <c r="L865">
        <v>2</v>
      </c>
      <c r="M865">
        <v>17</v>
      </c>
      <c r="N865">
        <v>353</v>
      </c>
      <c r="O865" s="3">
        <f t="shared" si="47"/>
        <v>4.7222222222222223</v>
      </c>
      <c r="P865">
        <f t="shared" si="48"/>
        <v>1</v>
      </c>
      <c r="Q865">
        <f t="shared" si="49"/>
        <v>0</v>
      </c>
    </row>
    <row r="866" spans="1:17" x14ac:dyDescent="0.2">
      <c r="A866" t="s">
        <v>58</v>
      </c>
      <c r="B866" t="s">
        <v>239</v>
      </c>
      <c r="C866">
        <v>720</v>
      </c>
      <c r="D866" s="2">
        <v>0</v>
      </c>
      <c r="E866">
        <v>41</v>
      </c>
      <c r="F866">
        <v>16</v>
      </c>
      <c r="G866">
        <v>0</v>
      </c>
      <c r="H866">
        <v>420</v>
      </c>
      <c r="I866">
        <v>1830</v>
      </c>
      <c r="J866">
        <v>59</v>
      </c>
      <c r="K866">
        <v>2</v>
      </c>
      <c r="L866">
        <v>5</v>
      </c>
      <c r="M866">
        <v>34</v>
      </c>
      <c r="N866">
        <v>707</v>
      </c>
      <c r="O866" s="3">
        <f t="shared" si="47"/>
        <v>4.7222222222222223</v>
      </c>
      <c r="P866">
        <f t="shared" si="48"/>
        <v>1</v>
      </c>
      <c r="Q866">
        <f t="shared" si="49"/>
        <v>1</v>
      </c>
    </row>
    <row r="867" spans="1:17" x14ac:dyDescent="0.2">
      <c r="A867" t="s">
        <v>58</v>
      </c>
      <c r="B867" t="s">
        <v>242</v>
      </c>
      <c r="C867">
        <v>340</v>
      </c>
      <c r="D867" s="2">
        <v>0</v>
      </c>
      <c r="E867">
        <v>19</v>
      </c>
      <c r="F867">
        <v>7</v>
      </c>
      <c r="G867">
        <v>1</v>
      </c>
      <c r="H867">
        <v>55</v>
      </c>
      <c r="I867">
        <v>660</v>
      </c>
      <c r="J867">
        <v>27</v>
      </c>
      <c r="K867">
        <v>2</v>
      </c>
      <c r="L867">
        <v>7</v>
      </c>
      <c r="M867">
        <v>16</v>
      </c>
      <c r="N867">
        <v>338</v>
      </c>
      <c r="O867" s="3">
        <f t="shared" si="47"/>
        <v>4.7058823529411766</v>
      </c>
      <c r="P867">
        <f t="shared" si="48"/>
        <v>1</v>
      </c>
      <c r="Q867">
        <f t="shared" si="49"/>
        <v>0</v>
      </c>
    </row>
    <row r="868" spans="1:17" x14ac:dyDescent="0.2">
      <c r="A868" t="s">
        <v>58</v>
      </c>
      <c r="B868" t="s">
        <v>251</v>
      </c>
      <c r="C868">
        <v>150</v>
      </c>
      <c r="D868" s="2">
        <v>0</v>
      </c>
      <c r="E868">
        <v>2.5</v>
      </c>
      <c r="F868">
        <v>1.5</v>
      </c>
      <c r="G868">
        <v>0</v>
      </c>
      <c r="H868">
        <v>10</v>
      </c>
      <c r="I868">
        <v>170</v>
      </c>
      <c r="J868">
        <v>26</v>
      </c>
      <c r="K868">
        <v>0</v>
      </c>
      <c r="L868">
        <v>23</v>
      </c>
      <c r="M868">
        <v>7</v>
      </c>
      <c r="N868">
        <v>168</v>
      </c>
      <c r="O868" s="3">
        <f t="shared" si="47"/>
        <v>4.666666666666667</v>
      </c>
      <c r="P868">
        <f t="shared" si="48"/>
        <v>0</v>
      </c>
      <c r="Q868">
        <f t="shared" si="49"/>
        <v>0</v>
      </c>
    </row>
    <row r="869" spans="1:17" x14ac:dyDescent="0.2">
      <c r="A869" t="s">
        <v>58</v>
      </c>
      <c r="B869" t="s">
        <v>299</v>
      </c>
      <c r="C869">
        <v>610</v>
      </c>
      <c r="D869" s="2">
        <v>0</v>
      </c>
      <c r="E869">
        <v>40</v>
      </c>
      <c r="F869">
        <v>15</v>
      </c>
      <c r="G869">
        <v>0</v>
      </c>
      <c r="H869">
        <v>290</v>
      </c>
      <c r="I869">
        <v>1400</v>
      </c>
      <c r="J869">
        <v>37</v>
      </c>
      <c r="K869">
        <v>2</v>
      </c>
      <c r="L869">
        <v>7</v>
      </c>
      <c r="M869">
        <v>27</v>
      </c>
      <c r="N869">
        <v>605</v>
      </c>
      <c r="O869" s="3">
        <f t="shared" si="47"/>
        <v>4.4262295081967213</v>
      </c>
      <c r="P869">
        <f t="shared" si="48"/>
        <v>1</v>
      </c>
      <c r="Q869">
        <f t="shared" si="49"/>
        <v>0</v>
      </c>
    </row>
    <row r="870" spans="1:17" x14ac:dyDescent="0.2">
      <c r="A870" t="s">
        <v>58</v>
      </c>
      <c r="B870" t="s">
        <v>305</v>
      </c>
      <c r="C870">
        <v>480</v>
      </c>
      <c r="D870" s="2">
        <v>0</v>
      </c>
      <c r="E870">
        <v>33</v>
      </c>
      <c r="F870">
        <v>13</v>
      </c>
      <c r="G870">
        <v>0</v>
      </c>
      <c r="H870">
        <v>275</v>
      </c>
      <c r="I870">
        <v>980</v>
      </c>
      <c r="J870">
        <v>27</v>
      </c>
      <c r="K870">
        <v>1</v>
      </c>
      <c r="L870">
        <v>4</v>
      </c>
      <c r="M870">
        <v>21</v>
      </c>
      <c r="N870">
        <v>476</v>
      </c>
      <c r="O870" s="3">
        <f t="shared" si="47"/>
        <v>4.375</v>
      </c>
      <c r="P870">
        <f t="shared" si="48"/>
        <v>1</v>
      </c>
      <c r="Q870">
        <f t="shared" si="49"/>
        <v>0</v>
      </c>
    </row>
    <row r="871" spans="1:17" x14ac:dyDescent="0.2">
      <c r="A871" t="s">
        <v>58</v>
      </c>
      <c r="B871" t="s">
        <v>333</v>
      </c>
      <c r="C871">
        <v>330</v>
      </c>
      <c r="D871" s="2">
        <v>0</v>
      </c>
      <c r="E871">
        <v>16</v>
      </c>
      <c r="F871">
        <v>3</v>
      </c>
      <c r="G871">
        <v>0</v>
      </c>
      <c r="H871">
        <v>30</v>
      </c>
      <c r="I871">
        <v>600</v>
      </c>
      <c r="J871">
        <v>33</v>
      </c>
      <c r="K871">
        <v>2</v>
      </c>
      <c r="L871">
        <v>4</v>
      </c>
      <c r="M871">
        <v>14</v>
      </c>
      <c r="N871">
        <v>323</v>
      </c>
      <c r="O871" s="3">
        <f t="shared" si="47"/>
        <v>4.2424242424242431</v>
      </c>
      <c r="P871">
        <f t="shared" si="48"/>
        <v>1</v>
      </c>
      <c r="Q871">
        <f t="shared" si="49"/>
        <v>0</v>
      </c>
    </row>
    <row r="872" spans="1:17" x14ac:dyDescent="0.2">
      <c r="A872" t="s">
        <v>58</v>
      </c>
      <c r="B872" t="s">
        <v>347</v>
      </c>
      <c r="C872">
        <v>460</v>
      </c>
      <c r="D872" s="2">
        <v>0</v>
      </c>
      <c r="E872">
        <v>11</v>
      </c>
      <c r="F872">
        <v>5</v>
      </c>
      <c r="G872">
        <v>0</v>
      </c>
      <c r="H872">
        <v>35</v>
      </c>
      <c r="I872">
        <v>710</v>
      </c>
      <c r="J872">
        <v>71</v>
      </c>
      <c r="K872">
        <v>8</v>
      </c>
      <c r="L872">
        <v>7</v>
      </c>
      <c r="M872">
        <v>19</v>
      </c>
      <c r="N872">
        <v>453</v>
      </c>
      <c r="O872" s="3">
        <f t="shared" si="47"/>
        <v>4.1304347826086953</v>
      </c>
      <c r="P872">
        <f t="shared" si="48"/>
        <v>1</v>
      </c>
      <c r="Q872">
        <f t="shared" si="49"/>
        <v>0</v>
      </c>
    </row>
    <row r="873" spans="1:17" x14ac:dyDescent="0.2">
      <c r="A873" t="s">
        <v>58</v>
      </c>
      <c r="B873" t="s">
        <v>367</v>
      </c>
      <c r="C873">
        <v>470</v>
      </c>
      <c r="D873" s="2">
        <v>0</v>
      </c>
      <c r="E873">
        <v>23</v>
      </c>
      <c r="F873">
        <v>8</v>
      </c>
      <c r="G873">
        <v>0.5</v>
      </c>
      <c r="H873">
        <v>45</v>
      </c>
      <c r="I873">
        <v>1320</v>
      </c>
      <c r="J873">
        <v>49</v>
      </c>
      <c r="K873">
        <v>7</v>
      </c>
      <c r="L873">
        <v>12</v>
      </c>
      <c r="M873">
        <v>19</v>
      </c>
      <c r="N873">
        <v>471</v>
      </c>
      <c r="O873" s="3">
        <f t="shared" si="47"/>
        <v>4.042553191489362</v>
      </c>
      <c r="P873">
        <f t="shared" si="48"/>
        <v>1</v>
      </c>
      <c r="Q873">
        <f t="shared" si="49"/>
        <v>0</v>
      </c>
    </row>
    <row r="874" spans="1:17" x14ac:dyDescent="0.2">
      <c r="A874" t="s">
        <v>58</v>
      </c>
      <c r="B874" t="s">
        <v>396</v>
      </c>
      <c r="C874">
        <v>440</v>
      </c>
      <c r="D874" s="2">
        <v>0</v>
      </c>
      <c r="E874">
        <v>14</v>
      </c>
      <c r="F874">
        <v>6</v>
      </c>
      <c r="G874">
        <v>0</v>
      </c>
      <c r="H874">
        <v>35</v>
      </c>
      <c r="I874">
        <v>550</v>
      </c>
      <c r="J874">
        <v>64</v>
      </c>
      <c r="K874">
        <v>7</v>
      </c>
      <c r="L874">
        <v>4</v>
      </c>
      <c r="M874">
        <v>17</v>
      </c>
      <c r="N874">
        <v>433</v>
      </c>
      <c r="O874" s="3">
        <f t="shared" si="47"/>
        <v>3.8636363636363633</v>
      </c>
      <c r="P874">
        <f t="shared" si="48"/>
        <v>1</v>
      </c>
      <c r="Q874">
        <f t="shared" si="49"/>
        <v>0</v>
      </c>
    </row>
    <row r="875" spans="1:17" x14ac:dyDescent="0.2">
      <c r="A875" t="s">
        <v>58</v>
      </c>
      <c r="B875" t="s">
        <v>405</v>
      </c>
      <c r="C875">
        <v>500</v>
      </c>
      <c r="D875" s="2">
        <v>0</v>
      </c>
      <c r="E875">
        <v>26</v>
      </c>
      <c r="F875">
        <v>12</v>
      </c>
      <c r="G875">
        <v>0</v>
      </c>
      <c r="H875">
        <v>50</v>
      </c>
      <c r="I875">
        <v>1120</v>
      </c>
      <c r="J875">
        <v>48</v>
      </c>
      <c r="K875">
        <v>1</v>
      </c>
      <c r="L875">
        <v>9</v>
      </c>
      <c r="M875">
        <v>19</v>
      </c>
      <c r="N875">
        <v>502</v>
      </c>
      <c r="O875" s="3">
        <f t="shared" si="47"/>
        <v>3.8</v>
      </c>
      <c r="P875">
        <f t="shared" si="48"/>
        <v>1</v>
      </c>
      <c r="Q875">
        <f t="shared" si="49"/>
        <v>0</v>
      </c>
    </row>
    <row r="876" spans="1:17" x14ac:dyDescent="0.2">
      <c r="A876" t="s">
        <v>58</v>
      </c>
      <c r="B876" t="s">
        <v>414</v>
      </c>
      <c r="C876">
        <v>510</v>
      </c>
      <c r="D876" s="2">
        <v>0</v>
      </c>
      <c r="E876">
        <v>28</v>
      </c>
      <c r="F876">
        <v>9</v>
      </c>
      <c r="G876">
        <v>0</v>
      </c>
      <c r="H876">
        <v>245</v>
      </c>
      <c r="I876">
        <v>1390</v>
      </c>
      <c r="J876">
        <v>44</v>
      </c>
      <c r="K876">
        <v>4</v>
      </c>
      <c r="L876">
        <v>2</v>
      </c>
      <c r="M876">
        <v>19</v>
      </c>
      <c r="N876">
        <v>502</v>
      </c>
      <c r="O876" s="3">
        <f t="shared" si="47"/>
        <v>3.7254901960784315</v>
      </c>
      <c r="P876">
        <f t="shared" si="48"/>
        <v>1</v>
      </c>
      <c r="Q876">
        <f t="shared" si="49"/>
        <v>0</v>
      </c>
    </row>
    <row r="877" spans="1:17" x14ac:dyDescent="0.2">
      <c r="A877" t="s">
        <v>58</v>
      </c>
      <c r="B877" t="s">
        <v>424</v>
      </c>
      <c r="C877">
        <v>410</v>
      </c>
      <c r="D877" s="2">
        <v>0</v>
      </c>
      <c r="E877">
        <v>24</v>
      </c>
      <c r="F877">
        <v>13</v>
      </c>
      <c r="G877">
        <v>0</v>
      </c>
      <c r="H877">
        <v>235</v>
      </c>
      <c r="I877">
        <v>970</v>
      </c>
      <c r="J877">
        <v>34</v>
      </c>
      <c r="K877">
        <v>1</v>
      </c>
      <c r="L877">
        <v>5</v>
      </c>
      <c r="M877">
        <v>15</v>
      </c>
      <c r="N877">
        <v>413</v>
      </c>
      <c r="O877" s="3">
        <f t="shared" si="47"/>
        <v>3.6585365853658534</v>
      </c>
      <c r="P877">
        <f t="shared" si="48"/>
        <v>1</v>
      </c>
      <c r="Q877">
        <f t="shared" si="49"/>
        <v>0</v>
      </c>
    </row>
    <row r="878" spans="1:17" x14ac:dyDescent="0.2">
      <c r="A878" t="s">
        <v>58</v>
      </c>
      <c r="B878" t="s">
        <v>443</v>
      </c>
      <c r="C878">
        <v>590</v>
      </c>
      <c r="D878" s="2">
        <v>0</v>
      </c>
      <c r="E878">
        <v>41</v>
      </c>
      <c r="F878">
        <v>19</v>
      </c>
      <c r="G878">
        <v>0</v>
      </c>
      <c r="H878">
        <v>270</v>
      </c>
      <c r="I878">
        <v>1270</v>
      </c>
      <c r="J878">
        <v>36</v>
      </c>
      <c r="K878">
        <v>1</v>
      </c>
      <c r="L878">
        <v>6</v>
      </c>
      <c r="M878">
        <v>20</v>
      </c>
      <c r="N878">
        <v>595</v>
      </c>
      <c r="O878" s="3">
        <f t="shared" si="47"/>
        <v>3.3898305084745761</v>
      </c>
      <c r="P878">
        <f t="shared" si="48"/>
        <v>1</v>
      </c>
      <c r="Q878">
        <f t="shared" si="49"/>
        <v>0</v>
      </c>
    </row>
    <row r="879" spans="1:17" x14ac:dyDescent="0.2">
      <c r="A879" t="s">
        <v>58</v>
      </c>
      <c r="B879" t="s">
        <v>81</v>
      </c>
      <c r="C879">
        <v>240</v>
      </c>
      <c r="D879" s="2">
        <v>0</v>
      </c>
      <c r="E879">
        <v>15</v>
      </c>
      <c r="F879">
        <v>4</v>
      </c>
      <c r="G879">
        <v>0</v>
      </c>
      <c r="H879">
        <v>30</v>
      </c>
      <c r="I879">
        <v>500</v>
      </c>
      <c r="J879">
        <v>19</v>
      </c>
      <c r="K879">
        <v>3</v>
      </c>
      <c r="L879">
        <v>4</v>
      </c>
      <c r="M879">
        <v>8</v>
      </c>
      <c r="N879">
        <v>240</v>
      </c>
      <c r="O879" s="3">
        <f t="shared" si="47"/>
        <v>3.3333333333333335</v>
      </c>
      <c r="P879">
        <f t="shared" si="48"/>
        <v>1</v>
      </c>
      <c r="Q879">
        <f t="shared" si="49"/>
        <v>0</v>
      </c>
    </row>
    <row r="880" spans="1:17" x14ac:dyDescent="0.2">
      <c r="A880" t="s">
        <v>58</v>
      </c>
      <c r="B880" t="s">
        <v>459</v>
      </c>
      <c r="C880">
        <v>640</v>
      </c>
      <c r="D880" s="2">
        <v>0</v>
      </c>
      <c r="E880">
        <v>42</v>
      </c>
      <c r="F880">
        <v>14</v>
      </c>
      <c r="G880">
        <v>0</v>
      </c>
      <c r="H880">
        <v>270</v>
      </c>
      <c r="I880">
        <v>1540</v>
      </c>
      <c r="J880">
        <v>46</v>
      </c>
      <c r="K880">
        <v>4</v>
      </c>
      <c r="L880">
        <v>3</v>
      </c>
      <c r="M880">
        <v>21</v>
      </c>
      <c r="N880">
        <v>636</v>
      </c>
      <c r="O880" s="3">
        <f t="shared" si="47"/>
        <v>3.28125</v>
      </c>
      <c r="P880">
        <f t="shared" si="48"/>
        <v>1</v>
      </c>
      <c r="Q880">
        <f t="shared" si="49"/>
        <v>0</v>
      </c>
    </row>
    <row r="881" spans="1:17" x14ac:dyDescent="0.2">
      <c r="A881" t="s">
        <v>58</v>
      </c>
      <c r="B881" t="s">
        <v>460</v>
      </c>
      <c r="C881">
        <v>430</v>
      </c>
      <c r="D881" s="2">
        <v>0</v>
      </c>
      <c r="E881">
        <v>13</v>
      </c>
      <c r="F881">
        <v>7</v>
      </c>
      <c r="G881">
        <v>0</v>
      </c>
      <c r="H881">
        <v>30</v>
      </c>
      <c r="I881">
        <v>560</v>
      </c>
      <c r="J881">
        <v>65</v>
      </c>
      <c r="K881">
        <v>7</v>
      </c>
      <c r="L881">
        <v>5</v>
      </c>
      <c r="M881">
        <v>14</v>
      </c>
      <c r="N881">
        <v>428</v>
      </c>
      <c r="O881" s="3">
        <f t="shared" si="47"/>
        <v>3.2558139534883721</v>
      </c>
      <c r="P881">
        <f t="shared" si="48"/>
        <v>1</v>
      </c>
      <c r="Q881">
        <f t="shared" si="49"/>
        <v>0</v>
      </c>
    </row>
    <row r="882" spans="1:17" x14ac:dyDescent="0.2">
      <c r="A882" t="s">
        <v>58</v>
      </c>
      <c r="B882" t="s">
        <v>465</v>
      </c>
      <c r="C882">
        <v>500</v>
      </c>
      <c r="D882" s="2">
        <v>0</v>
      </c>
      <c r="E882">
        <v>25</v>
      </c>
      <c r="F882">
        <v>8</v>
      </c>
      <c r="G882">
        <v>0.5</v>
      </c>
      <c r="H882">
        <v>35</v>
      </c>
      <c r="I882">
        <v>710</v>
      </c>
      <c r="J882">
        <v>53</v>
      </c>
      <c r="K882">
        <v>6</v>
      </c>
      <c r="L882">
        <v>4</v>
      </c>
      <c r="M882">
        <v>16</v>
      </c>
      <c r="N882">
        <v>496</v>
      </c>
      <c r="O882" s="3">
        <f t="shared" si="47"/>
        <v>3.2</v>
      </c>
      <c r="P882">
        <f t="shared" si="48"/>
        <v>1</v>
      </c>
      <c r="Q882">
        <f t="shared" si="49"/>
        <v>0</v>
      </c>
    </row>
    <row r="883" spans="1:17" x14ac:dyDescent="0.2">
      <c r="A883" t="s">
        <v>58</v>
      </c>
      <c r="B883" t="s">
        <v>496</v>
      </c>
      <c r="C883">
        <v>100</v>
      </c>
      <c r="D883" s="2">
        <v>0</v>
      </c>
      <c r="E883">
        <v>8</v>
      </c>
      <c r="F883">
        <v>5</v>
      </c>
      <c r="G883">
        <v>0</v>
      </c>
      <c r="H883">
        <v>25</v>
      </c>
      <c r="I883">
        <v>45</v>
      </c>
      <c r="J883">
        <v>14</v>
      </c>
      <c r="K883">
        <v>0</v>
      </c>
      <c r="L883">
        <v>0</v>
      </c>
      <c r="M883">
        <v>3</v>
      </c>
      <c r="N883">
        <v>102</v>
      </c>
      <c r="O883" s="3">
        <f t="shared" si="47"/>
        <v>3</v>
      </c>
      <c r="P883">
        <f t="shared" si="48"/>
        <v>0</v>
      </c>
      <c r="Q883">
        <f t="shared" si="49"/>
        <v>0</v>
      </c>
    </row>
    <row r="884" spans="1:17" x14ac:dyDescent="0.2">
      <c r="A884" t="s">
        <v>58</v>
      </c>
      <c r="B884" t="s">
        <v>497</v>
      </c>
      <c r="C884">
        <v>200</v>
      </c>
      <c r="D884" s="2">
        <v>0</v>
      </c>
      <c r="E884">
        <v>5</v>
      </c>
      <c r="F884">
        <v>3</v>
      </c>
      <c r="G884">
        <v>0</v>
      </c>
      <c r="H884">
        <v>20</v>
      </c>
      <c r="I884">
        <v>90</v>
      </c>
      <c r="J884">
        <v>33</v>
      </c>
      <c r="K884">
        <v>0</v>
      </c>
      <c r="L884">
        <v>27</v>
      </c>
      <c r="M884">
        <v>6</v>
      </c>
      <c r="N884">
        <v>224</v>
      </c>
      <c r="O884" s="3">
        <f t="shared" si="47"/>
        <v>3</v>
      </c>
      <c r="P884">
        <f t="shared" si="48"/>
        <v>0</v>
      </c>
      <c r="Q884">
        <f t="shared" si="49"/>
        <v>0</v>
      </c>
    </row>
    <row r="885" spans="1:17" x14ac:dyDescent="0.2">
      <c r="A885" t="s">
        <v>58</v>
      </c>
      <c r="B885" t="s">
        <v>504</v>
      </c>
      <c r="C885">
        <v>590</v>
      </c>
      <c r="D885" s="2">
        <v>0</v>
      </c>
      <c r="E885">
        <v>15</v>
      </c>
      <c r="F885">
        <v>10</v>
      </c>
      <c r="G885">
        <v>0.5</v>
      </c>
      <c r="H885">
        <v>60</v>
      </c>
      <c r="I885">
        <v>260</v>
      </c>
      <c r="J885">
        <v>99</v>
      </c>
      <c r="K885">
        <v>0</v>
      </c>
      <c r="L885">
        <v>81</v>
      </c>
      <c r="M885">
        <v>17</v>
      </c>
      <c r="N885">
        <v>664</v>
      </c>
      <c r="O885" s="3">
        <f t="shared" ref="O885:O929" si="50">M885/C885*100</f>
        <v>2.8813559322033897</v>
      </c>
      <c r="P885">
        <f t="shared" si="48"/>
        <v>0</v>
      </c>
      <c r="Q885">
        <f t="shared" si="49"/>
        <v>0</v>
      </c>
    </row>
    <row r="886" spans="1:17" x14ac:dyDescent="0.2">
      <c r="A886" t="s">
        <v>58</v>
      </c>
      <c r="B886" t="s">
        <v>510</v>
      </c>
      <c r="C886">
        <v>490</v>
      </c>
      <c r="D886" s="2">
        <v>0</v>
      </c>
      <c r="E886">
        <v>28</v>
      </c>
      <c r="F886">
        <v>9</v>
      </c>
      <c r="G886">
        <v>0</v>
      </c>
      <c r="H886">
        <v>35</v>
      </c>
      <c r="I886">
        <v>550</v>
      </c>
      <c r="J886">
        <v>45</v>
      </c>
      <c r="K886">
        <v>4</v>
      </c>
      <c r="L886">
        <v>2</v>
      </c>
      <c r="M886">
        <v>14</v>
      </c>
      <c r="N886">
        <v>487</v>
      </c>
      <c r="O886" s="3">
        <f t="shared" si="50"/>
        <v>2.8571428571428572</v>
      </c>
      <c r="P886">
        <f t="shared" si="48"/>
        <v>1</v>
      </c>
      <c r="Q886">
        <f t="shared" si="49"/>
        <v>0</v>
      </c>
    </row>
    <row r="887" spans="1:17" x14ac:dyDescent="0.2">
      <c r="A887" t="s">
        <v>58</v>
      </c>
      <c r="B887" t="s">
        <v>511</v>
      </c>
      <c r="C887">
        <v>70</v>
      </c>
      <c r="D887" s="2">
        <v>0</v>
      </c>
      <c r="E887">
        <v>5</v>
      </c>
      <c r="F887">
        <v>3.5</v>
      </c>
      <c r="G887">
        <v>0</v>
      </c>
      <c r="H887">
        <v>15</v>
      </c>
      <c r="I887">
        <v>30</v>
      </c>
      <c r="J887">
        <v>6</v>
      </c>
      <c r="K887">
        <v>0</v>
      </c>
      <c r="L887">
        <v>0</v>
      </c>
      <c r="M887">
        <v>2</v>
      </c>
      <c r="N887">
        <v>72</v>
      </c>
      <c r="O887" s="3">
        <f t="shared" si="50"/>
        <v>2.8571428571428572</v>
      </c>
      <c r="P887">
        <f t="shared" si="48"/>
        <v>0</v>
      </c>
      <c r="Q887">
        <f t="shared" si="49"/>
        <v>0</v>
      </c>
    </row>
    <row r="888" spans="1:17" x14ac:dyDescent="0.2">
      <c r="A888" t="s">
        <v>58</v>
      </c>
      <c r="B888" t="s">
        <v>512</v>
      </c>
      <c r="C888">
        <v>350</v>
      </c>
      <c r="D888" s="2">
        <v>0</v>
      </c>
      <c r="E888">
        <v>9</v>
      </c>
      <c r="F888">
        <v>6</v>
      </c>
      <c r="G888">
        <v>0</v>
      </c>
      <c r="H888">
        <v>35</v>
      </c>
      <c r="I888">
        <v>150</v>
      </c>
      <c r="J888">
        <v>58</v>
      </c>
      <c r="K888">
        <v>0</v>
      </c>
      <c r="L888">
        <v>47</v>
      </c>
      <c r="M888">
        <v>10</v>
      </c>
      <c r="N888">
        <v>393</v>
      </c>
      <c r="O888" s="3">
        <f t="shared" si="50"/>
        <v>2.8571428571428572</v>
      </c>
      <c r="P888">
        <f t="shared" si="48"/>
        <v>0</v>
      </c>
      <c r="Q888">
        <f t="shared" si="49"/>
        <v>0</v>
      </c>
    </row>
    <row r="889" spans="1:17" x14ac:dyDescent="0.2">
      <c r="A889" t="s">
        <v>58</v>
      </c>
      <c r="B889" t="s">
        <v>518</v>
      </c>
      <c r="C889">
        <v>250</v>
      </c>
      <c r="D889" s="2">
        <v>0</v>
      </c>
      <c r="E889">
        <v>18</v>
      </c>
      <c r="F889">
        <v>4</v>
      </c>
      <c r="G889">
        <v>0</v>
      </c>
      <c r="H889">
        <v>20</v>
      </c>
      <c r="I889">
        <v>460</v>
      </c>
      <c r="J889">
        <v>18</v>
      </c>
      <c r="K889">
        <v>2</v>
      </c>
      <c r="L889">
        <v>4</v>
      </c>
      <c r="M889">
        <v>7</v>
      </c>
      <c r="N889">
        <v>251</v>
      </c>
      <c r="O889" s="3">
        <f t="shared" si="50"/>
        <v>2.8000000000000003</v>
      </c>
      <c r="P889">
        <f t="shared" si="48"/>
        <v>0</v>
      </c>
      <c r="Q889">
        <f t="shared" si="49"/>
        <v>0</v>
      </c>
    </row>
    <row r="890" spans="1:17" x14ac:dyDescent="0.2">
      <c r="A890" t="s">
        <v>58</v>
      </c>
      <c r="B890" t="s">
        <v>526</v>
      </c>
      <c r="C890">
        <v>470</v>
      </c>
      <c r="D890" s="2">
        <v>0</v>
      </c>
      <c r="E890">
        <v>12</v>
      </c>
      <c r="F890">
        <v>8</v>
      </c>
      <c r="G890">
        <v>0.5</v>
      </c>
      <c r="H890">
        <v>50</v>
      </c>
      <c r="I890">
        <v>210</v>
      </c>
      <c r="J890">
        <v>79</v>
      </c>
      <c r="K890">
        <v>0</v>
      </c>
      <c r="L890">
        <v>65</v>
      </c>
      <c r="M890">
        <v>13</v>
      </c>
      <c r="N890">
        <v>530</v>
      </c>
      <c r="O890" s="3">
        <f t="shared" si="50"/>
        <v>2.7659574468085104</v>
      </c>
      <c r="P890">
        <f t="shared" si="48"/>
        <v>0</v>
      </c>
      <c r="Q890">
        <f t="shared" si="49"/>
        <v>0</v>
      </c>
    </row>
    <row r="891" spans="1:17" x14ac:dyDescent="0.2">
      <c r="A891" t="s">
        <v>58</v>
      </c>
      <c r="B891" t="s">
        <v>536</v>
      </c>
      <c r="C891">
        <v>450</v>
      </c>
      <c r="D891" s="2">
        <v>0</v>
      </c>
      <c r="E891">
        <v>12</v>
      </c>
      <c r="F891">
        <v>8</v>
      </c>
      <c r="G891">
        <v>0.5</v>
      </c>
      <c r="H891">
        <v>55</v>
      </c>
      <c r="I891">
        <v>210</v>
      </c>
      <c r="J891">
        <v>75</v>
      </c>
      <c r="K891">
        <v>0</v>
      </c>
      <c r="L891">
        <v>63</v>
      </c>
      <c r="M891">
        <v>12</v>
      </c>
      <c r="N891">
        <v>509</v>
      </c>
      <c r="O891" s="3">
        <f t="shared" si="50"/>
        <v>2.666666666666667</v>
      </c>
      <c r="P891">
        <f t="shared" si="48"/>
        <v>0</v>
      </c>
      <c r="Q891">
        <f t="shared" si="49"/>
        <v>0</v>
      </c>
    </row>
    <row r="892" spans="1:17" x14ac:dyDescent="0.2">
      <c r="A892" t="s">
        <v>58</v>
      </c>
      <c r="B892" t="s">
        <v>537</v>
      </c>
      <c r="C892">
        <v>450</v>
      </c>
      <c r="D892" s="2">
        <v>0</v>
      </c>
      <c r="E892">
        <v>22</v>
      </c>
      <c r="F892">
        <v>6</v>
      </c>
      <c r="G892">
        <v>0</v>
      </c>
      <c r="H892">
        <v>220</v>
      </c>
      <c r="I892">
        <v>1260</v>
      </c>
      <c r="J892">
        <v>50</v>
      </c>
      <c r="K892">
        <v>4</v>
      </c>
      <c r="L892">
        <v>2</v>
      </c>
      <c r="M892">
        <v>12</v>
      </c>
      <c r="N892">
        <v>446</v>
      </c>
      <c r="O892" s="3">
        <f t="shared" si="50"/>
        <v>2.666666666666667</v>
      </c>
      <c r="P892">
        <f t="shared" si="48"/>
        <v>1</v>
      </c>
      <c r="Q892">
        <f t="shared" si="49"/>
        <v>0</v>
      </c>
    </row>
    <row r="893" spans="1:17" x14ac:dyDescent="0.2">
      <c r="A893" t="s">
        <v>58</v>
      </c>
      <c r="B893" t="s">
        <v>538</v>
      </c>
      <c r="C893">
        <v>340</v>
      </c>
      <c r="D893" s="2">
        <v>0</v>
      </c>
      <c r="E893">
        <v>9</v>
      </c>
      <c r="F893">
        <v>6</v>
      </c>
      <c r="G893">
        <v>0</v>
      </c>
      <c r="H893">
        <v>45</v>
      </c>
      <c r="I893">
        <v>160</v>
      </c>
      <c r="J893">
        <v>56</v>
      </c>
      <c r="K893">
        <v>0</v>
      </c>
      <c r="L893">
        <v>47</v>
      </c>
      <c r="M893">
        <v>9</v>
      </c>
      <c r="N893">
        <v>384</v>
      </c>
      <c r="O893" s="3">
        <f t="shared" si="50"/>
        <v>2.6470588235294117</v>
      </c>
      <c r="P893">
        <f t="shared" si="48"/>
        <v>0</v>
      </c>
      <c r="Q893">
        <f t="shared" si="49"/>
        <v>0</v>
      </c>
    </row>
    <row r="894" spans="1:17" x14ac:dyDescent="0.2">
      <c r="A894" t="s">
        <v>58</v>
      </c>
      <c r="B894" t="s">
        <v>544</v>
      </c>
      <c r="C894">
        <v>190</v>
      </c>
      <c r="D894" s="2">
        <v>0</v>
      </c>
      <c r="E894">
        <v>5</v>
      </c>
      <c r="F894">
        <v>3.5</v>
      </c>
      <c r="G894">
        <v>0</v>
      </c>
      <c r="H894">
        <v>25</v>
      </c>
      <c r="I894">
        <v>90</v>
      </c>
      <c r="J894">
        <v>32</v>
      </c>
      <c r="K894">
        <v>0</v>
      </c>
      <c r="L894">
        <v>27</v>
      </c>
      <c r="M894">
        <v>5</v>
      </c>
      <c r="N894">
        <v>216</v>
      </c>
      <c r="O894" s="3">
        <f t="shared" si="50"/>
        <v>2.6315789473684208</v>
      </c>
      <c r="P894">
        <f t="shared" si="48"/>
        <v>0</v>
      </c>
      <c r="Q894">
        <f t="shared" si="49"/>
        <v>0</v>
      </c>
    </row>
    <row r="895" spans="1:17" x14ac:dyDescent="0.2">
      <c r="A895" t="s">
        <v>58</v>
      </c>
      <c r="B895" t="s">
        <v>545</v>
      </c>
      <c r="C895">
        <v>570</v>
      </c>
      <c r="D895" s="2">
        <v>0</v>
      </c>
      <c r="E895">
        <v>15</v>
      </c>
      <c r="F895">
        <v>10</v>
      </c>
      <c r="G895">
        <v>0.5</v>
      </c>
      <c r="H895">
        <v>70</v>
      </c>
      <c r="I895">
        <v>260</v>
      </c>
      <c r="J895">
        <v>94</v>
      </c>
      <c r="K895">
        <v>0</v>
      </c>
      <c r="L895">
        <v>78</v>
      </c>
      <c r="M895">
        <v>15</v>
      </c>
      <c r="N895">
        <v>643</v>
      </c>
      <c r="O895" s="3">
        <f t="shared" si="50"/>
        <v>2.6315789473684208</v>
      </c>
      <c r="P895">
        <f t="shared" si="48"/>
        <v>0</v>
      </c>
      <c r="Q895">
        <f t="shared" si="49"/>
        <v>0</v>
      </c>
    </row>
    <row r="896" spans="1:17" x14ac:dyDescent="0.2">
      <c r="A896" t="s">
        <v>58</v>
      </c>
      <c r="B896" t="s">
        <v>551</v>
      </c>
      <c r="C896">
        <v>270</v>
      </c>
      <c r="D896" s="2">
        <v>0</v>
      </c>
      <c r="E896">
        <v>0</v>
      </c>
      <c r="F896">
        <v>0</v>
      </c>
      <c r="G896">
        <v>0</v>
      </c>
      <c r="H896">
        <v>0</v>
      </c>
      <c r="I896">
        <v>25</v>
      </c>
      <c r="J896">
        <v>61</v>
      </c>
      <c r="K896">
        <v>7</v>
      </c>
      <c r="L896">
        <v>3</v>
      </c>
      <c r="M896">
        <v>7</v>
      </c>
      <c r="N896">
        <v>266</v>
      </c>
      <c r="O896" s="3">
        <f t="shared" si="50"/>
        <v>2.5925925925925926</v>
      </c>
      <c r="P896">
        <f t="shared" si="48"/>
        <v>0</v>
      </c>
      <c r="Q896">
        <f t="shared" si="49"/>
        <v>0</v>
      </c>
    </row>
    <row r="897" spans="1:17" x14ac:dyDescent="0.2">
      <c r="A897" t="s">
        <v>58</v>
      </c>
      <c r="B897" t="s">
        <v>553</v>
      </c>
      <c r="C897">
        <v>310</v>
      </c>
      <c r="D897" s="2">
        <v>0</v>
      </c>
      <c r="E897">
        <v>2.5</v>
      </c>
      <c r="F897">
        <v>2.5</v>
      </c>
      <c r="G897">
        <v>0</v>
      </c>
      <c r="H897">
        <v>10</v>
      </c>
      <c r="I897">
        <v>35</v>
      </c>
      <c r="J897">
        <v>63</v>
      </c>
      <c r="K897">
        <v>7</v>
      </c>
      <c r="L897">
        <v>4</v>
      </c>
      <c r="M897">
        <v>8</v>
      </c>
      <c r="N897">
        <v>309</v>
      </c>
      <c r="O897" s="3">
        <f t="shared" si="50"/>
        <v>2.5806451612903225</v>
      </c>
      <c r="P897">
        <f t="shared" si="48"/>
        <v>0</v>
      </c>
      <c r="Q897">
        <f t="shared" si="49"/>
        <v>0</v>
      </c>
    </row>
    <row r="898" spans="1:17" x14ac:dyDescent="0.2">
      <c r="A898" t="s">
        <v>58</v>
      </c>
      <c r="B898" t="s">
        <v>509</v>
      </c>
      <c r="C898">
        <v>480</v>
      </c>
      <c r="D898" s="2">
        <v>0</v>
      </c>
      <c r="E898">
        <v>33</v>
      </c>
      <c r="F898">
        <v>15</v>
      </c>
      <c r="G898">
        <v>0</v>
      </c>
      <c r="H898">
        <v>50</v>
      </c>
      <c r="I898">
        <v>1010</v>
      </c>
      <c r="J898">
        <v>35</v>
      </c>
      <c r="K898">
        <v>1</v>
      </c>
      <c r="L898">
        <v>5</v>
      </c>
      <c r="M898">
        <v>12</v>
      </c>
      <c r="N898">
        <v>488</v>
      </c>
      <c r="O898" s="3">
        <f t="shared" si="50"/>
        <v>2.5</v>
      </c>
      <c r="P898">
        <f t="shared" si="48"/>
        <v>1</v>
      </c>
      <c r="Q898">
        <f t="shared" si="49"/>
        <v>0</v>
      </c>
    </row>
    <row r="899" spans="1:17" x14ac:dyDescent="0.2">
      <c r="A899" t="s">
        <v>58</v>
      </c>
      <c r="B899" t="s">
        <v>570</v>
      </c>
      <c r="C899">
        <v>960</v>
      </c>
      <c r="D899" s="2">
        <v>0</v>
      </c>
      <c r="E899">
        <v>65</v>
      </c>
      <c r="F899">
        <v>31</v>
      </c>
      <c r="G899">
        <v>0</v>
      </c>
      <c r="H899">
        <v>95</v>
      </c>
      <c r="I899">
        <v>2020</v>
      </c>
      <c r="J899">
        <v>70</v>
      </c>
      <c r="K899">
        <v>3</v>
      </c>
      <c r="L899">
        <v>10</v>
      </c>
      <c r="M899">
        <v>23</v>
      </c>
      <c r="N899">
        <v>978</v>
      </c>
      <c r="O899" s="3">
        <f t="shared" si="50"/>
        <v>2.3958333333333335</v>
      </c>
      <c r="P899">
        <f t="shared" si="48"/>
        <v>1</v>
      </c>
      <c r="Q899">
        <f t="shared" si="49"/>
        <v>0</v>
      </c>
    </row>
    <row r="900" spans="1:17" x14ac:dyDescent="0.2">
      <c r="A900" t="s">
        <v>58</v>
      </c>
      <c r="B900" t="s">
        <v>650</v>
      </c>
      <c r="C900">
        <v>490</v>
      </c>
      <c r="D900" s="2">
        <v>0</v>
      </c>
      <c r="E900">
        <v>29</v>
      </c>
      <c r="F900">
        <v>14</v>
      </c>
      <c r="G900">
        <v>0</v>
      </c>
      <c r="H900">
        <v>20</v>
      </c>
      <c r="I900">
        <v>1400</v>
      </c>
      <c r="J900">
        <v>49</v>
      </c>
      <c r="K900">
        <v>2</v>
      </c>
      <c r="L900">
        <v>6</v>
      </c>
      <c r="M900">
        <v>8</v>
      </c>
      <c r="N900">
        <v>502</v>
      </c>
      <c r="O900" s="3">
        <f t="shared" si="50"/>
        <v>1.6326530612244898</v>
      </c>
      <c r="P900">
        <f t="shared" si="48"/>
        <v>1</v>
      </c>
      <c r="Q900">
        <f t="shared" si="49"/>
        <v>0</v>
      </c>
    </row>
    <row r="901" spans="1:17" x14ac:dyDescent="0.2">
      <c r="A901" t="s">
        <v>58</v>
      </c>
      <c r="B901" t="s">
        <v>651</v>
      </c>
      <c r="C901">
        <v>250</v>
      </c>
      <c r="D901" s="2">
        <v>0</v>
      </c>
      <c r="E901">
        <v>9</v>
      </c>
      <c r="F901">
        <v>1.5</v>
      </c>
      <c r="G901">
        <v>0</v>
      </c>
      <c r="H901">
        <v>0</v>
      </c>
      <c r="I901">
        <v>750</v>
      </c>
      <c r="J901">
        <v>39</v>
      </c>
      <c r="K901">
        <v>4</v>
      </c>
      <c r="L901">
        <v>1</v>
      </c>
      <c r="M901">
        <v>4</v>
      </c>
      <c r="N901">
        <v>249</v>
      </c>
      <c r="O901" s="3">
        <f t="shared" si="50"/>
        <v>1.6</v>
      </c>
      <c r="P901">
        <f t="shared" si="48"/>
        <v>1</v>
      </c>
      <c r="Q901">
        <f t="shared" si="49"/>
        <v>0</v>
      </c>
    </row>
    <row r="902" spans="1:17" x14ac:dyDescent="0.2">
      <c r="A902" t="s">
        <v>58</v>
      </c>
      <c r="B902" t="s">
        <v>653</v>
      </c>
      <c r="C902">
        <v>320</v>
      </c>
      <c r="D902" s="2">
        <v>0</v>
      </c>
      <c r="E902">
        <v>15</v>
      </c>
      <c r="F902">
        <v>2.5</v>
      </c>
      <c r="G902">
        <v>0</v>
      </c>
      <c r="H902">
        <v>0</v>
      </c>
      <c r="I902">
        <v>320</v>
      </c>
      <c r="J902">
        <v>43</v>
      </c>
      <c r="K902">
        <v>4</v>
      </c>
      <c r="L902">
        <v>0</v>
      </c>
      <c r="M902">
        <v>5</v>
      </c>
      <c r="N902">
        <v>318</v>
      </c>
      <c r="O902" s="3">
        <f t="shared" si="50"/>
        <v>1.5625</v>
      </c>
      <c r="P902">
        <f t="shared" si="48"/>
        <v>0</v>
      </c>
      <c r="Q902">
        <f t="shared" si="49"/>
        <v>0</v>
      </c>
    </row>
    <row r="903" spans="1:17" x14ac:dyDescent="0.2">
      <c r="A903" t="s">
        <v>58</v>
      </c>
      <c r="B903" t="s">
        <v>664</v>
      </c>
      <c r="C903">
        <v>420</v>
      </c>
      <c r="D903" s="2">
        <v>0</v>
      </c>
      <c r="E903">
        <v>19</v>
      </c>
      <c r="F903">
        <v>3.5</v>
      </c>
      <c r="G903">
        <v>0</v>
      </c>
      <c r="H903">
        <v>0</v>
      </c>
      <c r="I903">
        <v>420</v>
      </c>
      <c r="J903">
        <v>56</v>
      </c>
      <c r="K903">
        <v>5</v>
      </c>
      <c r="L903">
        <v>0</v>
      </c>
      <c r="M903">
        <v>6</v>
      </c>
      <c r="N903">
        <v>418</v>
      </c>
      <c r="O903" s="3">
        <f t="shared" si="50"/>
        <v>1.4285714285714286</v>
      </c>
      <c r="P903">
        <f t="shared" si="48"/>
        <v>0</v>
      </c>
      <c r="Q903">
        <f t="shared" si="49"/>
        <v>0</v>
      </c>
    </row>
    <row r="904" spans="1:17" x14ac:dyDescent="0.2">
      <c r="A904" t="s">
        <v>58</v>
      </c>
      <c r="B904" t="s">
        <v>665</v>
      </c>
      <c r="C904">
        <v>210</v>
      </c>
      <c r="D904" s="2">
        <v>0</v>
      </c>
      <c r="E904">
        <v>8</v>
      </c>
      <c r="F904">
        <v>5</v>
      </c>
      <c r="G904">
        <v>0</v>
      </c>
      <c r="H904">
        <v>25</v>
      </c>
      <c r="I904">
        <v>40</v>
      </c>
      <c r="J904">
        <v>32</v>
      </c>
      <c r="K904">
        <v>0</v>
      </c>
      <c r="L904">
        <v>28</v>
      </c>
      <c r="M904">
        <v>3</v>
      </c>
      <c r="N904">
        <v>240</v>
      </c>
      <c r="O904" s="3">
        <f t="shared" si="50"/>
        <v>1.4285714285714286</v>
      </c>
      <c r="P904">
        <f t="shared" si="48"/>
        <v>0</v>
      </c>
      <c r="Q904">
        <f t="shared" si="49"/>
        <v>0</v>
      </c>
    </row>
    <row r="905" spans="1:17" x14ac:dyDescent="0.2">
      <c r="A905" t="s">
        <v>58</v>
      </c>
      <c r="B905" t="s">
        <v>668</v>
      </c>
      <c r="C905">
        <v>360</v>
      </c>
      <c r="D905" s="2">
        <v>0</v>
      </c>
      <c r="E905">
        <v>13</v>
      </c>
      <c r="F905">
        <v>2.5</v>
      </c>
      <c r="G905">
        <v>0</v>
      </c>
      <c r="H905">
        <v>0</v>
      </c>
      <c r="I905">
        <v>1080</v>
      </c>
      <c r="J905">
        <v>57</v>
      </c>
      <c r="K905">
        <v>6</v>
      </c>
      <c r="L905">
        <v>1</v>
      </c>
      <c r="M905">
        <v>5</v>
      </c>
      <c r="N905">
        <v>359</v>
      </c>
      <c r="O905" s="3">
        <f t="shared" si="50"/>
        <v>1.3888888888888888</v>
      </c>
      <c r="P905">
        <f t="shared" si="48"/>
        <v>1</v>
      </c>
      <c r="Q905">
        <f t="shared" si="49"/>
        <v>0</v>
      </c>
    </row>
    <row r="906" spans="1:17" x14ac:dyDescent="0.2">
      <c r="A906" t="s">
        <v>58</v>
      </c>
      <c r="B906" t="s">
        <v>669</v>
      </c>
      <c r="C906">
        <v>290</v>
      </c>
      <c r="D906" s="2">
        <v>0</v>
      </c>
      <c r="E906">
        <v>14</v>
      </c>
      <c r="F906">
        <v>7</v>
      </c>
      <c r="G906">
        <v>0</v>
      </c>
      <c r="H906">
        <v>20</v>
      </c>
      <c r="I906">
        <v>230</v>
      </c>
      <c r="J906">
        <v>39</v>
      </c>
      <c r="K906">
        <v>4</v>
      </c>
      <c r="L906">
        <v>21</v>
      </c>
      <c r="M906">
        <v>4</v>
      </c>
      <c r="N906">
        <v>314</v>
      </c>
      <c r="O906" s="3">
        <f t="shared" si="50"/>
        <v>1.3793103448275863</v>
      </c>
      <c r="P906">
        <f t="shared" si="48"/>
        <v>0</v>
      </c>
      <c r="Q906">
        <f t="shared" si="49"/>
        <v>0</v>
      </c>
    </row>
    <row r="907" spans="1:17" x14ac:dyDescent="0.2">
      <c r="A907" t="s">
        <v>58</v>
      </c>
      <c r="B907" t="s">
        <v>675</v>
      </c>
      <c r="C907">
        <v>530</v>
      </c>
      <c r="D907" s="2">
        <v>0</v>
      </c>
      <c r="E907">
        <v>24</v>
      </c>
      <c r="F907">
        <v>4.5</v>
      </c>
      <c r="G907">
        <v>0</v>
      </c>
      <c r="H907">
        <v>0</v>
      </c>
      <c r="I907">
        <v>520</v>
      </c>
      <c r="J907">
        <v>70</v>
      </c>
      <c r="K907">
        <v>6</v>
      </c>
      <c r="L907">
        <v>0</v>
      </c>
      <c r="M907">
        <v>7</v>
      </c>
      <c r="N907">
        <v>528</v>
      </c>
      <c r="O907" s="3">
        <f t="shared" si="50"/>
        <v>1.3207547169811322</v>
      </c>
      <c r="P907">
        <f t="shared" si="48"/>
        <v>1</v>
      </c>
      <c r="Q907">
        <f t="shared" si="49"/>
        <v>0</v>
      </c>
    </row>
    <row r="908" spans="1:17" x14ac:dyDescent="0.2">
      <c r="A908" t="s">
        <v>58</v>
      </c>
      <c r="B908" t="s">
        <v>680</v>
      </c>
      <c r="C908">
        <v>230</v>
      </c>
      <c r="D908" s="2">
        <v>0</v>
      </c>
      <c r="E908">
        <v>10</v>
      </c>
      <c r="F908">
        <v>2</v>
      </c>
      <c r="G908">
        <v>0</v>
      </c>
      <c r="H908">
        <v>0</v>
      </c>
      <c r="I908">
        <v>15</v>
      </c>
      <c r="J908">
        <v>30</v>
      </c>
      <c r="K908">
        <v>3</v>
      </c>
      <c r="L908">
        <v>0</v>
      </c>
      <c r="M908">
        <v>3</v>
      </c>
      <c r="N908">
        <v>229</v>
      </c>
      <c r="O908" s="3">
        <f t="shared" si="50"/>
        <v>1.3043478260869565</v>
      </c>
      <c r="P908">
        <f t="shared" si="48"/>
        <v>0</v>
      </c>
      <c r="Q908">
        <f t="shared" si="49"/>
        <v>0</v>
      </c>
    </row>
    <row r="909" spans="1:17" x14ac:dyDescent="0.2">
      <c r="A909" t="s">
        <v>58</v>
      </c>
      <c r="B909" t="s">
        <v>681</v>
      </c>
      <c r="C909">
        <v>230</v>
      </c>
      <c r="D909" s="2">
        <v>0</v>
      </c>
      <c r="E909">
        <v>8</v>
      </c>
      <c r="F909">
        <v>1.5</v>
      </c>
      <c r="G909">
        <v>0</v>
      </c>
      <c r="H909">
        <v>0</v>
      </c>
      <c r="I909">
        <v>680</v>
      </c>
      <c r="J909">
        <v>35</v>
      </c>
      <c r="K909">
        <v>4</v>
      </c>
      <c r="L909">
        <v>0</v>
      </c>
      <c r="M909">
        <v>3</v>
      </c>
      <c r="N909">
        <v>229</v>
      </c>
      <c r="O909" s="3">
        <f t="shared" si="50"/>
        <v>1.3043478260869565</v>
      </c>
      <c r="P909">
        <f t="shared" si="48"/>
        <v>1</v>
      </c>
      <c r="Q909">
        <f t="shared" si="49"/>
        <v>0</v>
      </c>
    </row>
    <row r="910" spans="1:17" x14ac:dyDescent="0.2">
      <c r="A910" t="s">
        <v>58</v>
      </c>
      <c r="B910" t="s">
        <v>687</v>
      </c>
      <c r="C910">
        <v>240</v>
      </c>
      <c r="D910" s="2">
        <v>0</v>
      </c>
      <c r="E910">
        <v>8</v>
      </c>
      <c r="F910">
        <v>5</v>
      </c>
      <c r="G910">
        <v>0</v>
      </c>
      <c r="H910">
        <v>25</v>
      </c>
      <c r="I910">
        <v>45</v>
      </c>
      <c r="J910">
        <v>40</v>
      </c>
      <c r="K910">
        <v>0</v>
      </c>
      <c r="L910">
        <v>36</v>
      </c>
      <c r="M910">
        <v>3</v>
      </c>
      <c r="N910">
        <v>278</v>
      </c>
      <c r="O910" s="3">
        <f t="shared" si="50"/>
        <v>1.25</v>
      </c>
      <c r="P910">
        <f t="shared" si="48"/>
        <v>0</v>
      </c>
      <c r="Q910">
        <f t="shared" si="49"/>
        <v>0</v>
      </c>
    </row>
    <row r="911" spans="1:17" x14ac:dyDescent="0.2">
      <c r="A911" t="s">
        <v>58</v>
      </c>
      <c r="B911" t="s">
        <v>688</v>
      </c>
      <c r="C911">
        <v>160</v>
      </c>
      <c r="D911" s="2">
        <v>0</v>
      </c>
      <c r="E911">
        <v>6</v>
      </c>
      <c r="F911">
        <v>3.5</v>
      </c>
      <c r="G911">
        <v>0</v>
      </c>
      <c r="H911">
        <v>20</v>
      </c>
      <c r="I911">
        <v>30</v>
      </c>
      <c r="J911">
        <v>26</v>
      </c>
      <c r="K911">
        <v>0</v>
      </c>
      <c r="L911">
        <v>24</v>
      </c>
      <c r="M911">
        <v>2</v>
      </c>
      <c r="N911">
        <v>186</v>
      </c>
      <c r="O911" s="3">
        <f t="shared" si="50"/>
        <v>1.25</v>
      </c>
      <c r="P911">
        <f t="shared" si="48"/>
        <v>0</v>
      </c>
      <c r="Q911">
        <f t="shared" si="49"/>
        <v>0</v>
      </c>
    </row>
    <row r="912" spans="1:17" x14ac:dyDescent="0.2">
      <c r="A912" t="s">
        <v>58</v>
      </c>
      <c r="B912" t="s">
        <v>695</v>
      </c>
      <c r="C912">
        <v>250</v>
      </c>
      <c r="D912" s="2">
        <v>0</v>
      </c>
      <c r="E912">
        <v>8</v>
      </c>
      <c r="F912">
        <v>5</v>
      </c>
      <c r="G912">
        <v>0</v>
      </c>
      <c r="H912">
        <v>25</v>
      </c>
      <c r="I912">
        <v>40</v>
      </c>
      <c r="J912">
        <v>42</v>
      </c>
      <c r="K912">
        <v>0</v>
      </c>
      <c r="L912">
        <v>39</v>
      </c>
      <c r="M912">
        <v>3</v>
      </c>
      <c r="N912">
        <v>291</v>
      </c>
      <c r="O912" s="3">
        <f t="shared" si="50"/>
        <v>1.2</v>
      </c>
      <c r="P912">
        <f t="shared" si="48"/>
        <v>0</v>
      </c>
      <c r="Q912">
        <f t="shared" si="49"/>
        <v>0</v>
      </c>
    </row>
    <row r="913" spans="1:17" x14ac:dyDescent="0.2">
      <c r="A913" t="s">
        <v>58</v>
      </c>
      <c r="B913" t="s">
        <v>696</v>
      </c>
      <c r="C913">
        <v>170</v>
      </c>
      <c r="D913" s="2">
        <v>0</v>
      </c>
      <c r="E913">
        <v>6</v>
      </c>
      <c r="F913">
        <v>3.5</v>
      </c>
      <c r="G913">
        <v>0</v>
      </c>
      <c r="H913">
        <v>20</v>
      </c>
      <c r="I913">
        <v>30</v>
      </c>
      <c r="J913">
        <v>28</v>
      </c>
      <c r="K913">
        <v>0</v>
      </c>
      <c r="L913">
        <v>25</v>
      </c>
      <c r="M913">
        <v>2</v>
      </c>
      <c r="N913">
        <v>197</v>
      </c>
      <c r="O913" s="3">
        <f t="shared" si="50"/>
        <v>1.1764705882352942</v>
      </c>
      <c r="P913">
        <f t="shared" si="48"/>
        <v>0</v>
      </c>
      <c r="Q913">
        <f t="shared" si="49"/>
        <v>0</v>
      </c>
    </row>
    <row r="914" spans="1:17" x14ac:dyDescent="0.2">
      <c r="A914" t="s">
        <v>58</v>
      </c>
      <c r="B914" t="s">
        <v>697</v>
      </c>
      <c r="C914">
        <v>170</v>
      </c>
      <c r="D914" s="2">
        <v>0</v>
      </c>
      <c r="E914">
        <v>6</v>
      </c>
      <c r="F914">
        <v>3.5</v>
      </c>
      <c r="G914">
        <v>0</v>
      </c>
      <c r="H914">
        <v>20</v>
      </c>
      <c r="I914">
        <v>30</v>
      </c>
      <c r="J914">
        <v>28</v>
      </c>
      <c r="K914">
        <v>0</v>
      </c>
      <c r="L914">
        <v>26</v>
      </c>
      <c r="M914">
        <v>2</v>
      </c>
      <c r="N914">
        <v>198</v>
      </c>
      <c r="O914" s="3">
        <f t="shared" si="50"/>
        <v>1.1764705882352942</v>
      </c>
      <c r="P914">
        <f t="shared" si="48"/>
        <v>0</v>
      </c>
      <c r="Q914">
        <f t="shared" si="49"/>
        <v>0</v>
      </c>
    </row>
    <row r="915" spans="1:17" x14ac:dyDescent="0.2">
      <c r="A915" t="s">
        <v>58</v>
      </c>
      <c r="B915" t="s">
        <v>718</v>
      </c>
      <c r="C915">
        <v>310</v>
      </c>
      <c r="D915" s="2">
        <v>0</v>
      </c>
      <c r="E915">
        <v>16</v>
      </c>
      <c r="F915">
        <v>8</v>
      </c>
      <c r="G915">
        <v>0</v>
      </c>
      <c r="H915">
        <v>20</v>
      </c>
      <c r="I915">
        <v>210</v>
      </c>
      <c r="J915">
        <v>40</v>
      </c>
      <c r="K915">
        <v>2</v>
      </c>
      <c r="L915">
        <v>24</v>
      </c>
      <c r="M915">
        <v>3</v>
      </c>
      <c r="N915">
        <v>339</v>
      </c>
      <c r="O915" s="3">
        <f t="shared" si="50"/>
        <v>0.967741935483871</v>
      </c>
      <c r="P915">
        <f t="shared" si="48"/>
        <v>0</v>
      </c>
      <c r="Q915">
        <f t="shared" si="49"/>
        <v>0</v>
      </c>
    </row>
    <row r="916" spans="1:17" x14ac:dyDescent="0.2">
      <c r="A916" t="s">
        <v>58</v>
      </c>
      <c r="B916" t="s">
        <v>684</v>
      </c>
      <c r="C916">
        <v>330</v>
      </c>
      <c r="D916" s="2">
        <v>0</v>
      </c>
      <c r="E916">
        <v>16</v>
      </c>
      <c r="F916">
        <v>8</v>
      </c>
      <c r="G916">
        <v>0</v>
      </c>
      <c r="H916">
        <v>25</v>
      </c>
      <c r="I916">
        <v>300</v>
      </c>
      <c r="J916">
        <v>43</v>
      </c>
      <c r="K916">
        <v>1</v>
      </c>
      <c r="L916">
        <v>24</v>
      </c>
      <c r="M916">
        <v>3</v>
      </c>
      <c r="N916">
        <v>359</v>
      </c>
      <c r="O916" s="3">
        <f t="shared" si="50"/>
        <v>0.90909090909090906</v>
      </c>
      <c r="P916">
        <f t="shared" si="48"/>
        <v>0</v>
      </c>
      <c r="Q916">
        <f t="shared" si="49"/>
        <v>0</v>
      </c>
    </row>
    <row r="917" spans="1:17" x14ac:dyDescent="0.2">
      <c r="A917" t="s">
        <v>58</v>
      </c>
      <c r="B917" t="s">
        <v>735</v>
      </c>
      <c r="C917">
        <v>120</v>
      </c>
      <c r="D917" s="2">
        <v>0</v>
      </c>
      <c r="E917">
        <v>12</v>
      </c>
      <c r="F917">
        <v>2</v>
      </c>
      <c r="G917">
        <v>0</v>
      </c>
      <c r="H917">
        <v>0</v>
      </c>
      <c r="I917">
        <v>170</v>
      </c>
      <c r="J917">
        <v>4</v>
      </c>
      <c r="K917">
        <v>1</v>
      </c>
      <c r="L917">
        <v>3</v>
      </c>
      <c r="M917">
        <v>1</v>
      </c>
      <c r="N917">
        <v>124</v>
      </c>
      <c r="O917" s="3">
        <f t="shared" si="50"/>
        <v>0.83333333333333337</v>
      </c>
      <c r="P917">
        <f t="shared" si="48"/>
        <v>0</v>
      </c>
      <c r="Q917">
        <f t="shared" si="49"/>
        <v>0</v>
      </c>
    </row>
    <row r="918" spans="1:17" x14ac:dyDescent="0.2">
      <c r="A918" t="s">
        <v>58</v>
      </c>
      <c r="B918" t="s">
        <v>881</v>
      </c>
      <c r="C918">
        <v>35</v>
      </c>
      <c r="D918" s="2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9</v>
      </c>
      <c r="K918">
        <v>2</v>
      </c>
      <c r="L918">
        <v>7</v>
      </c>
      <c r="M918">
        <v>0</v>
      </c>
      <c r="N918">
        <v>42</v>
      </c>
      <c r="O918" s="3">
        <f t="shared" si="50"/>
        <v>0</v>
      </c>
      <c r="P918">
        <f t="shared" si="48"/>
        <v>0</v>
      </c>
      <c r="Q918">
        <f t="shared" si="49"/>
        <v>0</v>
      </c>
    </row>
    <row r="919" spans="1:17" x14ac:dyDescent="0.2">
      <c r="A919" t="s">
        <v>58</v>
      </c>
      <c r="B919" t="s">
        <v>882</v>
      </c>
      <c r="C919">
        <v>20</v>
      </c>
      <c r="D919" s="2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5</v>
      </c>
      <c r="K919">
        <v>1</v>
      </c>
      <c r="L919">
        <v>3</v>
      </c>
      <c r="M919">
        <v>0</v>
      </c>
      <c r="N919">
        <v>23</v>
      </c>
      <c r="O919" s="3">
        <f t="shared" si="50"/>
        <v>0</v>
      </c>
      <c r="P919">
        <f t="shared" si="48"/>
        <v>0</v>
      </c>
      <c r="Q919">
        <f t="shared" si="49"/>
        <v>0</v>
      </c>
    </row>
    <row r="920" spans="1:17" x14ac:dyDescent="0.2">
      <c r="A920" t="s">
        <v>58</v>
      </c>
      <c r="B920" t="s">
        <v>883</v>
      </c>
      <c r="C920">
        <v>380</v>
      </c>
      <c r="D920" s="2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100</v>
      </c>
      <c r="K920">
        <v>0</v>
      </c>
      <c r="L920">
        <v>93</v>
      </c>
      <c r="M920">
        <v>0</v>
      </c>
      <c r="N920">
        <v>473</v>
      </c>
      <c r="O920" s="3">
        <f t="shared" si="50"/>
        <v>0</v>
      </c>
      <c r="P920">
        <f t="shared" si="48"/>
        <v>0</v>
      </c>
      <c r="Q920">
        <f t="shared" si="49"/>
        <v>0</v>
      </c>
    </row>
    <row r="921" spans="1:17" x14ac:dyDescent="0.2">
      <c r="A921" t="s">
        <v>58</v>
      </c>
      <c r="B921" t="s">
        <v>884</v>
      </c>
      <c r="C921">
        <v>330</v>
      </c>
      <c r="D921" s="2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86</v>
      </c>
      <c r="K921">
        <v>0</v>
      </c>
      <c r="L921">
        <v>81</v>
      </c>
      <c r="M921">
        <v>0</v>
      </c>
      <c r="N921">
        <v>411</v>
      </c>
      <c r="O921" s="3">
        <f t="shared" si="50"/>
        <v>0</v>
      </c>
      <c r="P921">
        <f t="shared" si="48"/>
        <v>0</v>
      </c>
      <c r="Q921">
        <f t="shared" si="49"/>
        <v>0</v>
      </c>
    </row>
    <row r="922" spans="1:17" x14ac:dyDescent="0.2">
      <c r="A922" t="s">
        <v>58</v>
      </c>
      <c r="B922" t="s">
        <v>885</v>
      </c>
      <c r="C922">
        <v>190</v>
      </c>
      <c r="D922" s="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50</v>
      </c>
      <c r="K922">
        <v>0</v>
      </c>
      <c r="L922">
        <v>47</v>
      </c>
      <c r="M922">
        <v>0</v>
      </c>
      <c r="N922">
        <v>237</v>
      </c>
      <c r="O922" s="3">
        <f t="shared" si="50"/>
        <v>0</v>
      </c>
      <c r="P922">
        <f t="shared" si="48"/>
        <v>0</v>
      </c>
      <c r="Q922">
        <f t="shared" si="49"/>
        <v>0</v>
      </c>
    </row>
    <row r="923" spans="1:17" x14ac:dyDescent="0.2">
      <c r="A923" t="s">
        <v>58</v>
      </c>
      <c r="B923" t="s">
        <v>886</v>
      </c>
      <c r="C923">
        <v>330</v>
      </c>
      <c r="D923" s="2">
        <v>0</v>
      </c>
      <c r="E923">
        <v>0</v>
      </c>
      <c r="F923">
        <v>0</v>
      </c>
      <c r="G923">
        <v>0</v>
      </c>
      <c r="H923">
        <v>0</v>
      </c>
      <c r="I923">
        <v>60</v>
      </c>
      <c r="J923">
        <v>83</v>
      </c>
      <c r="K923">
        <v>0</v>
      </c>
      <c r="L923">
        <v>80</v>
      </c>
      <c r="M923">
        <v>0</v>
      </c>
      <c r="N923">
        <v>410</v>
      </c>
      <c r="O923" s="3">
        <f t="shared" si="50"/>
        <v>0</v>
      </c>
      <c r="P923">
        <f t="shared" si="48"/>
        <v>0</v>
      </c>
      <c r="Q923">
        <f t="shared" si="49"/>
        <v>0</v>
      </c>
    </row>
    <row r="924" spans="1:17" x14ac:dyDescent="0.2">
      <c r="A924" t="s">
        <v>58</v>
      </c>
      <c r="B924" t="s">
        <v>887</v>
      </c>
      <c r="C924">
        <v>300</v>
      </c>
      <c r="D924" s="2">
        <v>0</v>
      </c>
      <c r="E924">
        <v>0</v>
      </c>
      <c r="F924">
        <v>0</v>
      </c>
      <c r="G924">
        <v>0</v>
      </c>
      <c r="H924">
        <v>0</v>
      </c>
      <c r="I924">
        <v>50</v>
      </c>
      <c r="J924">
        <v>76</v>
      </c>
      <c r="K924">
        <v>0</v>
      </c>
      <c r="L924">
        <v>73</v>
      </c>
      <c r="M924">
        <v>0</v>
      </c>
      <c r="N924">
        <v>373</v>
      </c>
      <c r="O924" s="3">
        <f t="shared" si="50"/>
        <v>0</v>
      </c>
      <c r="P924">
        <f t="shared" si="48"/>
        <v>0</v>
      </c>
      <c r="Q924">
        <f t="shared" si="49"/>
        <v>0</v>
      </c>
    </row>
    <row r="925" spans="1:17" x14ac:dyDescent="0.2">
      <c r="A925" t="s">
        <v>58</v>
      </c>
      <c r="B925" t="s">
        <v>888</v>
      </c>
      <c r="C925">
        <v>170</v>
      </c>
      <c r="D925" s="2">
        <v>0</v>
      </c>
      <c r="E925">
        <v>0</v>
      </c>
      <c r="F925">
        <v>0</v>
      </c>
      <c r="G925">
        <v>0</v>
      </c>
      <c r="H925">
        <v>0</v>
      </c>
      <c r="I925">
        <v>30</v>
      </c>
      <c r="J925">
        <v>44</v>
      </c>
      <c r="K925">
        <v>0</v>
      </c>
      <c r="L925">
        <v>42</v>
      </c>
      <c r="M925">
        <v>0</v>
      </c>
      <c r="N925">
        <v>212</v>
      </c>
      <c r="O925" s="3">
        <f t="shared" si="50"/>
        <v>0</v>
      </c>
      <c r="P925">
        <f t="shared" si="48"/>
        <v>0</v>
      </c>
      <c r="Q925">
        <f t="shared" si="49"/>
        <v>0</v>
      </c>
    </row>
    <row r="926" spans="1:17" x14ac:dyDescent="0.2">
      <c r="A926" t="s">
        <v>58</v>
      </c>
      <c r="B926" t="s">
        <v>889</v>
      </c>
      <c r="C926">
        <v>450</v>
      </c>
      <c r="D926" s="2">
        <v>0</v>
      </c>
      <c r="E926">
        <v>0</v>
      </c>
      <c r="F926">
        <v>0</v>
      </c>
      <c r="G926">
        <v>0</v>
      </c>
      <c r="H926">
        <v>0</v>
      </c>
      <c r="I926">
        <v>180</v>
      </c>
      <c r="J926">
        <v>122</v>
      </c>
      <c r="K926">
        <v>0</v>
      </c>
      <c r="L926">
        <v>122</v>
      </c>
      <c r="M926">
        <v>0</v>
      </c>
      <c r="N926">
        <v>572</v>
      </c>
      <c r="O926" s="3">
        <f t="shared" si="50"/>
        <v>0</v>
      </c>
      <c r="P926">
        <f t="shared" si="48"/>
        <v>0</v>
      </c>
      <c r="Q926">
        <f t="shared" si="49"/>
        <v>0</v>
      </c>
    </row>
    <row r="927" spans="1:17" x14ac:dyDescent="0.2">
      <c r="A927" t="s">
        <v>58</v>
      </c>
      <c r="B927" t="s">
        <v>890</v>
      </c>
      <c r="C927">
        <v>360</v>
      </c>
      <c r="D927" s="2">
        <v>0</v>
      </c>
      <c r="E927">
        <v>0</v>
      </c>
      <c r="F927">
        <v>0</v>
      </c>
      <c r="G927">
        <v>0</v>
      </c>
      <c r="H927">
        <v>0</v>
      </c>
      <c r="I927">
        <v>150</v>
      </c>
      <c r="J927">
        <v>98</v>
      </c>
      <c r="K927">
        <v>0</v>
      </c>
      <c r="L927">
        <v>98</v>
      </c>
      <c r="M927">
        <v>0</v>
      </c>
      <c r="N927">
        <v>458</v>
      </c>
      <c r="O927" s="3">
        <f t="shared" si="50"/>
        <v>0</v>
      </c>
      <c r="P927">
        <f t="shared" si="48"/>
        <v>0</v>
      </c>
      <c r="Q927">
        <f t="shared" si="49"/>
        <v>0</v>
      </c>
    </row>
    <row r="928" spans="1:17" x14ac:dyDescent="0.2">
      <c r="A928" t="s">
        <v>58</v>
      </c>
      <c r="B928" t="s">
        <v>891</v>
      </c>
      <c r="C928">
        <v>220</v>
      </c>
      <c r="D928" s="2">
        <v>0</v>
      </c>
      <c r="E928">
        <v>0</v>
      </c>
      <c r="F928">
        <v>0</v>
      </c>
      <c r="G928">
        <v>0</v>
      </c>
      <c r="H928">
        <v>0</v>
      </c>
      <c r="I928">
        <v>90</v>
      </c>
      <c r="J928">
        <v>61</v>
      </c>
      <c r="K928">
        <v>0</v>
      </c>
      <c r="L928">
        <v>61</v>
      </c>
      <c r="M928">
        <v>0</v>
      </c>
      <c r="N928">
        <v>281</v>
      </c>
      <c r="O928" s="3">
        <f t="shared" si="50"/>
        <v>0</v>
      </c>
      <c r="P928">
        <f t="shared" ref="P928:P977" si="51">IF(I928&gt;2300*0.2,1,0)</f>
        <v>0</v>
      </c>
      <c r="Q928">
        <f t="shared" ref="Q928:Q977" si="52">IF(H928&gt;300,1,0)</f>
        <v>0</v>
      </c>
    </row>
    <row r="929" spans="1:17" x14ac:dyDescent="0.2">
      <c r="A929" t="s">
        <v>58</v>
      </c>
      <c r="B929" t="s">
        <v>892</v>
      </c>
      <c r="C929">
        <v>5</v>
      </c>
      <c r="D929" s="2">
        <v>0</v>
      </c>
      <c r="E929">
        <v>0</v>
      </c>
      <c r="F929">
        <v>0</v>
      </c>
      <c r="G929">
        <v>0</v>
      </c>
      <c r="H929">
        <v>0</v>
      </c>
      <c r="I929">
        <v>25</v>
      </c>
      <c r="J929">
        <v>2</v>
      </c>
      <c r="K929">
        <v>0</v>
      </c>
      <c r="L929">
        <v>0</v>
      </c>
      <c r="M929">
        <v>0</v>
      </c>
      <c r="N929">
        <v>5</v>
      </c>
      <c r="O929" s="3">
        <f t="shared" si="50"/>
        <v>0</v>
      </c>
      <c r="P929">
        <f t="shared" si="51"/>
        <v>0</v>
      </c>
      <c r="Q929">
        <f t="shared" si="52"/>
        <v>0</v>
      </c>
    </row>
    <row r="930" spans="1:17" x14ac:dyDescent="0.2">
      <c r="A930" t="s">
        <v>58</v>
      </c>
      <c r="B930" t="s">
        <v>893</v>
      </c>
      <c r="C930">
        <v>0</v>
      </c>
      <c r="D930" s="2">
        <v>0</v>
      </c>
      <c r="E930">
        <v>0</v>
      </c>
      <c r="F930">
        <v>0</v>
      </c>
      <c r="G930">
        <v>0</v>
      </c>
      <c r="H930">
        <v>0</v>
      </c>
      <c r="I930">
        <v>15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f t="shared" si="51"/>
        <v>0</v>
      </c>
      <c r="Q930">
        <f t="shared" si="52"/>
        <v>0</v>
      </c>
    </row>
    <row r="931" spans="1:17" x14ac:dyDescent="0.2">
      <c r="A931" t="s">
        <v>58</v>
      </c>
      <c r="B931" t="s">
        <v>894</v>
      </c>
      <c r="C931">
        <v>0</v>
      </c>
      <c r="D931" s="2">
        <v>0</v>
      </c>
      <c r="E931">
        <v>0</v>
      </c>
      <c r="F931">
        <v>0</v>
      </c>
      <c r="G931">
        <v>0</v>
      </c>
      <c r="H931">
        <v>0</v>
      </c>
      <c r="I931">
        <v>10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f t="shared" si="51"/>
        <v>0</v>
      </c>
      <c r="Q931">
        <f t="shared" si="52"/>
        <v>0</v>
      </c>
    </row>
    <row r="932" spans="1:17" x14ac:dyDescent="0.2">
      <c r="A932" t="s">
        <v>58</v>
      </c>
      <c r="B932" t="s">
        <v>895</v>
      </c>
      <c r="C932">
        <v>400</v>
      </c>
      <c r="D932" s="2">
        <v>0</v>
      </c>
      <c r="E932">
        <v>0</v>
      </c>
      <c r="F932">
        <v>0</v>
      </c>
      <c r="G932">
        <v>0</v>
      </c>
      <c r="H932">
        <v>0</v>
      </c>
      <c r="I932">
        <v>90</v>
      </c>
      <c r="J932">
        <v>109</v>
      </c>
      <c r="K932">
        <v>0</v>
      </c>
      <c r="L932">
        <v>109</v>
      </c>
      <c r="M932">
        <v>0</v>
      </c>
      <c r="N932">
        <v>509</v>
      </c>
      <c r="O932" s="3">
        <f>M932/C932*100</f>
        <v>0</v>
      </c>
      <c r="P932">
        <f t="shared" si="51"/>
        <v>0</v>
      </c>
      <c r="Q932">
        <f t="shared" si="52"/>
        <v>0</v>
      </c>
    </row>
    <row r="933" spans="1:17" x14ac:dyDescent="0.2">
      <c r="A933" t="s">
        <v>58</v>
      </c>
      <c r="B933" t="s">
        <v>896</v>
      </c>
      <c r="C933">
        <v>320</v>
      </c>
      <c r="D933" s="2">
        <v>0</v>
      </c>
      <c r="E933">
        <v>0</v>
      </c>
      <c r="F933">
        <v>0</v>
      </c>
      <c r="G933">
        <v>0</v>
      </c>
      <c r="H933">
        <v>0</v>
      </c>
      <c r="I933">
        <v>70</v>
      </c>
      <c r="J933">
        <v>87</v>
      </c>
      <c r="K933">
        <v>0</v>
      </c>
      <c r="L933">
        <v>87</v>
      </c>
      <c r="M933">
        <v>0</v>
      </c>
      <c r="N933">
        <v>407</v>
      </c>
      <c r="O933" s="3">
        <f>M933/C933*100</f>
        <v>0</v>
      </c>
      <c r="P933">
        <f t="shared" si="51"/>
        <v>0</v>
      </c>
      <c r="Q933">
        <f t="shared" si="52"/>
        <v>0</v>
      </c>
    </row>
    <row r="934" spans="1:17" x14ac:dyDescent="0.2">
      <c r="A934" t="s">
        <v>58</v>
      </c>
      <c r="B934" t="s">
        <v>897</v>
      </c>
      <c r="C934">
        <v>200</v>
      </c>
      <c r="D934" s="2">
        <v>0</v>
      </c>
      <c r="E934">
        <v>0</v>
      </c>
      <c r="F934">
        <v>0</v>
      </c>
      <c r="G934">
        <v>0</v>
      </c>
      <c r="H934">
        <v>0</v>
      </c>
      <c r="I934">
        <v>45</v>
      </c>
      <c r="J934">
        <v>54</v>
      </c>
      <c r="K934">
        <v>0</v>
      </c>
      <c r="L934">
        <v>54</v>
      </c>
      <c r="M934">
        <v>0</v>
      </c>
      <c r="N934">
        <v>254</v>
      </c>
      <c r="O934" s="3">
        <f>M934/C934*100</f>
        <v>0</v>
      </c>
      <c r="P934">
        <f t="shared" si="51"/>
        <v>0</v>
      </c>
      <c r="Q934">
        <f t="shared" si="52"/>
        <v>0</v>
      </c>
    </row>
    <row r="935" spans="1:17" x14ac:dyDescent="0.2">
      <c r="A935" t="s">
        <v>58</v>
      </c>
      <c r="B935" t="s">
        <v>898</v>
      </c>
      <c r="C935">
        <v>0</v>
      </c>
      <c r="D935" s="2">
        <v>0</v>
      </c>
      <c r="E935">
        <v>0</v>
      </c>
      <c r="F935">
        <v>0</v>
      </c>
      <c r="G935">
        <v>0</v>
      </c>
      <c r="H935">
        <v>0</v>
      </c>
      <c r="I935">
        <v>100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f t="shared" si="51"/>
        <v>0</v>
      </c>
      <c r="Q935">
        <f t="shared" si="52"/>
        <v>0</v>
      </c>
    </row>
    <row r="936" spans="1:17" x14ac:dyDescent="0.2">
      <c r="A936" t="s">
        <v>58</v>
      </c>
      <c r="B936" t="s">
        <v>899</v>
      </c>
      <c r="C936">
        <v>0</v>
      </c>
      <c r="D936" s="2">
        <v>0</v>
      </c>
      <c r="E936">
        <v>0</v>
      </c>
      <c r="F936">
        <v>0</v>
      </c>
      <c r="G936">
        <v>0</v>
      </c>
      <c r="H936">
        <v>0</v>
      </c>
      <c r="I936">
        <v>80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f t="shared" si="51"/>
        <v>0</v>
      </c>
      <c r="Q936">
        <f t="shared" si="52"/>
        <v>0</v>
      </c>
    </row>
    <row r="937" spans="1:17" x14ac:dyDescent="0.2">
      <c r="A937" t="s">
        <v>58</v>
      </c>
      <c r="B937" t="s">
        <v>900</v>
      </c>
      <c r="C937">
        <v>0</v>
      </c>
      <c r="D937" s="2">
        <v>0</v>
      </c>
      <c r="E937">
        <v>0</v>
      </c>
      <c r="F937">
        <v>0</v>
      </c>
      <c r="G937">
        <v>0</v>
      </c>
      <c r="H937">
        <v>0</v>
      </c>
      <c r="I937">
        <v>50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51"/>
        <v>0</v>
      </c>
      <c r="Q937">
        <f t="shared" si="52"/>
        <v>0</v>
      </c>
    </row>
    <row r="938" spans="1:17" x14ac:dyDescent="0.2">
      <c r="A938" t="s">
        <v>58</v>
      </c>
      <c r="B938" t="s">
        <v>901</v>
      </c>
      <c r="C938">
        <v>0</v>
      </c>
      <c r="D938" s="2">
        <v>0</v>
      </c>
      <c r="E938">
        <v>0</v>
      </c>
      <c r="F938">
        <v>0</v>
      </c>
      <c r="G938">
        <v>0</v>
      </c>
      <c r="H938">
        <v>0</v>
      </c>
      <c r="I938">
        <v>125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51"/>
        <v>0</v>
      </c>
      <c r="Q938">
        <f t="shared" si="52"/>
        <v>0</v>
      </c>
    </row>
    <row r="939" spans="1:17" x14ac:dyDescent="0.2">
      <c r="A939" t="s">
        <v>58</v>
      </c>
      <c r="B939" t="s">
        <v>902</v>
      </c>
      <c r="C939">
        <v>0</v>
      </c>
      <c r="D939" s="2">
        <v>0</v>
      </c>
      <c r="E939">
        <v>0</v>
      </c>
      <c r="F939">
        <v>0</v>
      </c>
      <c r="G939">
        <v>0</v>
      </c>
      <c r="H939">
        <v>0</v>
      </c>
      <c r="I939">
        <v>100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f t="shared" si="51"/>
        <v>0</v>
      </c>
      <c r="Q939">
        <f t="shared" si="52"/>
        <v>0</v>
      </c>
    </row>
    <row r="940" spans="1:17" x14ac:dyDescent="0.2">
      <c r="A940" t="s">
        <v>58</v>
      </c>
      <c r="B940" t="s">
        <v>903</v>
      </c>
      <c r="C940">
        <v>0</v>
      </c>
      <c r="D940" s="2">
        <v>0</v>
      </c>
      <c r="E940">
        <v>0</v>
      </c>
      <c r="F940">
        <v>0</v>
      </c>
      <c r="G940">
        <v>0</v>
      </c>
      <c r="H940">
        <v>0</v>
      </c>
      <c r="I940">
        <v>45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51"/>
        <v>0</v>
      </c>
      <c r="Q940">
        <f t="shared" si="52"/>
        <v>0</v>
      </c>
    </row>
    <row r="941" spans="1:17" x14ac:dyDescent="0.2">
      <c r="A941" t="s">
        <v>58</v>
      </c>
      <c r="B941" t="s">
        <v>904</v>
      </c>
      <c r="C941">
        <v>240</v>
      </c>
      <c r="D941" s="2">
        <v>0</v>
      </c>
      <c r="E941">
        <v>0</v>
      </c>
      <c r="F941">
        <v>0</v>
      </c>
      <c r="G941">
        <v>0</v>
      </c>
      <c r="H941">
        <v>0</v>
      </c>
      <c r="I941">
        <v>70</v>
      </c>
      <c r="J941">
        <v>66</v>
      </c>
      <c r="K941">
        <v>0</v>
      </c>
      <c r="L941">
        <v>64</v>
      </c>
      <c r="M941">
        <v>0</v>
      </c>
      <c r="N941">
        <v>304</v>
      </c>
      <c r="O941" s="3">
        <f t="shared" ref="O941:O952" si="53">M941/C941*100</f>
        <v>0</v>
      </c>
      <c r="P941">
        <f t="shared" si="51"/>
        <v>0</v>
      </c>
      <c r="Q941">
        <f t="shared" si="52"/>
        <v>0</v>
      </c>
    </row>
    <row r="942" spans="1:17" x14ac:dyDescent="0.2">
      <c r="A942" t="s">
        <v>58</v>
      </c>
      <c r="B942" t="s">
        <v>905</v>
      </c>
      <c r="C942">
        <v>190</v>
      </c>
      <c r="D942" s="2">
        <v>0</v>
      </c>
      <c r="E942">
        <v>0</v>
      </c>
      <c r="F942">
        <v>0</v>
      </c>
      <c r="G942">
        <v>0</v>
      </c>
      <c r="H942">
        <v>0</v>
      </c>
      <c r="I942">
        <v>55</v>
      </c>
      <c r="J942">
        <v>53</v>
      </c>
      <c r="K942">
        <v>0</v>
      </c>
      <c r="L942">
        <v>51</v>
      </c>
      <c r="M942">
        <v>0</v>
      </c>
      <c r="N942">
        <v>241</v>
      </c>
      <c r="O942" s="3">
        <f t="shared" si="53"/>
        <v>0</v>
      </c>
      <c r="P942">
        <f t="shared" si="51"/>
        <v>0</v>
      </c>
      <c r="Q942">
        <f t="shared" si="52"/>
        <v>0</v>
      </c>
    </row>
    <row r="943" spans="1:17" x14ac:dyDescent="0.2">
      <c r="A943" t="s">
        <v>58</v>
      </c>
      <c r="B943" t="s">
        <v>906</v>
      </c>
      <c r="C943">
        <v>120</v>
      </c>
      <c r="D943" s="2">
        <v>0</v>
      </c>
      <c r="E943">
        <v>0</v>
      </c>
      <c r="F943">
        <v>0</v>
      </c>
      <c r="G943">
        <v>0</v>
      </c>
      <c r="H943">
        <v>0</v>
      </c>
      <c r="I943">
        <v>35</v>
      </c>
      <c r="J943">
        <v>33</v>
      </c>
      <c r="K943">
        <v>0</v>
      </c>
      <c r="L943">
        <v>32</v>
      </c>
      <c r="M943">
        <v>0</v>
      </c>
      <c r="N943">
        <v>152</v>
      </c>
      <c r="O943" s="3">
        <f t="shared" si="53"/>
        <v>0</v>
      </c>
      <c r="P943">
        <f t="shared" si="51"/>
        <v>0</v>
      </c>
      <c r="Q943">
        <f t="shared" si="52"/>
        <v>0</v>
      </c>
    </row>
    <row r="944" spans="1:17" x14ac:dyDescent="0.2">
      <c r="A944" t="s">
        <v>58</v>
      </c>
      <c r="B944" t="s">
        <v>907</v>
      </c>
      <c r="C944">
        <v>430</v>
      </c>
      <c r="D944" s="2">
        <v>0</v>
      </c>
      <c r="E944">
        <v>0</v>
      </c>
      <c r="F944">
        <v>0</v>
      </c>
      <c r="G944">
        <v>0</v>
      </c>
      <c r="H944">
        <v>0</v>
      </c>
      <c r="I944">
        <v>110</v>
      </c>
      <c r="J944">
        <v>117</v>
      </c>
      <c r="K944">
        <v>0</v>
      </c>
      <c r="L944">
        <v>115</v>
      </c>
      <c r="M944">
        <v>0</v>
      </c>
      <c r="N944">
        <v>545</v>
      </c>
      <c r="O944" s="3">
        <f t="shared" si="53"/>
        <v>0</v>
      </c>
      <c r="P944">
        <f t="shared" si="51"/>
        <v>0</v>
      </c>
      <c r="Q944">
        <f t="shared" si="52"/>
        <v>0</v>
      </c>
    </row>
    <row r="945" spans="1:17" x14ac:dyDescent="0.2">
      <c r="A945" t="s">
        <v>58</v>
      </c>
      <c r="B945" t="s">
        <v>908</v>
      </c>
      <c r="C945">
        <v>340</v>
      </c>
      <c r="D945" s="2">
        <v>0</v>
      </c>
      <c r="E945">
        <v>0</v>
      </c>
      <c r="F945">
        <v>0</v>
      </c>
      <c r="G945">
        <v>0</v>
      </c>
      <c r="H945">
        <v>0</v>
      </c>
      <c r="I945">
        <v>85</v>
      </c>
      <c r="J945">
        <v>94</v>
      </c>
      <c r="K945">
        <v>0</v>
      </c>
      <c r="L945">
        <v>92</v>
      </c>
      <c r="M945">
        <v>0</v>
      </c>
      <c r="N945">
        <v>432</v>
      </c>
      <c r="O945" s="3">
        <f t="shared" si="53"/>
        <v>0</v>
      </c>
      <c r="P945">
        <f t="shared" si="51"/>
        <v>0</v>
      </c>
      <c r="Q945">
        <f t="shared" si="52"/>
        <v>0</v>
      </c>
    </row>
    <row r="946" spans="1:17" x14ac:dyDescent="0.2">
      <c r="A946" t="s">
        <v>58</v>
      </c>
      <c r="B946" t="s">
        <v>909</v>
      </c>
      <c r="C946">
        <v>210</v>
      </c>
      <c r="D946" s="2">
        <v>0</v>
      </c>
      <c r="E946">
        <v>0</v>
      </c>
      <c r="F946">
        <v>0</v>
      </c>
      <c r="G946">
        <v>0</v>
      </c>
      <c r="H946">
        <v>0</v>
      </c>
      <c r="I946">
        <v>55</v>
      </c>
      <c r="J946">
        <v>59</v>
      </c>
      <c r="K946">
        <v>0</v>
      </c>
      <c r="L946">
        <v>58</v>
      </c>
      <c r="M946">
        <v>0</v>
      </c>
      <c r="N946">
        <v>268</v>
      </c>
      <c r="O946" s="3">
        <f t="shared" si="53"/>
        <v>0</v>
      </c>
      <c r="P946">
        <f t="shared" si="51"/>
        <v>0</v>
      </c>
      <c r="Q946">
        <f t="shared" si="52"/>
        <v>0</v>
      </c>
    </row>
    <row r="947" spans="1:17" x14ac:dyDescent="0.2">
      <c r="A947" t="s">
        <v>58</v>
      </c>
      <c r="B947" t="s">
        <v>910</v>
      </c>
      <c r="C947">
        <v>420</v>
      </c>
      <c r="D947" s="2">
        <v>0</v>
      </c>
      <c r="E947">
        <v>0</v>
      </c>
      <c r="F947">
        <v>0</v>
      </c>
      <c r="G947">
        <v>0</v>
      </c>
      <c r="H947">
        <v>0</v>
      </c>
      <c r="I947">
        <v>140</v>
      </c>
      <c r="J947">
        <v>115</v>
      </c>
      <c r="K947">
        <v>0</v>
      </c>
      <c r="L947">
        <v>113</v>
      </c>
      <c r="M947">
        <v>0</v>
      </c>
      <c r="N947">
        <v>533</v>
      </c>
      <c r="O947" s="3">
        <f t="shared" si="53"/>
        <v>0</v>
      </c>
      <c r="P947">
        <f t="shared" si="51"/>
        <v>0</v>
      </c>
      <c r="Q947">
        <f t="shared" si="52"/>
        <v>0</v>
      </c>
    </row>
    <row r="948" spans="1:17" x14ac:dyDescent="0.2">
      <c r="A948" t="s">
        <v>58</v>
      </c>
      <c r="B948" t="s">
        <v>911</v>
      </c>
      <c r="C948">
        <v>340</v>
      </c>
      <c r="D948" s="2">
        <v>0</v>
      </c>
      <c r="E948">
        <v>0</v>
      </c>
      <c r="F948">
        <v>0</v>
      </c>
      <c r="G948">
        <v>0</v>
      </c>
      <c r="H948">
        <v>0</v>
      </c>
      <c r="I948">
        <v>115</v>
      </c>
      <c r="J948">
        <v>92</v>
      </c>
      <c r="K948">
        <v>0</v>
      </c>
      <c r="L948">
        <v>90</v>
      </c>
      <c r="M948">
        <v>0</v>
      </c>
      <c r="N948">
        <v>430</v>
      </c>
      <c r="O948" s="3">
        <f t="shared" si="53"/>
        <v>0</v>
      </c>
      <c r="P948">
        <f t="shared" si="51"/>
        <v>0</v>
      </c>
      <c r="Q948">
        <f t="shared" si="52"/>
        <v>0</v>
      </c>
    </row>
    <row r="949" spans="1:17" x14ac:dyDescent="0.2">
      <c r="A949" t="s">
        <v>58</v>
      </c>
      <c r="B949" t="s">
        <v>912</v>
      </c>
      <c r="C949">
        <v>210</v>
      </c>
      <c r="D949" s="2">
        <v>0</v>
      </c>
      <c r="E949">
        <v>0</v>
      </c>
      <c r="F949">
        <v>0</v>
      </c>
      <c r="G949">
        <v>0</v>
      </c>
      <c r="H949">
        <v>0</v>
      </c>
      <c r="I949">
        <v>70</v>
      </c>
      <c r="J949">
        <v>58</v>
      </c>
      <c r="K949">
        <v>0</v>
      </c>
      <c r="L949">
        <v>56</v>
      </c>
      <c r="M949">
        <v>0</v>
      </c>
      <c r="N949">
        <v>266</v>
      </c>
      <c r="O949" s="3">
        <f t="shared" si="53"/>
        <v>0</v>
      </c>
      <c r="P949">
        <f t="shared" si="51"/>
        <v>0</v>
      </c>
      <c r="Q949">
        <f t="shared" si="52"/>
        <v>0</v>
      </c>
    </row>
    <row r="950" spans="1:17" x14ac:dyDescent="0.2">
      <c r="A950" t="s">
        <v>58</v>
      </c>
      <c r="B950" t="s">
        <v>913</v>
      </c>
      <c r="C950">
        <v>110</v>
      </c>
      <c r="D950" s="2">
        <v>0</v>
      </c>
      <c r="E950">
        <v>0</v>
      </c>
      <c r="F950">
        <v>0</v>
      </c>
      <c r="G950">
        <v>0</v>
      </c>
      <c r="H950">
        <v>0</v>
      </c>
      <c r="I950">
        <v>55</v>
      </c>
      <c r="J950">
        <v>29</v>
      </c>
      <c r="K950">
        <v>0</v>
      </c>
      <c r="L950">
        <v>29</v>
      </c>
      <c r="M950">
        <v>0</v>
      </c>
      <c r="N950">
        <v>139</v>
      </c>
      <c r="O950" s="3">
        <f t="shared" si="53"/>
        <v>0</v>
      </c>
      <c r="P950">
        <f t="shared" si="51"/>
        <v>0</v>
      </c>
      <c r="Q950">
        <f t="shared" si="52"/>
        <v>0</v>
      </c>
    </row>
    <row r="951" spans="1:17" x14ac:dyDescent="0.2">
      <c r="A951" t="s">
        <v>58</v>
      </c>
      <c r="B951" t="s">
        <v>914</v>
      </c>
      <c r="C951">
        <v>90</v>
      </c>
      <c r="D951" s="2">
        <v>0</v>
      </c>
      <c r="E951">
        <v>0</v>
      </c>
      <c r="F951">
        <v>0</v>
      </c>
      <c r="G951">
        <v>0</v>
      </c>
      <c r="H951">
        <v>0</v>
      </c>
      <c r="I951">
        <v>40</v>
      </c>
      <c r="J951">
        <v>22</v>
      </c>
      <c r="K951">
        <v>0</v>
      </c>
      <c r="L951">
        <v>22</v>
      </c>
      <c r="M951">
        <v>0</v>
      </c>
      <c r="N951">
        <v>112</v>
      </c>
      <c r="O951" s="3">
        <f t="shared" si="53"/>
        <v>0</v>
      </c>
      <c r="P951">
        <f t="shared" si="51"/>
        <v>0</v>
      </c>
      <c r="Q951">
        <f t="shared" si="52"/>
        <v>0</v>
      </c>
    </row>
    <row r="952" spans="1:17" x14ac:dyDescent="0.2">
      <c r="A952" t="s">
        <v>58</v>
      </c>
      <c r="B952" t="s">
        <v>915</v>
      </c>
      <c r="C952">
        <v>60</v>
      </c>
      <c r="D952" s="2">
        <v>0</v>
      </c>
      <c r="E952">
        <v>0</v>
      </c>
      <c r="F952">
        <v>0</v>
      </c>
      <c r="G952">
        <v>0</v>
      </c>
      <c r="H952">
        <v>0</v>
      </c>
      <c r="I952">
        <v>25</v>
      </c>
      <c r="J952">
        <v>14</v>
      </c>
      <c r="K952">
        <v>0</v>
      </c>
      <c r="L952">
        <v>14</v>
      </c>
      <c r="M952">
        <v>0</v>
      </c>
      <c r="N952">
        <v>74</v>
      </c>
      <c r="O952" s="3">
        <f t="shared" si="53"/>
        <v>0</v>
      </c>
      <c r="P952">
        <f t="shared" si="51"/>
        <v>0</v>
      </c>
      <c r="Q952">
        <f t="shared" si="52"/>
        <v>0</v>
      </c>
    </row>
    <row r="953" spans="1:17" x14ac:dyDescent="0.2">
      <c r="A953" t="s">
        <v>58</v>
      </c>
      <c r="B953" t="s">
        <v>916</v>
      </c>
      <c r="C953">
        <v>0</v>
      </c>
      <c r="D953" s="2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f t="shared" si="51"/>
        <v>0</v>
      </c>
      <c r="Q953">
        <f t="shared" si="52"/>
        <v>0</v>
      </c>
    </row>
    <row r="954" spans="1:17" x14ac:dyDescent="0.2">
      <c r="A954" t="s">
        <v>58</v>
      </c>
      <c r="B954" t="s">
        <v>917</v>
      </c>
      <c r="C954">
        <v>460</v>
      </c>
      <c r="D954" s="2">
        <v>0</v>
      </c>
      <c r="E954">
        <v>0</v>
      </c>
      <c r="F954">
        <v>0</v>
      </c>
      <c r="G954">
        <v>0</v>
      </c>
      <c r="H954">
        <v>0</v>
      </c>
      <c r="I954">
        <v>55</v>
      </c>
      <c r="J954">
        <v>117</v>
      </c>
      <c r="K954">
        <v>0</v>
      </c>
      <c r="L954">
        <v>111</v>
      </c>
      <c r="M954">
        <v>0</v>
      </c>
      <c r="N954">
        <v>571</v>
      </c>
      <c r="O954" s="3">
        <f t="shared" ref="O954:O977" si="54">M954/C954*100</f>
        <v>0</v>
      </c>
      <c r="P954">
        <f t="shared" si="51"/>
        <v>0</v>
      </c>
      <c r="Q954">
        <f t="shared" si="52"/>
        <v>0</v>
      </c>
    </row>
    <row r="955" spans="1:17" x14ac:dyDescent="0.2">
      <c r="A955" t="s">
        <v>58</v>
      </c>
      <c r="B955" t="s">
        <v>918</v>
      </c>
      <c r="C955">
        <v>380</v>
      </c>
      <c r="D955" s="2">
        <v>0</v>
      </c>
      <c r="E955">
        <v>0</v>
      </c>
      <c r="F955">
        <v>0</v>
      </c>
      <c r="G955">
        <v>0</v>
      </c>
      <c r="H955">
        <v>0</v>
      </c>
      <c r="I955">
        <v>45</v>
      </c>
      <c r="J955">
        <v>98</v>
      </c>
      <c r="K955">
        <v>0</v>
      </c>
      <c r="L955">
        <v>93</v>
      </c>
      <c r="M955">
        <v>0</v>
      </c>
      <c r="N955">
        <v>473</v>
      </c>
      <c r="O955" s="3">
        <f t="shared" si="54"/>
        <v>0</v>
      </c>
      <c r="P955">
        <f t="shared" si="51"/>
        <v>0</v>
      </c>
      <c r="Q955">
        <f t="shared" si="52"/>
        <v>0</v>
      </c>
    </row>
    <row r="956" spans="1:17" x14ac:dyDescent="0.2">
      <c r="A956" t="s">
        <v>58</v>
      </c>
      <c r="B956" t="s">
        <v>919</v>
      </c>
      <c r="C956">
        <v>230</v>
      </c>
      <c r="D956" s="2">
        <v>0</v>
      </c>
      <c r="E956">
        <v>0</v>
      </c>
      <c r="F956">
        <v>0</v>
      </c>
      <c r="G956">
        <v>0</v>
      </c>
      <c r="H956">
        <v>0</v>
      </c>
      <c r="I956">
        <v>30</v>
      </c>
      <c r="J956">
        <v>59</v>
      </c>
      <c r="K956">
        <v>0</v>
      </c>
      <c r="L956">
        <v>56</v>
      </c>
      <c r="M956">
        <v>0</v>
      </c>
      <c r="N956">
        <v>286</v>
      </c>
      <c r="O956" s="3">
        <f t="shared" si="54"/>
        <v>0</v>
      </c>
      <c r="P956">
        <f t="shared" si="51"/>
        <v>0</v>
      </c>
      <c r="Q956">
        <f t="shared" si="52"/>
        <v>0</v>
      </c>
    </row>
    <row r="957" spans="1:17" x14ac:dyDescent="0.2">
      <c r="A957" t="s">
        <v>58</v>
      </c>
      <c r="B957" t="s">
        <v>920</v>
      </c>
      <c r="C957">
        <v>15</v>
      </c>
      <c r="D957" s="2">
        <v>0</v>
      </c>
      <c r="E957">
        <v>0</v>
      </c>
      <c r="F957">
        <v>0</v>
      </c>
      <c r="G957">
        <v>0</v>
      </c>
      <c r="H957">
        <v>0</v>
      </c>
      <c r="I957">
        <v>10</v>
      </c>
      <c r="J957">
        <v>2</v>
      </c>
      <c r="K957">
        <v>0</v>
      </c>
      <c r="L957">
        <v>0</v>
      </c>
      <c r="M957">
        <v>0</v>
      </c>
      <c r="N957">
        <v>15</v>
      </c>
      <c r="O957" s="3">
        <f t="shared" si="54"/>
        <v>0</v>
      </c>
      <c r="P957">
        <f t="shared" si="51"/>
        <v>0</v>
      </c>
      <c r="Q957">
        <f t="shared" si="52"/>
        <v>0</v>
      </c>
    </row>
    <row r="958" spans="1:17" x14ac:dyDescent="0.2">
      <c r="A958" t="s">
        <v>58</v>
      </c>
      <c r="B958" t="s">
        <v>921</v>
      </c>
      <c r="C958">
        <v>10</v>
      </c>
      <c r="D958" s="2">
        <v>0</v>
      </c>
      <c r="E958">
        <v>0</v>
      </c>
      <c r="F958">
        <v>0</v>
      </c>
      <c r="G958">
        <v>0</v>
      </c>
      <c r="H958">
        <v>0</v>
      </c>
      <c r="I958">
        <v>10</v>
      </c>
      <c r="J958">
        <v>1</v>
      </c>
      <c r="K958">
        <v>0</v>
      </c>
      <c r="L958">
        <v>0</v>
      </c>
      <c r="M958">
        <v>0</v>
      </c>
      <c r="N958">
        <v>10</v>
      </c>
      <c r="O958" s="3">
        <f t="shared" si="54"/>
        <v>0</v>
      </c>
      <c r="P958">
        <f t="shared" si="51"/>
        <v>0</v>
      </c>
      <c r="Q958">
        <f t="shared" si="52"/>
        <v>0</v>
      </c>
    </row>
    <row r="959" spans="1:17" x14ac:dyDescent="0.2">
      <c r="A959" t="s">
        <v>58</v>
      </c>
      <c r="B959" t="s">
        <v>922</v>
      </c>
      <c r="C959">
        <v>5</v>
      </c>
      <c r="D959" s="2">
        <v>0</v>
      </c>
      <c r="E959">
        <v>0</v>
      </c>
      <c r="F959">
        <v>0</v>
      </c>
      <c r="G959">
        <v>0</v>
      </c>
      <c r="H959">
        <v>0</v>
      </c>
      <c r="I959">
        <v>5</v>
      </c>
      <c r="J959">
        <v>1</v>
      </c>
      <c r="K959">
        <v>0</v>
      </c>
      <c r="L959">
        <v>0</v>
      </c>
      <c r="M959">
        <v>0</v>
      </c>
      <c r="N959">
        <v>5</v>
      </c>
      <c r="O959" s="3">
        <f t="shared" si="54"/>
        <v>0</v>
      </c>
      <c r="P959">
        <f t="shared" si="51"/>
        <v>0</v>
      </c>
      <c r="Q959">
        <f t="shared" si="52"/>
        <v>0</v>
      </c>
    </row>
    <row r="960" spans="1:17" x14ac:dyDescent="0.2">
      <c r="A960" t="s">
        <v>58</v>
      </c>
      <c r="B960" t="s">
        <v>923</v>
      </c>
      <c r="C960">
        <v>320</v>
      </c>
      <c r="D960" s="2">
        <v>0</v>
      </c>
      <c r="E960">
        <v>0</v>
      </c>
      <c r="F960">
        <v>0</v>
      </c>
      <c r="G960">
        <v>0</v>
      </c>
      <c r="H960">
        <v>0</v>
      </c>
      <c r="I960">
        <v>60</v>
      </c>
      <c r="J960">
        <v>82</v>
      </c>
      <c r="K960">
        <v>0</v>
      </c>
      <c r="L960">
        <v>76</v>
      </c>
      <c r="M960">
        <v>0</v>
      </c>
      <c r="N960">
        <v>396</v>
      </c>
      <c r="O960" s="3">
        <f t="shared" si="54"/>
        <v>0</v>
      </c>
      <c r="P960">
        <f t="shared" si="51"/>
        <v>0</v>
      </c>
      <c r="Q960">
        <f t="shared" si="52"/>
        <v>0</v>
      </c>
    </row>
    <row r="961" spans="1:17" x14ac:dyDescent="0.2">
      <c r="A961" t="s">
        <v>58</v>
      </c>
      <c r="B961" t="s">
        <v>924</v>
      </c>
      <c r="C961">
        <v>300</v>
      </c>
      <c r="D961" s="2">
        <v>0</v>
      </c>
      <c r="E961">
        <v>0</v>
      </c>
      <c r="F961">
        <v>0</v>
      </c>
      <c r="G961">
        <v>0</v>
      </c>
      <c r="H961">
        <v>0</v>
      </c>
      <c r="I961">
        <v>50</v>
      </c>
      <c r="J961">
        <v>76</v>
      </c>
      <c r="K961">
        <v>0</v>
      </c>
      <c r="L961">
        <v>70</v>
      </c>
      <c r="M961">
        <v>0</v>
      </c>
      <c r="N961">
        <v>370</v>
      </c>
      <c r="O961" s="3">
        <f t="shared" si="54"/>
        <v>0</v>
      </c>
      <c r="P961">
        <f t="shared" si="51"/>
        <v>0</v>
      </c>
      <c r="Q961">
        <f t="shared" si="52"/>
        <v>0</v>
      </c>
    </row>
    <row r="962" spans="1:17" x14ac:dyDescent="0.2">
      <c r="A962" t="s">
        <v>58</v>
      </c>
      <c r="B962" t="s">
        <v>925</v>
      </c>
      <c r="C962">
        <v>170</v>
      </c>
      <c r="D962" s="2">
        <v>0</v>
      </c>
      <c r="E962">
        <v>0</v>
      </c>
      <c r="F962">
        <v>0</v>
      </c>
      <c r="G962">
        <v>0</v>
      </c>
      <c r="H962">
        <v>0</v>
      </c>
      <c r="I962">
        <v>30</v>
      </c>
      <c r="J962">
        <v>44</v>
      </c>
      <c r="K962">
        <v>0</v>
      </c>
      <c r="L962">
        <v>40</v>
      </c>
      <c r="M962">
        <v>0</v>
      </c>
      <c r="N962">
        <v>210</v>
      </c>
      <c r="O962" s="3">
        <f t="shared" si="54"/>
        <v>0</v>
      </c>
      <c r="P962">
        <f t="shared" si="51"/>
        <v>0</v>
      </c>
      <c r="Q962">
        <f t="shared" si="52"/>
        <v>0</v>
      </c>
    </row>
    <row r="963" spans="1:17" x14ac:dyDescent="0.2">
      <c r="A963" t="s">
        <v>58</v>
      </c>
      <c r="B963" t="s">
        <v>926</v>
      </c>
      <c r="C963">
        <v>200</v>
      </c>
      <c r="D963" s="2">
        <v>0</v>
      </c>
      <c r="E963">
        <v>0</v>
      </c>
      <c r="F963">
        <v>0</v>
      </c>
      <c r="G963">
        <v>0</v>
      </c>
      <c r="H963">
        <v>0</v>
      </c>
      <c r="I963">
        <v>90</v>
      </c>
      <c r="J963">
        <v>53</v>
      </c>
      <c r="K963">
        <v>0</v>
      </c>
      <c r="L963">
        <v>53</v>
      </c>
      <c r="M963">
        <v>0</v>
      </c>
      <c r="N963">
        <v>253</v>
      </c>
      <c r="O963" s="3">
        <f t="shared" si="54"/>
        <v>0</v>
      </c>
      <c r="P963">
        <f t="shared" si="51"/>
        <v>0</v>
      </c>
      <c r="Q963">
        <f t="shared" si="52"/>
        <v>0</v>
      </c>
    </row>
    <row r="964" spans="1:17" x14ac:dyDescent="0.2">
      <c r="A964" t="s">
        <v>58</v>
      </c>
      <c r="B964" t="s">
        <v>927</v>
      </c>
      <c r="C964">
        <v>390</v>
      </c>
      <c r="D964" s="2">
        <v>0</v>
      </c>
      <c r="E964">
        <v>0</v>
      </c>
      <c r="F964">
        <v>0</v>
      </c>
      <c r="G964">
        <v>0</v>
      </c>
      <c r="H964">
        <v>0</v>
      </c>
      <c r="I964">
        <v>180</v>
      </c>
      <c r="J964">
        <v>105</v>
      </c>
      <c r="K964">
        <v>0</v>
      </c>
      <c r="L964">
        <v>105</v>
      </c>
      <c r="M964">
        <v>0</v>
      </c>
      <c r="N964">
        <v>495</v>
      </c>
      <c r="O964" s="3">
        <f t="shared" si="54"/>
        <v>0</v>
      </c>
      <c r="P964">
        <f t="shared" si="51"/>
        <v>0</v>
      </c>
      <c r="Q964">
        <f t="shared" si="52"/>
        <v>0</v>
      </c>
    </row>
    <row r="965" spans="1:17" x14ac:dyDescent="0.2">
      <c r="A965" t="s">
        <v>58</v>
      </c>
      <c r="B965" t="s">
        <v>928</v>
      </c>
      <c r="C965">
        <v>310</v>
      </c>
      <c r="D965" s="2">
        <v>0</v>
      </c>
      <c r="E965">
        <v>0</v>
      </c>
      <c r="F965">
        <v>0</v>
      </c>
      <c r="G965">
        <v>0</v>
      </c>
      <c r="H965">
        <v>0</v>
      </c>
      <c r="I965">
        <v>140</v>
      </c>
      <c r="J965">
        <v>84</v>
      </c>
      <c r="K965">
        <v>0</v>
      </c>
      <c r="L965">
        <v>84</v>
      </c>
      <c r="M965">
        <v>0</v>
      </c>
      <c r="N965">
        <v>394</v>
      </c>
      <c r="O965" s="3">
        <f t="shared" si="54"/>
        <v>0</v>
      </c>
      <c r="P965">
        <f t="shared" si="51"/>
        <v>0</v>
      </c>
      <c r="Q965">
        <f t="shared" si="52"/>
        <v>0</v>
      </c>
    </row>
    <row r="966" spans="1:17" x14ac:dyDescent="0.2">
      <c r="A966" t="s">
        <v>58</v>
      </c>
      <c r="B966" t="s">
        <v>929</v>
      </c>
      <c r="C966">
        <v>480</v>
      </c>
      <c r="D966" s="2">
        <v>0</v>
      </c>
      <c r="E966">
        <v>0</v>
      </c>
      <c r="F966">
        <v>0</v>
      </c>
      <c r="G966">
        <v>0</v>
      </c>
      <c r="H966">
        <v>0</v>
      </c>
      <c r="I966">
        <v>55</v>
      </c>
      <c r="J966">
        <v>121</v>
      </c>
      <c r="K966">
        <v>0</v>
      </c>
      <c r="L966">
        <v>114</v>
      </c>
      <c r="M966">
        <v>0</v>
      </c>
      <c r="N966">
        <v>594</v>
      </c>
      <c r="O966" s="3">
        <f t="shared" si="54"/>
        <v>0</v>
      </c>
      <c r="P966">
        <f t="shared" si="51"/>
        <v>0</v>
      </c>
      <c r="Q966">
        <f t="shared" si="52"/>
        <v>0</v>
      </c>
    </row>
    <row r="967" spans="1:17" x14ac:dyDescent="0.2">
      <c r="A967" t="s">
        <v>58</v>
      </c>
      <c r="B967" t="s">
        <v>930</v>
      </c>
      <c r="C967">
        <v>380</v>
      </c>
      <c r="D967" s="2">
        <v>0</v>
      </c>
      <c r="E967">
        <v>0</v>
      </c>
      <c r="F967">
        <v>0</v>
      </c>
      <c r="G967">
        <v>0</v>
      </c>
      <c r="H967">
        <v>0</v>
      </c>
      <c r="I967">
        <v>45</v>
      </c>
      <c r="J967">
        <v>98</v>
      </c>
      <c r="K967">
        <v>0</v>
      </c>
      <c r="L967">
        <v>92</v>
      </c>
      <c r="M967">
        <v>0</v>
      </c>
      <c r="N967">
        <v>472</v>
      </c>
      <c r="O967" s="3">
        <f t="shared" si="54"/>
        <v>0</v>
      </c>
      <c r="P967">
        <f t="shared" si="51"/>
        <v>0</v>
      </c>
      <c r="Q967">
        <f t="shared" si="52"/>
        <v>0</v>
      </c>
    </row>
    <row r="968" spans="1:17" x14ac:dyDescent="0.2">
      <c r="A968" t="s">
        <v>58</v>
      </c>
      <c r="B968" t="s">
        <v>931</v>
      </c>
      <c r="C968">
        <v>230</v>
      </c>
      <c r="D968" s="2">
        <v>0</v>
      </c>
      <c r="E968">
        <v>0</v>
      </c>
      <c r="F968">
        <v>0</v>
      </c>
      <c r="G968">
        <v>0</v>
      </c>
      <c r="H968">
        <v>0</v>
      </c>
      <c r="I968">
        <v>30</v>
      </c>
      <c r="J968">
        <v>58</v>
      </c>
      <c r="K968">
        <v>0</v>
      </c>
      <c r="L968">
        <v>54</v>
      </c>
      <c r="M968">
        <v>0</v>
      </c>
      <c r="N968">
        <v>284</v>
      </c>
      <c r="O968" s="3">
        <f t="shared" si="54"/>
        <v>0</v>
      </c>
      <c r="P968">
        <f t="shared" si="51"/>
        <v>0</v>
      </c>
      <c r="Q968">
        <f t="shared" si="52"/>
        <v>0</v>
      </c>
    </row>
    <row r="969" spans="1:17" x14ac:dyDescent="0.2">
      <c r="A969" t="s">
        <v>58</v>
      </c>
      <c r="B969" t="s">
        <v>932</v>
      </c>
      <c r="C969">
        <v>270</v>
      </c>
      <c r="D969" s="2">
        <v>0</v>
      </c>
      <c r="E969">
        <v>0</v>
      </c>
      <c r="F969">
        <v>0</v>
      </c>
      <c r="G969">
        <v>0</v>
      </c>
      <c r="H969">
        <v>0</v>
      </c>
      <c r="I969">
        <v>15</v>
      </c>
      <c r="J969">
        <v>69</v>
      </c>
      <c r="K969">
        <v>0</v>
      </c>
      <c r="L969">
        <v>67</v>
      </c>
      <c r="M969">
        <v>0</v>
      </c>
      <c r="N969">
        <v>337</v>
      </c>
      <c r="O969" s="3">
        <f t="shared" si="54"/>
        <v>0</v>
      </c>
      <c r="P969">
        <f t="shared" si="51"/>
        <v>0</v>
      </c>
      <c r="Q969">
        <f t="shared" si="52"/>
        <v>0</v>
      </c>
    </row>
    <row r="970" spans="1:17" x14ac:dyDescent="0.2">
      <c r="A970" t="s">
        <v>58</v>
      </c>
      <c r="B970" t="s">
        <v>933</v>
      </c>
      <c r="C970">
        <v>240</v>
      </c>
      <c r="D970" s="2">
        <v>0</v>
      </c>
      <c r="E970">
        <v>0</v>
      </c>
      <c r="F970">
        <v>0</v>
      </c>
      <c r="G970">
        <v>0</v>
      </c>
      <c r="H970">
        <v>0</v>
      </c>
      <c r="I970">
        <v>15</v>
      </c>
      <c r="J970">
        <v>60</v>
      </c>
      <c r="K970">
        <v>0</v>
      </c>
      <c r="L970">
        <v>59</v>
      </c>
      <c r="M970">
        <v>0</v>
      </c>
      <c r="N970">
        <v>299</v>
      </c>
      <c r="O970" s="3">
        <f t="shared" si="54"/>
        <v>0</v>
      </c>
      <c r="P970">
        <f t="shared" si="51"/>
        <v>0</v>
      </c>
      <c r="Q970">
        <f t="shared" si="52"/>
        <v>0</v>
      </c>
    </row>
    <row r="971" spans="1:17" x14ac:dyDescent="0.2">
      <c r="A971" t="s">
        <v>58</v>
      </c>
      <c r="B971" t="s">
        <v>934</v>
      </c>
      <c r="C971">
        <v>140</v>
      </c>
      <c r="D971" s="2">
        <v>0</v>
      </c>
      <c r="E971">
        <v>0</v>
      </c>
      <c r="F971">
        <v>0</v>
      </c>
      <c r="G971">
        <v>0</v>
      </c>
      <c r="H971">
        <v>0</v>
      </c>
      <c r="I971">
        <v>10</v>
      </c>
      <c r="J971">
        <v>36</v>
      </c>
      <c r="K971">
        <v>0</v>
      </c>
      <c r="L971">
        <v>35</v>
      </c>
      <c r="M971">
        <v>0</v>
      </c>
      <c r="N971">
        <v>175</v>
      </c>
      <c r="O971" s="3">
        <f t="shared" si="54"/>
        <v>0</v>
      </c>
      <c r="P971">
        <f t="shared" si="51"/>
        <v>0</v>
      </c>
      <c r="Q971">
        <f t="shared" si="52"/>
        <v>0</v>
      </c>
    </row>
    <row r="972" spans="1:17" x14ac:dyDescent="0.2">
      <c r="A972" t="s">
        <v>58</v>
      </c>
      <c r="B972" t="s">
        <v>935</v>
      </c>
      <c r="C972">
        <v>90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20</v>
      </c>
      <c r="J972">
        <v>22</v>
      </c>
      <c r="K972">
        <v>0</v>
      </c>
      <c r="L972">
        <v>20</v>
      </c>
      <c r="M972">
        <v>0</v>
      </c>
      <c r="N972">
        <v>110</v>
      </c>
      <c r="O972" s="3">
        <f t="shared" si="54"/>
        <v>0</v>
      </c>
      <c r="P972">
        <f t="shared" si="51"/>
        <v>0</v>
      </c>
      <c r="Q972">
        <f t="shared" si="52"/>
        <v>0</v>
      </c>
    </row>
    <row r="973" spans="1:17" x14ac:dyDescent="0.2">
      <c r="A973" t="s">
        <v>58</v>
      </c>
      <c r="B973" t="s">
        <v>936</v>
      </c>
      <c r="C973">
        <v>60</v>
      </c>
      <c r="D973" s="2">
        <v>0</v>
      </c>
      <c r="E973">
        <v>0</v>
      </c>
      <c r="F973">
        <v>0</v>
      </c>
      <c r="G973">
        <v>0</v>
      </c>
      <c r="H973">
        <v>0</v>
      </c>
      <c r="I973">
        <v>15</v>
      </c>
      <c r="J973">
        <v>16</v>
      </c>
      <c r="K973">
        <v>0</v>
      </c>
      <c r="L973">
        <v>14</v>
      </c>
      <c r="M973">
        <v>0</v>
      </c>
      <c r="N973">
        <v>74</v>
      </c>
      <c r="O973" s="3">
        <f t="shared" si="54"/>
        <v>0</v>
      </c>
      <c r="P973">
        <f t="shared" si="51"/>
        <v>0</v>
      </c>
      <c r="Q973">
        <f t="shared" si="52"/>
        <v>0</v>
      </c>
    </row>
    <row r="974" spans="1:17" x14ac:dyDescent="0.2">
      <c r="A974" t="s">
        <v>58</v>
      </c>
      <c r="B974" t="s">
        <v>937</v>
      </c>
      <c r="C974">
        <v>45</v>
      </c>
      <c r="D974" s="2">
        <v>0</v>
      </c>
      <c r="E974">
        <v>0</v>
      </c>
      <c r="F974">
        <v>0</v>
      </c>
      <c r="G974">
        <v>0</v>
      </c>
      <c r="H974">
        <v>0</v>
      </c>
      <c r="I974">
        <v>10</v>
      </c>
      <c r="J974">
        <v>11</v>
      </c>
      <c r="K974">
        <v>0</v>
      </c>
      <c r="L974">
        <v>10</v>
      </c>
      <c r="M974">
        <v>0</v>
      </c>
      <c r="N974">
        <v>55</v>
      </c>
      <c r="O974" s="3">
        <f t="shared" si="54"/>
        <v>0</v>
      </c>
      <c r="P974">
        <f t="shared" si="51"/>
        <v>0</v>
      </c>
      <c r="Q974">
        <f t="shared" si="52"/>
        <v>0</v>
      </c>
    </row>
    <row r="975" spans="1:17" x14ac:dyDescent="0.2">
      <c r="A975" t="s">
        <v>58</v>
      </c>
      <c r="B975" t="s">
        <v>938</v>
      </c>
      <c r="C975">
        <v>300</v>
      </c>
      <c r="D975" s="2">
        <v>0</v>
      </c>
      <c r="E975">
        <v>0</v>
      </c>
      <c r="F975">
        <v>0</v>
      </c>
      <c r="G975">
        <v>0</v>
      </c>
      <c r="H975">
        <v>0</v>
      </c>
      <c r="I975">
        <v>25</v>
      </c>
      <c r="J975">
        <v>77</v>
      </c>
      <c r="K975">
        <v>0</v>
      </c>
      <c r="L975">
        <v>75</v>
      </c>
      <c r="M975">
        <v>0</v>
      </c>
      <c r="N975">
        <v>375</v>
      </c>
      <c r="O975" s="3">
        <f t="shared" si="54"/>
        <v>0</v>
      </c>
      <c r="P975">
        <f t="shared" si="51"/>
        <v>0</v>
      </c>
      <c r="Q975">
        <f t="shared" si="52"/>
        <v>0</v>
      </c>
    </row>
    <row r="976" spans="1:17" x14ac:dyDescent="0.2">
      <c r="A976" t="s">
        <v>58</v>
      </c>
      <c r="B976" t="s">
        <v>939</v>
      </c>
      <c r="C976">
        <v>220</v>
      </c>
      <c r="D976" s="2">
        <v>0</v>
      </c>
      <c r="E976">
        <v>0</v>
      </c>
      <c r="F976">
        <v>0</v>
      </c>
      <c r="G976">
        <v>0</v>
      </c>
      <c r="H976">
        <v>0</v>
      </c>
      <c r="I976">
        <v>20</v>
      </c>
      <c r="J976">
        <v>58</v>
      </c>
      <c r="K976">
        <v>0</v>
      </c>
      <c r="L976">
        <v>56</v>
      </c>
      <c r="M976">
        <v>0</v>
      </c>
      <c r="N976">
        <v>276</v>
      </c>
      <c r="O976" s="3">
        <f t="shared" si="54"/>
        <v>0</v>
      </c>
      <c r="P976">
        <f t="shared" si="51"/>
        <v>0</v>
      </c>
      <c r="Q976">
        <f t="shared" si="52"/>
        <v>0</v>
      </c>
    </row>
    <row r="977" spans="1:17" x14ac:dyDescent="0.2">
      <c r="A977" t="s">
        <v>58</v>
      </c>
      <c r="B977" t="s">
        <v>940</v>
      </c>
      <c r="C977">
        <v>160</v>
      </c>
      <c r="D977" s="2">
        <v>0</v>
      </c>
      <c r="E977">
        <v>0</v>
      </c>
      <c r="F977">
        <v>0</v>
      </c>
      <c r="G977">
        <v>0</v>
      </c>
      <c r="H977">
        <v>0</v>
      </c>
      <c r="I977">
        <v>10</v>
      </c>
      <c r="J977">
        <v>41</v>
      </c>
      <c r="K977">
        <v>0</v>
      </c>
      <c r="L977">
        <v>40</v>
      </c>
      <c r="M977">
        <v>0</v>
      </c>
      <c r="N977">
        <v>200</v>
      </c>
      <c r="O977" s="3">
        <f t="shared" si="54"/>
        <v>0</v>
      </c>
      <c r="P977">
        <f t="shared" si="51"/>
        <v>0</v>
      </c>
      <c r="Q977">
        <f t="shared" si="52"/>
        <v>0</v>
      </c>
    </row>
  </sheetData>
  <autoFilter ref="A1:Q1" xr:uid="{699C5A58-00F0-9D40-818D-DECFABB77B29}">
    <sortState xmlns:xlrd2="http://schemas.microsoft.com/office/spreadsheetml/2017/richdata2" ref="A2:Q1134">
      <sortCondition ref="A1:A11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959C-26FC-48E3-A19A-606CDB2A32EC}">
  <dimension ref="A1:Y977"/>
  <sheetViews>
    <sheetView tabSelected="1" zoomScale="85" workbookViewId="0">
      <pane ySplit="1" topLeftCell="A479" activePane="bottomLeft" state="frozen"/>
      <selection pane="bottomLeft" activeCell="R618" sqref="R618"/>
    </sheetView>
  </sheetViews>
  <sheetFormatPr baseColWidth="10" defaultColWidth="11" defaultRowHeight="16" x14ac:dyDescent="0.2"/>
  <cols>
    <col min="1" max="1" width="15.83203125" customWidth="1"/>
    <col min="2" max="2" width="52.1640625" customWidth="1"/>
    <col min="3" max="18" width="9"/>
    <col min="19" max="19" width="19.1640625" bestFit="1" customWidth="1"/>
    <col min="20" max="20" width="12" bestFit="1" customWidth="1"/>
  </cols>
  <sheetData>
    <row r="1" spans="1:25" ht="51" x14ac:dyDescent="0.2">
      <c r="A1" t="s">
        <v>0</v>
      </c>
      <c r="B1" t="s">
        <v>1</v>
      </c>
      <c r="C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5" t="s">
        <v>12</v>
      </c>
      <c r="N1" s="1" t="s">
        <v>13</v>
      </c>
      <c r="O1" s="4" t="s">
        <v>14</v>
      </c>
      <c r="P1" s="4" t="s">
        <v>1123</v>
      </c>
      <c r="Q1" s="4" t="s">
        <v>1124</v>
      </c>
      <c r="S1" s="6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</row>
    <row r="2" spans="1:25" x14ac:dyDescent="0.2">
      <c r="A2" t="s">
        <v>51</v>
      </c>
      <c r="B2" t="s">
        <v>52</v>
      </c>
      <c r="C2">
        <v>90</v>
      </c>
      <c r="D2">
        <v>0</v>
      </c>
      <c r="E2">
        <v>0</v>
      </c>
      <c r="F2">
        <v>0</v>
      </c>
      <c r="G2">
        <v>0</v>
      </c>
      <c r="H2">
        <v>5</v>
      </c>
      <c r="I2">
        <v>125</v>
      </c>
      <c r="J2">
        <v>13</v>
      </c>
      <c r="K2">
        <v>0</v>
      </c>
      <c r="L2">
        <v>12</v>
      </c>
      <c r="M2">
        <v>9</v>
      </c>
      <c r="N2">
        <v>93</v>
      </c>
      <c r="O2" s="3">
        <f t="shared" ref="O2:O33" si="0">M2/C2*100</f>
        <v>10</v>
      </c>
      <c r="P2">
        <f t="shared" ref="P2:P65" si="1">IF(I2&gt;2300*0.2,1,0)</f>
        <v>0</v>
      </c>
      <c r="Q2">
        <f t="shared" ref="Q2:Q65" si="2">IF(H2&gt;300,1,0)</f>
        <v>0</v>
      </c>
      <c r="S2">
        <v>-4.3586956521739131</v>
      </c>
      <c r="T2">
        <v>0</v>
      </c>
      <c r="U2">
        <v>-1.3586956521739131</v>
      </c>
      <c r="V2">
        <v>-4.8</v>
      </c>
      <c r="W2">
        <v>0</v>
      </c>
      <c r="X2">
        <v>1.7999999999999998</v>
      </c>
      <c r="Y2">
        <v>0</v>
      </c>
    </row>
    <row r="3" spans="1:25" x14ac:dyDescent="0.2">
      <c r="A3" t="s">
        <v>51</v>
      </c>
      <c r="B3" t="s">
        <v>99</v>
      </c>
      <c r="C3">
        <v>60</v>
      </c>
      <c r="D3">
        <v>35</v>
      </c>
      <c r="E3">
        <v>4</v>
      </c>
      <c r="F3">
        <v>2.5</v>
      </c>
      <c r="G3">
        <v>0</v>
      </c>
      <c r="H3">
        <v>10</v>
      </c>
      <c r="I3">
        <v>95</v>
      </c>
      <c r="J3">
        <v>3</v>
      </c>
      <c r="K3">
        <v>1</v>
      </c>
      <c r="L3">
        <v>2</v>
      </c>
      <c r="M3">
        <v>4</v>
      </c>
      <c r="N3">
        <v>61</v>
      </c>
      <c r="O3" s="3">
        <f t="shared" si="0"/>
        <v>6.666666666666667</v>
      </c>
      <c r="P3">
        <f t="shared" si="1"/>
        <v>0</v>
      </c>
      <c r="Q3">
        <f t="shared" si="2"/>
        <v>0</v>
      </c>
      <c r="S3">
        <v>-1.3004658385093164</v>
      </c>
      <c r="T3">
        <v>-0.625</v>
      </c>
      <c r="U3">
        <v>-1.0326086956521738</v>
      </c>
      <c r="V3">
        <v>-0.8</v>
      </c>
      <c r="W3">
        <v>0</v>
      </c>
      <c r="X3">
        <v>0.8</v>
      </c>
      <c r="Y3">
        <v>0.35714285714285715</v>
      </c>
    </row>
    <row r="4" spans="1:25" x14ac:dyDescent="0.2">
      <c r="A4" t="s">
        <v>51</v>
      </c>
      <c r="B4" t="s">
        <v>110</v>
      </c>
      <c r="C4">
        <v>900</v>
      </c>
      <c r="D4">
        <v>480</v>
      </c>
      <c r="E4">
        <v>54</v>
      </c>
      <c r="F4">
        <v>25</v>
      </c>
      <c r="G4">
        <v>3</v>
      </c>
      <c r="H4">
        <v>210</v>
      </c>
      <c r="I4">
        <v>1740</v>
      </c>
      <c r="J4">
        <v>50</v>
      </c>
      <c r="K4">
        <v>2</v>
      </c>
      <c r="L4">
        <v>11</v>
      </c>
      <c r="M4">
        <v>56</v>
      </c>
      <c r="N4">
        <v>880</v>
      </c>
      <c r="O4" s="3">
        <f t="shared" si="0"/>
        <v>6.2222222222222223</v>
      </c>
      <c r="P4">
        <f t="shared" si="1"/>
        <v>1</v>
      </c>
      <c r="Q4">
        <f t="shared" si="2"/>
        <v>0</v>
      </c>
      <c r="S4">
        <v>-17.651757763975148</v>
      </c>
      <c r="T4">
        <v>-6.25</v>
      </c>
      <c r="U4">
        <v>-18.913043478260867</v>
      </c>
      <c r="V4">
        <v>-4.4000000000000004</v>
      </c>
      <c r="W4">
        <v>-3.0000000000000001E-3</v>
      </c>
      <c r="X4">
        <v>11.200000000000001</v>
      </c>
      <c r="Y4">
        <v>0.7142857142857143</v>
      </c>
    </row>
    <row r="5" spans="1:25" x14ac:dyDescent="0.2">
      <c r="A5" t="s">
        <v>51</v>
      </c>
      <c r="B5" t="s">
        <v>117</v>
      </c>
      <c r="C5">
        <v>350</v>
      </c>
      <c r="D5">
        <v>160</v>
      </c>
      <c r="E5">
        <v>18</v>
      </c>
      <c r="F5">
        <v>7</v>
      </c>
      <c r="G5">
        <v>1</v>
      </c>
      <c r="H5">
        <v>70</v>
      </c>
      <c r="I5">
        <v>410</v>
      </c>
      <c r="J5">
        <v>26</v>
      </c>
      <c r="K5">
        <v>1</v>
      </c>
      <c r="L5">
        <v>6</v>
      </c>
      <c r="M5">
        <v>21</v>
      </c>
      <c r="N5">
        <v>342</v>
      </c>
      <c r="O5" s="3">
        <f t="shared" si="0"/>
        <v>6</v>
      </c>
      <c r="P5">
        <f t="shared" si="1"/>
        <v>0</v>
      </c>
      <c r="Q5">
        <f t="shared" si="2"/>
        <v>0</v>
      </c>
      <c r="S5">
        <v>-4.0503788819875766</v>
      </c>
      <c r="T5">
        <v>-1.75</v>
      </c>
      <c r="U5">
        <v>-4.4565217391304346</v>
      </c>
      <c r="V5">
        <v>-2.4</v>
      </c>
      <c r="W5">
        <v>-1E-3</v>
      </c>
      <c r="X5">
        <v>4.2</v>
      </c>
      <c r="Y5">
        <v>0.35714285714285715</v>
      </c>
    </row>
    <row r="6" spans="1:25" x14ac:dyDescent="0.2">
      <c r="A6" t="s">
        <v>51</v>
      </c>
      <c r="B6" t="s">
        <v>118</v>
      </c>
      <c r="C6">
        <v>420</v>
      </c>
      <c r="D6">
        <v>210</v>
      </c>
      <c r="E6">
        <v>24</v>
      </c>
      <c r="F6">
        <v>10</v>
      </c>
      <c r="G6">
        <v>1.5</v>
      </c>
      <c r="H6">
        <v>90</v>
      </c>
      <c r="I6">
        <v>740</v>
      </c>
      <c r="J6">
        <v>27</v>
      </c>
      <c r="K6">
        <v>1</v>
      </c>
      <c r="L6">
        <v>7</v>
      </c>
      <c r="M6">
        <v>25</v>
      </c>
      <c r="N6">
        <v>412</v>
      </c>
      <c r="O6" s="3">
        <f t="shared" si="0"/>
        <v>5.9523809523809517</v>
      </c>
      <c r="P6">
        <f t="shared" si="1"/>
        <v>1</v>
      </c>
      <c r="Q6">
        <f t="shared" si="2"/>
        <v>0</v>
      </c>
      <c r="S6">
        <v>-7.9878354037267085</v>
      </c>
      <c r="T6">
        <v>-2.5</v>
      </c>
      <c r="U6">
        <v>-8.0434782608695645</v>
      </c>
      <c r="V6">
        <v>-2.8000000000000003</v>
      </c>
      <c r="W6">
        <v>-1.5E-3</v>
      </c>
      <c r="X6">
        <v>5</v>
      </c>
      <c r="Y6">
        <v>0.35714285714285715</v>
      </c>
    </row>
    <row r="7" spans="1:25" x14ac:dyDescent="0.2">
      <c r="A7" t="s">
        <v>51</v>
      </c>
      <c r="B7" t="s">
        <v>119</v>
      </c>
      <c r="C7">
        <v>1130</v>
      </c>
      <c r="D7">
        <v>680</v>
      </c>
      <c r="E7">
        <v>75</v>
      </c>
      <c r="F7">
        <v>28</v>
      </c>
      <c r="G7">
        <v>4</v>
      </c>
      <c r="H7">
        <v>255</v>
      </c>
      <c r="I7">
        <v>1120</v>
      </c>
      <c r="J7">
        <v>49</v>
      </c>
      <c r="K7">
        <v>2</v>
      </c>
      <c r="L7">
        <v>11</v>
      </c>
      <c r="M7">
        <v>67</v>
      </c>
      <c r="N7">
        <v>1102</v>
      </c>
      <c r="O7" s="3">
        <f t="shared" si="0"/>
        <v>5.9292035398230087</v>
      </c>
      <c r="P7">
        <f t="shared" si="1"/>
        <v>1</v>
      </c>
      <c r="Q7">
        <f t="shared" si="2"/>
        <v>0</v>
      </c>
      <c r="S7">
        <v>-9.4636273291925512</v>
      </c>
      <c r="T7">
        <v>-7</v>
      </c>
      <c r="U7">
        <v>-12.173913043478262</v>
      </c>
      <c r="V7">
        <v>-4.4000000000000004</v>
      </c>
      <c r="W7">
        <v>-4.0000000000000001E-3</v>
      </c>
      <c r="X7">
        <v>13.4</v>
      </c>
      <c r="Y7">
        <v>0.7142857142857143</v>
      </c>
    </row>
    <row r="8" spans="1:25" x14ac:dyDescent="0.2">
      <c r="A8" t="s">
        <v>51</v>
      </c>
      <c r="B8" t="s">
        <v>120</v>
      </c>
      <c r="C8">
        <v>390</v>
      </c>
      <c r="D8">
        <v>190</v>
      </c>
      <c r="E8">
        <v>21</v>
      </c>
      <c r="F8">
        <v>9</v>
      </c>
      <c r="G8">
        <v>1.5</v>
      </c>
      <c r="H8">
        <v>85</v>
      </c>
      <c r="I8">
        <v>590</v>
      </c>
      <c r="J8">
        <v>27</v>
      </c>
      <c r="K8">
        <v>1</v>
      </c>
      <c r="L8">
        <v>7</v>
      </c>
      <c r="M8">
        <v>23</v>
      </c>
      <c r="N8">
        <v>383</v>
      </c>
      <c r="O8" s="3">
        <f t="shared" si="0"/>
        <v>5.8974358974358969</v>
      </c>
      <c r="P8">
        <f t="shared" si="1"/>
        <v>1</v>
      </c>
      <c r="Q8">
        <f t="shared" si="2"/>
        <v>0</v>
      </c>
      <c r="S8">
        <v>-6.5074006211180144</v>
      </c>
      <c r="T8">
        <v>-2.25</v>
      </c>
      <c r="U8">
        <v>-6.4130434782608701</v>
      </c>
      <c r="V8">
        <v>-2.8000000000000003</v>
      </c>
      <c r="W8">
        <v>-1.5E-3</v>
      </c>
      <c r="X8">
        <v>4.6000000000000005</v>
      </c>
      <c r="Y8">
        <v>0.35714285714285715</v>
      </c>
    </row>
    <row r="9" spans="1:25" x14ac:dyDescent="0.2">
      <c r="A9" t="s">
        <v>51</v>
      </c>
      <c r="B9" t="s">
        <v>126</v>
      </c>
      <c r="C9">
        <v>1220</v>
      </c>
      <c r="D9">
        <v>740</v>
      </c>
      <c r="E9">
        <v>82</v>
      </c>
      <c r="F9">
        <v>32</v>
      </c>
      <c r="G9">
        <v>4.5</v>
      </c>
      <c r="H9">
        <v>280</v>
      </c>
      <c r="I9">
        <v>1470</v>
      </c>
      <c r="J9">
        <v>50</v>
      </c>
      <c r="K9">
        <v>2</v>
      </c>
      <c r="L9">
        <v>11</v>
      </c>
      <c r="M9">
        <v>71</v>
      </c>
      <c r="N9">
        <v>1192</v>
      </c>
      <c r="O9" s="3">
        <f t="shared" si="0"/>
        <v>5.8196721311475406</v>
      </c>
      <c r="P9">
        <f t="shared" si="1"/>
        <v>1</v>
      </c>
      <c r="Q9">
        <f t="shared" si="2"/>
        <v>0</v>
      </c>
      <c r="S9">
        <v>-13.468475155279505</v>
      </c>
      <c r="T9">
        <v>-8</v>
      </c>
      <c r="U9">
        <v>-15.978260869565217</v>
      </c>
      <c r="V9">
        <v>-4.4000000000000004</v>
      </c>
      <c r="W9">
        <v>-4.4999999999999997E-3</v>
      </c>
      <c r="X9">
        <v>14.2</v>
      </c>
      <c r="Y9">
        <v>0.7142857142857143</v>
      </c>
    </row>
    <row r="10" spans="1:25" x14ac:dyDescent="0.2">
      <c r="A10" t="s">
        <v>51</v>
      </c>
      <c r="B10" t="s">
        <v>127</v>
      </c>
      <c r="C10">
        <v>1050</v>
      </c>
      <c r="D10">
        <v>610</v>
      </c>
      <c r="E10">
        <v>68</v>
      </c>
      <c r="F10">
        <v>28</v>
      </c>
      <c r="G10">
        <v>3.5</v>
      </c>
      <c r="H10">
        <v>235</v>
      </c>
      <c r="I10">
        <v>1870</v>
      </c>
      <c r="J10">
        <v>49</v>
      </c>
      <c r="K10">
        <v>1</v>
      </c>
      <c r="L10">
        <v>11</v>
      </c>
      <c r="M10">
        <v>61</v>
      </c>
      <c r="N10">
        <v>1028</v>
      </c>
      <c r="O10" s="3">
        <f t="shared" si="0"/>
        <v>5.8095238095238093</v>
      </c>
      <c r="P10">
        <f t="shared" si="1"/>
        <v>1</v>
      </c>
      <c r="Q10">
        <f t="shared" si="2"/>
        <v>0</v>
      </c>
      <c r="S10">
        <v>-19.172444099378882</v>
      </c>
      <c r="T10">
        <v>-7</v>
      </c>
      <c r="U10">
        <v>-20.326086956521738</v>
      </c>
      <c r="V10">
        <v>-4.4000000000000004</v>
      </c>
      <c r="W10">
        <v>-3.5000000000000005E-3</v>
      </c>
      <c r="X10">
        <v>12.2</v>
      </c>
      <c r="Y10">
        <v>0.35714285714285715</v>
      </c>
    </row>
    <row r="11" spans="1:25" x14ac:dyDescent="0.2">
      <c r="A11" t="s">
        <v>51</v>
      </c>
      <c r="B11" t="s">
        <v>132</v>
      </c>
      <c r="C11">
        <v>540</v>
      </c>
      <c r="D11">
        <v>300</v>
      </c>
      <c r="E11">
        <v>33</v>
      </c>
      <c r="F11">
        <v>10</v>
      </c>
      <c r="G11">
        <v>0</v>
      </c>
      <c r="H11">
        <v>95</v>
      </c>
      <c r="I11">
        <v>1380</v>
      </c>
      <c r="J11">
        <v>31</v>
      </c>
      <c r="K11">
        <v>3</v>
      </c>
      <c r="L11">
        <v>5</v>
      </c>
      <c r="M11">
        <v>31</v>
      </c>
      <c r="N11">
        <v>524</v>
      </c>
      <c r="O11" s="3">
        <f t="shared" si="0"/>
        <v>5.7407407407407405</v>
      </c>
      <c r="P11">
        <f t="shared" si="1"/>
        <v>1</v>
      </c>
      <c r="Q11">
        <f t="shared" si="2"/>
        <v>0</v>
      </c>
      <c r="S11">
        <v>-12.22857142857143</v>
      </c>
      <c r="T11">
        <v>-2.5</v>
      </c>
      <c r="U11">
        <v>-15</v>
      </c>
      <c r="V11">
        <v>-2.0000000000000004</v>
      </c>
      <c r="W11">
        <v>0</v>
      </c>
      <c r="X11">
        <v>6.2</v>
      </c>
      <c r="Y11">
        <v>1.0714285714285714</v>
      </c>
    </row>
    <row r="12" spans="1:25" x14ac:dyDescent="0.2">
      <c r="A12" t="s">
        <v>51</v>
      </c>
      <c r="B12" t="s">
        <v>139</v>
      </c>
      <c r="C12">
        <v>440</v>
      </c>
      <c r="D12">
        <v>220</v>
      </c>
      <c r="E12">
        <v>25</v>
      </c>
      <c r="F12">
        <v>7</v>
      </c>
      <c r="G12">
        <v>0</v>
      </c>
      <c r="H12">
        <v>75</v>
      </c>
      <c r="I12">
        <v>930</v>
      </c>
      <c r="J12">
        <v>31</v>
      </c>
      <c r="K12">
        <v>3</v>
      </c>
      <c r="L12">
        <v>4</v>
      </c>
      <c r="M12">
        <v>25</v>
      </c>
      <c r="N12">
        <v>426</v>
      </c>
      <c r="O12" s="3">
        <f t="shared" si="0"/>
        <v>5.6818181818181817</v>
      </c>
      <c r="P12">
        <f t="shared" si="1"/>
        <v>1</v>
      </c>
      <c r="Q12">
        <f t="shared" si="2"/>
        <v>0</v>
      </c>
      <c r="S12">
        <v>-7.3872670807453407</v>
      </c>
      <c r="T12">
        <v>-1.75</v>
      </c>
      <c r="U12">
        <v>-10.108695652173912</v>
      </c>
      <c r="V12">
        <v>-1.6</v>
      </c>
      <c r="W12">
        <v>0</v>
      </c>
      <c r="X12">
        <v>5</v>
      </c>
      <c r="Y12">
        <v>1.0714285714285714</v>
      </c>
    </row>
    <row r="13" spans="1:25" x14ac:dyDescent="0.2">
      <c r="A13" t="s">
        <v>51</v>
      </c>
      <c r="B13" t="s">
        <v>151</v>
      </c>
      <c r="C13">
        <v>580</v>
      </c>
      <c r="D13">
        <v>260</v>
      </c>
      <c r="E13">
        <v>29</v>
      </c>
      <c r="F13">
        <v>13</v>
      </c>
      <c r="G13">
        <v>1.5</v>
      </c>
      <c r="H13">
        <v>105</v>
      </c>
      <c r="I13">
        <v>1310</v>
      </c>
      <c r="J13">
        <v>49</v>
      </c>
      <c r="K13">
        <v>2</v>
      </c>
      <c r="L13">
        <v>10</v>
      </c>
      <c r="M13">
        <v>32</v>
      </c>
      <c r="N13">
        <v>571</v>
      </c>
      <c r="O13" s="3">
        <f t="shared" si="0"/>
        <v>5.5172413793103452</v>
      </c>
      <c r="P13">
        <f t="shared" si="1"/>
        <v>1</v>
      </c>
      <c r="Q13">
        <f t="shared" si="2"/>
        <v>0</v>
      </c>
      <c r="S13">
        <v>-14.376344720496895</v>
      </c>
      <c r="T13">
        <v>-3.25</v>
      </c>
      <c r="U13">
        <v>-14.239130434782609</v>
      </c>
      <c r="V13">
        <v>-4.0000000000000009</v>
      </c>
      <c r="W13">
        <v>-1.5E-3</v>
      </c>
      <c r="X13">
        <v>6.4</v>
      </c>
      <c r="Y13">
        <v>0.7142857142857143</v>
      </c>
    </row>
    <row r="14" spans="1:25" x14ac:dyDescent="0.2">
      <c r="A14" t="s">
        <v>51</v>
      </c>
      <c r="B14" t="s">
        <v>154</v>
      </c>
      <c r="C14">
        <v>240</v>
      </c>
      <c r="D14">
        <v>90</v>
      </c>
      <c r="E14">
        <v>10</v>
      </c>
      <c r="F14">
        <v>3.5</v>
      </c>
      <c r="G14">
        <v>0.5</v>
      </c>
      <c r="H14">
        <v>35</v>
      </c>
      <c r="I14">
        <v>380</v>
      </c>
      <c r="J14">
        <v>26</v>
      </c>
      <c r="K14">
        <v>1</v>
      </c>
      <c r="L14">
        <v>6</v>
      </c>
      <c r="M14">
        <v>13</v>
      </c>
      <c r="N14">
        <v>237</v>
      </c>
      <c r="O14" s="3">
        <f t="shared" si="0"/>
        <v>5.416666666666667</v>
      </c>
      <c r="P14">
        <f t="shared" si="1"/>
        <v>0</v>
      </c>
      <c r="Q14">
        <f t="shared" si="2"/>
        <v>0</v>
      </c>
      <c r="S14">
        <v>-4.4487919254658381</v>
      </c>
      <c r="T14">
        <v>-0.875</v>
      </c>
      <c r="U14">
        <v>-4.1304347826086953</v>
      </c>
      <c r="V14">
        <v>-2.4</v>
      </c>
      <c r="W14">
        <v>-5.0000000000000001E-4</v>
      </c>
      <c r="X14">
        <v>2.6</v>
      </c>
      <c r="Y14">
        <v>0.35714285714285715</v>
      </c>
    </row>
    <row r="15" spans="1:25" x14ac:dyDescent="0.2">
      <c r="A15" t="s">
        <v>51</v>
      </c>
      <c r="B15" t="s">
        <v>161</v>
      </c>
      <c r="C15">
        <v>1190</v>
      </c>
      <c r="D15">
        <v>750</v>
      </c>
      <c r="E15">
        <v>84</v>
      </c>
      <c r="F15">
        <v>33</v>
      </c>
      <c r="G15">
        <v>3.5</v>
      </c>
      <c r="H15">
        <v>235</v>
      </c>
      <c r="I15">
        <v>1930</v>
      </c>
      <c r="J15">
        <v>50</v>
      </c>
      <c r="K15">
        <v>2</v>
      </c>
      <c r="L15">
        <v>11</v>
      </c>
      <c r="M15">
        <v>64</v>
      </c>
      <c r="N15">
        <v>1170</v>
      </c>
      <c r="O15" s="3">
        <f t="shared" si="0"/>
        <v>5.3781512605042021</v>
      </c>
      <c r="P15">
        <f t="shared" si="1"/>
        <v>1</v>
      </c>
      <c r="Q15">
        <f t="shared" si="2"/>
        <v>0</v>
      </c>
      <c r="S15">
        <v>-20.117475155279504</v>
      </c>
      <c r="T15">
        <v>-8.25</v>
      </c>
      <c r="U15">
        <v>-20.978260869565219</v>
      </c>
      <c r="V15">
        <v>-4.4000000000000004</v>
      </c>
      <c r="W15">
        <v>-3.5000000000000005E-3</v>
      </c>
      <c r="X15">
        <v>12.8</v>
      </c>
      <c r="Y15">
        <v>0.7142857142857143</v>
      </c>
    </row>
    <row r="16" spans="1:25" x14ac:dyDescent="0.2">
      <c r="A16" t="s">
        <v>51</v>
      </c>
      <c r="B16" t="s">
        <v>162</v>
      </c>
      <c r="C16">
        <v>280</v>
      </c>
      <c r="D16">
        <v>120</v>
      </c>
      <c r="E16">
        <v>13</v>
      </c>
      <c r="F16">
        <v>6</v>
      </c>
      <c r="G16">
        <v>0.5</v>
      </c>
      <c r="H16">
        <v>45</v>
      </c>
      <c r="I16">
        <v>560</v>
      </c>
      <c r="J16">
        <v>27</v>
      </c>
      <c r="K16">
        <v>1</v>
      </c>
      <c r="L16">
        <v>7</v>
      </c>
      <c r="M16">
        <v>15</v>
      </c>
      <c r="N16">
        <v>278</v>
      </c>
      <c r="O16" s="3">
        <f t="shared" si="0"/>
        <v>5.3571428571428568</v>
      </c>
      <c r="P16">
        <f t="shared" si="1"/>
        <v>1</v>
      </c>
      <c r="Q16">
        <f t="shared" si="2"/>
        <v>0</v>
      </c>
      <c r="S16">
        <v>-7.0303136645962754</v>
      </c>
      <c r="T16">
        <v>-1.5</v>
      </c>
      <c r="U16">
        <v>-6.0869565217391308</v>
      </c>
      <c r="V16">
        <v>-2.8000000000000003</v>
      </c>
      <c r="W16">
        <v>-5.0000000000000001E-4</v>
      </c>
      <c r="X16">
        <v>3</v>
      </c>
      <c r="Y16">
        <v>0.35714285714285715</v>
      </c>
    </row>
    <row r="17" spans="1:25" x14ac:dyDescent="0.2">
      <c r="A17" t="s">
        <v>51</v>
      </c>
      <c r="B17" t="s">
        <v>168</v>
      </c>
      <c r="C17">
        <v>900</v>
      </c>
      <c r="D17">
        <v>520</v>
      </c>
      <c r="E17">
        <v>58</v>
      </c>
      <c r="F17">
        <v>20</v>
      </c>
      <c r="G17">
        <v>3</v>
      </c>
      <c r="H17">
        <v>175</v>
      </c>
      <c r="I17">
        <v>1050</v>
      </c>
      <c r="J17">
        <v>49</v>
      </c>
      <c r="K17">
        <v>2</v>
      </c>
      <c r="L17">
        <v>11</v>
      </c>
      <c r="M17">
        <v>48</v>
      </c>
      <c r="N17">
        <v>883</v>
      </c>
      <c r="O17" s="3">
        <f t="shared" si="0"/>
        <v>5.3333333333333339</v>
      </c>
      <c r="P17">
        <f t="shared" si="1"/>
        <v>1</v>
      </c>
      <c r="Q17">
        <f t="shared" si="2"/>
        <v>0</v>
      </c>
      <c r="S17">
        <v>-10.501757763975153</v>
      </c>
      <c r="T17">
        <v>-5</v>
      </c>
      <c r="U17">
        <v>-11.413043478260869</v>
      </c>
      <c r="V17">
        <v>-4.4000000000000004</v>
      </c>
      <c r="W17">
        <v>-3.0000000000000001E-3</v>
      </c>
      <c r="X17">
        <v>9.6</v>
      </c>
      <c r="Y17">
        <v>0.7142857142857143</v>
      </c>
    </row>
    <row r="18" spans="1:25" x14ac:dyDescent="0.2">
      <c r="A18" t="s">
        <v>51</v>
      </c>
      <c r="B18" t="s">
        <v>170</v>
      </c>
      <c r="C18">
        <v>320</v>
      </c>
      <c r="D18">
        <v>140</v>
      </c>
      <c r="E18">
        <v>16</v>
      </c>
      <c r="F18">
        <v>7</v>
      </c>
      <c r="G18">
        <v>0.5</v>
      </c>
      <c r="H18">
        <v>55</v>
      </c>
      <c r="I18">
        <v>710</v>
      </c>
      <c r="J18">
        <v>27</v>
      </c>
      <c r="K18">
        <v>1</v>
      </c>
      <c r="L18">
        <v>7</v>
      </c>
      <c r="M18">
        <v>17</v>
      </c>
      <c r="N18">
        <v>317</v>
      </c>
      <c r="O18" s="3">
        <f t="shared" si="0"/>
        <v>5.3125</v>
      </c>
      <c r="P18">
        <f t="shared" si="1"/>
        <v>1</v>
      </c>
      <c r="Q18">
        <f t="shared" si="2"/>
        <v>0</v>
      </c>
      <c r="S18">
        <v>-8.5107484472049695</v>
      </c>
      <c r="T18">
        <v>-1.75</v>
      </c>
      <c r="U18">
        <v>-7.7173913043478262</v>
      </c>
      <c r="V18">
        <v>-2.8000000000000003</v>
      </c>
      <c r="W18">
        <v>-5.0000000000000001E-4</v>
      </c>
      <c r="X18">
        <v>3.4000000000000004</v>
      </c>
      <c r="Y18">
        <v>0.35714285714285715</v>
      </c>
    </row>
    <row r="19" spans="1:25" x14ac:dyDescent="0.2">
      <c r="A19" t="s">
        <v>51</v>
      </c>
      <c r="B19" t="s">
        <v>171</v>
      </c>
      <c r="C19">
        <v>980</v>
      </c>
      <c r="D19">
        <v>580</v>
      </c>
      <c r="E19">
        <v>64</v>
      </c>
      <c r="F19">
        <v>24</v>
      </c>
      <c r="G19">
        <v>3</v>
      </c>
      <c r="H19">
        <v>195</v>
      </c>
      <c r="I19">
        <v>1410</v>
      </c>
      <c r="J19">
        <v>50</v>
      </c>
      <c r="K19">
        <v>2</v>
      </c>
      <c r="L19">
        <v>11</v>
      </c>
      <c r="M19">
        <v>52</v>
      </c>
      <c r="N19">
        <v>963</v>
      </c>
      <c r="O19" s="3">
        <f t="shared" si="0"/>
        <v>5.3061224489795915</v>
      </c>
      <c r="P19">
        <f t="shared" si="1"/>
        <v>1</v>
      </c>
      <c r="Q19">
        <f t="shared" si="2"/>
        <v>0</v>
      </c>
      <c r="S19">
        <v>-14.614801242236027</v>
      </c>
      <c r="T19">
        <v>-6</v>
      </c>
      <c r="U19">
        <v>-15.32608695652174</v>
      </c>
      <c r="V19">
        <v>-4.4000000000000004</v>
      </c>
      <c r="W19">
        <v>-3.0000000000000001E-3</v>
      </c>
      <c r="X19">
        <v>10.4</v>
      </c>
      <c r="Y19">
        <v>0.7142857142857143</v>
      </c>
    </row>
    <row r="20" spans="1:25" x14ac:dyDescent="0.2">
      <c r="A20" t="s">
        <v>51</v>
      </c>
      <c r="B20" t="s">
        <v>172</v>
      </c>
      <c r="C20">
        <v>1150</v>
      </c>
      <c r="D20">
        <v>710</v>
      </c>
      <c r="E20">
        <v>79</v>
      </c>
      <c r="F20">
        <v>31</v>
      </c>
      <c r="G20">
        <v>3.5</v>
      </c>
      <c r="H20">
        <v>240</v>
      </c>
      <c r="I20">
        <v>2150</v>
      </c>
      <c r="J20">
        <v>49</v>
      </c>
      <c r="K20">
        <v>2</v>
      </c>
      <c r="L20">
        <v>10</v>
      </c>
      <c r="M20">
        <v>61</v>
      </c>
      <c r="N20">
        <v>1130</v>
      </c>
      <c r="O20" s="3">
        <f t="shared" si="0"/>
        <v>5.304347826086957</v>
      </c>
      <c r="P20">
        <f t="shared" si="1"/>
        <v>1</v>
      </c>
      <c r="Q20">
        <f t="shared" si="2"/>
        <v>0</v>
      </c>
      <c r="S20">
        <v>-22.208779503105593</v>
      </c>
      <c r="T20">
        <v>-7.75</v>
      </c>
      <c r="U20">
        <v>-23.369565217391305</v>
      </c>
      <c r="V20">
        <v>-4.0000000000000009</v>
      </c>
      <c r="W20">
        <v>-3.5000000000000005E-3</v>
      </c>
      <c r="X20">
        <v>12.2</v>
      </c>
      <c r="Y20">
        <v>0.7142857142857143</v>
      </c>
    </row>
    <row r="21" spans="1:25" x14ac:dyDescent="0.2">
      <c r="A21" t="s">
        <v>51</v>
      </c>
      <c r="B21" t="s">
        <v>205</v>
      </c>
      <c r="C21">
        <v>700</v>
      </c>
      <c r="D21">
        <v>380</v>
      </c>
      <c r="E21">
        <v>42</v>
      </c>
      <c r="F21">
        <v>16</v>
      </c>
      <c r="G21">
        <v>2</v>
      </c>
      <c r="H21">
        <v>125</v>
      </c>
      <c r="I21">
        <v>1360</v>
      </c>
      <c r="J21">
        <v>48</v>
      </c>
      <c r="K21">
        <v>1</v>
      </c>
      <c r="L21">
        <v>10</v>
      </c>
      <c r="M21">
        <v>35</v>
      </c>
      <c r="N21">
        <v>691</v>
      </c>
      <c r="O21" s="3">
        <f t="shared" si="0"/>
        <v>5</v>
      </c>
      <c r="P21">
        <f t="shared" si="1"/>
        <v>1</v>
      </c>
      <c r="Q21">
        <f t="shared" si="2"/>
        <v>0</v>
      </c>
      <c r="S21">
        <v>-15.427465838509313</v>
      </c>
      <c r="T21">
        <v>-4</v>
      </c>
      <c r="U21">
        <v>-14.782608695652174</v>
      </c>
      <c r="V21">
        <v>-4.0000000000000009</v>
      </c>
      <c r="W21">
        <v>-2E-3</v>
      </c>
      <c r="X21">
        <v>6.9999999999999991</v>
      </c>
      <c r="Y21">
        <v>0.35714285714285715</v>
      </c>
    </row>
    <row r="22" spans="1:25" x14ac:dyDescent="0.2">
      <c r="A22" t="s">
        <v>51</v>
      </c>
      <c r="B22" t="s">
        <v>206</v>
      </c>
      <c r="C22">
        <v>160</v>
      </c>
      <c r="D22">
        <v>25</v>
      </c>
      <c r="E22">
        <v>2.5</v>
      </c>
      <c r="F22">
        <v>1.5</v>
      </c>
      <c r="G22">
        <v>0</v>
      </c>
      <c r="H22">
        <v>15</v>
      </c>
      <c r="I22">
        <v>150</v>
      </c>
      <c r="J22">
        <v>26</v>
      </c>
      <c r="K22">
        <v>0</v>
      </c>
      <c r="L22">
        <v>25</v>
      </c>
      <c r="M22">
        <v>8</v>
      </c>
      <c r="N22">
        <v>179</v>
      </c>
      <c r="O22" s="3">
        <f t="shared" si="0"/>
        <v>5</v>
      </c>
      <c r="P22">
        <f t="shared" si="1"/>
        <v>0</v>
      </c>
      <c r="Q22">
        <f t="shared" si="2"/>
        <v>0</v>
      </c>
      <c r="S22">
        <v>-10.405434782608696</v>
      </c>
      <c r="T22">
        <v>-0.375</v>
      </c>
      <c r="U22">
        <v>-1.6304347826086956</v>
      </c>
      <c r="V22">
        <v>-10</v>
      </c>
      <c r="W22">
        <v>0</v>
      </c>
      <c r="X22">
        <v>1.6</v>
      </c>
      <c r="Y22">
        <v>0</v>
      </c>
    </row>
    <row r="23" spans="1:25" x14ac:dyDescent="0.2">
      <c r="A23" t="s">
        <v>51</v>
      </c>
      <c r="B23" t="s">
        <v>207</v>
      </c>
      <c r="C23">
        <v>40</v>
      </c>
      <c r="D23">
        <v>30</v>
      </c>
      <c r="E23">
        <v>3.5</v>
      </c>
      <c r="F23">
        <v>2</v>
      </c>
      <c r="G23">
        <v>0</v>
      </c>
      <c r="H23">
        <v>10</v>
      </c>
      <c r="I23">
        <v>180</v>
      </c>
      <c r="J23">
        <v>1</v>
      </c>
      <c r="K23">
        <v>0</v>
      </c>
      <c r="L23">
        <v>0</v>
      </c>
      <c r="M23">
        <v>2</v>
      </c>
      <c r="N23">
        <v>40</v>
      </c>
      <c r="O23" s="3">
        <f t="shared" si="0"/>
        <v>5</v>
      </c>
      <c r="P23">
        <f t="shared" si="1"/>
        <v>0</v>
      </c>
      <c r="Q23">
        <f t="shared" si="2"/>
        <v>0</v>
      </c>
      <c r="S23">
        <v>-2.0565217391304351</v>
      </c>
      <c r="T23">
        <v>-0.5</v>
      </c>
      <c r="U23">
        <v>-1.956521739130435</v>
      </c>
      <c r="V23">
        <v>0</v>
      </c>
      <c r="W23">
        <v>0</v>
      </c>
      <c r="X23">
        <v>0.4</v>
      </c>
      <c r="Y23">
        <v>0</v>
      </c>
    </row>
    <row r="24" spans="1:25" x14ac:dyDescent="0.2">
      <c r="A24" t="s">
        <v>51</v>
      </c>
      <c r="B24" t="s">
        <v>241</v>
      </c>
      <c r="C24">
        <v>170</v>
      </c>
      <c r="D24">
        <v>100</v>
      </c>
      <c r="E24">
        <v>11</v>
      </c>
      <c r="F24">
        <v>1.5</v>
      </c>
      <c r="G24">
        <v>0</v>
      </c>
      <c r="H24">
        <v>25</v>
      </c>
      <c r="I24">
        <v>310</v>
      </c>
      <c r="J24">
        <v>11</v>
      </c>
      <c r="K24">
        <v>1</v>
      </c>
      <c r="L24">
        <v>0</v>
      </c>
      <c r="M24">
        <v>8</v>
      </c>
      <c r="N24">
        <v>164</v>
      </c>
      <c r="O24" s="3">
        <f t="shared" si="0"/>
        <v>4.7058823529411766</v>
      </c>
      <c r="P24">
        <f t="shared" si="1"/>
        <v>0</v>
      </c>
      <c r="Q24">
        <f t="shared" si="2"/>
        <v>0</v>
      </c>
      <c r="S24">
        <v>-1.7874223602484469</v>
      </c>
      <c r="T24">
        <v>-0.375</v>
      </c>
      <c r="U24">
        <v>-3.3695652173913042</v>
      </c>
      <c r="V24">
        <v>0</v>
      </c>
      <c r="W24">
        <v>0</v>
      </c>
      <c r="X24">
        <v>1.6</v>
      </c>
      <c r="Y24">
        <v>0.35714285714285715</v>
      </c>
    </row>
    <row r="25" spans="1:25" x14ac:dyDescent="0.2">
      <c r="A25" t="s">
        <v>51</v>
      </c>
      <c r="B25" t="s">
        <v>257</v>
      </c>
      <c r="C25">
        <v>580</v>
      </c>
      <c r="D25">
        <v>340</v>
      </c>
      <c r="E25">
        <v>38</v>
      </c>
      <c r="F25">
        <v>16</v>
      </c>
      <c r="G25">
        <v>0.5</v>
      </c>
      <c r="H25">
        <v>220</v>
      </c>
      <c r="I25">
        <v>1530</v>
      </c>
      <c r="J25">
        <v>31</v>
      </c>
      <c r="K25">
        <v>1</v>
      </c>
      <c r="L25">
        <v>5</v>
      </c>
      <c r="M25">
        <v>27</v>
      </c>
      <c r="N25">
        <v>574</v>
      </c>
      <c r="O25" s="3">
        <f t="shared" si="0"/>
        <v>4.6551724137931041</v>
      </c>
      <c r="P25">
        <f t="shared" si="1"/>
        <v>1</v>
      </c>
      <c r="Q25">
        <f t="shared" si="2"/>
        <v>0</v>
      </c>
      <c r="S25">
        <v>-16.873791925465834</v>
      </c>
      <c r="T25">
        <v>-4</v>
      </c>
      <c r="U25">
        <v>-16.630434782608695</v>
      </c>
      <c r="V25">
        <v>-2.0000000000000004</v>
      </c>
      <c r="W25">
        <v>-5.0000000000000001E-4</v>
      </c>
      <c r="X25">
        <v>5.4</v>
      </c>
      <c r="Y25">
        <v>0.35714285714285715</v>
      </c>
    </row>
    <row r="26" spans="1:25" x14ac:dyDescent="0.2">
      <c r="A26" t="s">
        <v>51</v>
      </c>
      <c r="B26" t="s">
        <v>258</v>
      </c>
      <c r="C26">
        <v>430</v>
      </c>
      <c r="D26">
        <v>240</v>
      </c>
      <c r="E26">
        <v>27</v>
      </c>
      <c r="F26">
        <v>4.5</v>
      </c>
      <c r="G26">
        <v>0</v>
      </c>
      <c r="H26">
        <v>55</v>
      </c>
      <c r="I26">
        <v>780</v>
      </c>
      <c r="J26">
        <v>27</v>
      </c>
      <c r="K26">
        <v>2</v>
      </c>
      <c r="L26">
        <v>0</v>
      </c>
      <c r="M26">
        <v>20</v>
      </c>
      <c r="N26">
        <v>415</v>
      </c>
      <c r="O26" s="3">
        <f t="shared" si="0"/>
        <v>4.6511627906976747</v>
      </c>
      <c r="P26">
        <f t="shared" si="1"/>
        <v>1</v>
      </c>
      <c r="Q26">
        <f t="shared" si="2"/>
        <v>0</v>
      </c>
      <c r="S26">
        <v>-4.8889751552795015</v>
      </c>
      <c r="T26">
        <v>-1.125</v>
      </c>
      <c r="U26">
        <v>-8.4782608695652169</v>
      </c>
      <c r="V26">
        <v>0</v>
      </c>
      <c r="W26">
        <v>0</v>
      </c>
      <c r="X26">
        <v>4.0000000000000009</v>
      </c>
      <c r="Y26">
        <v>0.7142857142857143</v>
      </c>
    </row>
    <row r="27" spans="1:25" x14ac:dyDescent="0.2">
      <c r="A27" t="s">
        <v>51</v>
      </c>
      <c r="B27" t="s">
        <v>260</v>
      </c>
      <c r="C27">
        <v>280</v>
      </c>
      <c r="D27">
        <v>150</v>
      </c>
      <c r="E27">
        <v>17</v>
      </c>
      <c r="F27">
        <v>2.5</v>
      </c>
      <c r="G27">
        <v>0</v>
      </c>
      <c r="H27">
        <v>35</v>
      </c>
      <c r="I27">
        <v>850</v>
      </c>
      <c r="J27">
        <v>20</v>
      </c>
      <c r="K27">
        <v>1</v>
      </c>
      <c r="L27">
        <v>1</v>
      </c>
      <c r="M27">
        <v>13</v>
      </c>
      <c r="N27">
        <v>271</v>
      </c>
      <c r="O27" s="3">
        <f t="shared" si="0"/>
        <v>4.6428571428571432</v>
      </c>
      <c r="P27">
        <f t="shared" si="1"/>
        <v>1</v>
      </c>
      <c r="Q27">
        <f t="shared" si="2"/>
        <v>0</v>
      </c>
      <c r="S27">
        <v>-7.3069875776397515</v>
      </c>
      <c r="T27">
        <v>-0.625</v>
      </c>
      <c r="U27">
        <v>-9.2391304347826075</v>
      </c>
      <c r="V27">
        <v>-0.4</v>
      </c>
      <c r="W27">
        <v>0</v>
      </c>
      <c r="X27">
        <v>2.6</v>
      </c>
      <c r="Y27">
        <v>0.35714285714285715</v>
      </c>
    </row>
    <row r="28" spans="1:25" x14ac:dyDescent="0.2">
      <c r="A28" t="s">
        <v>51</v>
      </c>
      <c r="B28" t="s">
        <v>265</v>
      </c>
      <c r="C28">
        <v>260</v>
      </c>
      <c r="D28">
        <v>150</v>
      </c>
      <c r="E28">
        <v>16</v>
      </c>
      <c r="F28">
        <v>2.5</v>
      </c>
      <c r="G28">
        <v>0</v>
      </c>
      <c r="H28">
        <v>35</v>
      </c>
      <c r="I28">
        <v>470</v>
      </c>
      <c r="J28">
        <v>16</v>
      </c>
      <c r="K28">
        <v>1</v>
      </c>
      <c r="L28">
        <v>0</v>
      </c>
      <c r="M28">
        <v>12</v>
      </c>
      <c r="N28">
        <v>251</v>
      </c>
      <c r="O28" s="3">
        <f t="shared" si="0"/>
        <v>4.6153846153846159</v>
      </c>
      <c r="P28">
        <f t="shared" si="1"/>
        <v>1</v>
      </c>
      <c r="Q28">
        <f t="shared" si="2"/>
        <v>0</v>
      </c>
      <c r="S28">
        <v>-2.976552795031056</v>
      </c>
      <c r="T28">
        <v>-0.625</v>
      </c>
      <c r="U28">
        <v>-5.1086956521739131</v>
      </c>
      <c r="V28">
        <v>0</v>
      </c>
      <c r="W28">
        <v>0</v>
      </c>
      <c r="X28">
        <v>2.4</v>
      </c>
      <c r="Y28">
        <v>0.35714285714285715</v>
      </c>
    </row>
    <row r="29" spans="1:25" x14ac:dyDescent="0.2">
      <c r="A29" t="s">
        <v>51</v>
      </c>
      <c r="B29" t="s">
        <v>270</v>
      </c>
      <c r="C29">
        <v>630</v>
      </c>
      <c r="D29">
        <v>330</v>
      </c>
      <c r="E29">
        <v>37</v>
      </c>
      <c r="F29">
        <v>14</v>
      </c>
      <c r="G29">
        <v>1.5</v>
      </c>
      <c r="H29">
        <v>100</v>
      </c>
      <c r="I29">
        <v>1050</v>
      </c>
      <c r="J29">
        <v>45</v>
      </c>
      <c r="K29">
        <v>2</v>
      </c>
      <c r="L29">
        <v>9</v>
      </c>
      <c r="M29">
        <v>29</v>
      </c>
      <c r="N29">
        <v>624</v>
      </c>
      <c r="O29" s="3">
        <f t="shared" si="0"/>
        <v>4.6031746031746037</v>
      </c>
      <c r="P29">
        <f t="shared" si="1"/>
        <v>1</v>
      </c>
      <c r="Q29">
        <f t="shared" si="2"/>
        <v>0</v>
      </c>
      <c r="S29">
        <v>-12.000257763975155</v>
      </c>
      <c r="T29">
        <v>-3.5</v>
      </c>
      <c r="U29">
        <v>-11.413043478260869</v>
      </c>
      <c r="V29">
        <v>-3.5999999999999996</v>
      </c>
      <c r="W29">
        <v>-1.5E-3</v>
      </c>
      <c r="X29">
        <v>5.8</v>
      </c>
      <c r="Y29">
        <v>0.7142857142857143</v>
      </c>
    </row>
    <row r="30" spans="1:25" x14ac:dyDescent="0.2">
      <c r="A30" t="s">
        <v>51</v>
      </c>
      <c r="B30" t="s">
        <v>271</v>
      </c>
      <c r="C30">
        <v>370</v>
      </c>
      <c r="D30">
        <v>170</v>
      </c>
      <c r="E30">
        <v>19</v>
      </c>
      <c r="F30">
        <v>8</v>
      </c>
      <c r="G30">
        <v>0</v>
      </c>
      <c r="H30">
        <v>175</v>
      </c>
      <c r="I30">
        <v>1030</v>
      </c>
      <c r="J30">
        <v>30</v>
      </c>
      <c r="K30">
        <v>1</v>
      </c>
      <c r="L30">
        <v>5</v>
      </c>
      <c r="M30">
        <v>17</v>
      </c>
      <c r="N30">
        <v>366</v>
      </c>
      <c r="O30" s="3">
        <f t="shared" si="0"/>
        <v>4.5945945945945947</v>
      </c>
      <c r="P30">
        <f t="shared" si="1"/>
        <v>1</v>
      </c>
      <c r="Q30">
        <f t="shared" si="2"/>
        <v>0</v>
      </c>
      <c r="S30">
        <v>-11.438509316770187</v>
      </c>
      <c r="T30">
        <v>-2</v>
      </c>
      <c r="U30">
        <v>-11.195652173913045</v>
      </c>
      <c r="V30">
        <v>-2.0000000000000004</v>
      </c>
      <c r="W30">
        <v>0</v>
      </c>
      <c r="X30">
        <v>3.4000000000000004</v>
      </c>
      <c r="Y30">
        <v>0.35714285714285715</v>
      </c>
    </row>
    <row r="31" spans="1:25" x14ac:dyDescent="0.2">
      <c r="A31" t="s">
        <v>51</v>
      </c>
      <c r="B31" t="s">
        <v>273</v>
      </c>
      <c r="C31">
        <v>610</v>
      </c>
      <c r="D31">
        <v>360</v>
      </c>
      <c r="E31">
        <v>40</v>
      </c>
      <c r="F31">
        <v>17</v>
      </c>
      <c r="G31">
        <v>0.5</v>
      </c>
      <c r="H31">
        <v>225</v>
      </c>
      <c r="I31">
        <v>1680</v>
      </c>
      <c r="J31">
        <v>31</v>
      </c>
      <c r="K31">
        <v>1</v>
      </c>
      <c r="L31">
        <v>5</v>
      </c>
      <c r="M31">
        <v>28</v>
      </c>
      <c r="N31">
        <v>604</v>
      </c>
      <c r="O31" s="3">
        <f t="shared" si="0"/>
        <v>4.5901639344262293</v>
      </c>
      <c r="P31">
        <f t="shared" si="1"/>
        <v>1</v>
      </c>
      <c r="Q31">
        <f t="shared" si="2"/>
        <v>0</v>
      </c>
      <c r="S31">
        <v>-18.55422670807453</v>
      </c>
      <c r="T31">
        <v>-4.25</v>
      </c>
      <c r="U31">
        <v>-18.260869565217391</v>
      </c>
      <c r="V31">
        <v>-2.0000000000000004</v>
      </c>
      <c r="W31">
        <v>-5.0000000000000001E-4</v>
      </c>
      <c r="X31">
        <v>5.6000000000000005</v>
      </c>
      <c r="Y31">
        <v>0.35714285714285715</v>
      </c>
    </row>
    <row r="32" spans="1:25" x14ac:dyDescent="0.2">
      <c r="A32" t="s">
        <v>51</v>
      </c>
      <c r="B32" t="s">
        <v>281</v>
      </c>
      <c r="C32">
        <v>860</v>
      </c>
      <c r="D32">
        <v>490</v>
      </c>
      <c r="E32">
        <v>54</v>
      </c>
      <c r="F32">
        <v>9</v>
      </c>
      <c r="G32">
        <v>0</v>
      </c>
      <c r="H32">
        <v>115</v>
      </c>
      <c r="I32">
        <v>1570</v>
      </c>
      <c r="J32">
        <v>53</v>
      </c>
      <c r="K32">
        <v>3</v>
      </c>
      <c r="L32">
        <v>1</v>
      </c>
      <c r="M32">
        <v>39</v>
      </c>
      <c r="N32">
        <v>831</v>
      </c>
      <c r="O32" s="3">
        <f t="shared" si="0"/>
        <v>4.5348837209302326</v>
      </c>
      <c r="P32">
        <f t="shared" si="1"/>
        <v>1</v>
      </c>
      <c r="Q32">
        <f t="shared" si="2"/>
        <v>0</v>
      </c>
      <c r="S32">
        <v>-10.843788819875774</v>
      </c>
      <c r="T32">
        <v>-2.25</v>
      </c>
      <c r="U32">
        <v>-17.065217391304348</v>
      </c>
      <c r="V32">
        <v>-0.4</v>
      </c>
      <c r="W32">
        <v>0</v>
      </c>
      <c r="X32">
        <v>7.8000000000000016</v>
      </c>
      <c r="Y32">
        <v>1.0714285714285714</v>
      </c>
    </row>
    <row r="33" spans="1:25" x14ac:dyDescent="0.2">
      <c r="A33" t="s">
        <v>51</v>
      </c>
      <c r="B33" t="s">
        <v>297</v>
      </c>
      <c r="C33">
        <v>790</v>
      </c>
      <c r="D33">
        <v>460</v>
      </c>
      <c r="E33">
        <v>51</v>
      </c>
      <c r="F33">
        <v>17</v>
      </c>
      <c r="G33">
        <v>2</v>
      </c>
      <c r="H33">
        <v>125</v>
      </c>
      <c r="I33">
        <v>1560</v>
      </c>
      <c r="J33">
        <v>50</v>
      </c>
      <c r="K33">
        <v>2</v>
      </c>
      <c r="L33">
        <v>11</v>
      </c>
      <c r="M33">
        <v>35</v>
      </c>
      <c r="N33">
        <v>783</v>
      </c>
      <c r="O33" s="3">
        <f t="shared" si="0"/>
        <v>4.4303797468354427</v>
      </c>
      <c r="P33">
        <f t="shared" si="1"/>
        <v>1</v>
      </c>
      <c r="Q33">
        <f t="shared" si="2"/>
        <v>0</v>
      </c>
      <c r="S33">
        <v>-17.894236024844719</v>
      </c>
      <c r="T33">
        <v>-4.25</v>
      </c>
      <c r="U33">
        <v>-16.956521739130434</v>
      </c>
      <c r="V33">
        <v>-4.4000000000000004</v>
      </c>
      <c r="W33">
        <v>-2E-3</v>
      </c>
      <c r="X33">
        <v>6.9999999999999991</v>
      </c>
      <c r="Y33">
        <v>0.7142857142857143</v>
      </c>
    </row>
    <row r="34" spans="1:25" x14ac:dyDescent="0.2">
      <c r="A34" t="s">
        <v>51</v>
      </c>
      <c r="B34" t="s">
        <v>304</v>
      </c>
      <c r="C34">
        <v>640</v>
      </c>
      <c r="D34">
        <v>400</v>
      </c>
      <c r="E34">
        <v>45</v>
      </c>
      <c r="F34">
        <v>20</v>
      </c>
      <c r="G34">
        <v>0</v>
      </c>
      <c r="H34">
        <v>225</v>
      </c>
      <c r="I34">
        <v>2190</v>
      </c>
      <c r="J34">
        <v>31</v>
      </c>
      <c r="K34">
        <v>1</v>
      </c>
      <c r="L34">
        <v>4</v>
      </c>
      <c r="M34">
        <v>28</v>
      </c>
      <c r="N34">
        <v>636</v>
      </c>
      <c r="O34" s="3">
        <f t="shared" ref="O34:O65" si="3">M34/C34*100</f>
        <v>4.375</v>
      </c>
      <c r="P34">
        <f t="shared" si="1"/>
        <v>1</v>
      </c>
      <c r="Q34">
        <f t="shared" si="2"/>
        <v>0</v>
      </c>
      <c r="S34">
        <v>-24.447204968944099</v>
      </c>
      <c r="T34">
        <v>-5</v>
      </c>
      <c r="U34">
        <v>-23.804347826086957</v>
      </c>
      <c r="V34">
        <v>-1.6</v>
      </c>
      <c r="W34">
        <v>0</v>
      </c>
      <c r="X34">
        <v>5.6000000000000005</v>
      </c>
      <c r="Y34">
        <v>0.35714285714285715</v>
      </c>
    </row>
    <row r="35" spans="1:25" x14ac:dyDescent="0.2">
      <c r="A35" t="s">
        <v>51</v>
      </c>
      <c r="B35" t="s">
        <v>316</v>
      </c>
      <c r="C35">
        <v>740</v>
      </c>
      <c r="D35">
        <v>420</v>
      </c>
      <c r="E35">
        <v>46</v>
      </c>
      <c r="F35">
        <v>16</v>
      </c>
      <c r="G35">
        <v>2</v>
      </c>
      <c r="H35">
        <v>115</v>
      </c>
      <c r="I35">
        <v>1340</v>
      </c>
      <c r="J35">
        <v>50</v>
      </c>
      <c r="K35">
        <v>2</v>
      </c>
      <c r="L35">
        <v>11</v>
      </c>
      <c r="M35">
        <v>32</v>
      </c>
      <c r="N35">
        <v>735</v>
      </c>
      <c r="O35" s="3">
        <f t="shared" si="3"/>
        <v>4.3243243243243246</v>
      </c>
      <c r="P35">
        <f t="shared" si="1"/>
        <v>1</v>
      </c>
      <c r="Q35">
        <f t="shared" si="2"/>
        <v>0</v>
      </c>
      <c r="S35">
        <v>-15.852931677018633</v>
      </c>
      <c r="T35">
        <v>-4</v>
      </c>
      <c r="U35">
        <v>-14.565217391304348</v>
      </c>
      <c r="V35">
        <v>-4.4000000000000004</v>
      </c>
      <c r="W35">
        <v>-2E-3</v>
      </c>
      <c r="X35">
        <v>6.4</v>
      </c>
      <c r="Y35">
        <v>0.7142857142857143</v>
      </c>
    </row>
    <row r="36" spans="1:25" x14ac:dyDescent="0.2">
      <c r="A36" t="s">
        <v>51</v>
      </c>
      <c r="B36" t="s">
        <v>328</v>
      </c>
      <c r="C36">
        <v>400</v>
      </c>
      <c r="D36">
        <v>210</v>
      </c>
      <c r="E36">
        <v>24</v>
      </c>
      <c r="F36">
        <v>12</v>
      </c>
      <c r="G36">
        <v>0</v>
      </c>
      <c r="H36">
        <v>175</v>
      </c>
      <c r="I36">
        <v>1550</v>
      </c>
      <c r="J36">
        <v>29</v>
      </c>
      <c r="K36">
        <v>1</v>
      </c>
      <c r="L36">
        <v>3</v>
      </c>
      <c r="M36">
        <v>17</v>
      </c>
      <c r="N36">
        <v>398</v>
      </c>
      <c r="O36" s="3">
        <f t="shared" si="3"/>
        <v>4.25</v>
      </c>
      <c r="P36">
        <f t="shared" si="1"/>
        <v>1</v>
      </c>
      <c r="Q36">
        <f t="shared" si="2"/>
        <v>0</v>
      </c>
      <c r="S36">
        <v>-17.290683229813663</v>
      </c>
      <c r="T36">
        <v>-3</v>
      </c>
      <c r="U36">
        <v>-16.847826086956523</v>
      </c>
      <c r="V36">
        <v>-1.2</v>
      </c>
      <c r="W36">
        <v>0</v>
      </c>
      <c r="X36">
        <v>3.4000000000000004</v>
      </c>
      <c r="Y36">
        <v>0.35714285714285715</v>
      </c>
    </row>
    <row r="37" spans="1:25" x14ac:dyDescent="0.2">
      <c r="A37" t="s">
        <v>51</v>
      </c>
      <c r="B37" t="s">
        <v>331</v>
      </c>
      <c r="C37">
        <v>660</v>
      </c>
      <c r="D37">
        <v>360</v>
      </c>
      <c r="E37">
        <v>40</v>
      </c>
      <c r="F37">
        <v>12</v>
      </c>
      <c r="G37">
        <v>1.5</v>
      </c>
      <c r="H37">
        <v>90</v>
      </c>
      <c r="I37">
        <v>980</v>
      </c>
      <c r="J37">
        <v>49</v>
      </c>
      <c r="K37">
        <v>2</v>
      </c>
      <c r="L37">
        <v>11</v>
      </c>
      <c r="M37">
        <v>28</v>
      </c>
      <c r="N37">
        <v>655</v>
      </c>
      <c r="O37" s="3">
        <f t="shared" si="3"/>
        <v>4.2424242424242431</v>
      </c>
      <c r="P37">
        <f t="shared" si="1"/>
        <v>1</v>
      </c>
      <c r="Q37">
        <f t="shared" si="2"/>
        <v>0</v>
      </c>
      <c r="S37">
        <v>-11.739388198757764</v>
      </c>
      <c r="T37">
        <v>-3</v>
      </c>
      <c r="U37">
        <v>-10.652173913043478</v>
      </c>
      <c r="V37">
        <v>-4.4000000000000004</v>
      </c>
      <c r="W37">
        <v>-1.5E-3</v>
      </c>
      <c r="X37">
        <v>5.6000000000000005</v>
      </c>
      <c r="Y37">
        <v>0.7142857142857143</v>
      </c>
    </row>
    <row r="38" spans="1:25" x14ac:dyDescent="0.2">
      <c r="A38" t="s">
        <v>51</v>
      </c>
      <c r="B38" t="s">
        <v>332</v>
      </c>
      <c r="C38">
        <v>660</v>
      </c>
      <c r="D38">
        <v>360</v>
      </c>
      <c r="E38">
        <v>40</v>
      </c>
      <c r="F38">
        <v>7</v>
      </c>
      <c r="G38">
        <v>0</v>
      </c>
      <c r="H38">
        <v>75</v>
      </c>
      <c r="I38">
        <v>1170</v>
      </c>
      <c r="J38">
        <v>48</v>
      </c>
      <c r="K38">
        <v>2</v>
      </c>
      <c r="L38">
        <v>5</v>
      </c>
      <c r="M38">
        <v>28</v>
      </c>
      <c r="N38">
        <v>644</v>
      </c>
      <c r="O38" s="3">
        <f t="shared" si="3"/>
        <v>4.2424242424242431</v>
      </c>
      <c r="P38">
        <f t="shared" si="1"/>
        <v>1</v>
      </c>
      <c r="Q38">
        <f t="shared" si="2"/>
        <v>0</v>
      </c>
      <c r="S38">
        <v>-10.153105590062109</v>
      </c>
      <c r="T38">
        <v>-1.75</v>
      </c>
      <c r="U38">
        <v>-12.717391304347824</v>
      </c>
      <c r="V38">
        <v>-2.0000000000000004</v>
      </c>
      <c r="W38">
        <v>0</v>
      </c>
      <c r="X38">
        <v>5.6000000000000005</v>
      </c>
      <c r="Y38">
        <v>0.7142857142857143</v>
      </c>
    </row>
    <row r="39" spans="1:25" x14ac:dyDescent="0.2">
      <c r="A39" t="s">
        <v>51</v>
      </c>
      <c r="B39" t="s">
        <v>341</v>
      </c>
      <c r="C39">
        <v>310</v>
      </c>
      <c r="D39">
        <v>160</v>
      </c>
      <c r="E39">
        <v>18</v>
      </c>
      <c r="F39">
        <v>5</v>
      </c>
      <c r="G39">
        <v>0.5</v>
      </c>
      <c r="H39">
        <v>40</v>
      </c>
      <c r="I39">
        <v>390</v>
      </c>
      <c r="J39">
        <v>27</v>
      </c>
      <c r="K39">
        <v>1</v>
      </c>
      <c r="L39">
        <v>7</v>
      </c>
      <c r="M39">
        <v>13</v>
      </c>
      <c r="N39">
        <v>309</v>
      </c>
      <c r="O39" s="3">
        <f t="shared" si="3"/>
        <v>4.1935483870967749</v>
      </c>
      <c r="P39">
        <f t="shared" si="1"/>
        <v>0</v>
      </c>
      <c r="Q39">
        <f t="shared" si="2"/>
        <v>0</v>
      </c>
      <c r="S39">
        <v>-5.3324875776397525</v>
      </c>
      <c r="T39">
        <v>-1.25</v>
      </c>
      <c r="U39">
        <v>-4.2391304347826084</v>
      </c>
      <c r="V39">
        <v>-2.8000000000000003</v>
      </c>
      <c r="W39">
        <v>-5.0000000000000001E-4</v>
      </c>
      <c r="X39">
        <v>2.6</v>
      </c>
      <c r="Y39">
        <v>0.35714285714285715</v>
      </c>
    </row>
    <row r="40" spans="1:25" x14ac:dyDescent="0.2">
      <c r="A40" t="s">
        <v>51</v>
      </c>
      <c r="B40" t="s">
        <v>353</v>
      </c>
      <c r="C40">
        <v>780</v>
      </c>
      <c r="D40">
        <v>380</v>
      </c>
      <c r="E40">
        <v>42</v>
      </c>
      <c r="F40">
        <v>15</v>
      </c>
      <c r="G40">
        <v>0</v>
      </c>
      <c r="H40">
        <v>355</v>
      </c>
      <c r="I40">
        <v>1960</v>
      </c>
      <c r="J40">
        <v>68</v>
      </c>
      <c r="K40">
        <v>3</v>
      </c>
      <c r="L40">
        <v>4</v>
      </c>
      <c r="M40">
        <v>32</v>
      </c>
      <c r="N40">
        <v>767</v>
      </c>
      <c r="O40" s="3">
        <f t="shared" si="3"/>
        <v>4.1025641025641022</v>
      </c>
      <c r="P40">
        <f t="shared" si="1"/>
        <v>1</v>
      </c>
      <c r="Q40">
        <f t="shared" si="2"/>
        <v>1</v>
      </c>
      <c r="S40">
        <v>-19.182919254658383</v>
      </c>
      <c r="T40">
        <v>-3.75</v>
      </c>
      <c r="U40">
        <v>-21.304347826086957</v>
      </c>
      <c r="V40">
        <v>-1.6</v>
      </c>
      <c r="W40">
        <v>0</v>
      </c>
      <c r="X40">
        <v>6.4</v>
      </c>
      <c r="Y40">
        <v>1.0714285714285714</v>
      </c>
    </row>
    <row r="41" spans="1:25" x14ac:dyDescent="0.2">
      <c r="A41" t="s">
        <v>51</v>
      </c>
      <c r="B41" t="s">
        <v>360</v>
      </c>
      <c r="C41">
        <v>710</v>
      </c>
      <c r="D41">
        <v>470</v>
      </c>
      <c r="E41">
        <v>52</v>
      </c>
      <c r="F41">
        <v>20</v>
      </c>
      <c r="G41">
        <v>0.5</v>
      </c>
      <c r="H41">
        <v>240</v>
      </c>
      <c r="I41">
        <v>1420</v>
      </c>
      <c r="J41">
        <v>31</v>
      </c>
      <c r="K41">
        <v>1</v>
      </c>
      <c r="L41">
        <v>5</v>
      </c>
      <c r="M41">
        <v>29</v>
      </c>
      <c r="N41">
        <v>706</v>
      </c>
      <c r="O41" s="3">
        <f t="shared" si="3"/>
        <v>4.084507042253521</v>
      </c>
      <c r="P41">
        <f t="shared" si="1"/>
        <v>1</v>
      </c>
      <c r="Q41">
        <f t="shared" si="2"/>
        <v>0</v>
      </c>
      <c r="S41">
        <v>-16.278139751552793</v>
      </c>
      <c r="T41">
        <v>-5</v>
      </c>
      <c r="U41">
        <v>-15.434782608695652</v>
      </c>
      <c r="V41">
        <v>-2.0000000000000004</v>
      </c>
      <c r="W41">
        <v>-5.0000000000000001E-4</v>
      </c>
      <c r="X41">
        <v>5.8</v>
      </c>
      <c r="Y41">
        <v>0.35714285714285715</v>
      </c>
    </row>
    <row r="42" spans="1:25" x14ac:dyDescent="0.2">
      <c r="A42" t="s">
        <v>51</v>
      </c>
      <c r="B42" t="s">
        <v>365</v>
      </c>
      <c r="C42">
        <v>370</v>
      </c>
      <c r="D42">
        <v>210</v>
      </c>
      <c r="E42">
        <v>23</v>
      </c>
      <c r="F42">
        <v>8</v>
      </c>
      <c r="G42">
        <v>0</v>
      </c>
      <c r="H42">
        <v>150</v>
      </c>
      <c r="I42">
        <v>930</v>
      </c>
      <c r="J42">
        <v>27</v>
      </c>
      <c r="K42">
        <v>3</v>
      </c>
      <c r="L42">
        <v>2</v>
      </c>
      <c r="M42">
        <v>15</v>
      </c>
      <c r="N42">
        <v>365</v>
      </c>
      <c r="O42" s="3">
        <f t="shared" si="3"/>
        <v>4.0540540540540544</v>
      </c>
      <c r="P42">
        <f t="shared" si="1"/>
        <v>1</v>
      </c>
      <c r="Q42">
        <f t="shared" si="2"/>
        <v>0</v>
      </c>
      <c r="S42">
        <v>-8.8372670807453417</v>
      </c>
      <c r="T42">
        <v>-2</v>
      </c>
      <c r="U42">
        <v>-10.108695652173912</v>
      </c>
      <c r="V42">
        <v>-0.8</v>
      </c>
      <c r="W42">
        <v>0</v>
      </c>
      <c r="X42">
        <v>3</v>
      </c>
      <c r="Y42">
        <v>1.0714285714285714</v>
      </c>
    </row>
    <row r="43" spans="1:25" x14ac:dyDescent="0.2">
      <c r="A43" t="s">
        <v>51</v>
      </c>
      <c r="B43" t="s">
        <v>387</v>
      </c>
      <c r="C43">
        <v>630</v>
      </c>
      <c r="D43">
        <v>310</v>
      </c>
      <c r="E43">
        <v>34</v>
      </c>
      <c r="F43">
        <v>11</v>
      </c>
      <c r="G43">
        <v>0</v>
      </c>
      <c r="H43">
        <v>10</v>
      </c>
      <c r="I43">
        <v>1080</v>
      </c>
      <c r="J43">
        <v>58</v>
      </c>
      <c r="K43">
        <v>4</v>
      </c>
      <c r="L43">
        <v>12</v>
      </c>
      <c r="M43">
        <v>25</v>
      </c>
      <c r="N43">
        <v>628</v>
      </c>
      <c r="O43" s="3">
        <f t="shared" si="3"/>
        <v>3.9682539682539679</v>
      </c>
      <c r="P43">
        <f t="shared" si="1"/>
        <v>1</v>
      </c>
      <c r="Q43">
        <f t="shared" si="2"/>
        <v>0</v>
      </c>
      <c r="S43">
        <v>-12.860559006211181</v>
      </c>
      <c r="T43">
        <v>-2.75</v>
      </c>
      <c r="U43">
        <v>-11.739130434782609</v>
      </c>
      <c r="V43">
        <v>-4.8</v>
      </c>
      <c r="W43">
        <v>0</v>
      </c>
      <c r="X43">
        <v>5</v>
      </c>
      <c r="Y43">
        <v>1.4285714285714286</v>
      </c>
    </row>
    <row r="44" spans="1:25" x14ac:dyDescent="0.2">
      <c r="A44" t="s">
        <v>51</v>
      </c>
      <c r="B44" t="s">
        <v>388</v>
      </c>
      <c r="C44">
        <v>580</v>
      </c>
      <c r="D44">
        <v>340</v>
      </c>
      <c r="E44">
        <v>40</v>
      </c>
      <c r="F44">
        <v>16</v>
      </c>
      <c r="G44">
        <v>0.5</v>
      </c>
      <c r="H44">
        <v>215</v>
      </c>
      <c r="I44">
        <v>1260</v>
      </c>
      <c r="J44">
        <v>31</v>
      </c>
      <c r="K44">
        <v>1</v>
      </c>
      <c r="L44">
        <v>5</v>
      </c>
      <c r="M44">
        <v>23</v>
      </c>
      <c r="N44">
        <v>578</v>
      </c>
      <c r="O44" s="3">
        <f t="shared" si="3"/>
        <v>3.9655172413793105</v>
      </c>
      <c r="P44">
        <f t="shared" si="1"/>
        <v>1</v>
      </c>
      <c r="Q44">
        <f t="shared" si="2"/>
        <v>0</v>
      </c>
      <c r="S44">
        <v>-14.739009316770183</v>
      </c>
      <c r="T44">
        <v>-4</v>
      </c>
      <c r="U44">
        <v>-13.695652173913043</v>
      </c>
      <c r="V44">
        <v>-2.0000000000000004</v>
      </c>
      <c r="W44">
        <v>-5.0000000000000001E-4</v>
      </c>
      <c r="X44">
        <v>4.6000000000000005</v>
      </c>
      <c r="Y44">
        <v>0.35714285714285715</v>
      </c>
    </row>
    <row r="45" spans="1:25" x14ac:dyDescent="0.2">
      <c r="A45" t="s">
        <v>51</v>
      </c>
      <c r="B45" t="s">
        <v>401</v>
      </c>
      <c r="C45">
        <v>210</v>
      </c>
      <c r="D45">
        <v>130</v>
      </c>
      <c r="E45">
        <v>15</v>
      </c>
      <c r="F45">
        <v>3</v>
      </c>
      <c r="G45">
        <v>0</v>
      </c>
      <c r="H45">
        <v>20</v>
      </c>
      <c r="I45">
        <v>570</v>
      </c>
      <c r="J45">
        <v>11</v>
      </c>
      <c r="K45">
        <v>2</v>
      </c>
      <c r="L45">
        <v>0</v>
      </c>
      <c r="M45">
        <v>8</v>
      </c>
      <c r="N45">
        <v>205</v>
      </c>
      <c r="O45" s="3">
        <f t="shared" si="3"/>
        <v>3.8095238095238098</v>
      </c>
      <c r="P45">
        <f t="shared" si="1"/>
        <v>1</v>
      </c>
      <c r="Q45">
        <f t="shared" si="2"/>
        <v>0</v>
      </c>
      <c r="S45">
        <v>-4.631366459627329</v>
      </c>
      <c r="T45">
        <v>-0.75</v>
      </c>
      <c r="U45">
        <v>-6.1956521739130439</v>
      </c>
      <c r="V45">
        <v>0</v>
      </c>
      <c r="W45">
        <v>0</v>
      </c>
      <c r="X45">
        <v>1.6</v>
      </c>
      <c r="Y45">
        <v>0.7142857142857143</v>
      </c>
    </row>
    <row r="46" spans="1:25" x14ac:dyDescent="0.2">
      <c r="A46" t="s">
        <v>51</v>
      </c>
      <c r="B46" t="s">
        <v>402</v>
      </c>
      <c r="C46">
        <v>1050</v>
      </c>
      <c r="D46">
        <v>670</v>
      </c>
      <c r="E46">
        <v>74</v>
      </c>
      <c r="F46">
        <v>15</v>
      </c>
      <c r="G46">
        <v>0</v>
      </c>
      <c r="H46">
        <v>110</v>
      </c>
      <c r="I46">
        <v>2840</v>
      </c>
      <c r="J46">
        <v>56</v>
      </c>
      <c r="K46">
        <v>9</v>
      </c>
      <c r="L46">
        <v>1</v>
      </c>
      <c r="M46">
        <v>40</v>
      </c>
      <c r="N46">
        <v>1026</v>
      </c>
      <c r="O46" s="3">
        <f t="shared" si="3"/>
        <v>3.8095238095238098</v>
      </c>
      <c r="P46">
        <f t="shared" si="1"/>
        <v>1</v>
      </c>
      <c r="Q46">
        <f t="shared" si="2"/>
        <v>0</v>
      </c>
      <c r="S46">
        <v>-23.805279503105588</v>
      </c>
      <c r="T46">
        <v>-3.75</v>
      </c>
      <c r="U46">
        <v>-30.869565217391305</v>
      </c>
      <c r="V46">
        <v>-0.4</v>
      </c>
      <c r="W46">
        <v>0</v>
      </c>
      <c r="X46">
        <v>8.0000000000000018</v>
      </c>
      <c r="Y46">
        <v>3.2142857142857149</v>
      </c>
    </row>
    <row r="47" spans="1:25" x14ac:dyDescent="0.2">
      <c r="A47" t="s">
        <v>51</v>
      </c>
      <c r="B47" t="s">
        <v>404</v>
      </c>
      <c r="C47">
        <v>500</v>
      </c>
      <c r="D47">
        <v>300</v>
      </c>
      <c r="E47">
        <v>33</v>
      </c>
      <c r="F47">
        <v>13</v>
      </c>
      <c r="G47">
        <v>0</v>
      </c>
      <c r="H47">
        <v>195</v>
      </c>
      <c r="I47">
        <v>930</v>
      </c>
      <c r="J47">
        <v>30</v>
      </c>
      <c r="K47">
        <v>1</v>
      </c>
      <c r="L47">
        <v>4</v>
      </c>
      <c r="M47">
        <v>19</v>
      </c>
      <c r="N47">
        <v>498</v>
      </c>
      <c r="O47" s="3">
        <f t="shared" si="3"/>
        <v>3.8</v>
      </c>
      <c r="P47">
        <f t="shared" si="1"/>
        <v>1</v>
      </c>
      <c r="Q47">
        <f t="shared" si="2"/>
        <v>0</v>
      </c>
      <c r="S47">
        <v>-10.801552795031053</v>
      </c>
      <c r="T47">
        <v>-3.25</v>
      </c>
      <c r="U47">
        <v>-10.108695652173912</v>
      </c>
      <c r="V47">
        <v>-1.6</v>
      </c>
      <c r="W47">
        <v>0</v>
      </c>
      <c r="X47">
        <v>3.8000000000000007</v>
      </c>
      <c r="Y47">
        <v>0.35714285714285715</v>
      </c>
    </row>
    <row r="48" spans="1:25" x14ac:dyDescent="0.2">
      <c r="A48" t="s">
        <v>51</v>
      </c>
      <c r="B48" t="s">
        <v>408</v>
      </c>
      <c r="C48">
        <v>370</v>
      </c>
      <c r="D48">
        <v>190</v>
      </c>
      <c r="E48">
        <v>21</v>
      </c>
      <c r="F48">
        <v>9</v>
      </c>
      <c r="G48">
        <v>0</v>
      </c>
      <c r="H48">
        <v>170</v>
      </c>
      <c r="I48">
        <v>760</v>
      </c>
      <c r="J48">
        <v>30</v>
      </c>
      <c r="K48">
        <v>1</v>
      </c>
      <c r="L48">
        <v>4</v>
      </c>
      <c r="M48">
        <v>14</v>
      </c>
      <c r="N48">
        <v>369</v>
      </c>
      <c r="O48" s="3">
        <f t="shared" si="3"/>
        <v>3.7837837837837842</v>
      </c>
      <c r="P48">
        <f t="shared" si="1"/>
        <v>1</v>
      </c>
      <c r="Q48">
        <f t="shared" si="2"/>
        <v>0</v>
      </c>
      <c r="S48">
        <v>-8.953726708074532</v>
      </c>
      <c r="T48">
        <v>-2.25</v>
      </c>
      <c r="U48">
        <v>-8.2608695652173907</v>
      </c>
      <c r="V48">
        <v>-1.6</v>
      </c>
      <c r="W48">
        <v>0</v>
      </c>
      <c r="X48">
        <v>2.8000000000000003</v>
      </c>
      <c r="Y48">
        <v>0.35714285714285715</v>
      </c>
    </row>
    <row r="49" spans="1:25" x14ac:dyDescent="0.2">
      <c r="A49" t="s">
        <v>51</v>
      </c>
      <c r="B49" t="s">
        <v>409</v>
      </c>
      <c r="C49">
        <v>530</v>
      </c>
      <c r="D49">
        <v>330</v>
      </c>
      <c r="E49">
        <v>37</v>
      </c>
      <c r="F49">
        <v>7</v>
      </c>
      <c r="G49">
        <v>0</v>
      </c>
      <c r="H49">
        <v>55</v>
      </c>
      <c r="I49">
        <v>1420</v>
      </c>
      <c r="J49">
        <v>28</v>
      </c>
      <c r="K49">
        <v>4</v>
      </c>
      <c r="L49">
        <v>1</v>
      </c>
      <c r="M49">
        <v>20</v>
      </c>
      <c r="N49">
        <v>518</v>
      </c>
      <c r="O49" s="3">
        <f t="shared" si="3"/>
        <v>3.7735849056603774</v>
      </c>
      <c r="P49">
        <f t="shared" si="1"/>
        <v>1</v>
      </c>
      <c r="Q49">
        <f t="shared" si="2"/>
        <v>0</v>
      </c>
      <c r="S49">
        <v>-12.156211180124222</v>
      </c>
      <c r="T49">
        <v>-1.75</v>
      </c>
      <c r="U49">
        <v>-15.434782608695652</v>
      </c>
      <c r="V49">
        <v>-0.4</v>
      </c>
      <c r="W49">
        <v>0</v>
      </c>
      <c r="X49">
        <v>4.0000000000000009</v>
      </c>
      <c r="Y49">
        <v>1.4285714285714286</v>
      </c>
    </row>
    <row r="50" spans="1:25" x14ac:dyDescent="0.2">
      <c r="A50" t="s">
        <v>51</v>
      </c>
      <c r="B50" t="s">
        <v>412</v>
      </c>
      <c r="C50">
        <v>800</v>
      </c>
      <c r="D50">
        <v>460</v>
      </c>
      <c r="E50">
        <v>52</v>
      </c>
      <c r="F50">
        <v>13</v>
      </c>
      <c r="G50">
        <v>1</v>
      </c>
      <c r="H50">
        <v>95</v>
      </c>
      <c r="I50">
        <v>1650</v>
      </c>
      <c r="J50">
        <v>55</v>
      </c>
      <c r="K50">
        <v>2</v>
      </c>
      <c r="L50">
        <v>8</v>
      </c>
      <c r="M50">
        <v>30</v>
      </c>
      <c r="N50">
        <v>791</v>
      </c>
      <c r="O50" s="3">
        <f t="shared" si="3"/>
        <v>3.75</v>
      </c>
      <c r="P50">
        <f t="shared" si="1"/>
        <v>1</v>
      </c>
      <c r="Q50">
        <f t="shared" si="2"/>
        <v>0</v>
      </c>
      <c r="S50">
        <v>-17.671496894409938</v>
      </c>
      <c r="T50">
        <v>-3.25</v>
      </c>
      <c r="U50">
        <v>-17.934782608695652</v>
      </c>
      <c r="V50">
        <v>-3.2</v>
      </c>
      <c r="W50">
        <v>-1E-3</v>
      </c>
      <c r="X50">
        <v>6</v>
      </c>
      <c r="Y50">
        <v>0.7142857142857143</v>
      </c>
    </row>
    <row r="51" spans="1:25" x14ac:dyDescent="0.2">
      <c r="A51" t="s">
        <v>51</v>
      </c>
      <c r="B51" t="s">
        <v>413</v>
      </c>
      <c r="C51">
        <v>320</v>
      </c>
      <c r="D51">
        <v>200</v>
      </c>
      <c r="E51">
        <v>22</v>
      </c>
      <c r="F51">
        <v>4.5</v>
      </c>
      <c r="G51">
        <v>0</v>
      </c>
      <c r="H51">
        <v>35</v>
      </c>
      <c r="I51">
        <v>850</v>
      </c>
      <c r="J51">
        <v>17</v>
      </c>
      <c r="K51">
        <v>3</v>
      </c>
      <c r="L51">
        <v>0</v>
      </c>
      <c r="M51">
        <v>12</v>
      </c>
      <c r="N51">
        <v>313</v>
      </c>
      <c r="O51" s="3">
        <f t="shared" si="3"/>
        <v>3.75</v>
      </c>
      <c r="P51">
        <f t="shared" si="1"/>
        <v>1</v>
      </c>
      <c r="Q51">
        <f t="shared" si="2"/>
        <v>0</v>
      </c>
      <c r="S51">
        <v>-6.892701863354036</v>
      </c>
      <c r="T51">
        <v>-1.125</v>
      </c>
      <c r="U51">
        <v>-9.2391304347826075</v>
      </c>
      <c r="V51">
        <v>0</v>
      </c>
      <c r="W51">
        <v>0</v>
      </c>
      <c r="X51">
        <v>2.4</v>
      </c>
      <c r="Y51">
        <v>1.0714285714285714</v>
      </c>
    </row>
    <row r="52" spans="1:25" x14ac:dyDescent="0.2">
      <c r="A52" t="s">
        <v>51</v>
      </c>
      <c r="B52" t="s">
        <v>423</v>
      </c>
      <c r="C52">
        <v>300</v>
      </c>
      <c r="D52">
        <v>140</v>
      </c>
      <c r="E52">
        <v>16</v>
      </c>
      <c r="F52">
        <v>3</v>
      </c>
      <c r="G52">
        <v>0</v>
      </c>
      <c r="H52">
        <v>0</v>
      </c>
      <c r="I52">
        <v>290</v>
      </c>
      <c r="J52">
        <v>33</v>
      </c>
      <c r="K52">
        <v>4</v>
      </c>
      <c r="L52">
        <v>11</v>
      </c>
      <c r="M52">
        <v>11</v>
      </c>
      <c r="N52">
        <v>303</v>
      </c>
      <c r="O52" s="3">
        <f t="shared" si="3"/>
        <v>3.6666666666666665</v>
      </c>
      <c r="P52">
        <f t="shared" si="1"/>
        <v>0</v>
      </c>
      <c r="Q52">
        <f t="shared" si="2"/>
        <v>0</v>
      </c>
      <c r="S52">
        <v>-4.6736024844720498</v>
      </c>
      <c r="T52">
        <v>-0.75</v>
      </c>
      <c r="U52">
        <v>-3.152173913043478</v>
      </c>
      <c r="V52">
        <v>-4.4000000000000004</v>
      </c>
      <c r="W52">
        <v>0</v>
      </c>
      <c r="X52">
        <v>2.2000000000000002</v>
      </c>
      <c r="Y52">
        <v>1.4285714285714286</v>
      </c>
    </row>
    <row r="53" spans="1:25" x14ac:dyDescent="0.2">
      <c r="A53" t="s">
        <v>51</v>
      </c>
      <c r="B53" t="s">
        <v>429</v>
      </c>
      <c r="C53">
        <v>530</v>
      </c>
      <c r="D53">
        <v>340</v>
      </c>
      <c r="E53">
        <v>38</v>
      </c>
      <c r="F53">
        <v>17</v>
      </c>
      <c r="G53">
        <v>0</v>
      </c>
      <c r="H53">
        <v>195</v>
      </c>
      <c r="I53">
        <v>1440</v>
      </c>
      <c r="J53">
        <v>29</v>
      </c>
      <c r="K53">
        <v>1</v>
      </c>
      <c r="L53">
        <v>3</v>
      </c>
      <c r="M53">
        <v>19</v>
      </c>
      <c r="N53">
        <v>531</v>
      </c>
      <c r="O53" s="3">
        <f t="shared" si="3"/>
        <v>3.5849056603773586</v>
      </c>
      <c r="P53">
        <f t="shared" si="1"/>
        <v>1</v>
      </c>
      <c r="Q53">
        <f t="shared" si="2"/>
        <v>0</v>
      </c>
      <c r="S53">
        <v>-16.945031055900621</v>
      </c>
      <c r="T53">
        <v>-4.25</v>
      </c>
      <c r="U53">
        <v>-15.65217391304348</v>
      </c>
      <c r="V53">
        <v>-1.2</v>
      </c>
      <c r="W53">
        <v>0</v>
      </c>
      <c r="X53">
        <v>3.8000000000000007</v>
      </c>
      <c r="Y53">
        <v>0.35714285714285715</v>
      </c>
    </row>
    <row r="54" spans="1:25" x14ac:dyDescent="0.2">
      <c r="A54" t="s">
        <v>51</v>
      </c>
      <c r="B54" t="s">
        <v>433</v>
      </c>
      <c r="C54">
        <v>700</v>
      </c>
      <c r="D54">
        <v>370</v>
      </c>
      <c r="E54">
        <v>42</v>
      </c>
      <c r="F54">
        <v>7</v>
      </c>
      <c r="G54">
        <v>0</v>
      </c>
      <c r="H54">
        <v>65</v>
      </c>
      <c r="I54">
        <v>1140</v>
      </c>
      <c r="J54">
        <v>57</v>
      </c>
      <c r="K54">
        <v>3</v>
      </c>
      <c r="L54">
        <v>8</v>
      </c>
      <c r="M54">
        <v>25</v>
      </c>
      <c r="N54">
        <v>690</v>
      </c>
      <c r="O54" s="3">
        <f t="shared" si="3"/>
        <v>3.5714285714285712</v>
      </c>
      <c r="P54">
        <f t="shared" si="1"/>
        <v>1</v>
      </c>
      <c r="Q54">
        <f t="shared" si="2"/>
        <v>0</v>
      </c>
      <c r="S54">
        <v>-11.269875776397518</v>
      </c>
      <c r="T54">
        <v>-1.75</v>
      </c>
      <c r="U54">
        <v>-12.391304347826088</v>
      </c>
      <c r="V54">
        <v>-3.2</v>
      </c>
      <c r="W54">
        <v>0</v>
      </c>
      <c r="X54">
        <v>5</v>
      </c>
      <c r="Y54">
        <v>1.0714285714285714</v>
      </c>
    </row>
    <row r="55" spans="1:25" x14ac:dyDescent="0.2">
      <c r="A55" t="s">
        <v>51</v>
      </c>
      <c r="B55" t="s">
        <v>437</v>
      </c>
      <c r="C55">
        <v>790</v>
      </c>
      <c r="D55">
        <v>440</v>
      </c>
      <c r="E55">
        <v>49</v>
      </c>
      <c r="F55">
        <v>10</v>
      </c>
      <c r="G55">
        <v>0.5</v>
      </c>
      <c r="H55">
        <v>80</v>
      </c>
      <c r="I55">
        <v>1630</v>
      </c>
      <c r="J55">
        <v>60</v>
      </c>
      <c r="K55">
        <v>2</v>
      </c>
      <c r="L55">
        <v>13</v>
      </c>
      <c r="M55">
        <v>28</v>
      </c>
      <c r="N55">
        <v>785</v>
      </c>
      <c r="O55" s="3">
        <f t="shared" si="3"/>
        <v>3.5443037974683547</v>
      </c>
      <c r="P55">
        <f t="shared" si="1"/>
        <v>1</v>
      </c>
      <c r="Q55">
        <f t="shared" si="2"/>
        <v>0</v>
      </c>
      <c r="S55">
        <v>-19.103605590062109</v>
      </c>
      <c r="T55">
        <v>-2.5</v>
      </c>
      <c r="U55">
        <v>-17.717391304347828</v>
      </c>
      <c r="V55">
        <v>-5.2</v>
      </c>
      <c r="W55">
        <v>-5.0000000000000001E-4</v>
      </c>
      <c r="X55">
        <v>5.6000000000000005</v>
      </c>
      <c r="Y55">
        <v>0.7142857142857143</v>
      </c>
    </row>
    <row r="56" spans="1:25" x14ac:dyDescent="0.2">
      <c r="A56" t="s">
        <v>51</v>
      </c>
      <c r="B56" t="s">
        <v>439</v>
      </c>
      <c r="C56">
        <v>340</v>
      </c>
      <c r="D56">
        <v>170</v>
      </c>
      <c r="E56">
        <v>18</v>
      </c>
      <c r="F56">
        <v>8</v>
      </c>
      <c r="G56">
        <v>0</v>
      </c>
      <c r="H56">
        <v>160</v>
      </c>
      <c r="I56">
        <v>610</v>
      </c>
      <c r="J56">
        <v>29</v>
      </c>
      <c r="K56">
        <v>1</v>
      </c>
      <c r="L56">
        <v>4</v>
      </c>
      <c r="M56">
        <v>12</v>
      </c>
      <c r="N56">
        <v>340</v>
      </c>
      <c r="O56" s="3">
        <f t="shared" si="3"/>
        <v>3.5294117647058822</v>
      </c>
      <c r="P56">
        <f t="shared" si="1"/>
        <v>1</v>
      </c>
      <c r="Q56">
        <f t="shared" si="2"/>
        <v>0</v>
      </c>
      <c r="S56">
        <v>-7.4732919254658379</v>
      </c>
      <c r="T56">
        <v>-2</v>
      </c>
      <c r="U56">
        <v>-6.6304347826086962</v>
      </c>
      <c r="V56">
        <v>-1.6</v>
      </c>
      <c r="W56">
        <v>0</v>
      </c>
      <c r="X56">
        <v>2.4</v>
      </c>
      <c r="Y56">
        <v>0.35714285714285715</v>
      </c>
    </row>
    <row r="57" spans="1:25" x14ac:dyDescent="0.2">
      <c r="A57" t="s">
        <v>51</v>
      </c>
      <c r="B57" t="s">
        <v>333</v>
      </c>
      <c r="C57">
        <v>670</v>
      </c>
      <c r="D57">
        <v>370</v>
      </c>
      <c r="E57">
        <v>41</v>
      </c>
      <c r="F57">
        <v>7</v>
      </c>
      <c r="G57">
        <v>0</v>
      </c>
      <c r="H57">
        <v>60</v>
      </c>
      <c r="I57">
        <v>1080</v>
      </c>
      <c r="J57">
        <v>54</v>
      </c>
      <c r="K57">
        <v>2</v>
      </c>
      <c r="L57">
        <v>8</v>
      </c>
      <c r="M57">
        <v>23</v>
      </c>
      <c r="N57">
        <v>662</v>
      </c>
      <c r="O57" s="3">
        <f t="shared" si="3"/>
        <v>3.4328358208955225</v>
      </c>
      <c r="P57">
        <f t="shared" si="1"/>
        <v>1</v>
      </c>
      <c r="Q57">
        <f t="shared" si="2"/>
        <v>0</v>
      </c>
      <c r="S57">
        <v>-11.374844720496894</v>
      </c>
      <c r="T57">
        <v>-1.75</v>
      </c>
      <c r="U57">
        <v>-11.739130434782609</v>
      </c>
      <c r="V57">
        <v>-3.2</v>
      </c>
      <c r="W57">
        <v>0</v>
      </c>
      <c r="X57">
        <v>4.6000000000000005</v>
      </c>
      <c r="Y57">
        <v>0.7142857142857143</v>
      </c>
    </row>
    <row r="58" spans="1:25" x14ac:dyDescent="0.2">
      <c r="A58" t="s">
        <v>51</v>
      </c>
      <c r="B58" t="s">
        <v>461</v>
      </c>
      <c r="C58">
        <v>400</v>
      </c>
      <c r="D58">
        <v>230</v>
      </c>
      <c r="E58">
        <v>26</v>
      </c>
      <c r="F58">
        <v>13</v>
      </c>
      <c r="G58">
        <v>0</v>
      </c>
      <c r="H58">
        <v>170</v>
      </c>
      <c r="I58">
        <v>1270</v>
      </c>
      <c r="J58">
        <v>29</v>
      </c>
      <c r="K58">
        <v>1</v>
      </c>
      <c r="L58">
        <v>3</v>
      </c>
      <c r="M58">
        <v>13</v>
      </c>
      <c r="N58">
        <v>403</v>
      </c>
      <c r="O58" s="3">
        <f t="shared" si="3"/>
        <v>3.25</v>
      </c>
      <c r="P58">
        <f t="shared" si="1"/>
        <v>1</v>
      </c>
      <c r="Q58">
        <f t="shared" si="2"/>
        <v>0</v>
      </c>
      <c r="S58">
        <v>-15.297204968944099</v>
      </c>
      <c r="T58">
        <v>-3.25</v>
      </c>
      <c r="U58">
        <v>-13.804347826086957</v>
      </c>
      <c r="V58">
        <v>-1.2</v>
      </c>
      <c r="W58">
        <v>0</v>
      </c>
      <c r="X58">
        <v>2.6</v>
      </c>
      <c r="Y58">
        <v>0.35714285714285715</v>
      </c>
    </row>
    <row r="59" spans="1:25" x14ac:dyDescent="0.2">
      <c r="A59" t="s">
        <v>51</v>
      </c>
      <c r="B59" t="s">
        <v>474</v>
      </c>
      <c r="C59">
        <v>510</v>
      </c>
      <c r="D59">
        <v>250</v>
      </c>
      <c r="E59">
        <v>28</v>
      </c>
      <c r="F59">
        <v>4.5</v>
      </c>
      <c r="G59">
        <v>0</v>
      </c>
      <c r="H59">
        <v>30</v>
      </c>
      <c r="I59">
        <v>1180</v>
      </c>
      <c r="J59">
        <v>51</v>
      </c>
      <c r="K59">
        <v>2</v>
      </c>
      <c r="L59">
        <v>7</v>
      </c>
      <c r="M59">
        <v>16</v>
      </c>
      <c r="N59">
        <v>506</v>
      </c>
      <c r="O59" s="3">
        <f t="shared" si="3"/>
        <v>3.1372549019607843</v>
      </c>
      <c r="P59">
        <f t="shared" si="1"/>
        <v>1</v>
      </c>
      <c r="Q59">
        <f t="shared" si="2"/>
        <v>0</v>
      </c>
      <c r="S59">
        <v>-12.836801242236026</v>
      </c>
      <c r="T59">
        <v>-1.125</v>
      </c>
      <c r="U59">
        <v>-12.82608695652174</v>
      </c>
      <c r="V59">
        <v>-2.8000000000000003</v>
      </c>
      <c r="W59">
        <v>0</v>
      </c>
      <c r="X59">
        <v>3.2</v>
      </c>
      <c r="Y59">
        <v>0.7142857142857143</v>
      </c>
    </row>
    <row r="60" spans="1:25" x14ac:dyDescent="0.2">
      <c r="A60" t="s">
        <v>51</v>
      </c>
      <c r="B60" t="s">
        <v>479</v>
      </c>
      <c r="C60">
        <v>390</v>
      </c>
      <c r="D60">
        <v>190</v>
      </c>
      <c r="E60">
        <v>21</v>
      </c>
      <c r="F60">
        <v>3.5</v>
      </c>
      <c r="G60">
        <v>0</v>
      </c>
      <c r="H60">
        <v>30</v>
      </c>
      <c r="I60">
        <v>740</v>
      </c>
      <c r="J60">
        <v>37</v>
      </c>
      <c r="K60">
        <v>2</v>
      </c>
      <c r="L60">
        <v>6</v>
      </c>
      <c r="M60">
        <v>12</v>
      </c>
      <c r="N60">
        <v>388</v>
      </c>
      <c r="O60" s="3">
        <f t="shared" si="3"/>
        <v>3.0769230769230771</v>
      </c>
      <c r="P60">
        <f t="shared" si="1"/>
        <v>1</v>
      </c>
      <c r="Q60">
        <f t="shared" si="2"/>
        <v>0</v>
      </c>
      <c r="S60">
        <v>-8.204192546583851</v>
      </c>
      <c r="T60">
        <v>-0.875</v>
      </c>
      <c r="U60">
        <v>-8.0434782608695645</v>
      </c>
      <c r="V60">
        <v>-2.4</v>
      </c>
      <c r="W60">
        <v>0</v>
      </c>
      <c r="X60">
        <v>2.4</v>
      </c>
      <c r="Y60">
        <v>0.7142857142857143</v>
      </c>
    </row>
    <row r="61" spans="1:25" x14ac:dyDescent="0.2">
      <c r="A61" t="s">
        <v>51</v>
      </c>
      <c r="B61" t="s">
        <v>498</v>
      </c>
      <c r="C61">
        <v>170</v>
      </c>
      <c r="D61">
        <v>80</v>
      </c>
      <c r="E61">
        <v>9</v>
      </c>
      <c r="F61">
        <v>3</v>
      </c>
      <c r="G61">
        <v>0</v>
      </c>
      <c r="H61">
        <v>10</v>
      </c>
      <c r="I61">
        <v>410</v>
      </c>
      <c r="J61">
        <v>19</v>
      </c>
      <c r="K61">
        <v>2</v>
      </c>
      <c r="L61">
        <v>1</v>
      </c>
      <c r="M61">
        <v>5</v>
      </c>
      <c r="N61">
        <v>169</v>
      </c>
      <c r="O61" s="3">
        <f t="shared" si="3"/>
        <v>2.9411764705882351</v>
      </c>
      <c r="P61">
        <f t="shared" si="1"/>
        <v>0</v>
      </c>
      <c r="Q61">
        <f t="shared" si="2"/>
        <v>0</v>
      </c>
      <c r="S61">
        <v>-3.8922360248447205</v>
      </c>
      <c r="T61">
        <v>-0.75</v>
      </c>
      <c r="U61">
        <v>-4.4565217391304346</v>
      </c>
      <c r="V61">
        <v>-0.4</v>
      </c>
      <c r="W61">
        <v>0</v>
      </c>
      <c r="X61">
        <v>1.0000000000000002</v>
      </c>
      <c r="Y61">
        <v>0.7142857142857143</v>
      </c>
    </row>
    <row r="62" spans="1:25" x14ac:dyDescent="0.2">
      <c r="A62" t="s">
        <v>51</v>
      </c>
      <c r="B62" t="s">
        <v>499</v>
      </c>
      <c r="C62">
        <v>170</v>
      </c>
      <c r="D62">
        <v>40</v>
      </c>
      <c r="E62">
        <v>4.5</v>
      </c>
      <c r="F62">
        <v>3</v>
      </c>
      <c r="G62">
        <v>0</v>
      </c>
      <c r="H62">
        <v>20</v>
      </c>
      <c r="I62">
        <v>150</v>
      </c>
      <c r="J62">
        <v>28</v>
      </c>
      <c r="K62">
        <v>0</v>
      </c>
      <c r="L62">
        <v>24</v>
      </c>
      <c r="M62">
        <v>5</v>
      </c>
      <c r="N62">
        <v>192</v>
      </c>
      <c r="O62" s="3">
        <f t="shared" si="3"/>
        <v>2.9411764705882351</v>
      </c>
      <c r="P62">
        <f t="shared" si="1"/>
        <v>0</v>
      </c>
      <c r="Q62">
        <f t="shared" si="2"/>
        <v>0</v>
      </c>
      <c r="S62">
        <v>-10.980434782608695</v>
      </c>
      <c r="T62">
        <v>-0.75</v>
      </c>
      <c r="U62">
        <v>-1.6304347826086956</v>
      </c>
      <c r="V62">
        <v>-9.6</v>
      </c>
      <c r="W62">
        <v>0</v>
      </c>
      <c r="X62">
        <v>1.0000000000000002</v>
      </c>
      <c r="Y62">
        <v>0</v>
      </c>
    </row>
    <row r="63" spans="1:25" x14ac:dyDescent="0.2">
      <c r="A63" t="s">
        <v>51</v>
      </c>
      <c r="B63" t="s">
        <v>509</v>
      </c>
      <c r="C63">
        <v>420</v>
      </c>
      <c r="D63">
        <v>250</v>
      </c>
      <c r="E63">
        <v>28</v>
      </c>
      <c r="F63">
        <v>6</v>
      </c>
      <c r="G63">
        <v>0</v>
      </c>
      <c r="H63">
        <v>35</v>
      </c>
      <c r="I63">
        <v>1050</v>
      </c>
      <c r="J63">
        <v>28</v>
      </c>
      <c r="K63">
        <v>1</v>
      </c>
      <c r="L63">
        <v>2</v>
      </c>
      <c r="M63">
        <v>12</v>
      </c>
      <c r="N63">
        <v>416</v>
      </c>
      <c r="O63" s="3">
        <f t="shared" si="3"/>
        <v>2.8571428571428572</v>
      </c>
      <c r="P63">
        <f t="shared" si="1"/>
        <v>1</v>
      </c>
      <c r="Q63">
        <f t="shared" si="2"/>
        <v>0</v>
      </c>
      <c r="S63">
        <v>-10.955900621118012</v>
      </c>
      <c r="T63">
        <v>-1.5</v>
      </c>
      <c r="U63">
        <v>-11.413043478260869</v>
      </c>
      <c r="V63">
        <v>-0.8</v>
      </c>
      <c r="W63">
        <v>0</v>
      </c>
      <c r="X63">
        <v>2.4</v>
      </c>
      <c r="Y63">
        <v>0.35714285714285715</v>
      </c>
    </row>
    <row r="64" spans="1:25" x14ac:dyDescent="0.2">
      <c r="A64" t="s">
        <v>51</v>
      </c>
      <c r="B64" t="s">
        <v>524</v>
      </c>
      <c r="C64">
        <v>900</v>
      </c>
      <c r="D64">
        <v>420</v>
      </c>
      <c r="E64">
        <v>46</v>
      </c>
      <c r="F64">
        <v>12</v>
      </c>
      <c r="G64">
        <v>0</v>
      </c>
      <c r="H64">
        <v>380</v>
      </c>
      <c r="I64">
        <v>1760</v>
      </c>
      <c r="J64">
        <v>95</v>
      </c>
      <c r="K64">
        <v>5</v>
      </c>
      <c r="L64">
        <v>31</v>
      </c>
      <c r="M64">
        <v>25</v>
      </c>
      <c r="N64">
        <v>918</v>
      </c>
      <c r="O64" s="3">
        <f t="shared" si="3"/>
        <v>2.7777777777777777</v>
      </c>
      <c r="P64">
        <f t="shared" si="1"/>
        <v>1</v>
      </c>
      <c r="Q64">
        <f t="shared" si="2"/>
        <v>1</v>
      </c>
      <c r="S64">
        <v>-27.744720496894409</v>
      </c>
      <c r="T64">
        <v>-3</v>
      </c>
      <c r="U64">
        <v>-19.130434782608695</v>
      </c>
      <c r="V64">
        <v>-12.4</v>
      </c>
      <c r="W64">
        <v>0</v>
      </c>
      <c r="X64">
        <v>5</v>
      </c>
      <c r="Y64">
        <v>1.785714285714286</v>
      </c>
    </row>
    <row r="65" spans="1:25" x14ac:dyDescent="0.2">
      <c r="A65" t="s">
        <v>51</v>
      </c>
      <c r="B65" t="s">
        <v>535</v>
      </c>
      <c r="C65">
        <v>450</v>
      </c>
      <c r="D65">
        <v>270</v>
      </c>
      <c r="E65">
        <v>30</v>
      </c>
      <c r="F65">
        <v>5</v>
      </c>
      <c r="G65">
        <v>0</v>
      </c>
      <c r="H65">
        <v>30</v>
      </c>
      <c r="I65">
        <v>780</v>
      </c>
      <c r="J65">
        <v>34</v>
      </c>
      <c r="K65">
        <v>2</v>
      </c>
      <c r="L65">
        <v>5</v>
      </c>
      <c r="M65">
        <v>12</v>
      </c>
      <c r="N65">
        <v>448</v>
      </c>
      <c r="O65" s="3">
        <f t="shared" si="3"/>
        <v>2.666666666666667</v>
      </c>
      <c r="P65">
        <f t="shared" si="1"/>
        <v>1</v>
      </c>
      <c r="Q65">
        <f t="shared" si="2"/>
        <v>0</v>
      </c>
      <c r="S65">
        <v>-8.613975155279503</v>
      </c>
      <c r="T65">
        <v>-1.25</v>
      </c>
      <c r="U65">
        <v>-8.4782608695652169</v>
      </c>
      <c r="V65">
        <v>-2.0000000000000004</v>
      </c>
      <c r="W65">
        <v>0</v>
      </c>
      <c r="X65">
        <v>2.4</v>
      </c>
      <c r="Y65">
        <v>0.7142857142857143</v>
      </c>
    </row>
    <row r="66" spans="1:25" x14ac:dyDescent="0.2">
      <c r="A66" t="s">
        <v>51</v>
      </c>
      <c r="B66" t="s">
        <v>543</v>
      </c>
      <c r="C66">
        <v>190</v>
      </c>
      <c r="D66">
        <v>40</v>
      </c>
      <c r="E66">
        <v>4.5</v>
      </c>
      <c r="F66">
        <v>3</v>
      </c>
      <c r="G66">
        <v>0</v>
      </c>
      <c r="H66">
        <v>20</v>
      </c>
      <c r="I66">
        <v>150</v>
      </c>
      <c r="J66">
        <v>32</v>
      </c>
      <c r="K66">
        <v>0</v>
      </c>
      <c r="L66">
        <v>24</v>
      </c>
      <c r="M66">
        <v>5</v>
      </c>
      <c r="N66">
        <v>212</v>
      </c>
      <c r="O66" s="3">
        <f t="shared" ref="O66:O97" si="4">M66/C66*100</f>
        <v>2.6315789473684208</v>
      </c>
      <c r="P66">
        <f t="shared" ref="P66:P129" si="5">IF(I66&gt;2300*0.2,1,0)</f>
        <v>0</v>
      </c>
      <c r="Q66">
        <f t="shared" ref="Q66:Q129" si="6">IF(H66&gt;300,1,0)</f>
        <v>0</v>
      </c>
      <c r="S66">
        <v>-10.980434782608695</v>
      </c>
      <c r="T66">
        <v>-0.75</v>
      </c>
      <c r="U66">
        <v>-1.6304347826086956</v>
      </c>
      <c r="V66">
        <v>-9.6</v>
      </c>
      <c r="W66">
        <v>0</v>
      </c>
      <c r="X66">
        <v>1.0000000000000002</v>
      </c>
      <c r="Y66">
        <v>0</v>
      </c>
    </row>
    <row r="67" spans="1:25" x14ac:dyDescent="0.2">
      <c r="A67" t="s">
        <v>51</v>
      </c>
      <c r="B67" t="s">
        <v>552</v>
      </c>
      <c r="C67">
        <v>930</v>
      </c>
      <c r="D67">
        <v>390</v>
      </c>
      <c r="E67">
        <v>44</v>
      </c>
      <c r="F67">
        <v>11</v>
      </c>
      <c r="G67">
        <v>0</v>
      </c>
      <c r="H67">
        <v>390</v>
      </c>
      <c r="I67">
        <v>2230</v>
      </c>
      <c r="J67">
        <v>110</v>
      </c>
      <c r="K67">
        <v>4</v>
      </c>
      <c r="L67">
        <v>40</v>
      </c>
      <c r="M67">
        <v>24</v>
      </c>
      <c r="N67">
        <v>957</v>
      </c>
      <c r="O67" s="3">
        <f t="shared" si="4"/>
        <v>2.5806451612903225</v>
      </c>
      <c r="P67">
        <f t="shared" si="5"/>
        <v>1</v>
      </c>
      <c r="Q67">
        <f t="shared" si="6"/>
        <v>1</v>
      </c>
      <c r="S67">
        <v>-36.760559006211182</v>
      </c>
      <c r="T67">
        <v>-2.75</v>
      </c>
      <c r="U67">
        <v>-24.239130434782609</v>
      </c>
      <c r="V67">
        <v>-16.000000000000004</v>
      </c>
      <c r="W67">
        <v>0</v>
      </c>
      <c r="X67">
        <v>4.8</v>
      </c>
      <c r="Y67">
        <v>1.4285714285714286</v>
      </c>
    </row>
    <row r="68" spans="1:25" x14ac:dyDescent="0.2">
      <c r="A68" t="s">
        <v>51</v>
      </c>
      <c r="B68" t="s">
        <v>569</v>
      </c>
      <c r="C68">
        <v>580</v>
      </c>
      <c r="D68">
        <v>140</v>
      </c>
      <c r="E68">
        <v>15</v>
      </c>
      <c r="F68">
        <v>10</v>
      </c>
      <c r="G68">
        <v>0</v>
      </c>
      <c r="H68">
        <v>60</v>
      </c>
      <c r="I68">
        <v>420</v>
      </c>
      <c r="J68">
        <v>98</v>
      </c>
      <c r="K68">
        <v>0</v>
      </c>
      <c r="L68">
        <v>85</v>
      </c>
      <c r="M68">
        <v>14</v>
      </c>
      <c r="N68">
        <v>661</v>
      </c>
      <c r="O68" s="3">
        <f t="shared" si="4"/>
        <v>2.4137931034482758</v>
      </c>
      <c r="P68">
        <f t="shared" si="5"/>
        <v>0</v>
      </c>
      <c r="Q68">
        <f t="shared" si="6"/>
        <v>0</v>
      </c>
      <c r="S68">
        <v>-38.265217391304347</v>
      </c>
      <c r="T68">
        <v>-2.5</v>
      </c>
      <c r="U68">
        <v>-4.5652173913043477</v>
      </c>
      <c r="V68">
        <v>-34</v>
      </c>
      <c r="W68">
        <v>0</v>
      </c>
      <c r="X68">
        <v>2.8000000000000003</v>
      </c>
      <c r="Y68">
        <v>0</v>
      </c>
    </row>
    <row r="69" spans="1:25" x14ac:dyDescent="0.2">
      <c r="A69" t="s">
        <v>51</v>
      </c>
      <c r="B69" t="s">
        <v>576</v>
      </c>
      <c r="C69">
        <v>170</v>
      </c>
      <c r="D69">
        <v>30</v>
      </c>
      <c r="E69">
        <v>3</v>
      </c>
      <c r="F69">
        <v>1.5</v>
      </c>
      <c r="G69">
        <v>0</v>
      </c>
      <c r="H69">
        <v>5</v>
      </c>
      <c r="I69">
        <v>260</v>
      </c>
      <c r="J69">
        <v>32</v>
      </c>
      <c r="K69">
        <v>3</v>
      </c>
      <c r="L69">
        <v>12</v>
      </c>
      <c r="M69">
        <v>4</v>
      </c>
      <c r="N69">
        <v>180</v>
      </c>
      <c r="O69" s="3">
        <f t="shared" si="4"/>
        <v>2.3529411764705883</v>
      </c>
      <c r="P69">
        <f t="shared" si="5"/>
        <v>0</v>
      </c>
      <c r="Q69">
        <f t="shared" si="6"/>
        <v>0</v>
      </c>
      <c r="S69">
        <v>-6.1296583850931681</v>
      </c>
      <c r="T69">
        <v>-0.375</v>
      </c>
      <c r="U69">
        <v>-2.8260869565217392</v>
      </c>
      <c r="V69">
        <v>-4.8</v>
      </c>
      <c r="W69">
        <v>0</v>
      </c>
      <c r="X69">
        <v>0.8</v>
      </c>
      <c r="Y69">
        <v>1.0714285714285714</v>
      </c>
    </row>
    <row r="70" spans="1:25" x14ac:dyDescent="0.2">
      <c r="A70" t="s">
        <v>51</v>
      </c>
      <c r="B70" t="s">
        <v>577</v>
      </c>
      <c r="C70">
        <v>510</v>
      </c>
      <c r="D70">
        <v>110</v>
      </c>
      <c r="E70">
        <v>13</v>
      </c>
      <c r="F70">
        <v>8</v>
      </c>
      <c r="G70">
        <v>0</v>
      </c>
      <c r="H70">
        <v>50</v>
      </c>
      <c r="I70">
        <v>350</v>
      </c>
      <c r="J70">
        <v>87</v>
      </c>
      <c r="K70">
        <v>1</v>
      </c>
      <c r="L70">
        <v>71</v>
      </c>
      <c r="M70">
        <v>12</v>
      </c>
      <c r="N70">
        <v>577</v>
      </c>
      <c r="O70" s="3">
        <f t="shared" si="4"/>
        <v>2.3529411764705883</v>
      </c>
      <c r="P70">
        <f t="shared" si="5"/>
        <v>0</v>
      </c>
      <c r="Q70">
        <f t="shared" si="6"/>
        <v>0</v>
      </c>
      <c r="S70">
        <v>-31.447204968944103</v>
      </c>
      <c r="T70">
        <v>-2</v>
      </c>
      <c r="U70">
        <v>-3.804347826086957</v>
      </c>
      <c r="V70">
        <v>-28.4</v>
      </c>
      <c r="W70">
        <v>0</v>
      </c>
      <c r="X70">
        <v>2.4</v>
      </c>
      <c r="Y70">
        <v>0.35714285714285715</v>
      </c>
    </row>
    <row r="71" spans="1:25" x14ac:dyDescent="0.2">
      <c r="A71" t="s">
        <v>51</v>
      </c>
      <c r="B71" t="s">
        <v>581</v>
      </c>
      <c r="C71">
        <v>300</v>
      </c>
      <c r="D71">
        <v>80</v>
      </c>
      <c r="E71">
        <v>8</v>
      </c>
      <c r="F71">
        <v>5</v>
      </c>
      <c r="G71">
        <v>0</v>
      </c>
      <c r="H71">
        <v>30</v>
      </c>
      <c r="I71">
        <v>200</v>
      </c>
      <c r="J71">
        <v>50</v>
      </c>
      <c r="K71">
        <v>1</v>
      </c>
      <c r="L71">
        <v>41</v>
      </c>
      <c r="M71">
        <v>7</v>
      </c>
      <c r="N71">
        <v>339</v>
      </c>
      <c r="O71" s="3">
        <f t="shared" si="4"/>
        <v>2.3333333333333335</v>
      </c>
      <c r="P71">
        <f t="shared" si="5"/>
        <v>0</v>
      </c>
      <c r="Q71">
        <f t="shared" si="6"/>
        <v>0</v>
      </c>
      <c r="S71">
        <v>-18.066770186335408</v>
      </c>
      <c r="T71">
        <v>-1.25</v>
      </c>
      <c r="U71">
        <v>-2.1739130434782608</v>
      </c>
      <c r="V71">
        <v>-16.400000000000002</v>
      </c>
      <c r="W71">
        <v>0</v>
      </c>
      <c r="X71">
        <v>1.4000000000000001</v>
      </c>
      <c r="Y71">
        <v>0.35714285714285715</v>
      </c>
    </row>
    <row r="72" spans="1:25" x14ac:dyDescent="0.2">
      <c r="A72" t="s">
        <v>51</v>
      </c>
      <c r="B72" t="s">
        <v>582</v>
      </c>
      <c r="C72">
        <v>300</v>
      </c>
      <c r="D72">
        <v>80</v>
      </c>
      <c r="E72">
        <v>8</v>
      </c>
      <c r="F72">
        <v>5</v>
      </c>
      <c r="G72">
        <v>0</v>
      </c>
      <c r="H72">
        <v>35</v>
      </c>
      <c r="I72">
        <v>210</v>
      </c>
      <c r="J72">
        <v>50</v>
      </c>
      <c r="K72">
        <v>0</v>
      </c>
      <c r="L72">
        <v>41</v>
      </c>
      <c r="M72">
        <v>7</v>
      </c>
      <c r="N72">
        <v>339</v>
      </c>
      <c r="O72" s="3">
        <f t="shared" si="4"/>
        <v>2.3333333333333335</v>
      </c>
      <c r="P72">
        <f t="shared" si="5"/>
        <v>0</v>
      </c>
      <c r="Q72">
        <f t="shared" si="6"/>
        <v>0</v>
      </c>
      <c r="S72">
        <v>-18.532608695652179</v>
      </c>
      <c r="T72">
        <v>-1.25</v>
      </c>
      <c r="U72">
        <v>-2.2826086956521738</v>
      </c>
      <c r="V72">
        <v>-16.400000000000002</v>
      </c>
      <c r="W72">
        <v>0</v>
      </c>
      <c r="X72">
        <v>1.4000000000000001</v>
      </c>
      <c r="Y72">
        <v>0</v>
      </c>
    </row>
    <row r="73" spans="1:25" x14ac:dyDescent="0.2">
      <c r="A73" t="s">
        <v>51</v>
      </c>
      <c r="B73" t="s">
        <v>588</v>
      </c>
      <c r="C73">
        <v>740</v>
      </c>
      <c r="D73">
        <v>190</v>
      </c>
      <c r="E73">
        <v>22</v>
      </c>
      <c r="F73">
        <v>13</v>
      </c>
      <c r="G73">
        <v>0.5</v>
      </c>
      <c r="H73">
        <v>70</v>
      </c>
      <c r="I73">
        <v>680</v>
      </c>
      <c r="J73">
        <v>121</v>
      </c>
      <c r="K73">
        <v>1</v>
      </c>
      <c r="L73">
        <v>101</v>
      </c>
      <c r="M73">
        <v>17</v>
      </c>
      <c r="N73">
        <v>837</v>
      </c>
      <c r="O73" s="3">
        <f t="shared" si="4"/>
        <v>2.2972972972972974</v>
      </c>
      <c r="P73">
        <f t="shared" si="5"/>
        <v>1</v>
      </c>
      <c r="Q73">
        <f t="shared" si="6"/>
        <v>0</v>
      </c>
      <c r="S73">
        <v>-47.284661490683241</v>
      </c>
      <c r="T73">
        <v>-3.25</v>
      </c>
      <c r="U73">
        <v>-7.3913043478260869</v>
      </c>
      <c r="V73">
        <v>-40.400000000000006</v>
      </c>
      <c r="W73">
        <v>-5.0000000000000001E-4</v>
      </c>
      <c r="X73">
        <v>3.4000000000000004</v>
      </c>
      <c r="Y73">
        <v>0.35714285714285715</v>
      </c>
    </row>
    <row r="74" spans="1:25" x14ac:dyDescent="0.2">
      <c r="A74" t="s">
        <v>51</v>
      </c>
      <c r="B74" t="s">
        <v>589</v>
      </c>
      <c r="C74">
        <v>610</v>
      </c>
      <c r="D74">
        <v>140</v>
      </c>
      <c r="E74">
        <v>16</v>
      </c>
      <c r="F74">
        <v>10</v>
      </c>
      <c r="G74">
        <v>0</v>
      </c>
      <c r="H74">
        <v>60</v>
      </c>
      <c r="I74">
        <v>500</v>
      </c>
      <c r="J74">
        <v>103</v>
      </c>
      <c r="K74">
        <v>1</v>
      </c>
      <c r="L74">
        <v>88</v>
      </c>
      <c r="M74">
        <v>14</v>
      </c>
      <c r="N74">
        <v>694</v>
      </c>
      <c r="O74" s="3">
        <f t="shared" si="4"/>
        <v>2.2950819672131146</v>
      </c>
      <c r="P74">
        <f t="shared" si="5"/>
        <v>1</v>
      </c>
      <c r="Q74">
        <f t="shared" si="6"/>
        <v>0</v>
      </c>
      <c r="S74">
        <v>-39.977639751552807</v>
      </c>
      <c r="T74">
        <v>-2.5</v>
      </c>
      <c r="U74">
        <v>-5.4347826086956523</v>
      </c>
      <c r="V74">
        <v>-35.200000000000003</v>
      </c>
      <c r="W74">
        <v>0</v>
      </c>
      <c r="X74">
        <v>2.8000000000000003</v>
      </c>
      <c r="Y74">
        <v>0.35714285714285715</v>
      </c>
    </row>
    <row r="75" spans="1:25" x14ac:dyDescent="0.2">
      <c r="A75" t="s">
        <v>51</v>
      </c>
      <c r="B75" t="s">
        <v>596</v>
      </c>
      <c r="C75">
        <v>400</v>
      </c>
      <c r="D75">
        <v>90</v>
      </c>
      <c r="E75">
        <v>10</v>
      </c>
      <c r="F75">
        <v>7</v>
      </c>
      <c r="G75">
        <v>0</v>
      </c>
      <c r="H75">
        <v>40</v>
      </c>
      <c r="I75">
        <v>270</v>
      </c>
      <c r="J75">
        <v>68</v>
      </c>
      <c r="K75">
        <v>1</v>
      </c>
      <c r="L75">
        <v>58</v>
      </c>
      <c r="M75">
        <v>9</v>
      </c>
      <c r="N75">
        <v>456</v>
      </c>
      <c r="O75" s="3">
        <f t="shared" si="4"/>
        <v>2.25</v>
      </c>
      <c r="P75">
        <f t="shared" si="5"/>
        <v>0</v>
      </c>
      <c r="Q75">
        <f t="shared" si="6"/>
        <v>0</v>
      </c>
      <c r="S75">
        <v>-25.727639751552793</v>
      </c>
      <c r="T75">
        <v>-1.75</v>
      </c>
      <c r="U75">
        <v>-2.9347826086956523</v>
      </c>
      <c r="V75">
        <v>-23.2</v>
      </c>
      <c r="W75">
        <v>0</v>
      </c>
      <c r="X75">
        <v>1.7999999999999998</v>
      </c>
      <c r="Y75">
        <v>0.35714285714285715</v>
      </c>
    </row>
    <row r="76" spans="1:25" x14ac:dyDescent="0.2">
      <c r="A76" t="s">
        <v>51</v>
      </c>
      <c r="B76" t="s">
        <v>597</v>
      </c>
      <c r="C76">
        <v>400</v>
      </c>
      <c r="D76">
        <v>90</v>
      </c>
      <c r="E76">
        <v>10</v>
      </c>
      <c r="F76">
        <v>7</v>
      </c>
      <c r="G76">
        <v>0</v>
      </c>
      <c r="H76">
        <v>40</v>
      </c>
      <c r="I76">
        <v>280</v>
      </c>
      <c r="J76">
        <v>68</v>
      </c>
      <c r="K76">
        <v>0</v>
      </c>
      <c r="L76">
        <v>56</v>
      </c>
      <c r="M76">
        <v>9</v>
      </c>
      <c r="N76">
        <v>454</v>
      </c>
      <c r="O76" s="3">
        <f t="shared" si="4"/>
        <v>2.25</v>
      </c>
      <c r="P76">
        <f t="shared" si="5"/>
        <v>0</v>
      </c>
      <c r="Q76">
        <f t="shared" si="6"/>
        <v>0</v>
      </c>
      <c r="S76">
        <v>-25.393478260869568</v>
      </c>
      <c r="T76">
        <v>-1.75</v>
      </c>
      <c r="U76">
        <v>-3.0434782608695654</v>
      </c>
      <c r="V76">
        <v>-22.400000000000002</v>
      </c>
      <c r="W76">
        <v>0</v>
      </c>
      <c r="X76">
        <v>1.7999999999999998</v>
      </c>
      <c r="Y76">
        <v>0</v>
      </c>
    </row>
    <row r="77" spans="1:25" x14ac:dyDescent="0.2">
      <c r="A77" t="s">
        <v>51</v>
      </c>
      <c r="B77" t="s">
        <v>604</v>
      </c>
      <c r="C77">
        <v>720</v>
      </c>
      <c r="D77">
        <v>180</v>
      </c>
      <c r="E77">
        <v>20</v>
      </c>
      <c r="F77">
        <v>12</v>
      </c>
      <c r="G77">
        <v>0.5</v>
      </c>
      <c r="H77">
        <v>65</v>
      </c>
      <c r="I77">
        <v>540</v>
      </c>
      <c r="J77">
        <v>118</v>
      </c>
      <c r="K77">
        <v>1</v>
      </c>
      <c r="L77">
        <v>98</v>
      </c>
      <c r="M77">
        <v>16</v>
      </c>
      <c r="N77">
        <v>814</v>
      </c>
      <c r="O77" s="3">
        <f t="shared" si="4"/>
        <v>2.2222222222222223</v>
      </c>
      <c r="P77">
        <f t="shared" si="5"/>
        <v>1</v>
      </c>
      <c r="Q77">
        <f t="shared" si="6"/>
        <v>0</v>
      </c>
      <c r="S77">
        <v>-44.512922360248453</v>
      </c>
      <c r="T77">
        <v>-3</v>
      </c>
      <c r="U77">
        <v>-5.8695652173913047</v>
      </c>
      <c r="V77">
        <v>-39.200000000000003</v>
      </c>
      <c r="W77">
        <v>-5.0000000000000001E-4</v>
      </c>
      <c r="X77">
        <v>3.2</v>
      </c>
      <c r="Y77">
        <v>0.35714285714285715</v>
      </c>
    </row>
    <row r="78" spans="1:25" x14ac:dyDescent="0.2">
      <c r="A78" t="s">
        <v>51</v>
      </c>
      <c r="B78" t="s">
        <v>606</v>
      </c>
      <c r="C78">
        <v>500</v>
      </c>
      <c r="D78">
        <v>110</v>
      </c>
      <c r="E78">
        <v>12</v>
      </c>
      <c r="F78">
        <v>8</v>
      </c>
      <c r="G78">
        <v>0</v>
      </c>
      <c r="H78">
        <v>50</v>
      </c>
      <c r="I78">
        <v>350</v>
      </c>
      <c r="J78">
        <v>86</v>
      </c>
      <c r="K78">
        <v>0</v>
      </c>
      <c r="L78">
        <v>71</v>
      </c>
      <c r="M78">
        <v>11</v>
      </c>
      <c r="N78">
        <v>568</v>
      </c>
      <c r="O78" s="3">
        <f t="shared" si="4"/>
        <v>2.1999999999999997</v>
      </c>
      <c r="P78">
        <f t="shared" si="5"/>
        <v>0</v>
      </c>
      <c r="Q78">
        <f t="shared" si="6"/>
        <v>0</v>
      </c>
      <c r="S78">
        <v>-32.004347826086956</v>
      </c>
      <c r="T78">
        <v>-2</v>
      </c>
      <c r="U78">
        <v>-3.804347826086957</v>
      </c>
      <c r="V78">
        <v>-28.4</v>
      </c>
      <c r="W78">
        <v>0</v>
      </c>
      <c r="X78">
        <v>2.2000000000000002</v>
      </c>
      <c r="Y78">
        <v>0</v>
      </c>
    </row>
    <row r="79" spans="1:25" x14ac:dyDescent="0.2">
      <c r="A79" t="s">
        <v>51</v>
      </c>
      <c r="B79" t="s">
        <v>607</v>
      </c>
      <c r="C79">
        <v>640</v>
      </c>
      <c r="D79">
        <v>140</v>
      </c>
      <c r="E79">
        <v>15</v>
      </c>
      <c r="F79">
        <v>10</v>
      </c>
      <c r="G79">
        <v>0</v>
      </c>
      <c r="H79">
        <v>60</v>
      </c>
      <c r="I79">
        <v>440</v>
      </c>
      <c r="J79">
        <v>113</v>
      </c>
      <c r="K79">
        <v>0</v>
      </c>
      <c r="L79">
        <v>99</v>
      </c>
      <c r="M79">
        <v>14</v>
      </c>
      <c r="N79">
        <v>735</v>
      </c>
      <c r="O79" s="3">
        <f t="shared" si="4"/>
        <v>2.1875</v>
      </c>
      <c r="P79">
        <f t="shared" si="5"/>
        <v>0</v>
      </c>
      <c r="Q79">
        <f t="shared" si="6"/>
        <v>0</v>
      </c>
      <c r="S79">
        <v>-44.082608695652176</v>
      </c>
      <c r="T79">
        <v>-2.5</v>
      </c>
      <c r="U79">
        <v>-4.7826086956521738</v>
      </c>
      <c r="V79">
        <v>-39.6</v>
      </c>
      <c r="W79">
        <v>0</v>
      </c>
      <c r="X79">
        <v>2.8000000000000003</v>
      </c>
      <c r="Y79">
        <v>0</v>
      </c>
    </row>
    <row r="80" spans="1:25" x14ac:dyDescent="0.2">
      <c r="A80" t="s">
        <v>51</v>
      </c>
      <c r="B80" t="s">
        <v>621</v>
      </c>
      <c r="C80">
        <v>240</v>
      </c>
      <c r="D80">
        <v>50</v>
      </c>
      <c r="E80">
        <v>5</v>
      </c>
      <c r="F80">
        <v>3.5</v>
      </c>
      <c r="G80">
        <v>0</v>
      </c>
      <c r="H80">
        <v>20</v>
      </c>
      <c r="I80">
        <v>210</v>
      </c>
      <c r="J80">
        <v>42</v>
      </c>
      <c r="K80">
        <v>0</v>
      </c>
      <c r="L80">
        <v>33</v>
      </c>
      <c r="M80">
        <v>5</v>
      </c>
      <c r="N80">
        <v>272</v>
      </c>
      <c r="O80" s="3">
        <f t="shared" si="4"/>
        <v>2.083333333333333</v>
      </c>
      <c r="P80">
        <f t="shared" si="5"/>
        <v>0</v>
      </c>
      <c r="Q80">
        <f t="shared" si="6"/>
        <v>0</v>
      </c>
      <c r="S80">
        <v>-15.357608695652175</v>
      </c>
      <c r="T80">
        <v>-0.875</v>
      </c>
      <c r="U80">
        <v>-2.2826086956521738</v>
      </c>
      <c r="V80">
        <v>-13.200000000000001</v>
      </c>
      <c r="W80">
        <v>0</v>
      </c>
      <c r="X80">
        <v>1.0000000000000002</v>
      </c>
      <c r="Y80">
        <v>0</v>
      </c>
    </row>
    <row r="81" spans="1:25" x14ac:dyDescent="0.2">
      <c r="A81" t="s">
        <v>51</v>
      </c>
      <c r="B81" t="s">
        <v>628</v>
      </c>
      <c r="C81">
        <v>610</v>
      </c>
      <c r="D81">
        <v>280</v>
      </c>
      <c r="E81">
        <v>31</v>
      </c>
      <c r="F81">
        <v>9</v>
      </c>
      <c r="G81">
        <v>0</v>
      </c>
      <c r="H81">
        <v>80</v>
      </c>
      <c r="I81">
        <v>1010</v>
      </c>
      <c r="J81">
        <v>72</v>
      </c>
      <c r="K81">
        <v>1</v>
      </c>
      <c r="L81">
        <v>30</v>
      </c>
      <c r="M81">
        <v>12</v>
      </c>
      <c r="N81">
        <v>637</v>
      </c>
      <c r="O81" s="3">
        <f t="shared" si="4"/>
        <v>1.9672131147540985</v>
      </c>
      <c r="P81">
        <f t="shared" si="5"/>
        <v>1</v>
      </c>
      <c r="Q81">
        <f t="shared" si="6"/>
        <v>0</v>
      </c>
      <c r="S81">
        <v>-22.471118012422362</v>
      </c>
      <c r="T81">
        <v>-2.25</v>
      </c>
      <c r="U81">
        <v>-10.978260869565219</v>
      </c>
      <c r="V81">
        <v>-12</v>
      </c>
      <c r="W81">
        <v>0</v>
      </c>
      <c r="X81">
        <v>2.4</v>
      </c>
      <c r="Y81">
        <v>0.35714285714285715</v>
      </c>
    </row>
    <row r="82" spans="1:25" x14ac:dyDescent="0.2">
      <c r="A82" t="s">
        <v>51</v>
      </c>
      <c r="B82" t="s">
        <v>632</v>
      </c>
      <c r="C82">
        <v>260</v>
      </c>
      <c r="D82">
        <v>45</v>
      </c>
      <c r="E82">
        <v>5</v>
      </c>
      <c r="F82">
        <v>3</v>
      </c>
      <c r="G82">
        <v>0</v>
      </c>
      <c r="H82">
        <v>20</v>
      </c>
      <c r="I82">
        <v>160</v>
      </c>
      <c r="J82">
        <v>49</v>
      </c>
      <c r="K82">
        <v>1</v>
      </c>
      <c r="L82">
        <v>43</v>
      </c>
      <c r="M82">
        <v>5</v>
      </c>
      <c r="N82">
        <v>301</v>
      </c>
      <c r="O82" s="3">
        <f t="shared" si="4"/>
        <v>1.9230769230769231</v>
      </c>
      <c r="P82">
        <f t="shared" si="5"/>
        <v>0</v>
      </c>
      <c r="Q82">
        <f t="shared" si="6"/>
        <v>0</v>
      </c>
      <c r="S82">
        <v>-18.331987577639755</v>
      </c>
      <c r="T82">
        <v>-0.75</v>
      </c>
      <c r="U82">
        <v>-1.7391304347826086</v>
      </c>
      <c r="V82">
        <v>-17.200000000000003</v>
      </c>
      <c r="W82">
        <v>0</v>
      </c>
      <c r="X82">
        <v>1.0000000000000002</v>
      </c>
      <c r="Y82">
        <v>0.35714285714285715</v>
      </c>
    </row>
    <row r="83" spans="1:25" x14ac:dyDescent="0.2">
      <c r="A83" t="s">
        <v>51</v>
      </c>
      <c r="B83" t="s">
        <v>643</v>
      </c>
      <c r="C83">
        <v>350</v>
      </c>
      <c r="D83">
        <v>170</v>
      </c>
      <c r="E83">
        <v>18</v>
      </c>
      <c r="F83">
        <v>8</v>
      </c>
      <c r="G83">
        <v>0</v>
      </c>
      <c r="H83">
        <v>35</v>
      </c>
      <c r="I83">
        <v>310</v>
      </c>
      <c r="J83">
        <v>41</v>
      </c>
      <c r="K83">
        <v>1</v>
      </c>
      <c r="L83">
        <v>25</v>
      </c>
      <c r="M83">
        <v>6</v>
      </c>
      <c r="N83">
        <v>377</v>
      </c>
      <c r="O83" s="3">
        <f t="shared" si="4"/>
        <v>1.7142857142857144</v>
      </c>
      <c r="P83">
        <f t="shared" si="5"/>
        <v>0</v>
      </c>
      <c r="Q83">
        <f t="shared" si="6"/>
        <v>0</v>
      </c>
      <c r="S83">
        <v>-13.812422360248448</v>
      </c>
      <c r="T83">
        <v>-2</v>
      </c>
      <c r="U83">
        <v>-3.3695652173913042</v>
      </c>
      <c r="V83">
        <v>-10</v>
      </c>
      <c r="W83">
        <v>0</v>
      </c>
      <c r="X83">
        <v>1.2</v>
      </c>
      <c r="Y83">
        <v>0.35714285714285715</v>
      </c>
    </row>
    <row r="84" spans="1:25" x14ac:dyDescent="0.2">
      <c r="A84" t="s">
        <v>51</v>
      </c>
      <c r="B84" t="s">
        <v>648</v>
      </c>
      <c r="C84">
        <v>60</v>
      </c>
      <c r="D84">
        <v>20</v>
      </c>
      <c r="E84">
        <v>2.5</v>
      </c>
      <c r="F84">
        <v>0</v>
      </c>
      <c r="G84">
        <v>0</v>
      </c>
      <c r="H84">
        <v>10</v>
      </c>
      <c r="I84">
        <v>180</v>
      </c>
      <c r="J84">
        <v>9</v>
      </c>
      <c r="K84">
        <v>0</v>
      </c>
      <c r="L84">
        <v>1</v>
      </c>
      <c r="M84">
        <v>1</v>
      </c>
      <c r="N84">
        <v>60</v>
      </c>
      <c r="O84" s="3">
        <f t="shared" si="4"/>
        <v>1.6666666666666667</v>
      </c>
      <c r="P84">
        <f t="shared" si="5"/>
        <v>0</v>
      </c>
      <c r="Q84">
        <f t="shared" si="6"/>
        <v>0</v>
      </c>
      <c r="S84">
        <v>-2.1565217391304348</v>
      </c>
      <c r="T84">
        <v>0</v>
      </c>
      <c r="U84">
        <v>-1.956521739130435</v>
      </c>
      <c r="V84">
        <v>-0.4</v>
      </c>
      <c r="W84">
        <v>0</v>
      </c>
      <c r="X84">
        <v>0.2</v>
      </c>
      <c r="Y84">
        <v>0</v>
      </c>
    </row>
    <row r="85" spans="1:25" x14ac:dyDescent="0.2">
      <c r="A85" t="s">
        <v>51</v>
      </c>
      <c r="B85" t="s">
        <v>663</v>
      </c>
      <c r="C85">
        <v>140</v>
      </c>
      <c r="D85">
        <v>0</v>
      </c>
      <c r="E85">
        <v>0</v>
      </c>
      <c r="F85">
        <v>0</v>
      </c>
      <c r="G85">
        <v>0</v>
      </c>
      <c r="H85">
        <v>0</v>
      </c>
      <c r="I85">
        <v>20</v>
      </c>
      <c r="J85">
        <v>33</v>
      </c>
      <c r="K85">
        <v>0</v>
      </c>
      <c r="L85">
        <v>30</v>
      </c>
      <c r="M85">
        <v>2</v>
      </c>
      <c r="N85">
        <v>168</v>
      </c>
      <c r="O85" s="3">
        <f t="shared" si="4"/>
        <v>1.4285714285714286</v>
      </c>
      <c r="P85">
        <f t="shared" si="5"/>
        <v>0</v>
      </c>
      <c r="Q85">
        <f t="shared" si="6"/>
        <v>0</v>
      </c>
      <c r="S85">
        <v>-11.817391304347826</v>
      </c>
      <c r="T85">
        <v>0</v>
      </c>
      <c r="U85">
        <v>-0.21739130434782608</v>
      </c>
      <c r="V85">
        <v>-12</v>
      </c>
      <c r="W85">
        <v>0</v>
      </c>
      <c r="X85">
        <v>0.4</v>
      </c>
      <c r="Y85">
        <v>0</v>
      </c>
    </row>
    <row r="86" spans="1:25" x14ac:dyDescent="0.2">
      <c r="A86" t="s">
        <v>51</v>
      </c>
      <c r="B86" t="s">
        <v>676</v>
      </c>
      <c r="C86">
        <v>380</v>
      </c>
      <c r="D86">
        <v>160</v>
      </c>
      <c r="E86">
        <v>18</v>
      </c>
      <c r="F86">
        <v>3</v>
      </c>
      <c r="G86">
        <v>0</v>
      </c>
      <c r="H86">
        <v>0</v>
      </c>
      <c r="I86">
        <v>430</v>
      </c>
      <c r="J86">
        <v>49</v>
      </c>
      <c r="K86">
        <v>2</v>
      </c>
      <c r="L86">
        <v>13</v>
      </c>
      <c r="M86">
        <v>5</v>
      </c>
      <c r="N86">
        <v>391</v>
      </c>
      <c r="O86" s="3">
        <f t="shared" si="4"/>
        <v>1.3157894736842104</v>
      </c>
      <c r="P86">
        <f t="shared" si="5"/>
        <v>0</v>
      </c>
      <c r="Q86">
        <f t="shared" si="6"/>
        <v>0</v>
      </c>
      <c r="S86">
        <v>-8.9096273291925474</v>
      </c>
      <c r="T86">
        <v>-0.75</v>
      </c>
      <c r="U86">
        <v>-4.6739130434782608</v>
      </c>
      <c r="V86">
        <v>-5.2</v>
      </c>
      <c r="W86">
        <v>0</v>
      </c>
      <c r="X86">
        <v>1.0000000000000002</v>
      </c>
      <c r="Y86">
        <v>0.7142857142857143</v>
      </c>
    </row>
    <row r="87" spans="1:25" x14ac:dyDescent="0.2">
      <c r="A87" t="s">
        <v>51</v>
      </c>
      <c r="B87" t="s">
        <v>679</v>
      </c>
      <c r="C87">
        <v>230</v>
      </c>
      <c r="D87">
        <v>100</v>
      </c>
      <c r="E87">
        <v>11</v>
      </c>
      <c r="F87">
        <v>2</v>
      </c>
      <c r="G87">
        <v>0</v>
      </c>
      <c r="H87">
        <v>0</v>
      </c>
      <c r="I87">
        <v>260</v>
      </c>
      <c r="J87">
        <v>29</v>
      </c>
      <c r="K87">
        <v>1</v>
      </c>
      <c r="L87">
        <v>8</v>
      </c>
      <c r="M87">
        <v>3</v>
      </c>
      <c r="N87">
        <v>237</v>
      </c>
      <c r="O87" s="3">
        <f t="shared" si="4"/>
        <v>1.3043478260869565</v>
      </c>
      <c r="P87">
        <f t="shared" si="5"/>
        <v>0</v>
      </c>
      <c r="Q87">
        <f t="shared" si="6"/>
        <v>0</v>
      </c>
      <c r="S87">
        <v>-5.568944099378883</v>
      </c>
      <c r="T87">
        <v>-0.5</v>
      </c>
      <c r="U87">
        <v>-2.8260869565217392</v>
      </c>
      <c r="V87">
        <v>-3.2</v>
      </c>
      <c r="W87">
        <v>0</v>
      </c>
      <c r="X87">
        <v>0.6</v>
      </c>
      <c r="Y87">
        <v>0.35714285714285715</v>
      </c>
    </row>
    <row r="88" spans="1:25" x14ac:dyDescent="0.2">
      <c r="A88" t="s">
        <v>51</v>
      </c>
      <c r="B88" t="s">
        <v>682</v>
      </c>
      <c r="C88">
        <v>310</v>
      </c>
      <c r="D88">
        <v>10</v>
      </c>
      <c r="E88">
        <v>1</v>
      </c>
      <c r="F88">
        <v>0</v>
      </c>
      <c r="G88">
        <v>0</v>
      </c>
      <c r="H88">
        <v>0</v>
      </c>
      <c r="I88">
        <v>55</v>
      </c>
      <c r="J88">
        <v>71</v>
      </c>
      <c r="K88">
        <v>3</v>
      </c>
      <c r="L88">
        <v>50</v>
      </c>
      <c r="M88">
        <v>4</v>
      </c>
      <c r="N88">
        <v>356</v>
      </c>
      <c r="O88" s="3">
        <f t="shared" si="4"/>
        <v>1.2903225806451613</v>
      </c>
      <c r="P88">
        <f t="shared" si="5"/>
        <v>0</v>
      </c>
      <c r="Q88">
        <f t="shared" si="6"/>
        <v>0</v>
      </c>
      <c r="S88">
        <v>-18.72639751552795</v>
      </c>
      <c r="T88">
        <v>0</v>
      </c>
      <c r="U88">
        <v>-0.59782608695652173</v>
      </c>
      <c r="V88">
        <v>-20</v>
      </c>
      <c r="W88">
        <v>0</v>
      </c>
      <c r="X88">
        <v>0.8</v>
      </c>
      <c r="Y88">
        <v>1.0714285714285714</v>
      </c>
    </row>
    <row r="89" spans="1:25" x14ac:dyDescent="0.2">
      <c r="A89" t="s">
        <v>51</v>
      </c>
      <c r="B89" t="s">
        <v>685</v>
      </c>
      <c r="C89">
        <v>320</v>
      </c>
      <c r="D89">
        <v>120</v>
      </c>
      <c r="E89">
        <v>13</v>
      </c>
      <c r="F89">
        <v>2</v>
      </c>
      <c r="G89">
        <v>0</v>
      </c>
      <c r="H89">
        <v>0</v>
      </c>
      <c r="I89">
        <v>300</v>
      </c>
      <c r="J89">
        <v>49</v>
      </c>
      <c r="K89">
        <v>5</v>
      </c>
      <c r="L89">
        <v>1</v>
      </c>
      <c r="M89">
        <v>4</v>
      </c>
      <c r="N89">
        <v>319</v>
      </c>
      <c r="O89" s="3">
        <f t="shared" si="4"/>
        <v>1.25</v>
      </c>
      <c r="P89">
        <f t="shared" si="5"/>
        <v>0</v>
      </c>
      <c r="Q89">
        <f t="shared" si="6"/>
        <v>0</v>
      </c>
      <c r="S89">
        <v>-1.5751552795031052</v>
      </c>
      <c r="T89">
        <v>-0.5</v>
      </c>
      <c r="U89">
        <v>-3.2608695652173911</v>
      </c>
      <c r="V89">
        <v>-0.4</v>
      </c>
      <c r="W89">
        <v>0</v>
      </c>
      <c r="X89">
        <v>0.8</v>
      </c>
      <c r="Y89">
        <v>1.785714285714286</v>
      </c>
    </row>
    <row r="90" spans="1:25" x14ac:dyDescent="0.2">
      <c r="A90" t="s">
        <v>51</v>
      </c>
      <c r="B90" t="s">
        <v>686</v>
      </c>
      <c r="C90">
        <v>160</v>
      </c>
      <c r="D90">
        <v>70</v>
      </c>
      <c r="E90">
        <v>8</v>
      </c>
      <c r="F90">
        <v>4</v>
      </c>
      <c r="G90">
        <v>0</v>
      </c>
      <c r="H90">
        <v>10</v>
      </c>
      <c r="I90">
        <v>125</v>
      </c>
      <c r="J90">
        <v>24</v>
      </c>
      <c r="K90">
        <v>1</v>
      </c>
      <c r="L90">
        <v>15</v>
      </c>
      <c r="M90">
        <v>2</v>
      </c>
      <c r="N90">
        <v>177</v>
      </c>
      <c r="O90" s="3">
        <f t="shared" si="4"/>
        <v>1.25</v>
      </c>
      <c r="P90">
        <f t="shared" si="5"/>
        <v>0</v>
      </c>
      <c r="Q90">
        <f t="shared" si="6"/>
        <v>0</v>
      </c>
      <c r="S90">
        <v>-7.6015527950310569</v>
      </c>
      <c r="T90">
        <v>-1</v>
      </c>
      <c r="U90">
        <v>-1.3586956521739131</v>
      </c>
      <c r="V90">
        <v>-6</v>
      </c>
      <c r="W90">
        <v>0</v>
      </c>
      <c r="X90">
        <v>0.4</v>
      </c>
      <c r="Y90">
        <v>0.35714285714285715</v>
      </c>
    </row>
    <row r="91" spans="1:25" x14ac:dyDescent="0.2">
      <c r="A91" t="s">
        <v>51</v>
      </c>
      <c r="B91" t="s">
        <v>698</v>
      </c>
      <c r="C91">
        <v>430</v>
      </c>
      <c r="D91">
        <v>160</v>
      </c>
      <c r="E91">
        <v>18</v>
      </c>
      <c r="F91">
        <v>2.5</v>
      </c>
      <c r="G91">
        <v>0</v>
      </c>
      <c r="H91">
        <v>0</v>
      </c>
      <c r="I91">
        <v>410</v>
      </c>
      <c r="J91">
        <v>66</v>
      </c>
      <c r="K91">
        <v>7</v>
      </c>
      <c r="L91">
        <v>2</v>
      </c>
      <c r="M91">
        <v>5</v>
      </c>
      <c r="N91">
        <v>430</v>
      </c>
      <c r="O91" s="3">
        <f t="shared" si="4"/>
        <v>1.1627906976744187</v>
      </c>
      <c r="P91">
        <f t="shared" si="5"/>
        <v>0</v>
      </c>
      <c r="Q91">
        <f t="shared" si="6"/>
        <v>0</v>
      </c>
      <c r="S91">
        <v>-2.3815217391304344</v>
      </c>
      <c r="T91">
        <v>-0.625</v>
      </c>
      <c r="U91">
        <v>-4.4565217391304346</v>
      </c>
      <c r="V91">
        <v>-0.8</v>
      </c>
      <c r="W91">
        <v>0</v>
      </c>
      <c r="X91">
        <v>1.0000000000000002</v>
      </c>
      <c r="Y91">
        <v>2.5</v>
      </c>
    </row>
    <row r="92" spans="1:25" x14ac:dyDescent="0.2">
      <c r="A92" t="s">
        <v>51</v>
      </c>
      <c r="B92" t="s">
        <v>700</v>
      </c>
      <c r="C92">
        <v>180</v>
      </c>
      <c r="D92">
        <v>70</v>
      </c>
      <c r="E92">
        <v>8</v>
      </c>
      <c r="F92">
        <v>4</v>
      </c>
      <c r="G92">
        <v>0</v>
      </c>
      <c r="H92">
        <v>25</v>
      </c>
      <c r="I92">
        <v>40</v>
      </c>
      <c r="J92">
        <v>27</v>
      </c>
      <c r="K92">
        <v>1</v>
      </c>
      <c r="L92">
        <v>25</v>
      </c>
      <c r="M92">
        <v>2</v>
      </c>
      <c r="N92">
        <v>207</v>
      </c>
      <c r="O92" s="3">
        <f t="shared" si="4"/>
        <v>1.1111111111111112</v>
      </c>
      <c r="P92">
        <f t="shared" si="5"/>
        <v>0</v>
      </c>
      <c r="Q92">
        <f t="shared" si="6"/>
        <v>0</v>
      </c>
      <c r="S92">
        <v>-10.677639751552794</v>
      </c>
      <c r="T92">
        <v>-1</v>
      </c>
      <c r="U92">
        <v>-0.43478260869565216</v>
      </c>
      <c r="V92">
        <v>-10</v>
      </c>
      <c r="W92">
        <v>0</v>
      </c>
      <c r="X92">
        <v>0.4</v>
      </c>
      <c r="Y92">
        <v>0.35714285714285715</v>
      </c>
    </row>
    <row r="93" spans="1:25" x14ac:dyDescent="0.2">
      <c r="A93" t="s">
        <v>51</v>
      </c>
      <c r="B93" t="s">
        <v>702</v>
      </c>
      <c r="C93">
        <v>370</v>
      </c>
      <c r="D93">
        <v>180</v>
      </c>
      <c r="E93">
        <v>20</v>
      </c>
      <c r="F93">
        <v>13</v>
      </c>
      <c r="G93">
        <v>0</v>
      </c>
      <c r="H93">
        <v>10</v>
      </c>
      <c r="I93">
        <v>330</v>
      </c>
      <c r="J93">
        <v>45</v>
      </c>
      <c r="K93">
        <v>1</v>
      </c>
      <c r="L93">
        <v>30</v>
      </c>
      <c r="M93">
        <v>4</v>
      </c>
      <c r="N93">
        <v>409</v>
      </c>
      <c r="O93" s="3">
        <f t="shared" si="4"/>
        <v>1.0810810810810811</v>
      </c>
      <c r="P93">
        <f t="shared" si="5"/>
        <v>0</v>
      </c>
      <c r="Q93">
        <f t="shared" si="6"/>
        <v>0</v>
      </c>
      <c r="S93">
        <v>-17.679813664596274</v>
      </c>
      <c r="T93">
        <v>-3.25</v>
      </c>
      <c r="U93">
        <v>-3.5869565217391304</v>
      </c>
      <c r="V93">
        <v>-12</v>
      </c>
      <c r="W93">
        <v>0</v>
      </c>
      <c r="X93">
        <v>0.8</v>
      </c>
      <c r="Y93">
        <v>0.35714285714285715</v>
      </c>
    </row>
    <row r="94" spans="1:25" x14ac:dyDescent="0.2">
      <c r="A94" t="s">
        <v>51</v>
      </c>
      <c r="B94" t="s">
        <v>708</v>
      </c>
      <c r="C94">
        <v>380</v>
      </c>
      <c r="D94">
        <v>140</v>
      </c>
      <c r="E94">
        <v>16</v>
      </c>
      <c r="F94">
        <v>2</v>
      </c>
      <c r="G94">
        <v>0</v>
      </c>
      <c r="H94">
        <v>0</v>
      </c>
      <c r="I94">
        <v>360</v>
      </c>
      <c r="J94">
        <v>58</v>
      </c>
      <c r="K94">
        <v>6</v>
      </c>
      <c r="L94">
        <v>1</v>
      </c>
      <c r="M94">
        <v>4</v>
      </c>
      <c r="N94">
        <v>379</v>
      </c>
      <c r="O94" s="3">
        <f t="shared" si="4"/>
        <v>1.0526315789473684</v>
      </c>
      <c r="P94">
        <f t="shared" si="5"/>
        <v>0</v>
      </c>
      <c r="Q94">
        <f t="shared" si="6"/>
        <v>0</v>
      </c>
      <c r="S94">
        <v>-1.8701863354037278</v>
      </c>
      <c r="T94">
        <v>-0.5</v>
      </c>
      <c r="U94">
        <v>-3.9130434782608701</v>
      </c>
      <c r="V94">
        <v>-0.4</v>
      </c>
      <c r="W94">
        <v>0</v>
      </c>
      <c r="X94">
        <v>0.8</v>
      </c>
      <c r="Y94">
        <v>2.1428571428571428</v>
      </c>
    </row>
    <row r="95" spans="1:25" x14ac:dyDescent="0.2">
      <c r="A95" t="s">
        <v>51</v>
      </c>
      <c r="B95" t="s">
        <v>711</v>
      </c>
      <c r="C95">
        <v>500</v>
      </c>
      <c r="D95">
        <v>230</v>
      </c>
      <c r="E95">
        <v>25</v>
      </c>
      <c r="F95">
        <v>4.5</v>
      </c>
      <c r="G95">
        <v>0</v>
      </c>
      <c r="H95">
        <v>0</v>
      </c>
      <c r="I95">
        <v>1310</v>
      </c>
      <c r="J95">
        <v>64</v>
      </c>
      <c r="K95">
        <v>5</v>
      </c>
      <c r="L95">
        <v>7</v>
      </c>
      <c r="M95">
        <v>5</v>
      </c>
      <c r="N95">
        <v>507</v>
      </c>
      <c r="O95" s="3">
        <f t="shared" si="4"/>
        <v>1</v>
      </c>
      <c r="P95">
        <f t="shared" si="5"/>
        <v>1</v>
      </c>
      <c r="Q95">
        <f t="shared" si="6"/>
        <v>0</v>
      </c>
      <c r="S95">
        <v>-15.378416149068324</v>
      </c>
      <c r="T95">
        <v>-1.125</v>
      </c>
      <c r="U95">
        <v>-14.239130434782609</v>
      </c>
      <c r="V95">
        <v>-2.8000000000000003</v>
      </c>
      <c r="W95">
        <v>0</v>
      </c>
      <c r="X95">
        <v>1.0000000000000002</v>
      </c>
      <c r="Y95">
        <v>1.785714285714286</v>
      </c>
    </row>
    <row r="96" spans="1:25" x14ac:dyDescent="0.2">
      <c r="A96" t="s">
        <v>51</v>
      </c>
      <c r="B96" t="s">
        <v>712</v>
      </c>
      <c r="C96">
        <v>200</v>
      </c>
      <c r="D96">
        <v>90</v>
      </c>
      <c r="E96">
        <v>10</v>
      </c>
      <c r="F96">
        <v>5</v>
      </c>
      <c r="G96">
        <v>0</v>
      </c>
      <c r="H96">
        <v>30</v>
      </c>
      <c r="I96">
        <v>40</v>
      </c>
      <c r="J96">
        <v>27</v>
      </c>
      <c r="K96">
        <v>0</v>
      </c>
      <c r="L96">
        <v>27</v>
      </c>
      <c r="M96">
        <v>2</v>
      </c>
      <c r="N96">
        <v>230</v>
      </c>
      <c r="O96" s="3">
        <f t="shared" si="4"/>
        <v>1</v>
      </c>
      <c r="P96">
        <f t="shared" si="5"/>
        <v>0</v>
      </c>
      <c r="Q96">
        <f t="shared" si="6"/>
        <v>0</v>
      </c>
      <c r="S96">
        <v>-12.084782608695653</v>
      </c>
      <c r="T96">
        <v>-1.25</v>
      </c>
      <c r="U96">
        <v>-0.43478260869565216</v>
      </c>
      <c r="V96">
        <v>-10.8</v>
      </c>
      <c r="W96">
        <v>0</v>
      </c>
      <c r="X96">
        <v>0.4</v>
      </c>
      <c r="Y96">
        <v>0</v>
      </c>
    </row>
    <row r="97" spans="1:25" x14ac:dyDescent="0.2">
      <c r="A97" t="s">
        <v>51</v>
      </c>
      <c r="B97" t="s">
        <v>713</v>
      </c>
      <c r="C97">
        <v>300</v>
      </c>
      <c r="D97">
        <v>120</v>
      </c>
      <c r="E97">
        <v>13</v>
      </c>
      <c r="F97">
        <v>7</v>
      </c>
      <c r="G97">
        <v>0</v>
      </c>
      <c r="H97">
        <v>40</v>
      </c>
      <c r="I97">
        <v>70</v>
      </c>
      <c r="J97">
        <v>45</v>
      </c>
      <c r="K97">
        <v>2</v>
      </c>
      <c r="L97">
        <v>41</v>
      </c>
      <c r="M97">
        <v>3</v>
      </c>
      <c r="N97">
        <v>345</v>
      </c>
      <c r="O97" s="3">
        <f t="shared" si="4"/>
        <v>1</v>
      </c>
      <c r="P97">
        <f t="shared" si="5"/>
        <v>0</v>
      </c>
      <c r="Q97">
        <f t="shared" si="6"/>
        <v>0</v>
      </c>
      <c r="S97">
        <v>-17.596583850931676</v>
      </c>
      <c r="T97">
        <v>-1.75</v>
      </c>
      <c r="U97">
        <v>-0.76086956521739135</v>
      </c>
      <c r="V97">
        <v>-16.400000000000002</v>
      </c>
      <c r="W97">
        <v>0</v>
      </c>
      <c r="X97">
        <v>0.6</v>
      </c>
      <c r="Y97">
        <v>0.7142857142857143</v>
      </c>
    </row>
    <row r="98" spans="1:25" x14ac:dyDescent="0.2">
      <c r="A98" t="s">
        <v>51</v>
      </c>
      <c r="B98" t="s">
        <v>716</v>
      </c>
      <c r="C98">
        <v>410</v>
      </c>
      <c r="D98">
        <v>190</v>
      </c>
      <c r="E98">
        <v>21</v>
      </c>
      <c r="F98">
        <v>3.5</v>
      </c>
      <c r="G98">
        <v>0</v>
      </c>
      <c r="H98">
        <v>0</v>
      </c>
      <c r="I98">
        <v>1080</v>
      </c>
      <c r="J98">
        <v>53</v>
      </c>
      <c r="K98">
        <v>4</v>
      </c>
      <c r="L98">
        <v>5</v>
      </c>
      <c r="M98">
        <v>4</v>
      </c>
      <c r="N98">
        <v>415</v>
      </c>
      <c r="O98" s="3">
        <f t="shared" ref="O98:O129" si="7">M98/C98*100</f>
        <v>0.97560975609756095</v>
      </c>
      <c r="P98">
        <f t="shared" si="5"/>
        <v>1</v>
      </c>
      <c r="Q98">
        <f t="shared" si="6"/>
        <v>0</v>
      </c>
      <c r="S98">
        <v>-12.38555900621118</v>
      </c>
      <c r="T98">
        <v>-0.875</v>
      </c>
      <c r="U98">
        <v>-11.739130434782609</v>
      </c>
      <c r="V98">
        <v>-2.0000000000000004</v>
      </c>
      <c r="W98">
        <v>0</v>
      </c>
      <c r="X98">
        <v>0.8</v>
      </c>
      <c r="Y98">
        <v>1.4285714285714286</v>
      </c>
    </row>
    <row r="99" spans="1:25" x14ac:dyDescent="0.2">
      <c r="A99" t="s">
        <v>51</v>
      </c>
      <c r="B99" t="s">
        <v>717</v>
      </c>
      <c r="C99">
        <v>310</v>
      </c>
      <c r="D99">
        <v>170</v>
      </c>
      <c r="E99">
        <v>19</v>
      </c>
      <c r="F99">
        <v>12</v>
      </c>
      <c r="G99">
        <v>0</v>
      </c>
      <c r="H99">
        <v>10</v>
      </c>
      <c r="I99">
        <v>220</v>
      </c>
      <c r="J99">
        <v>32</v>
      </c>
      <c r="K99">
        <v>1</v>
      </c>
      <c r="L99">
        <v>22</v>
      </c>
      <c r="M99">
        <v>3</v>
      </c>
      <c r="N99">
        <v>341</v>
      </c>
      <c r="O99" s="3">
        <f t="shared" si="7"/>
        <v>0.967741935483871</v>
      </c>
      <c r="P99">
        <f t="shared" si="5"/>
        <v>0</v>
      </c>
      <c r="Q99">
        <f t="shared" si="6"/>
        <v>0</v>
      </c>
      <c r="S99">
        <v>-13.234161490683229</v>
      </c>
      <c r="T99">
        <v>-3</v>
      </c>
      <c r="U99">
        <v>-2.3913043478260869</v>
      </c>
      <c r="V99">
        <v>-8.8000000000000007</v>
      </c>
      <c r="W99">
        <v>0</v>
      </c>
      <c r="X99">
        <v>0.6</v>
      </c>
      <c r="Y99">
        <v>0.35714285714285715</v>
      </c>
    </row>
    <row r="100" spans="1:25" x14ac:dyDescent="0.2">
      <c r="A100" t="s">
        <v>51</v>
      </c>
      <c r="B100" t="s">
        <v>725</v>
      </c>
      <c r="C100">
        <v>320</v>
      </c>
      <c r="D100">
        <v>150</v>
      </c>
      <c r="E100">
        <v>16</v>
      </c>
      <c r="F100">
        <v>3</v>
      </c>
      <c r="G100">
        <v>0</v>
      </c>
      <c r="H100">
        <v>0</v>
      </c>
      <c r="I100">
        <v>840</v>
      </c>
      <c r="J100">
        <v>41</v>
      </c>
      <c r="K100">
        <v>3</v>
      </c>
      <c r="L100">
        <v>4</v>
      </c>
      <c r="M100">
        <v>3</v>
      </c>
      <c r="N100">
        <v>324</v>
      </c>
      <c r="O100" s="3">
        <f t="shared" si="7"/>
        <v>0.9375</v>
      </c>
      <c r="P100">
        <f t="shared" si="5"/>
        <v>1</v>
      </c>
      <c r="Q100">
        <f t="shared" si="6"/>
        <v>0</v>
      </c>
      <c r="S100">
        <v>-9.8090062111801242</v>
      </c>
      <c r="T100">
        <v>-0.75</v>
      </c>
      <c r="U100">
        <v>-9.1304347826086953</v>
      </c>
      <c r="V100">
        <v>-1.6</v>
      </c>
      <c r="W100">
        <v>0</v>
      </c>
      <c r="X100">
        <v>0.6</v>
      </c>
      <c r="Y100">
        <v>1.0714285714285714</v>
      </c>
    </row>
    <row r="101" spans="1:25" x14ac:dyDescent="0.2">
      <c r="A101" t="s">
        <v>51</v>
      </c>
      <c r="B101" t="s">
        <v>727</v>
      </c>
      <c r="C101">
        <v>220</v>
      </c>
      <c r="D101">
        <v>80</v>
      </c>
      <c r="E101">
        <v>9</v>
      </c>
      <c r="F101">
        <v>1.5</v>
      </c>
      <c r="G101">
        <v>0</v>
      </c>
      <c r="H101">
        <v>0</v>
      </c>
      <c r="I101">
        <v>210</v>
      </c>
      <c r="J101">
        <v>34</v>
      </c>
      <c r="K101">
        <v>3</v>
      </c>
      <c r="L101">
        <v>1</v>
      </c>
      <c r="M101">
        <v>2</v>
      </c>
      <c r="N101">
        <v>221</v>
      </c>
      <c r="O101" s="3">
        <f t="shared" si="7"/>
        <v>0.90909090909090906</v>
      </c>
      <c r="P101">
        <f t="shared" si="5"/>
        <v>0</v>
      </c>
      <c r="Q101">
        <f t="shared" si="6"/>
        <v>0</v>
      </c>
      <c r="S101">
        <v>-1.5861801242236024</v>
      </c>
      <c r="T101">
        <v>-0.375</v>
      </c>
      <c r="U101">
        <v>-2.2826086956521738</v>
      </c>
      <c r="V101">
        <v>-0.4</v>
      </c>
      <c r="W101">
        <v>0</v>
      </c>
      <c r="X101">
        <v>0.4</v>
      </c>
      <c r="Y101">
        <v>1.0714285714285714</v>
      </c>
    </row>
    <row r="102" spans="1:25" x14ac:dyDescent="0.2">
      <c r="A102" t="s">
        <v>51</v>
      </c>
      <c r="B102" t="s">
        <v>732</v>
      </c>
      <c r="C102">
        <v>340</v>
      </c>
      <c r="D102">
        <v>130</v>
      </c>
      <c r="E102">
        <v>14</v>
      </c>
      <c r="F102">
        <v>6</v>
      </c>
      <c r="G102">
        <v>0</v>
      </c>
      <c r="H102">
        <v>0</v>
      </c>
      <c r="I102">
        <v>310</v>
      </c>
      <c r="J102">
        <v>51</v>
      </c>
      <c r="K102">
        <v>1</v>
      </c>
      <c r="L102">
        <v>25</v>
      </c>
      <c r="M102">
        <v>3</v>
      </c>
      <c r="N102">
        <v>368</v>
      </c>
      <c r="O102" s="3">
        <f t="shared" si="7"/>
        <v>0.88235294117647056</v>
      </c>
      <c r="P102">
        <f t="shared" si="5"/>
        <v>0</v>
      </c>
      <c r="Q102">
        <f t="shared" si="6"/>
        <v>0</v>
      </c>
      <c r="S102">
        <v>-13.912422360248447</v>
      </c>
      <c r="T102">
        <v>-1.5</v>
      </c>
      <c r="U102">
        <v>-3.3695652173913042</v>
      </c>
      <c r="V102">
        <v>-10</v>
      </c>
      <c r="W102">
        <v>0</v>
      </c>
      <c r="X102">
        <v>0.6</v>
      </c>
      <c r="Y102">
        <v>0.35714285714285715</v>
      </c>
    </row>
    <row r="103" spans="1:25" x14ac:dyDescent="0.2">
      <c r="A103" t="s">
        <v>51</v>
      </c>
      <c r="B103" t="s">
        <v>734</v>
      </c>
      <c r="C103">
        <v>240</v>
      </c>
      <c r="D103">
        <v>90</v>
      </c>
      <c r="E103">
        <v>10</v>
      </c>
      <c r="F103">
        <v>6</v>
      </c>
      <c r="G103">
        <v>0</v>
      </c>
      <c r="H103">
        <v>30</v>
      </c>
      <c r="I103">
        <v>55</v>
      </c>
      <c r="J103">
        <v>35</v>
      </c>
      <c r="K103">
        <v>1</v>
      </c>
      <c r="L103">
        <v>32</v>
      </c>
      <c r="M103">
        <v>2</v>
      </c>
      <c r="N103">
        <v>276</v>
      </c>
      <c r="O103" s="3">
        <f t="shared" si="7"/>
        <v>0.83333333333333337</v>
      </c>
      <c r="P103">
        <f t="shared" si="5"/>
        <v>0</v>
      </c>
      <c r="Q103">
        <f t="shared" si="6"/>
        <v>0</v>
      </c>
      <c r="S103">
        <v>-14.140683229813664</v>
      </c>
      <c r="T103">
        <v>-1.5</v>
      </c>
      <c r="U103">
        <v>-0.59782608695652173</v>
      </c>
      <c r="V103">
        <v>-12.8</v>
      </c>
      <c r="W103">
        <v>0</v>
      </c>
      <c r="X103">
        <v>0.4</v>
      </c>
      <c r="Y103">
        <v>0.35714285714285715</v>
      </c>
    </row>
    <row r="104" spans="1:25" x14ac:dyDescent="0.2">
      <c r="A104" t="s">
        <v>51</v>
      </c>
      <c r="B104" t="s">
        <v>737</v>
      </c>
      <c r="C104">
        <v>250</v>
      </c>
      <c r="D104">
        <v>150</v>
      </c>
      <c r="E104">
        <v>16</v>
      </c>
      <c r="F104">
        <v>3.5</v>
      </c>
      <c r="G104">
        <v>0</v>
      </c>
      <c r="H104">
        <v>0</v>
      </c>
      <c r="I104">
        <v>580</v>
      </c>
      <c r="J104">
        <v>24</v>
      </c>
      <c r="K104">
        <v>3</v>
      </c>
      <c r="L104">
        <v>0</v>
      </c>
      <c r="M104">
        <v>2</v>
      </c>
      <c r="N104">
        <v>252</v>
      </c>
      <c r="O104" s="3">
        <f t="shared" si="7"/>
        <v>0.8</v>
      </c>
      <c r="P104">
        <f t="shared" si="5"/>
        <v>1</v>
      </c>
      <c r="Q104">
        <f t="shared" si="6"/>
        <v>0</v>
      </c>
      <c r="S104">
        <v>-5.7079192546583846</v>
      </c>
      <c r="T104">
        <v>-0.875</v>
      </c>
      <c r="U104">
        <v>-6.3043478260869561</v>
      </c>
      <c r="V104">
        <v>0</v>
      </c>
      <c r="W104">
        <v>0</v>
      </c>
      <c r="X104">
        <v>0.4</v>
      </c>
      <c r="Y104">
        <v>1.0714285714285714</v>
      </c>
    </row>
    <row r="105" spans="1:25" x14ac:dyDescent="0.2">
      <c r="A105" t="s">
        <v>51</v>
      </c>
      <c r="B105" t="s">
        <v>738</v>
      </c>
      <c r="C105">
        <v>500</v>
      </c>
      <c r="D105">
        <v>290</v>
      </c>
      <c r="E105">
        <v>33</v>
      </c>
      <c r="F105">
        <v>7</v>
      </c>
      <c r="G105">
        <v>0</v>
      </c>
      <c r="H105">
        <v>0</v>
      </c>
      <c r="I105">
        <v>1140</v>
      </c>
      <c r="J105">
        <v>48</v>
      </c>
      <c r="K105">
        <v>7</v>
      </c>
      <c r="L105">
        <v>0</v>
      </c>
      <c r="M105">
        <v>4</v>
      </c>
      <c r="N105">
        <v>503</v>
      </c>
      <c r="O105" s="3">
        <f t="shared" si="7"/>
        <v>0.8</v>
      </c>
      <c r="P105">
        <f t="shared" si="5"/>
        <v>1</v>
      </c>
      <c r="Q105">
        <f t="shared" si="6"/>
        <v>0</v>
      </c>
      <c r="S105">
        <v>-10.841304347826087</v>
      </c>
      <c r="T105">
        <v>-1.75</v>
      </c>
      <c r="U105">
        <v>-12.391304347826088</v>
      </c>
      <c r="V105">
        <v>0</v>
      </c>
      <c r="W105">
        <v>0</v>
      </c>
      <c r="X105">
        <v>0.8</v>
      </c>
      <c r="Y105">
        <v>2.5</v>
      </c>
    </row>
    <row r="106" spans="1:25" x14ac:dyDescent="0.2">
      <c r="A106" t="s">
        <v>51</v>
      </c>
      <c r="B106" t="s">
        <v>743</v>
      </c>
      <c r="C106">
        <v>260</v>
      </c>
      <c r="D106">
        <v>110</v>
      </c>
      <c r="E106">
        <v>13</v>
      </c>
      <c r="F106">
        <v>7</v>
      </c>
      <c r="G106">
        <v>0</v>
      </c>
      <c r="H106">
        <v>40</v>
      </c>
      <c r="I106">
        <v>50</v>
      </c>
      <c r="J106">
        <v>34</v>
      </c>
      <c r="K106">
        <v>0</v>
      </c>
      <c r="L106">
        <v>34</v>
      </c>
      <c r="M106">
        <v>2</v>
      </c>
      <c r="N106">
        <v>299</v>
      </c>
      <c r="O106" s="3">
        <f t="shared" si="7"/>
        <v>0.76923076923076927</v>
      </c>
      <c r="P106">
        <f t="shared" si="5"/>
        <v>0</v>
      </c>
      <c r="Q106">
        <f t="shared" si="6"/>
        <v>0</v>
      </c>
      <c r="S106">
        <v>-15.493478260869567</v>
      </c>
      <c r="T106">
        <v>-1.75</v>
      </c>
      <c r="U106">
        <v>-0.54347826086956519</v>
      </c>
      <c r="V106">
        <v>-13.600000000000001</v>
      </c>
      <c r="W106">
        <v>0</v>
      </c>
      <c r="X106">
        <v>0.4</v>
      </c>
      <c r="Y106">
        <v>0</v>
      </c>
    </row>
    <row r="107" spans="1:25" x14ac:dyDescent="0.2">
      <c r="A107" t="s">
        <v>51</v>
      </c>
      <c r="B107" t="s">
        <v>745</v>
      </c>
      <c r="C107">
        <v>670</v>
      </c>
      <c r="D107">
        <v>390</v>
      </c>
      <c r="E107">
        <v>44</v>
      </c>
      <c r="F107">
        <v>9</v>
      </c>
      <c r="G107">
        <v>0</v>
      </c>
      <c r="H107">
        <v>0</v>
      </c>
      <c r="I107">
        <v>1530</v>
      </c>
      <c r="J107">
        <v>65</v>
      </c>
      <c r="K107">
        <v>9</v>
      </c>
      <c r="L107">
        <v>0</v>
      </c>
      <c r="M107">
        <v>5</v>
      </c>
      <c r="N107">
        <v>674</v>
      </c>
      <c r="O107" s="3">
        <f t="shared" si="7"/>
        <v>0.74626865671641784</v>
      </c>
      <c r="P107">
        <f t="shared" si="5"/>
        <v>1</v>
      </c>
      <c r="Q107">
        <f t="shared" si="6"/>
        <v>0</v>
      </c>
      <c r="S107">
        <v>-14.66614906832298</v>
      </c>
      <c r="T107">
        <v>-2.25</v>
      </c>
      <c r="U107">
        <v>-16.630434782608695</v>
      </c>
      <c r="V107">
        <v>0</v>
      </c>
      <c r="W107">
        <v>0</v>
      </c>
      <c r="X107">
        <v>1.0000000000000002</v>
      </c>
      <c r="Y107">
        <v>3.2142857142857149</v>
      </c>
    </row>
    <row r="108" spans="1:25" x14ac:dyDescent="0.2">
      <c r="A108" t="s">
        <v>51</v>
      </c>
      <c r="B108" t="s">
        <v>751</v>
      </c>
      <c r="C108">
        <v>140</v>
      </c>
      <c r="D108">
        <v>140</v>
      </c>
      <c r="E108">
        <v>15</v>
      </c>
      <c r="F108">
        <v>2.5</v>
      </c>
      <c r="G108">
        <v>0</v>
      </c>
      <c r="H108">
        <v>10</v>
      </c>
      <c r="I108">
        <v>85</v>
      </c>
      <c r="J108">
        <v>1</v>
      </c>
      <c r="K108">
        <v>0</v>
      </c>
      <c r="L108">
        <v>1</v>
      </c>
      <c r="M108">
        <v>1</v>
      </c>
      <c r="N108">
        <v>143</v>
      </c>
      <c r="O108" s="3">
        <f t="shared" si="7"/>
        <v>0.7142857142857143</v>
      </c>
      <c r="P108">
        <f t="shared" si="5"/>
        <v>0</v>
      </c>
      <c r="Q108">
        <f t="shared" si="6"/>
        <v>0</v>
      </c>
      <c r="S108">
        <v>-1.7489130434782607</v>
      </c>
      <c r="T108">
        <v>-0.625</v>
      </c>
      <c r="U108">
        <v>-0.92391304347826086</v>
      </c>
      <c r="V108">
        <v>-0.4</v>
      </c>
      <c r="W108">
        <v>0</v>
      </c>
      <c r="X108">
        <v>0.2</v>
      </c>
      <c r="Y108">
        <v>0</v>
      </c>
    </row>
    <row r="109" spans="1:25" x14ac:dyDescent="0.2">
      <c r="A109" t="s">
        <v>51</v>
      </c>
      <c r="B109" t="s">
        <v>755</v>
      </c>
      <c r="C109">
        <v>150</v>
      </c>
      <c r="D109">
        <v>70</v>
      </c>
      <c r="E109">
        <v>8</v>
      </c>
      <c r="F109">
        <v>1.5</v>
      </c>
      <c r="G109">
        <v>0</v>
      </c>
      <c r="H109">
        <v>0</v>
      </c>
      <c r="I109">
        <v>400</v>
      </c>
      <c r="J109">
        <v>19</v>
      </c>
      <c r="K109">
        <v>1</v>
      </c>
      <c r="L109">
        <v>2</v>
      </c>
      <c r="M109">
        <v>1</v>
      </c>
      <c r="N109">
        <v>153</v>
      </c>
      <c r="O109" s="3">
        <f t="shared" si="7"/>
        <v>0.66666666666666674</v>
      </c>
      <c r="P109">
        <f t="shared" si="5"/>
        <v>0</v>
      </c>
      <c r="Q109">
        <f t="shared" si="6"/>
        <v>0</v>
      </c>
      <c r="S109">
        <v>-4.9656832298136644</v>
      </c>
      <c r="T109">
        <v>-0.375</v>
      </c>
      <c r="U109">
        <v>-4.3478260869565215</v>
      </c>
      <c r="V109">
        <v>-0.8</v>
      </c>
      <c r="W109">
        <v>0</v>
      </c>
      <c r="X109">
        <v>0.2</v>
      </c>
      <c r="Y109">
        <v>0.35714285714285715</v>
      </c>
    </row>
    <row r="110" spans="1:25" x14ac:dyDescent="0.2">
      <c r="A110" t="s">
        <v>51</v>
      </c>
      <c r="B110" t="s">
        <v>756</v>
      </c>
      <c r="C110">
        <v>150</v>
      </c>
      <c r="D110">
        <v>70</v>
      </c>
      <c r="E110">
        <v>8</v>
      </c>
      <c r="F110">
        <v>4</v>
      </c>
      <c r="G110">
        <v>0</v>
      </c>
      <c r="H110">
        <v>25</v>
      </c>
      <c r="I110">
        <v>30</v>
      </c>
      <c r="J110">
        <v>21</v>
      </c>
      <c r="K110">
        <v>0</v>
      </c>
      <c r="L110">
        <v>21</v>
      </c>
      <c r="M110">
        <v>1</v>
      </c>
      <c r="N110">
        <v>174</v>
      </c>
      <c r="O110" s="3">
        <f t="shared" si="7"/>
        <v>0.66666666666666674</v>
      </c>
      <c r="P110">
        <f t="shared" si="5"/>
        <v>0</v>
      </c>
      <c r="Q110">
        <f t="shared" si="6"/>
        <v>0</v>
      </c>
      <c r="S110">
        <v>-9.5260869565217412</v>
      </c>
      <c r="T110">
        <v>-1</v>
      </c>
      <c r="U110">
        <v>-0.32608695652173914</v>
      </c>
      <c r="V110">
        <v>-8.4</v>
      </c>
      <c r="W110">
        <v>0</v>
      </c>
      <c r="X110">
        <v>0.2</v>
      </c>
      <c r="Y110">
        <v>0</v>
      </c>
    </row>
    <row r="111" spans="1:25" x14ac:dyDescent="0.2">
      <c r="A111" t="s">
        <v>51</v>
      </c>
      <c r="B111" t="s">
        <v>768</v>
      </c>
      <c r="C111">
        <v>260</v>
      </c>
      <c r="D111">
        <v>250</v>
      </c>
      <c r="E111">
        <v>28</v>
      </c>
      <c r="F111">
        <v>4</v>
      </c>
      <c r="G111">
        <v>0</v>
      </c>
      <c r="H111">
        <v>10</v>
      </c>
      <c r="I111">
        <v>240</v>
      </c>
      <c r="J111">
        <v>2</v>
      </c>
      <c r="K111">
        <v>0</v>
      </c>
      <c r="L111">
        <v>2</v>
      </c>
      <c r="M111">
        <v>1</v>
      </c>
      <c r="N111">
        <v>265</v>
      </c>
      <c r="O111" s="3">
        <f t="shared" si="7"/>
        <v>0.38461538461538464</v>
      </c>
      <c r="P111">
        <f t="shared" si="5"/>
        <v>0</v>
      </c>
      <c r="Q111">
        <f t="shared" si="6"/>
        <v>0</v>
      </c>
      <c r="S111">
        <v>-4.2086956521739127</v>
      </c>
      <c r="T111">
        <v>-1</v>
      </c>
      <c r="U111">
        <v>-2.6086956521739131</v>
      </c>
      <c r="V111">
        <v>-0.8</v>
      </c>
      <c r="W111">
        <v>0</v>
      </c>
      <c r="X111">
        <v>0.2</v>
      </c>
      <c r="Y111">
        <v>0</v>
      </c>
    </row>
    <row r="112" spans="1:25" x14ac:dyDescent="0.2">
      <c r="A112" t="s">
        <v>51</v>
      </c>
      <c r="B112" t="s">
        <v>819</v>
      </c>
      <c r="C112">
        <v>160</v>
      </c>
      <c r="D112">
        <v>150</v>
      </c>
      <c r="E112">
        <v>17</v>
      </c>
      <c r="F112">
        <v>2.5</v>
      </c>
      <c r="G112">
        <v>0</v>
      </c>
      <c r="H112">
        <v>0</v>
      </c>
      <c r="I112">
        <v>380</v>
      </c>
      <c r="J112">
        <v>4</v>
      </c>
      <c r="K112">
        <v>0</v>
      </c>
      <c r="L112">
        <v>3</v>
      </c>
      <c r="M112">
        <v>0</v>
      </c>
      <c r="N112">
        <v>166</v>
      </c>
      <c r="O112" s="3">
        <f t="shared" si="7"/>
        <v>0</v>
      </c>
      <c r="P112">
        <f t="shared" si="5"/>
        <v>0</v>
      </c>
      <c r="Q112">
        <f t="shared" si="6"/>
        <v>0</v>
      </c>
      <c r="S112">
        <v>-5.9554347826086955</v>
      </c>
      <c r="T112">
        <v>-0.625</v>
      </c>
      <c r="U112">
        <v>-4.1304347826086953</v>
      </c>
      <c r="V112">
        <v>-1.2</v>
      </c>
      <c r="W112">
        <v>0</v>
      </c>
      <c r="X112">
        <v>0</v>
      </c>
      <c r="Y112">
        <v>0</v>
      </c>
    </row>
    <row r="113" spans="1:25" x14ac:dyDescent="0.2">
      <c r="A113" t="s">
        <v>51</v>
      </c>
      <c r="B113" t="s">
        <v>820</v>
      </c>
      <c r="C113">
        <v>120</v>
      </c>
      <c r="D113">
        <v>70</v>
      </c>
      <c r="E113">
        <v>8</v>
      </c>
      <c r="F113">
        <v>1</v>
      </c>
      <c r="G113">
        <v>0</v>
      </c>
      <c r="H113">
        <v>0</v>
      </c>
      <c r="I113">
        <v>220</v>
      </c>
      <c r="J113">
        <v>14</v>
      </c>
      <c r="K113">
        <v>0</v>
      </c>
      <c r="L113">
        <v>11</v>
      </c>
      <c r="M113">
        <v>0</v>
      </c>
      <c r="N113">
        <v>132</v>
      </c>
      <c r="O113" s="3">
        <f t="shared" si="7"/>
        <v>0</v>
      </c>
      <c r="P113">
        <f t="shared" si="5"/>
        <v>0</v>
      </c>
      <c r="Q113">
        <f t="shared" si="6"/>
        <v>0</v>
      </c>
      <c r="S113">
        <v>-7.0413043478260873</v>
      </c>
      <c r="T113">
        <v>-0.25</v>
      </c>
      <c r="U113">
        <v>-2.3913043478260869</v>
      </c>
      <c r="V113">
        <v>-4.4000000000000004</v>
      </c>
      <c r="W113">
        <v>0</v>
      </c>
      <c r="X113">
        <v>0</v>
      </c>
      <c r="Y113">
        <v>0</v>
      </c>
    </row>
    <row r="114" spans="1:25" x14ac:dyDescent="0.2">
      <c r="A114" t="s">
        <v>51</v>
      </c>
      <c r="B114" t="s">
        <v>821</v>
      </c>
      <c r="C114">
        <v>50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13</v>
      </c>
      <c r="K114">
        <v>1</v>
      </c>
      <c r="L114">
        <v>11</v>
      </c>
      <c r="M114">
        <v>0</v>
      </c>
      <c r="N114">
        <v>61</v>
      </c>
      <c r="O114" s="3">
        <f t="shared" si="7"/>
        <v>0</v>
      </c>
      <c r="P114">
        <f t="shared" si="5"/>
        <v>0</v>
      </c>
      <c r="Q114">
        <f t="shared" si="6"/>
        <v>0</v>
      </c>
      <c r="S114">
        <v>-4.0428571428571436</v>
      </c>
      <c r="T114">
        <v>0</v>
      </c>
      <c r="U114">
        <v>0</v>
      </c>
      <c r="V114">
        <v>-4.4000000000000004</v>
      </c>
      <c r="W114">
        <v>0</v>
      </c>
      <c r="X114">
        <v>0</v>
      </c>
      <c r="Y114">
        <v>0.35714285714285715</v>
      </c>
    </row>
    <row r="115" spans="1:25" x14ac:dyDescent="0.2">
      <c r="A115" t="s">
        <v>51</v>
      </c>
      <c r="B115" t="s">
        <v>822</v>
      </c>
      <c r="C115">
        <v>80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25</v>
      </c>
      <c r="J115">
        <v>20</v>
      </c>
      <c r="K115">
        <v>0</v>
      </c>
      <c r="L115">
        <v>20</v>
      </c>
      <c r="M115">
        <v>0</v>
      </c>
      <c r="N115">
        <v>100</v>
      </c>
      <c r="O115" s="3">
        <f t="shared" si="7"/>
        <v>0</v>
      </c>
      <c r="P115">
        <f t="shared" si="5"/>
        <v>0</v>
      </c>
      <c r="Q115">
        <f t="shared" si="6"/>
        <v>0</v>
      </c>
      <c r="S115">
        <v>-8.2717391304347849</v>
      </c>
      <c r="T115">
        <v>0</v>
      </c>
      <c r="U115">
        <v>-0.27173913043478259</v>
      </c>
      <c r="V115">
        <v>-8.0000000000000018</v>
      </c>
      <c r="W115">
        <v>0</v>
      </c>
      <c r="X115">
        <v>0</v>
      </c>
      <c r="Y115">
        <v>0</v>
      </c>
    </row>
    <row r="116" spans="1:25" x14ac:dyDescent="0.2">
      <c r="A116" t="s">
        <v>51</v>
      </c>
      <c r="B116" t="s">
        <v>823</v>
      </c>
      <c r="C116">
        <v>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125</v>
      </c>
      <c r="J116">
        <v>3</v>
      </c>
      <c r="K116">
        <v>0</v>
      </c>
      <c r="L116">
        <v>2</v>
      </c>
      <c r="M116">
        <v>0</v>
      </c>
      <c r="N116">
        <v>12</v>
      </c>
      <c r="O116" s="3">
        <f t="shared" si="7"/>
        <v>0</v>
      </c>
      <c r="P116">
        <f t="shared" si="5"/>
        <v>0</v>
      </c>
      <c r="Q116">
        <f t="shared" si="6"/>
        <v>0</v>
      </c>
      <c r="S116">
        <v>-2.1586956521739129</v>
      </c>
      <c r="T116">
        <v>0</v>
      </c>
      <c r="U116">
        <v>-1.3586956521739131</v>
      </c>
      <c r="V116">
        <v>-0.8</v>
      </c>
      <c r="W116">
        <v>0</v>
      </c>
      <c r="X116">
        <v>0</v>
      </c>
      <c r="Y116">
        <v>0</v>
      </c>
    </row>
    <row r="117" spans="1:25" x14ac:dyDescent="0.2">
      <c r="A117" t="s">
        <v>51</v>
      </c>
      <c r="B117" t="s">
        <v>824</v>
      </c>
      <c r="C117">
        <v>80</v>
      </c>
      <c r="D117">
        <v>80</v>
      </c>
      <c r="E117">
        <v>9</v>
      </c>
      <c r="F117">
        <v>0.5</v>
      </c>
      <c r="G117">
        <v>0</v>
      </c>
      <c r="H117">
        <v>10</v>
      </c>
      <c r="I117">
        <v>75</v>
      </c>
      <c r="J117">
        <v>1</v>
      </c>
      <c r="K117">
        <v>0</v>
      </c>
      <c r="L117">
        <v>0</v>
      </c>
      <c r="M117">
        <v>0</v>
      </c>
      <c r="N117">
        <v>81</v>
      </c>
      <c r="O117" s="3">
        <f t="shared" si="7"/>
        <v>0</v>
      </c>
      <c r="P117">
        <f t="shared" si="5"/>
        <v>0</v>
      </c>
      <c r="Q117">
        <f t="shared" si="6"/>
        <v>0</v>
      </c>
      <c r="S117">
        <v>-0.94021739130434778</v>
      </c>
      <c r="T117">
        <v>-0.125</v>
      </c>
      <c r="U117">
        <v>-0.81521739130434778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 t="s">
        <v>51</v>
      </c>
      <c r="B118" t="s">
        <v>825</v>
      </c>
      <c r="C118">
        <v>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7</v>
      </c>
      <c r="K118">
        <v>0</v>
      </c>
      <c r="L118">
        <v>6</v>
      </c>
      <c r="M118">
        <v>0</v>
      </c>
      <c r="N118">
        <v>36</v>
      </c>
      <c r="O118" s="3">
        <f t="shared" si="7"/>
        <v>0</v>
      </c>
      <c r="P118">
        <f t="shared" si="5"/>
        <v>0</v>
      </c>
      <c r="Q118">
        <f t="shared" si="6"/>
        <v>0</v>
      </c>
      <c r="S118">
        <v>-2.4</v>
      </c>
      <c r="T118">
        <v>0</v>
      </c>
      <c r="U118">
        <v>0</v>
      </c>
      <c r="V118">
        <v>-2.4</v>
      </c>
      <c r="W118">
        <v>0</v>
      </c>
      <c r="X118">
        <v>0</v>
      </c>
      <c r="Y118">
        <v>0</v>
      </c>
    </row>
    <row r="119" spans="1:25" x14ac:dyDescent="0.2">
      <c r="A119" t="s">
        <v>51</v>
      </c>
      <c r="B119" t="s">
        <v>826</v>
      </c>
      <c r="C119">
        <v>120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15</v>
      </c>
      <c r="J119">
        <v>30</v>
      </c>
      <c r="K119">
        <v>0</v>
      </c>
      <c r="L119">
        <v>18</v>
      </c>
      <c r="M119">
        <v>0</v>
      </c>
      <c r="N119">
        <v>138</v>
      </c>
      <c r="O119" s="3">
        <f t="shared" si="7"/>
        <v>0</v>
      </c>
      <c r="P119">
        <f t="shared" si="5"/>
        <v>0</v>
      </c>
      <c r="Q119">
        <f t="shared" si="6"/>
        <v>0</v>
      </c>
      <c r="S119">
        <v>-7.3630434782608685</v>
      </c>
      <c r="T119">
        <v>0</v>
      </c>
      <c r="U119">
        <v>-0.16304347826086957</v>
      </c>
      <c r="V119">
        <v>-7.1999999999999993</v>
      </c>
      <c r="W119">
        <v>0</v>
      </c>
      <c r="X119">
        <v>0</v>
      </c>
      <c r="Y119">
        <v>0</v>
      </c>
    </row>
    <row r="120" spans="1:25" x14ac:dyDescent="0.2">
      <c r="A120" t="s">
        <v>51</v>
      </c>
      <c r="B120" t="s">
        <v>827</v>
      </c>
      <c r="C120">
        <v>40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310</v>
      </c>
      <c r="J120">
        <v>11</v>
      </c>
      <c r="K120">
        <v>0</v>
      </c>
      <c r="L120">
        <v>10</v>
      </c>
      <c r="M120">
        <v>0</v>
      </c>
      <c r="N120">
        <v>50</v>
      </c>
      <c r="O120" s="3">
        <f t="shared" si="7"/>
        <v>0</v>
      </c>
      <c r="P120">
        <f t="shared" si="5"/>
        <v>0</v>
      </c>
      <c r="Q120">
        <f t="shared" si="6"/>
        <v>0</v>
      </c>
      <c r="S120">
        <v>-7.3695652173913047</v>
      </c>
      <c r="T120">
        <v>0</v>
      </c>
      <c r="U120">
        <v>-3.3695652173913042</v>
      </c>
      <c r="V120">
        <v>-4.0000000000000009</v>
      </c>
      <c r="W120">
        <v>0</v>
      </c>
      <c r="X120">
        <v>0</v>
      </c>
      <c r="Y120">
        <v>0</v>
      </c>
    </row>
    <row r="121" spans="1:25" x14ac:dyDescent="0.2">
      <c r="A121" t="s">
        <v>51</v>
      </c>
      <c r="B121" t="s">
        <v>828</v>
      </c>
      <c r="C121">
        <v>80</v>
      </c>
      <c r="D121">
        <v>70</v>
      </c>
      <c r="E121">
        <v>8</v>
      </c>
      <c r="F121">
        <v>1.5</v>
      </c>
      <c r="G121">
        <v>0</v>
      </c>
      <c r="H121">
        <v>5</v>
      </c>
      <c r="I121">
        <v>360</v>
      </c>
      <c r="J121">
        <v>2</v>
      </c>
      <c r="K121">
        <v>0</v>
      </c>
      <c r="L121">
        <v>1</v>
      </c>
      <c r="M121">
        <v>0</v>
      </c>
      <c r="N121">
        <v>83</v>
      </c>
      <c r="O121" s="3">
        <f t="shared" si="7"/>
        <v>0</v>
      </c>
      <c r="P121">
        <f t="shared" si="5"/>
        <v>0</v>
      </c>
      <c r="Q121">
        <f t="shared" si="6"/>
        <v>0</v>
      </c>
      <c r="S121">
        <v>-4.6880434782608704</v>
      </c>
      <c r="T121">
        <v>-0.375</v>
      </c>
      <c r="U121">
        <v>-3.9130434782608701</v>
      </c>
      <c r="V121">
        <v>-0.4</v>
      </c>
      <c r="W121">
        <v>0</v>
      </c>
      <c r="X121">
        <v>0</v>
      </c>
      <c r="Y121">
        <v>0</v>
      </c>
    </row>
    <row r="122" spans="1:25" x14ac:dyDescent="0.2">
      <c r="A122" t="s">
        <v>51</v>
      </c>
      <c r="B122" t="s">
        <v>829</v>
      </c>
      <c r="C122">
        <v>150</v>
      </c>
      <c r="D122">
        <v>140</v>
      </c>
      <c r="E122">
        <v>15</v>
      </c>
      <c r="F122">
        <v>2.5</v>
      </c>
      <c r="G122">
        <v>0</v>
      </c>
      <c r="H122">
        <v>20</v>
      </c>
      <c r="I122">
        <v>240</v>
      </c>
      <c r="J122">
        <v>3</v>
      </c>
      <c r="K122">
        <v>0</v>
      </c>
      <c r="L122">
        <v>0</v>
      </c>
      <c r="M122">
        <v>0</v>
      </c>
      <c r="N122">
        <v>153</v>
      </c>
      <c r="O122" s="3">
        <f t="shared" si="7"/>
        <v>0</v>
      </c>
      <c r="P122">
        <f t="shared" si="5"/>
        <v>0</v>
      </c>
      <c r="Q122">
        <f t="shared" si="6"/>
        <v>0</v>
      </c>
      <c r="S122">
        <v>-3.2336956521739131</v>
      </c>
      <c r="T122">
        <v>-0.625</v>
      </c>
      <c r="U122">
        <v>-2.6086956521739131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 t="s">
        <v>51</v>
      </c>
      <c r="B123" t="s">
        <v>830</v>
      </c>
      <c r="C123">
        <v>90</v>
      </c>
      <c r="D123">
        <v>60</v>
      </c>
      <c r="E123">
        <v>6</v>
      </c>
      <c r="F123">
        <v>1</v>
      </c>
      <c r="G123">
        <v>0</v>
      </c>
      <c r="H123">
        <v>10</v>
      </c>
      <c r="I123">
        <v>180</v>
      </c>
      <c r="J123">
        <v>8</v>
      </c>
      <c r="K123">
        <v>0</v>
      </c>
      <c r="L123">
        <v>7</v>
      </c>
      <c r="M123">
        <v>0</v>
      </c>
      <c r="N123">
        <v>98</v>
      </c>
      <c r="O123" s="3">
        <f t="shared" si="7"/>
        <v>0</v>
      </c>
      <c r="P123">
        <f t="shared" si="5"/>
        <v>0</v>
      </c>
      <c r="Q123">
        <f t="shared" si="6"/>
        <v>0</v>
      </c>
      <c r="S123">
        <v>-5.0065217391304353</v>
      </c>
      <c r="T123">
        <v>-0.25</v>
      </c>
      <c r="U123">
        <v>-1.956521739130435</v>
      </c>
      <c r="V123">
        <v>-2.8000000000000003</v>
      </c>
      <c r="W123">
        <v>0</v>
      </c>
      <c r="X123">
        <v>0</v>
      </c>
      <c r="Y123">
        <v>0</v>
      </c>
    </row>
    <row r="124" spans="1:25" x14ac:dyDescent="0.2">
      <c r="A124" t="s">
        <v>51</v>
      </c>
      <c r="B124" t="s">
        <v>831</v>
      </c>
      <c r="C124">
        <v>210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50</v>
      </c>
      <c r="J124">
        <v>58</v>
      </c>
      <c r="K124">
        <v>0</v>
      </c>
      <c r="L124">
        <v>58</v>
      </c>
      <c r="M124">
        <v>0</v>
      </c>
      <c r="N124">
        <v>268</v>
      </c>
      <c r="O124" s="3">
        <f t="shared" si="7"/>
        <v>0</v>
      </c>
      <c r="P124">
        <f t="shared" si="5"/>
        <v>0</v>
      </c>
      <c r="Q124">
        <f t="shared" si="6"/>
        <v>0</v>
      </c>
      <c r="S124">
        <v>-23.743478260869566</v>
      </c>
      <c r="T124">
        <v>0</v>
      </c>
      <c r="U124">
        <v>-0.54347826086956519</v>
      </c>
      <c r="V124">
        <v>-23.2</v>
      </c>
      <c r="W124">
        <v>0</v>
      </c>
      <c r="X124">
        <v>0</v>
      </c>
      <c r="Y124">
        <v>0</v>
      </c>
    </row>
    <row r="125" spans="1:25" x14ac:dyDescent="0.2">
      <c r="A125" t="s">
        <v>51</v>
      </c>
      <c r="B125" t="s">
        <v>832</v>
      </c>
      <c r="C125">
        <v>270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60</v>
      </c>
      <c r="J125">
        <v>73</v>
      </c>
      <c r="K125">
        <v>0</v>
      </c>
      <c r="L125">
        <v>73</v>
      </c>
      <c r="M125">
        <v>0</v>
      </c>
      <c r="N125">
        <v>343</v>
      </c>
      <c r="O125" s="3">
        <f t="shared" si="7"/>
        <v>0</v>
      </c>
      <c r="P125">
        <f t="shared" si="5"/>
        <v>0</v>
      </c>
      <c r="Q125">
        <f t="shared" si="6"/>
        <v>0</v>
      </c>
      <c r="S125">
        <v>-29.852173913043476</v>
      </c>
      <c r="T125">
        <v>0</v>
      </c>
      <c r="U125">
        <v>-0.65217391304347827</v>
      </c>
      <c r="V125">
        <v>-29.2</v>
      </c>
      <c r="W125">
        <v>0</v>
      </c>
      <c r="X125">
        <v>0</v>
      </c>
      <c r="Y125">
        <v>0</v>
      </c>
    </row>
    <row r="126" spans="1:25" x14ac:dyDescent="0.2">
      <c r="A126" t="s">
        <v>51</v>
      </c>
      <c r="B126" t="s">
        <v>833</v>
      </c>
      <c r="C126">
        <v>290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85</v>
      </c>
      <c r="J126">
        <v>105</v>
      </c>
      <c r="K126">
        <v>0</v>
      </c>
      <c r="L126">
        <v>105</v>
      </c>
      <c r="M126">
        <v>0</v>
      </c>
      <c r="N126">
        <v>395</v>
      </c>
      <c r="O126" s="3">
        <f t="shared" si="7"/>
        <v>0</v>
      </c>
      <c r="P126">
        <f t="shared" si="5"/>
        <v>0</v>
      </c>
      <c r="Q126">
        <f t="shared" si="6"/>
        <v>0</v>
      </c>
      <c r="S126">
        <v>-42.923913043478265</v>
      </c>
      <c r="T126">
        <v>0</v>
      </c>
      <c r="U126">
        <v>-0.92391304347826086</v>
      </c>
      <c r="V126">
        <v>-42.000000000000007</v>
      </c>
      <c r="W126">
        <v>0</v>
      </c>
      <c r="X126">
        <v>0</v>
      </c>
      <c r="Y126">
        <v>0</v>
      </c>
    </row>
    <row r="127" spans="1:25" x14ac:dyDescent="0.2">
      <c r="A127" t="s">
        <v>51</v>
      </c>
      <c r="B127" t="s">
        <v>834</v>
      </c>
      <c r="C127">
        <v>510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115</v>
      </c>
      <c r="J127">
        <v>138</v>
      </c>
      <c r="K127">
        <v>0</v>
      </c>
      <c r="L127">
        <v>138</v>
      </c>
      <c r="M127">
        <v>0</v>
      </c>
      <c r="N127">
        <v>648</v>
      </c>
      <c r="O127" s="3">
        <f t="shared" si="7"/>
        <v>0</v>
      </c>
      <c r="P127">
        <f t="shared" si="5"/>
        <v>0</v>
      </c>
      <c r="Q127">
        <f t="shared" si="6"/>
        <v>0</v>
      </c>
      <c r="S127">
        <v>-56.449999999999996</v>
      </c>
      <c r="T127">
        <v>0</v>
      </c>
      <c r="U127">
        <v>-1.25</v>
      </c>
      <c r="V127">
        <v>-55.199999999999996</v>
      </c>
      <c r="W127">
        <v>0</v>
      </c>
      <c r="X127">
        <v>0</v>
      </c>
      <c r="Y127">
        <v>0</v>
      </c>
    </row>
    <row r="128" spans="1:25" x14ac:dyDescent="0.2">
      <c r="A128" t="s">
        <v>51</v>
      </c>
      <c r="B128" t="s">
        <v>839</v>
      </c>
      <c r="C128">
        <v>210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95</v>
      </c>
      <c r="J128">
        <v>56</v>
      </c>
      <c r="K128">
        <v>0</v>
      </c>
      <c r="L128">
        <v>56</v>
      </c>
      <c r="M128">
        <v>0</v>
      </c>
      <c r="N128">
        <v>266</v>
      </c>
      <c r="O128" s="3">
        <f t="shared" si="7"/>
        <v>0</v>
      </c>
      <c r="P128">
        <f t="shared" si="5"/>
        <v>0</v>
      </c>
      <c r="Q128">
        <f t="shared" si="6"/>
        <v>0</v>
      </c>
      <c r="S128">
        <v>-23.432608695652178</v>
      </c>
      <c r="T128">
        <v>0</v>
      </c>
      <c r="U128">
        <v>-1.0326086956521738</v>
      </c>
      <c r="V128">
        <v>-22.400000000000002</v>
      </c>
      <c r="W128">
        <v>0</v>
      </c>
      <c r="X128">
        <v>0</v>
      </c>
      <c r="Y128">
        <v>0</v>
      </c>
    </row>
    <row r="129" spans="1:25" x14ac:dyDescent="0.2">
      <c r="A129" t="s">
        <v>51</v>
      </c>
      <c r="B129" t="s">
        <v>840</v>
      </c>
      <c r="C129">
        <v>260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120</v>
      </c>
      <c r="J129">
        <v>70</v>
      </c>
      <c r="K129">
        <v>0</v>
      </c>
      <c r="L129">
        <v>70</v>
      </c>
      <c r="M129">
        <v>0</v>
      </c>
      <c r="N129">
        <v>330</v>
      </c>
      <c r="O129" s="3">
        <f t="shared" si="7"/>
        <v>0</v>
      </c>
      <c r="P129">
        <f t="shared" si="5"/>
        <v>0</v>
      </c>
      <c r="Q129">
        <f t="shared" si="6"/>
        <v>0</v>
      </c>
      <c r="S129">
        <v>-29.304347826086953</v>
      </c>
      <c r="T129">
        <v>0</v>
      </c>
      <c r="U129">
        <v>-1.3043478260869565</v>
      </c>
      <c r="V129">
        <v>-27.999999999999996</v>
      </c>
      <c r="W129">
        <v>0</v>
      </c>
      <c r="X129">
        <v>0</v>
      </c>
      <c r="Y129">
        <v>0</v>
      </c>
    </row>
    <row r="130" spans="1:25" x14ac:dyDescent="0.2">
      <c r="A130" t="s">
        <v>51</v>
      </c>
      <c r="B130" t="s">
        <v>841</v>
      </c>
      <c r="C130">
        <v>380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170</v>
      </c>
      <c r="J130">
        <v>102</v>
      </c>
      <c r="K130">
        <v>0</v>
      </c>
      <c r="L130">
        <v>102</v>
      </c>
      <c r="M130">
        <v>0</v>
      </c>
      <c r="N130">
        <v>482</v>
      </c>
      <c r="O130" s="3">
        <f t="shared" ref="O130:O160" si="8">M130/C130*100</f>
        <v>0</v>
      </c>
      <c r="P130">
        <f t="shared" ref="P130:P193" si="9">IF(I130&gt;2300*0.2,1,0)</f>
        <v>0</v>
      </c>
      <c r="Q130">
        <f t="shared" ref="Q130:Q193" si="10">IF(H130&gt;300,1,0)</f>
        <v>0</v>
      </c>
      <c r="S130">
        <v>-42.647826086956528</v>
      </c>
      <c r="T130">
        <v>0</v>
      </c>
      <c r="U130">
        <v>-1.8478260869565217</v>
      </c>
      <c r="V130">
        <v>-40.800000000000004</v>
      </c>
      <c r="W130">
        <v>0</v>
      </c>
      <c r="X130">
        <v>0</v>
      </c>
      <c r="Y130">
        <v>0</v>
      </c>
    </row>
    <row r="131" spans="1:25" x14ac:dyDescent="0.2">
      <c r="A131" t="s">
        <v>51</v>
      </c>
      <c r="B131" t="s">
        <v>842</v>
      </c>
      <c r="C131">
        <v>500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230</v>
      </c>
      <c r="J131">
        <v>133</v>
      </c>
      <c r="K131">
        <v>0</v>
      </c>
      <c r="L131">
        <v>133</v>
      </c>
      <c r="M131">
        <v>0</v>
      </c>
      <c r="N131">
        <v>633</v>
      </c>
      <c r="O131" s="3">
        <f t="shared" si="8"/>
        <v>0</v>
      </c>
      <c r="P131">
        <f t="shared" si="9"/>
        <v>0</v>
      </c>
      <c r="Q131">
        <f t="shared" si="10"/>
        <v>0</v>
      </c>
      <c r="S131">
        <v>-55.7</v>
      </c>
      <c r="T131">
        <v>0</v>
      </c>
      <c r="U131">
        <v>-2.5</v>
      </c>
      <c r="V131">
        <v>-53.2</v>
      </c>
      <c r="W131">
        <v>0</v>
      </c>
      <c r="X131">
        <v>0</v>
      </c>
      <c r="Y131">
        <v>0</v>
      </c>
    </row>
    <row r="132" spans="1:25" x14ac:dyDescent="0.2">
      <c r="A132" t="s">
        <v>51</v>
      </c>
      <c r="B132" t="s">
        <v>843</v>
      </c>
      <c r="C132">
        <v>190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60</v>
      </c>
      <c r="J132">
        <v>52</v>
      </c>
      <c r="K132">
        <v>0</v>
      </c>
      <c r="L132">
        <v>51</v>
      </c>
      <c r="M132">
        <v>0</v>
      </c>
      <c r="N132">
        <v>241</v>
      </c>
      <c r="O132" s="3">
        <f t="shared" si="8"/>
        <v>0</v>
      </c>
      <c r="P132">
        <f t="shared" si="9"/>
        <v>0</v>
      </c>
      <c r="Q132">
        <f t="shared" si="10"/>
        <v>0</v>
      </c>
      <c r="S132">
        <v>-21.052173913043479</v>
      </c>
      <c r="T132">
        <v>0</v>
      </c>
      <c r="U132">
        <v>-0.65217391304347827</v>
      </c>
      <c r="V132">
        <v>-20.400000000000002</v>
      </c>
      <c r="W132">
        <v>0</v>
      </c>
      <c r="X132">
        <v>0</v>
      </c>
      <c r="Y132">
        <v>0</v>
      </c>
    </row>
    <row r="133" spans="1:25" x14ac:dyDescent="0.2">
      <c r="A133" t="s">
        <v>51</v>
      </c>
      <c r="B133" t="s">
        <v>844</v>
      </c>
      <c r="C133">
        <v>240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75</v>
      </c>
      <c r="J133">
        <v>65</v>
      </c>
      <c r="K133">
        <v>0</v>
      </c>
      <c r="L133">
        <v>64</v>
      </c>
      <c r="M133">
        <v>0</v>
      </c>
      <c r="N133">
        <v>304</v>
      </c>
      <c r="O133" s="3">
        <f t="shared" si="8"/>
        <v>0</v>
      </c>
      <c r="P133">
        <f t="shared" si="9"/>
        <v>0</v>
      </c>
      <c r="Q133">
        <f t="shared" si="10"/>
        <v>0</v>
      </c>
      <c r="S133">
        <v>-26.415217391304349</v>
      </c>
      <c r="T133">
        <v>0</v>
      </c>
      <c r="U133">
        <v>-0.81521739130434778</v>
      </c>
      <c r="V133">
        <v>-25.6</v>
      </c>
      <c r="W133">
        <v>0</v>
      </c>
      <c r="X133">
        <v>0</v>
      </c>
      <c r="Y133">
        <v>0</v>
      </c>
    </row>
    <row r="134" spans="1:25" x14ac:dyDescent="0.2">
      <c r="A134" t="s">
        <v>51</v>
      </c>
      <c r="B134" t="s">
        <v>845</v>
      </c>
      <c r="C134">
        <v>350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105</v>
      </c>
      <c r="J134">
        <v>94</v>
      </c>
      <c r="K134">
        <v>0</v>
      </c>
      <c r="L134">
        <v>93</v>
      </c>
      <c r="M134">
        <v>0</v>
      </c>
      <c r="N134">
        <v>443</v>
      </c>
      <c r="O134" s="3">
        <f t="shared" si="8"/>
        <v>0</v>
      </c>
      <c r="P134">
        <f t="shared" si="9"/>
        <v>0</v>
      </c>
      <c r="Q134">
        <f t="shared" si="10"/>
        <v>0</v>
      </c>
      <c r="S134">
        <v>-38.341304347826089</v>
      </c>
      <c r="T134">
        <v>0</v>
      </c>
      <c r="U134">
        <v>-1.1413043478260869</v>
      </c>
      <c r="V134">
        <v>-37.200000000000003</v>
      </c>
      <c r="W134">
        <v>0</v>
      </c>
      <c r="X134">
        <v>0</v>
      </c>
      <c r="Y134">
        <v>0</v>
      </c>
    </row>
    <row r="135" spans="1:25" x14ac:dyDescent="0.2">
      <c r="A135" t="s">
        <v>51</v>
      </c>
      <c r="B135" t="s">
        <v>846</v>
      </c>
      <c r="C135">
        <v>450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140</v>
      </c>
      <c r="J135">
        <v>124</v>
      </c>
      <c r="K135">
        <v>0</v>
      </c>
      <c r="L135">
        <v>121</v>
      </c>
      <c r="M135">
        <v>0</v>
      </c>
      <c r="N135">
        <v>571</v>
      </c>
      <c r="O135" s="3">
        <f t="shared" si="8"/>
        <v>0</v>
      </c>
      <c r="P135">
        <f t="shared" si="9"/>
        <v>0</v>
      </c>
      <c r="Q135">
        <f t="shared" si="10"/>
        <v>0</v>
      </c>
      <c r="S135">
        <v>-49.92173913043478</v>
      </c>
      <c r="T135">
        <v>0</v>
      </c>
      <c r="U135">
        <v>-1.5217391304347827</v>
      </c>
      <c r="V135">
        <v>-48.4</v>
      </c>
      <c r="W135">
        <v>0</v>
      </c>
      <c r="X135">
        <v>0</v>
      </c>
      <c r="Y135">
        <v>0</v>
      </c>
    </row>
    <row r="136" spans="1:25" x14ac:dyDescent="0.2">
      <c r="A136" t="s">
        <v>51</v>
      </c>
      <c r="B136" t="s">
        <v>847</v>
      </c>
      <c r="C136">
        <v>240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100</v>
      </c>
      <c r="J136">
        <v>65</v>
      </c>
      <c r="K136">
        <v>0</v>
      </c>
      <c r="L136">
        <v>65</v>
      </c>
      <c r="M136">
        <v>0</v>
      </c>
      <c r="N136">
        <v>305</v>
      </c>
      <c r="O136" s="3">
        <f t="shared" si="8"/>
        <v>0</v>
      </c>
      <c r="P136">
        <f t="shared" si="9"/>
        <v>0</v>
      </c>
      <c r="Q136">
        <f t="shared" si="10"/>
        <v>0</v>
      </c>
      <c r="S136">
        <v>-27.086956521739129</v>
      </c>
      <c r="T136">
        <v>0</v>
      </c>
      <c r="U136">
        <v>-1.0869565217391304</v>
      </c>
      <c r="V136">
        <v>-26</v>
      </c>
      <c r="W136">
        <v>0</v>
      </c>
      <c r="X136">
        <v>0</v>
      </c>
      <c r="Y136">
        <v>0</v>
      </c>
    </row>
    <row r="137" spans="1:25" x14ac:dyDescent="0.2">
      <c r="A137" t="s">
        <v>51</v>
      </c>
      <c r="B137" t="s">
        <v>848</v>
      </c>
      <c r="C137">
        <v>300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120</v>
      </c>
      <c r="J137">
        <v>81</v>
      </c>
      <c r="K137">
        <v>0</v>
      </c>
      <c r="L137">
        <v>81</v>
      </c>
      <c r="M137">
        <v>0</v>
      </c>
      <c r="N137">
        <v>381</v>
      </c>
      <c r="O137" s="3">
        <f t="shared" si="8"/>
        <v>0</v>
      </c>
      <c r="P137">
        <f t="shared" si="9"/>
        <v>0</v>
      </c>
      <c r="Q137">
        <f t="shared" si="10"/>
        <v>0</v>
      </c>
      <c r="S137">
        <v>-33.704347826086959</v>
      </c>
      <c r="T137">
        <v>0</v>
      </c>
      <c r="U137">
        <v>-1.3043478260869565</v>
      </c>
      <c r="V137">
        <v>-32.400000000000006</v>
      </c>
      <c r="W137">
        <v>0</v>
      </c>
      <c r="X137">
        <v>0</v>
      </c>
      <c r="Y137">
        <v>0</v>
      </c>
    </row>
    <row r="138" spans="1:25" x14ac:dyDescent="0.2">
      <c r="A138" t="s">
        <v>51</v>
      </c>
      <c r="B138" t="s">
        <v>849</v>
      </c>
      <c r="C138">
        <v>350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180</v>
      </c>
      <c r="J138">
        <v>118</v>
      </c>
      <c r="K138">
        <v>0</v>
      </c>
      <c r="L138">
        <v>118</v>
      </c>
      <c r="M138">
        <v>0</v>
      </c>
      <c r="N138">
        <v>468</v>
      </c>
      <c r="O138" s="3">
        <f t="shared" si="8"/>
        <v>0</v>
      </c>
      <c r="P138">
        <f t="shared" si="9"/>
        <v>0</v>
      </c>
      <c r="Q138">
        <f t="shared" si="10"/>
        <v>0</v>
      </c>
      <c r="S138">
        <v>-49.156521739130433</v>
      </c>
      <c r="T138">
        <v>0</v>
      </c>
      <c r="U138">
        <v>-1.956521739130435</v>
      </c>
      <c r="V138">
        <v>-47.199999999999996</v>
      </c>
      <c r="W138">
        <v>0</v>
      </c>
      <c r="X138">
        <v>0</v>
      </c>
      <c r="Y138">
        <v>0</v>
      </c>
    </row>
    <row r="139" spans="1:25" x14ac:dyDescent="0.2">
      <c r="A139" t="s">
        <v>51</v>
      </c>
      <c r="B139" t="s">
        <v>850</v>
      </c>
      <c r="C139">
        <v>450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230</v>
      </c>
      <c r="J139">
        <v>155</v>
      </c>
      <c r="K139">
        <v>0</v>
      </c>
      <c r="L139">
        <v>155</v>
      </c>
      <c r="M139">
        <v>0</v>
      </c>
      <c r="N139">
        <v>605</v>
      </c>
      <c r="O139" s="3">
        <f t="shared" si="8"/>
        <v>0</v>
      </c>
      <c r="P139">
        <f t="shared" si="9"/>
        <v>0</v>
      </c>
      <c r="Q139">
        <f t="shared" si="10"/>
        <v>0</v>
      </c>
      <c r="S139">
        <v>-64.500000000000014</v>
      </c>
      <c r="T139">
        <v>0</v>
      </c>
      <c r="U139">
        <v>-2.5</v>
      </c>
      <c r="V139">
        <v>-62.000000000000014</v>
      </c>
      <c r="W139">
        <v>0</v>
      </c>
      <c r="X139">
        <v>0</v>
      </c>
      <c r="Y139">
        <v>0</v>
      </c>
    </row>
    <row r="140" spans="1:25" x14ac:dyDescent="0.2">
      <c r="A140" t="s">
        <v>51</v>
      </c>
      <c r="B140" t="s">
        <v>851</v>
      </c>
      <c r="C140">
        <v>220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55</v>
      </c>
      <c r="J140">
        <v>61</v>
      </c>
      <c r="K140">
        <v>0</v>
      </c>
      <c r="L140">
        <v>61</v>
      </c>
      <c r="M140">
        <v>0</v>
      </c>
      <c r="N140">
        <v>281</v>
      </c>
      <c r="O140" s="3">
        <f t="shared" si="8"/>
        <v>0</v>
      </c>
      <c r="P140">
        <f t="shared" si="9"/>
        <v>0</v>
      </c>
      <c r="Q140">
        <f t="shared" si="10"/>
        <v>0</v>
      </c>
      <c r="S140">
        <v>-24.997826086956522</v>
      </c>
      <c r="T140">
        <v>0</v>
      </c>
      <c r="U140">
        <v>-0.59782608695652173</v>
      </c>
      <c r="V140">
        <v>-24.4</v>
      </c>
      <c r="W140">
        <v>0</v>
      </c>
      <c r="X140">
        <v>0</v>
      </c>
      <c r="Y140">
        <v>0</v>
      </c>
    </row>
    <row r="141" spans="1:25" x14ac:dyDescent="0.2">
      <c r="A141" t="s">
        <v>51</v>
      </c>
      <c r="B141" t="s">
        <v>852</v>
      </c>
      <c r="C141">
        <v>280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70</v>
      </c>
      <c r="J141">
        <v>76</v>
      </c>
      <c r="K141">
        <v>0</v>
      </c>
      <c r="L141">
        <v>76</v>
      </c>
      <c r="M141">
        <v>0</v>
      </c>
      <c r="N141">
        <v>356</v>
      </c>
      <c r="O141" s="3">
        <f t="shared" si="8"/>
        <v>0</v>
      </c>
      <c r="P141">
        <f t="shared" si="9"/>
        <v>0</v>
      </c>
      <c r="Q141">
        <f t="shared" si="10"/>
        <v>0</v>
      </c>
      <c r="S141">
        <v>-31.160869565217396</v>
      </c>
      <c r="T141">
        <v>0</v>
      </c>
      <c r="U141">
        <v>-0.76086956521739135</v>
      </c>
      <c r="V141">
        <v>-30.400000000000006</v>
      </c>
      <c r="W141">
        <v>0</v>
      </c>
      <c r="X141">
        <v>0</v>
      </c>
      <c r="Y141">
        <v>0</v>
      </c>
    </row>
    <row r="142" spans="1:25" x14ac:dyDescent="0.2">
      <c r="A142" t="s">
        <v>51</v>
      </c>
      <c r="B142" t="s">
        <v>853</v>
      </c>
      <c r="C142">
        <v>410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100</v>
      </c>
      <c r="J142">
        <v>110</v>
      </c>
      <c r="K142">
        <v>0</v>
      </c>
      <c r="L142">
        <v>110</v>
      </c>
      <c r="M142">
        <v>0</v>
      </c>
      <c r="N142">
        <v>520</v>
      </c>
      <c r="O142" s="3">
        <f t="shared" si="8"/>
        <v>0</v>
      </c>
      <c r="P142">
        <f t="shared" si="9"/>
        <v>0</v>
      </c>
      <c r="Q142">
        <f t="shared" si="10"/>
        <v>0</v>
      </c>
      <c r="S142">
        <v>-45.08695652173914</v>
      </c>
      <c r="T142">
        <v>0</v>
      </c>
      <c r="U142">
        <v>-1.0869565217391304</v>
      </c>
      <c r="V142">
        <v>-44.000000000000007</v>
      </c>
      <c r="W142">
        <v>0</v>
      </c>
      <c r="X142">
        <v>0</v>
      </c>
      <c r="Y142">
        <v>0</v>
      </c>
    </row>
    <row r="143" spans="1:25" x14ac:dyDescent="0.2">
      <c r="A143" t="s">
        <v>51</v>
      </c>
      <c r="B143" t="s">
        <v>854</v>
      </c>
      <c r="C143">
        <v>450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130</v>
      </c>
      <c r="J143">
        <v>145</v>
      </c>
      <c r="K143">
        <v>0</v>
      </c>
      <c r="L143">
        <v>145</v>
      </c>
      <c r="M143">
        <v>0</v>
      </c>
      <c r="N143">
        <v>595</v>
      </c>
      <c r="O143" s="3">
        <f t="shared" si="8"/>
        <v>0</v>
      </c>
      <c r="P143">
        <f t="shared" si="9"/>
        <v>0</v>
      </c>
      <c r="Q143">
        <f t="shared" si="10"/>
        <v>0</v>
      </c>
      <c r="S143">
        <v>-59.41304347826086</v>
      </c>
      <c r="T143">
        <v>0</v>
      </c>
      <c r="U143">
        <v>-1.4130434782608696</v>
      </c>
      <c r="V143">
        <v>-57.999999999999993</v>
      </c>
      <c r="W143">
        <v>0</v>
      </c>
      <c r="X143">
        <v>0</v>
      </c>
      <c r="Y143">
        <v>0</v>
      </c>
    </row>
    <row r="144" spans="1:25" x14ac:dyDescent="0.2">
      <c r="A144" t="s">
        <v>51</v>
      </c>
      <c r="B144" t="s">
        <v>855</v>
      </c>
      <c r="C144">
        <v>230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60</v>
      </c>
      <c r="J144">
        <v>62</v>
      </c>
      <c r="K144">
        <v>0</v>
      </c>
      <c r="L144">
        <v>61</v>
      </c>
      <c r="M144">
        <v>0</v>
      </c>
      <c r="N144">
        <v>291</v>
      </c>
      <c r="O144" s="3">
        <f t="shared" si="8"/>
        <v>0</v>
      </c>
      <c r="P144">
        <f t="shared" si="9"/>
        <v>0</v>
      </c>
      <c r="Q144">
        <f t="shared" si="10"/>
        <v>0</v>
      </c>
      <c r="S144">
        <v>-25.052173913043475</v>
      </c>
      <c r="T144">
        <v>0</v>
      </c>
      <c r="U144">
        <v>-0.65217391304347827</v>
      </c>
      <c r="V144">
        <v>-24.4</v>
      </c>
      <c r="W144">
        <v>0</v>
      </c>
      <c r="X144">
        <v>0</v>
      </c>
      <c r="Y144">
        <v>0</v>
      </c>
    </row>
    <row r="145" spans="1:25" x14ac:dyDescent="0.2">
      <c r="A145" t="s">
        <v>51</v>
      </c>
      <c r="B145" t="s">
        <v>856</v>
      </c>
      <c r="C145">
        <v>280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70</v>
      </c>
      <c r="J145">
        <v>78</v>
      </c>
      <c r="K145">
        <v>0</v>
      </c>
      <c r="L145">
        <v>77</v>
      </c>
      <c r="M145">
        <v>0</v>
      </c>
      <c r="N145">
        <v>357</v>
      </c>
      <c r="O145" s="3">
        <f t="shared" si="8"/>
        <v>0</v>
      </c>
      <c r="P145">
        <f t="shared" si="9"/>
        <v>0</v>
      </c>
      <c r="Q145">
        <f t="shared" si="10"/>
        <v>0</v>
      </c>
      <c r="S145">
        <v>-31.560869565217395</v>
      </c>
      <c r="T145">
        <v>0</v>
      </c>
      <c r="U145">
        <v>-0.76086956521739135</v>
      </c>
      <c r="V145">
        <v>-30.800000000000004</v>
      </c>
      <c r="W145">
        <v>0</v>
      </c>
      <c r="X145">
        <v>0</v>
      </c>
      <c r="Y145">
        <v>0</v>
      </c>
    </row>
    <row r="146" spans="1:25" x14ac:dyDescent="0.2">
      <c r="A146" t="s">
        <v>51</v>
      </c>
      <c r="B146" t="s">
        <v>857</v>
      </c>
      <c r="C146">
        <v>410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105</v>
      </c>
      <c r="J146">
        <v>113</v>
      </c>
      <c r="K146">
        <v>0</v>
      </c>
      <c r="L146">
        <v>111</v>
      </c>
      <c r="M146">
        <v>0</v>
      </c>
      <c r="N146">
        <v>521</v>
      </c>
      <c r="O146" s="3">
        <f t="shared" si="8"/>
        <v>0</v>
      </c>
      <c r="P146">
        <f t="shared" si="9"/>
        <v>0</v>
      </c>
      <c r="Q146">
        <f t="shared" si="10"/>
        <v>0</v>
      </c>
      <c r="S146">
        <v>-45.541304347826092</v>
      </c>
      <c r="T146">
        <v>0</v>
      </c>
      <c r="U146">
        <v>-1.1413043478260869</v>
      </c>
      <c r="V146">
        <v>-44.400000000000006</v>
      </c>
      <c r="W146">
        <v>0</v>
      </c>
      <c r="X146">
        <v>0</v>
      </c>
      <c r="Y146">
        <v>0</v>
      </c>
    </row>
    <row r="147" spans="1:25" x14ac:dyDescent="0.2">
      <c r="A147" t="s">
        <v>51</v>
      </c>
      <c r="B147" t="s">
        <v>858</v>
      </c>
      <c r="C147">
        <v>530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135</v>
      </c>
      <c r="J147">
        <v>148</v>
      </c>
      <c r="K147">
        <v>0</v>
      </c>
      <c r="L147">
        <v>146</v>
      </c>
      <c r="M147">
        <v>0</v>
      </c>
      <c r="N147">
        <v>676</v>
      </c>
      <c r="O147" s="3">
        <f t="shared" si="8"/>
        <v>0</v>
      </c>
      <c r="P147">
        <f t="shared" si="9"/>
        <v>0</v>
      </c>
      <c r="Q147">
        <f t="shared" si="10"/>
        <v>0</v>
      </c>
      <c r="S147">
        <v>-59.867391304347827</v>
      </c>
      <c r="T147">
        <v>0</v>
      </c>
      <c r="U147">
        <v>-1.4673913043478262</v>
      </c>
      <c r="V147">
        <v>-58.4</v>
      </c>
      <c r="W147">
        <v>0</v>
      </c>
      <c r="X147">
        <v>0</v>
      </c>
      <c r="Y147">
        <v>0</v>
      </c>
    </row>
    <row r="148" spans="1:25" x14ac:dyDescent="0.2">
      <c r="A148" t="s">
        <v>51</v>
      </c>
      <c r="B148" t="s">
        <v>859</v>
      </c>
      <c r="C148">
        <v>220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62</v>
      </c>
      <c r="K148">
        <v>0</v>
      </c>
      <c r="L148">
        <v>60</v>
      </c>
      <c r="M148">
        <v>0</v>
      </c>
      <c r="N148">
        <v>280</v>
      </c>
      <c r="O148" s="3">
        <f t="shared" si="8"/>
        <v>0</v>
      </c>
      <c r="P148">
        <f t="shared" si="9"/>
        <v>0</v>
      </c>
      <c r="Q148">
        <f t="shared" si="10"/>
        <v>0</v>
      </c>
      <c r="S148">
        <v>-24.815217391304348</v>
      </c>
      <c r="T148">
        <v>0</v>
      </c>
      <c r="U148">
        <v>-0.81521739130434778</v>
      </c>
      <c r="V148">
        <v>-24</v>
      </c>
      <c r="W148">
        <v>0</v>
      </c>
      <c r="X148">
        <v>0</v>
      </c>
      <c r="Y148">
        <v>0</v>
      </c>
    </row>
    <row r="149" spans="1:25" x14ac:dyDescent="0.2">
      <c r="A149" t="s">
        <v>51</v>
      </c>
      <c r="B149" t="s">
        <v>860</v>
      </c>
      <c r="C149">
        <v>280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95</v>
      </c>
      <c r="J149">
        <v>77</v>
      </c>
      <c r="K149">
        <v>0</v>
      </c>
      <c r="L149">
        <v>75</v>
      </c>
      <c r="M149">
        <v>0</v>
      </c>
      <c r="N149">
        <v>355</v>
      </c>
      <c r="O149" s="3">
        <f t="shared" si="8"/>
        <v>0</v>
      </c>
      <c r="P149">
        <f t="shared" si="9"/>
        <v>0</v>
      </c>
      <c r="Q149">
        <f t="shared" si="10"/>
        <v>0</v>
      </c>
      <c r="S149">
        <v>-31.032608695652179</v>
      </c>
      <c r="T149">
        <v>0</v>
      </c>
      <c r="U149">
        <v>-1.0326086956521738</v>
      </c>
      <c r="V149">
        <v>-30.000000000000004</v>
      </c>
      <c r="W149">
        <v>0</v>
      </c>
      <c r="X149">
        <v>0</v>
      </c>
      <c r="Y149">
        <v>0</v>
      </c>
    </row>
    <row r="150" spans="1:25" x14ac:dyDescent="0.2">
      <c r="A150" t="s">
        <v>51</v>
      </c>
      <c r="B150" t="s">
        <v>861</v>
      </c>
      <c r="C150">
        <v>410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135</v>
      </c>
      <c r="J150">
        <v>111</v>
      </c>
      <c r="K150">
        <v>0</v>
      </c>
      <c r="L150">
        <v>109</v>
      </c>
      <c r="M150">
        <v>0</v>
      </c>
      <c r="N150">
        <v>519</v>
      </c>
      <c r="O150" s="3">
        <f t="shared" si="8"/>
        <v>0</v>
      </c>
      <c r="P150">
        <f t="shared" si="9"/>
        <v>0</v>
      </c>
      <c r="Q150">
        <f t="shared" si="10"/>
        <v>0</v>
      </c>
      <c r="S150">
        <v>-45.067391304347836</v>
      </c>
      <c r="T150">
        <v>0</v>
      </c>
      <c r="U150">
        <v>-1.4673913043478262</v>
      </c>
      <c r="V150">
        <v>-43.600000000000009</v>
      </c>
      <c r="W150">
        <v>0</v>
      </c>
      <c r="X150">
        <v>0</v>
      </c>
      <c r="Y150">
        <v>0</v>
      </c>
    </row>
    <row r="151" spans="1:25" x14ac:dyDescent="0.2">
      <c r="A151" t="s">
        <v>51</v>
      </c>
      <c r="B151" t="s">
        <v>862</v>
      </c>
      <c r="C151">
        <v>450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180</v>
      </c>
      <c r="J151">
        <v>146</v>
      </c>
      <c r="K151">
        <v>0</v>
      </c>
      <c r="L151">
        <v>143</v>
      </c>
      <c r="M151">
        <v>0</v>
      </c>
      <c r="N151">
        <v>593</v>
      </c>
      <c r="O151" s="3">
        <f t="shared" si="8"/>
        <v>0</v>
      </c>
      <c r="P151">
        <f t="shared" si="9"/>
        <v>0</v>
      </c>
      <c r="Q151">
        <f t="shared" si="10"/>
        <v>0</v>
      </c>
      <c r="S151">
        <v>-59.156521739130433</v>
      </c>
      <c r="T151">
        <v>0</v>
      </c>
      <c r="U151">
        <v>-1.956521739130435</v>
      </c>
      <c r="V151">
        <v>-57.199999999999996</v>
      </c>
      <c r="W151">
        <v>0</v>
      </c>
      <c r="X151">
        <v>0</v>
      </c>
      <c r="Y151">
        <v>0</v>
      </c>
    </row>
    <row r="152" spans="1:25" x14ac:dyDescent="0.2">
      <c r="A152" t="s">
        <v>51</v>
      </c>
      <c r="B152" t="s">
        <v>863</v>
      </c>
      <c r="C152">
        <v>10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60</v>
      </c>
      <c r="J152">
        <v>3</v>
      </c>
      <c r="K152">
        <v>0</v>
      </c>
      <c r="L152">
        <v>0</v>
      </c>
      <c r="M152">
        <v>0</v>
      </c>
      <c r="N152">
        <v>0</v>
      </c>
      <c r="O152" s="3">
        <f t="shared" si="8"/>
        <v>0</v>
      </c>
      <c r="P152">
        <f t="shared" si="9"/>
        <v>0</v>
      </c>
      <c r="Q152">
        <f t="shared" si="10"/>
        <v>0</v>
      </c>
      <c r="S152">
        <v>-0.65217391304347827</v>
      </c>
      <c r="T152">
        <v>0</v>
      </c>
      <c r="U152">
        <v>-0.65217391304347827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 t="s">
        <v>51</v>
      </c>
      <c r="B153" t="s">
        <v>864</v>
      </c>
      <c r="C153">
        <v>10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70</v>
      </c>
      <c r="J153">
        <v>4</v>
      </c>
      <c r="K153">
        <v>0</v>
      </c>
      <c r="L153">
        <v>0</v>
      </c>
      <c r="M153">
        <v>0</v>
      </c>
      <c r="N153">
        <v>0</v>
      </c>
      <c r="O153" s="3">
        <f t="shared" si="8"/>
        <v>0</v>
      </c>
      <c r="P153">
        <f t="shared" si="9"/>
        <v>0</v>
      </c>
      <c r="Q153">
        <f t="shared" si="10"/>
        <v>0</v>
      </c>
      <c r="S153">
        <v>-0.76086956521739135</v>
      </c>
      <c r="T153">
        <v>0</v>
      </c>
      <c r="U153">
        <v>-0.76086956521739135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 t="s">
        <v>51</v>
      </c>
      <c r="B154" t="s">
        <v>865</v>
      </c>
      <c r="C154">
        <v>15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105</v>
      </c>
      <c r="J154">
        <v>5</v>
      </c>
      <c r="K154">
        <v>0</v>
      </c>
      <c r="L154">
        <v>0</v>
      </c>
      <c r="M154">
        <v>0</v>
      </c>
      <c r="N154">
        <v>0</v>
      </c>
      <c r="O154" s="3">
        <f t="shared" si="8"/>
        <v>0</v>
      </c>
      <c r="P154">
        <f t="shared" si="9"/>
        <v>0</v>
      </c>
      <c r="Q154">
        <f t="shared" si="10"/>
        <v>0</v>
      </c>
      <c r="S154">
        <v>-1.1413043478260869</v>
      </c>
      <c r="T154">
        <v>0</v>
      </c>
      <c r="U154">
        <v>-1.1413043478260869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 t="s">
        <v>51</v>
      </c>
      <c r="B155" t="s">
        <v>866</v>
      </c>
      <c r="C155">
        <v>20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135</v>
      </c>
      <c r="J155">
        <v>7</v>
      </c>
      <c r="K155">
        <v>0</v>
      </c>
      <c r="L155">
        <v>0</v>
      </c>
      <c r="M155">
        <v>0</v>
      </c>
      <c r="N155">
        <v>0</v>
      </c>
      <c r="O155" s="3">
        <f t="shared" si="8"/>
        <v>0</v>
      </c>
      <c r="P155">
        <f t="shared" si="9"/>
        <v>0</v>
      </c>
      <c r="Q155">
        <f t="shared" si="10"/>
        <v>0</v>
      </c>
      <c r="S155">
        <v>-1.4673913043478262</v>
      </c>
      <c r="T155">
        <v>0</v>
      </c>
      <c r="U155">
        <v>-1.4673913043478262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 t="s">
        <v>51</v>
      </c>
      <c r="B156" t="s">
        <v>867</v>
      </c>
      <c r="C156">
        <v>120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35</v>
      </c>
      <c r="K156">
        <v>0</v>
      </c>
      <c r="L156">
        <v>35</v>
      </c>
      <c r="M156">
        <v>0</v>
      </c>
      <c r="N156">
        <v>155</v>
      </c>
      <c r="O156" s="3">
        <f t="shared" si="8"/>
        <v>0</v>
      </c>
      <c r="P156">
        <f t="shared" si="9"/>
        <v>0</v>
      </c>
      <c r="Q156">
        <f t="shared" si="10"/>
        <v>0</v>
      </c>
      <c r="S156">
        <v>-13.999999999999998</v>
      </c>
      <c r="T156">
        <v>0</v>
      </c>
      <c r="U156">
        <v>0</v>
      </c>
      <c r="V156">
        <v>-13.999999999999998</v>
      </c>
      <c r="W156">
        <v>0</v>
      </c>
      <c r="X156">
        <v>0</v>
      </c>
      <c r="Y156">
        <v>0</v>
      </c>
    </row>
    <row r="157" spans="1:25" x14ac:dyDescent="0.2">
      <c r="A157" t="s">
        <v>51</v>
      </c>
      <c r="B157" t="s">
        <v>868</v>
      </c>
      <c r="C157">
        <v>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49</v>
      </c>
      <c r="K157">
        <v>0</v>
      </c>
      <c r="L157">
        <v>49</v>
      </c>
      <c r="M157">
        <v>0</v>
      </c>
      <c r="N157">
        <v>209</v>
      </c>
      <c r="O157" s="3">
        <f t="shared" si="8"/>
        <v>0</v>
      </c>
      <c r="P157">
        <f t="shared" si="9"/>
        <v>0</v>
      </c>
      <c r="Q157">
        <f t="shared" si="10"/>
        <v>0</v>
      </c>
      <c r="S157">
        <v>-19.600000000000001</v>
      </c>
      <c r="T157">
        <v>0</v>
      </c>
      <c r="U157">
        <v>0</v>
      </c>
      <c r="V157">
        <v>-19.600000000000001</v>
      </c>
      <c r="W157">
        <v>0</v>
      </c>
      <c r="X157">
        <v>0</v>
      </c>
      <c r="Y157">
        <v>0</v>
      </c>
    </row>
    <row r="158" spans="1:25" x14ac:dyDescent="0.2">
      <c r="A158" t="s">
        <v>51</v>
      </c>
      <c r="B158" t="s">
        <v>869</v>
      </c>
      <c r="C158">
        <v>240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71</v>
      </c>
      <c r="K158">
        <v>0</v>
      </c>
      <c r="L158">
        <v>71</v>
      </c>
      <c r="M158">
        <v>0</v>
      </c>
      <c r="N158">
        <v>311</v>
      </c>
      <c r="O158" s="3">
        <f t="shared" si="8"/>
        <v>0</v>
      </c>
      <c r="P158">
        <f t="shared" si="9"/>
        <v>0</v>
      </c>
      <c r="Q158">
        <f t="shared" si="10"/>
        <v>0</v>
      </c>
      <c r="S158">
        <v>-28.4</v>
      </c>
      <c r="T158">
        <v>0</v>
      </c>
      <c r="U158">
        <v>0</v>
      </c>
      <c r="V158">
        <v>-28.4</v>
      </c>
      <c r="W158">
        <v>0</v>
      </c>
      <c r="X158">
        <v>0</v>
      </c>
      <c r="Y158">
        <v>0</v>
      </c>
    </row>
    <row r="159" spans="1:25" x14ac:dyDescent="0.2">
      <c r="A159" t="s">
        <v>51</v>
      </c>
      <c r="B159" t="s">
        <v>873</v>
      </c>
      <c r="C159">
        <v>80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25</v>
      </c>
      <c r="J159">
        <v>20</v>
      </c>
      <c r="K159">
        <v>0</v>
      </c>
      <c r="L159">
        <v>20</v>
      </c>
      <c r="M159">
        <v>0</v>
      </c>
      <c r="N159">
        <v>100</v>
      </c>
      <c r="O159" s="3">
        <f t="shared" si="8"/>
        <v>0</v>
      </c>
      <c r="P159">
        <f t="shared" si="9"/>
        <v>0</v>
      </c>
      <c r="Q159">
        <f t="shared" si="10"/>
        <v>0</v>
      </c>
      <c r="S159">
        <v>-8.2717391304347849</v>
      </c>
      <c r="T159">
        <v>0</v>
      </c>
      <c r="U159">
        <v>-0.27173913043478259</v>
      </c>
      <c r="V159">
        <v>-8.0000000000000018</v>
      </c>
      <c r="W159">
        <v>0</v>
      </c>
      <c r="X159">
        <v>0</v>
      </c>
      <c r="Y159">
        <v>0</v>
      </c>
    </row>
    <row r="160" spans="1:25" x14ac:dyDescent="0.2">
      <c r="A160" t="s">
        <v>51</v>
      </c>
      <c r="B160" t="s">
        <v>874</v>
      </c>
      <c r="C160">
        <v>130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50</v>
      </c>
      <c r="J160">
        <v>35</v>
      </c>
      <c r="K160">
        <v>0</v>
      </c>
      <c r="L160">
        <v>35</v>
      </c>
      <c r="M160">
        <v>0</v>
      </c>
      <c r="N160">
        <v>165</v>
      </c>
      <c r="O160" s="3">
        <f t="shared" si="8"/>
        <v>0</v>
      </c>
      <c r="P160">
        <f t="shared" si="9"/>
        <v>0</v>
      </c>
      <c r="Q160">
        <f t="shared" si="10"/>
        <v>0</v>
      </c>
      <c r="S160">
        <v>-14.543478260869563</v>
      </c>
      <c r="T160">
        <v>0</v>
      </c>
      <c r="U160">
        <v>-0.54347826086956519</v>
      </c>
      <c r="V160">
        <v>-13.999999999999998</v>
      </c>
      <c r="W160">
        <v>0</v>
      </c>
      <c r="X160">
        <v>0</v>
      </c>
      <c r="Y160">
        <v>0</v>
      </c>
    </row>
    <row r="161" spans="1:25" x14ac:dyDescent="0.2">
      <c r="A161" t="s">
        <v>21</v>
      </c>
      <c r="B161" t="s">
        <v>22</v>
      </c>
      <c r="C161">
        <v>210</v>
      </c>
      <c r="D161" s="2">
        <v>0</v>
      </c>
      <c r="E161">
        <v>7</v>
      </c>
      <c r="F161">
        <v>2</v>
      </c>
      <c r="G161">
        <v>0</v>
      </c>
      <c r="H161">
        <v>130</v>
      </c>
      <c r="I161">
        <v>710</v>
      </c>
      <c r="J161">
        <v>0</v>
      </c>
      <c r="K161">
        <v>0</v>
      </c>
      <c r="L161">
        <v>0</v>
      </c>
      <c r="M161">
        <v>38</v>
      </c>
      <c r="N161">
        <v>174</v>
      </c>
      <c r="O161" s="3">
        <f>(M161/C161)*100</f>
        <v>18.095238095238095</v>
      </c>
      <c r="P161">
        <f t="shared" si="9"/>
        <v>1</v>
      </c>
      <c r="Q161">
        <f t="shared" si="10"/>
        <v>0</v>
      </c>
      <c r="S161">
        <v>-0.61739130434782474</v>
      </c>
      <c r="T161">
        <v>-0.5</v>
      </c>
      <c r="U161">
        <v>-7.7173913043478262</v>
      </c>
      <c r="V161">
        <v>0</v>
      </c>
      <c r="W161">
        <v>0</v>
      </c>
      <c r="X161">
        <v>7.6000000000000014</v>
      </c>
      <c r="Y161">
        <v>0</v>
      </c>
    </row>
    <row r="162" spans="1:25" x14ac:dyDescent="0.2">
      <c r="A162" t="s">
        <v>21</v>
      </c>
      <c r="B162" t="s">
        <v>23</v>
      </c>
      <c r="C162">
        <v>260</v>
      </c>
      <c r="D162" s="2">
        <v>0</v>
      </c>
      <c r="E162">
        <v>12</v>
      </c>
      <c r="F162">
        <v>3</v>
      </c>
      <c r="G162">
        <v>0</v>
      </c>
      <c r="H162">
        <v>130</v>
      </c>
      <c r="I162">
        <v>790</v>
      </c>
      <c r="J162">
        <v>1</v>
      </c>
      <c r="K162">
        <v>0</v>
      </c>
      <c r="L162">
        <v>0</v>
      </c>
      <c r="M162">
        <v>38</v>
      </c>
      <c r="N162">
        <v>225</v>
      </c>
      <c r="O162" s="3">
        <f>(M162/C162)*100</f>
        <v>14.615384615384617</v>
      </c>
      <c r="P162">
        <f t="shared" si="9"/>
        <v>1</v>
      </c>
      <c r="Q162">
        <f t="shared" si="10"/>
        <v>0</v>
      </c>
      <c r="S162">
        <v>-1.7369565217391294</v>
      </c>
      <c r="T162">
        <v>-0.75</v>
      </c>
      <c r="U162">
        <v>-8.5869565217391308</v>
      </c>
      <c r="V162">
        <v>0</v>
      </c>
      <c r="W162">
        <v>0</v>
      </c>
      <c r="X162">
        <v>7.6000000000000014</v>
      </c>
      <c r="Y162">
        <v>0</v>
      </c>
    </row>
    <row r="163" spans="1:25" x14ac:dyDescent="0.2">
      <c r="A163" t="s">
        <v>21</v>
      </c>
      <c r="B163" t="s">
        <v>24</v>
      </c>
      <c r="C163">
        <v>80</v>
      </c>
      <c r="D163" s="2">
        <v>0</v>
      </c>
      <c r="E163">
        <v>4</v>
      </c>
      <c r="F163">
        <v>1</v>
      </c>
      <c r="G163">
        <v>0</v>
      </c>
      <c r="H163">
        <v>55</v>
      </c>
      <c r="I163">
        <v>220</v>
      </c>
      <c r="J163">
        <v>0</v>
      </c>
      <c r="K163">
        <v>0</v>
      </c>
      <c r="L163">
        <v>0</v>
      </c>
      <c r="M163">
        <v>11</v>
      </c>
      <c r="N163">
        <v>70</v>
      </c>
      <c r="O163" s="3">
        <f t="shared" ref="O163:O194" si="11">M163/C163*100</f>
        <v>13.750000000000002</v>
      </c>
      <c r="P163">
        <f t="shared" si="9"/>
        <v>0</v>
      </c>
      <c r="Q163">
        <f t="shared" si="10"/>
        <v>0</v>
      </c>
      <c r="S163">
        <v>-0.44130434782608674</v>
      </c>
      <c r="T163">
        <v>-0.25</v>
      </c>
      <c r="U163">
        <v>-2.3913043478260869</v>
      </c>
      <c r="V163">
        <v>0</v>
      </c>
      <c r="W163">
        <v>0</v>
      </c>
      <c r="X163">
        <v>2.2000000000000002</v>
      </c>
      <c r="Y163">
        <v>0</v>
      </c>
    </row>
    <row r="164" spans="1:25" x14ac:dyDescent="0.2">
      <c r="A164" t="s">
        <v>21</v>
      </c>
      <c r="B164" t="s">
        <v>27</v>
      </c>
      <c r="C164">
        <v>70</v>
      </c>
      <c r="D164" s="2">
        <v>0</v>
      </c>
      <c r="E164">
        <v>3</v>
      </c>
      <c r="F164">
        <v>1</v>
      </c>
      <c r="G164">
        <v>0</v>
      </c>
      <c r="H164">
        <v>45</v>
      </c>
      <c r="I164">
        <v>180</v>
      </c>
      <c r="J164">
        <v>0</v>
      </c>
      <c r="K164">
        <v>0</v>
      </c>
      <c r="L164">
        <v>0</v>
      </c>
      <c r="M164">
        <v>9</v>
      </c>
      <c r="N164">
        <v>62</v>
      </c>
      <c r="O164" s="3">
        <f t="shared" si="11"/>
        <v>12.857142857142856</v>
      </c>
      <c r="P164">
        <f t="shared" si="9"/>
        <v>0</v>
      </c>
      <c r="Q164">
        <f t="shared" si="10"/>
        <v>0</v>
      </c>
      <c r="S164">
        <v>-0.40652173913043521</v>
      </c>
      <c r="T164">
        <v>-0.25</v>
      </c>
      <c r="U164">
        <v>-1.956521739130435</v>
      </c>
      <c r="V164">
        <v>0</v>
      </c>
      <c r="W164">
        <v>0</v>
      </c>
      <c r="X164">
        <v>1.7999999999999998</v>
      </c>
      <c r="Y164">
        <v>0</v>
      </c>
    </row>
    <row r="165" spans="1:25" x14ac:dyDescent="0.2">
      <c r="A165" t="s">
        <v>21</v>
      </c>
      <c r="B165" t="s">
        <v>29</v>
      </c>
      <c r="C165">
        <v>150</v>
      </c>
      <c r="D165" s="2">
        <v>0</v>
      </c>
      <c r="E165">
        <v>9</v>
      </c>
      <c r="F165">
        <v>3</v>
      </c>
      <c r="G165">
        <v>0</v>
      </c>
      <c r="H165">
        <v>90</v>
      </c>
      <c r="I165">
        <v>420</v>
      </c>
      <c r="J165">
        <v>0</v>
      </c>
      <c r="K165">
        <v>0</v>
      </c>
      <c r="L165">
        <v>0</v>
      </c>
      <c r="M165">
        <v>17</v>
      </c>
      <c r="N165">
        <v>136</v>
      </c>
      <c r="O165" s="3">
        <f t="shared" si="11"/>
        <v>11.333333333333332</v>
      </c>
      <c r="P165">
        <f t="shared" si="9"/>
        <v>0</v>
      </c>
      <c r="Q165">
        <f t="shared" si="10"/>
        <v>0</v>
      </c>
      <c r="S165">
        <v>-1.9152173913043473</v>
      </c>
      <c r="T165">
        <v>-0.75</v>
      </c>
      <c r="U165">
        <v>-4.5652173913043477</v>
      </c>
      <c r="V165">
        <v>0</v>
      </c>
      <c r="W165">
        <v>0</v>
      </c>
      <c r="X165">
        <v>3.4000000000000004</v>
      </c>
      <c r="Y165">
        <v>0</v>
      </c>
    </row>
    <row r="166" spans="1:25" x14ac:dyDescent="0.2">
      <c r="A166" t="s">
        <v>21</v>
      </c>
      <c r="B166" t="s">
        <v>30</v>
      </c>
      <c r="C166">
        <v>100</v>
      </c>
      <c r="D166" s="2">
        <v>0</v>
      </c>
      <c r="E166">
        <v>6</v>
      </c>
      <c r="F166">
        <v>1.5</v>
      </c>
      <c r="G166">
        <v>0</v>
      </c>
      <c r="H166">
        <v>55</v>
      </c>
      <c r="I166">
        <v>260</v>
      </c>
      <c r="J166">
        <v>0</v>
      </c>
      <c r="K166">
        <v>0</v>
      </c>
      <c r="L166">
        <v>0</v>
      </c>
      <c r="M166">
        <v>11</v>
      </c>
      <c r="N166">
        <v>90.5</v>
      </c>
      <c r="O166" s="3">
        <f t="shared" si="11"/>
        <v>11</v>
      </c>
      <c r="P166">
        <f t="shared" si="9"/>
        <v>0</v>
      </c>
      <c r="Q166">
        <f t="shared" si="10"/>
        <v>0</v>
      </c>
      <c r="S166">
        <v>-1.0010869565217391</v>
      </c>
      <c r="T166">
        <v>-0.375</v>
      </c>
      <c r="U166">
        <v>-2.8260869565217392</v>
      </c>
      <c r="V166">
        <v>0</v>
      </c>
      <c r="W166">
        <v>0</v>
      </c>
      <c r="X166">
        <v>2.2000000000000002</v>
      </c>
      <c r="Y166">
        <v>0</v>
      </c>
    </row>
    <row r="167" spans="1:25" x14ac:dyDescent="0.2">
      <c r="A167" t="s">
        <v>21</v>
      </c>
      <c r="B167" t="s">
        <v>53</v>
      </c>
      <c r="C167">
        <v>390</v>
      </c>
      <c r="D167" s="2">
        <v>0</v>
      </c>
      <c r="E167">
        <v>21</v>
      </c>
      <c r="F167">
        <v>4</v>
      </c>
      <c r="G167">
        <v>0</v>
      </c>
      <c r="H167">
        <v>120</v>
      </c>
      <c r="I167">
        <v>1190</v>
      </c>
      <c r="J167">
        <v>11</v>
      </c>
      <c r="K167">
        <v>2</v>
      </c>
      <c r="L167">
        <v>0</v>
      </c>
      <c r="M167">
        <v>39</v>
      </c>
      <c r="N167">
        <v>355</v>
      </c>
      <c r="O167" s="3">
        <f t="shared" si="11"/>
        <v>10</v>
      </c>
      <c r="P167">
        <f t="shared" si="9"/>
        <v>1</v>
      </c>
      <c r="Q167">
        <f t="shared" si="10"/>
        <v>0</v>
      </c>
      <c r="S167">
        <v>-5.4204968944099363</v>
      </c>
      <c r="T167">
        <v>-1</v>
      </c>
      <c r="U167">
        <v>-12.934782608695652</v>
      </c>
      <c r="V167">
        <v>0</v>
      </c>
      <c r="W167">
        <v>0</v>
      </c>
      <c r="X167">
        <v>7.8000000000000016</v>
      </c>
      <c r="Y167">
        <v>0.7142857142857143</v>
      </c>
    </row>
    <row r="168" spans="1:25" x14ac:dyDescent="0.2">
      <c r="A168" t="s">
        <v>21</v>
      </c>
      <c r="B168" t="s">
        <v>54</v>
      </c>
      <c r="C168">
        <v>90</v>
      </c>
      <c r="D168" s="2">
        <v>0</v>
      </c>
      <c r="E168">
        <v>6</v>
      </c>
      <c r="F168">
        <v>1.5</v>
      </c>
      <c r="G168">
        <v>0</v>
      </c>
      <c r="H168">
        <v>45</v>
      </c>
      <c r="I168">
        <v>210</v>
      </c>
      <c r="J168">
        <v>1</v>
      </c>
      <c r="K168">
        <v>0</v>
      </c>
      <c r="L168">
        <v>0</v>
      </c>
      <c r="M168">
        <v>9</v>
      </c>
      <c r="N168">
        <v>82.5</v>
      </c>
      <c r="O168" s="3">
        <f t="shared" si="11"/>
        <v>10</v>
      </c>
      <c r="P168">
        <f t="shared" si="9"/>
        <v>0</v>
      </c>
      <c r="Q168">
        <f t="shared" si="10"/>
        <v>0</v>
      </c>
      <c r="S168">
        <v>-0.85760869565217401</v>
      </c>
      <c r="T168">
        <v>-0.375</v>
      </c>
      <c r="U168">
        <v>-2.2826086956521738</v>
      </c>
      <c r="V168">
        <v>0</v>
      </c>
      <c r="W168">
        <v>0</v>
      </c>
      <c r="X168">
        <v>1.7999999999999998</v>
      </c>
      <c r="Y168">
        <v>0</v>
      </c>
    </row>
    <row r="169" spans="1:25" x14ac:dyDescent="0.2">
      <c r="A169" t="s">
        <v>21</v>
      </c>
      <c r="B169" t="s">
        <v>55</v>
      </c>
      <c r="C169">
        <v>180</v>
      </c>
      <c r="D169" s="2">
        <v>0</v>
      </c>
      <c r="E169">
        <v>12</v>
      </c>
      <c r="F169">
        <v>3.5</v>
      </c>
      <c r="G169">
        <v>0</v>
      </c>
      <c r="H169">
        <v>90</v>
      </c>
      <c r="I169">
        <v>470</v>
      </c>
      <c r="J169">
        <v>0</v>
      </c>
      <c r="K169">
        <v>0</v>
      </c>
      <c r="L169">
        <v>0</v>
      </c>
      <c r="M169">
        <v>17</v>
      </c>
      <c r="N169">
        <v>166.5</v>
      </c>
      <c r="O169" s="3">
        <f t="shared" si="11"/>
        <v>9.4444444444444446</v>
      </c>
      <c r="P169">
        <f t="shared" si="9"/>
        <v>1</v>
      </c>
      <c r="Q169">
        <f t="shared" si="10"/>
        <v>0</v>
      </c>
      <c r="S169">
        <v>-2.5836956521739127</v>
      </c>
      <c r="T169">
        <v>-0.875</v>
      </c>
      <c r="U169">
        <v>-5.1086956521739131</v>
      </c>
      <c r="V169">
        <v>0</v>
      </c>
      <c r="W169">
        <v>0</v>
      </c>
      <c r="X169">
        <v>3.4000000000000004</v>
      </c>
      <c r="Y169">
        <v>0</v>
      </c>
    </row>
    <row r="170" spans="1:25" x14ac:dyDescent="0.2">
      <c r="A170" t="s">
        <v>21</v>
      </c>
      <c r="B170" t="s">
        <v>57</v>
      </c>
      <c r="C170">
        <v>130</v>
      </c>
      <c r="D170" s="2">
        <v>0</v>
      </c>
      <c r="E170">
        <v>8</v>
      </c>
      <c r="F170">
        <v>1.5</v>
      </c>
      <c r="G170">
        <v>0</v>
      </c>
      <c r="H170">
        <v>55</v>
      </c>
      <c r="I170">
        <v>430</v>
      </c>
      <c r="J170">
        <v>4</v>
      </c>
      <c r="K170">
        <v>1</v>
      </c>
      <c r="L170">
        <v>0</v>
      </c>
      <c r="M170">
        <v>12</v>
      </c>
      <c r="N170">
        <v>119.5</v>
      </c>
      <c r="O170" s="3">
        <f t="shared" si="11"/>
        <v>9.2307692307692317</v>
      </c>
      <c r="P170">
        <f t="shared" si="9"/>
        <v>0</v>
      </c>
      <c r="Q170">
        <f t="shared" si="10"/>
        <v>0</v>
      </c>
      <c r="S170">
        <v>-2.2917701863354036</v>
      </c>
      <c r="T170">
        <v>-0.375</v>
      </c>
      <c r="U170">
        <v>-4.6739130434782608</v>
      </c>
      <c r="V170">
        <v>0</v>
      </c>
      <c r="W170">
        <v>0</v>
      </c>
      <c r="X170">
        <v>2.4</v>
      </c>
      <c r="Y170">
        <v>0.35714285714285715</v>
      </c>
    </row>
    <row r="171" spans="1:25" x14ac:dyDescent="0.2">
      <c r="A171" t="s">
        <v>21</v>
      </c>
      <c r="B171" t="s">
        <v>67</v>
      </c>
      <c r="C171">
        <v>350</v>
      </c>
      <c r="D171" s="2">
        <v>0</v>
      </c>
      <c r="E171">
        <v>20</v>
      </c>
      <c r="F171">
        <v>3.5</v>
      </c>
      <c r="G171">
        <v>0</v>
      </c>
      <c r="H171">
        <v>100</v>
      </c>
      <c r="I171">
        <v>1100</v>
      </c>
      <c r="J171">
        <v>11</v>
      </c>
      <c r="K171">
        <v>1</v>
      </c>
      <c r="L171">
        <v>0</v>
      </c>
      <c r="M171">
        <v>30</v>
      </c>
      <c r="N171">
        <v>323.5</v>
      </c>
      <c r="O171" s="3">
        <f t="shared" si="11"/>
        <v>8.5714285714285712</v>
      </c>
      <c r="P171">
        <f t="shared" si="9"/>
        <v>1</v>
      </c>
      <c r="Q171">
        <f t="shared" si="10"/>
        <v>0</v>
      </c>
      <c r="S171">
        <v>-6.4743788819875787</v>
      </c>
      <c r="T171">
        <v>-0.875</v>
      </c>
      <c r="U171">
        <v>-11.956521739130435</v>
      </c>
      <c r="V171">
        <v>0</v>
      </c>
      <c r="W171">
        <v>0</v>
      </c>
      <c r="X171">
        <v>6</v>
      </c>
      <c r="Y171">
        <v>0.35714285714285715</v>
      </c>
    </row>
    <row r="172" spans="1:25" x14ac:dyDescent="0.2">
      <c r="A172" t="s">
        <v>21</v>
      </c>
      <c r="B172" t="s">
        <v>76</v>
      </c>
      <c r="C172">
        <v>90</v>
      </c>
      <c r="D172" s="2">
        <v>0</v>
      </c>
      <c r="E172">
        <v>2</v>
      </c>
      <c r="F172">
        <v>1.5</v>
      </c>
      <c r="G172">
        <v>0</v>
      </c>
      <c r="H172">
        <v>10</v>
      </c>
      <c r="I172">
        <v>105</v>
      </c>
      <c r="J172">
        <v>10</v>
      </c>
      <c r="K172">
        <v>0</v>
      </c>
      <c r="L172">
        <v>10</v>
      </c>
      <c r="M172">
        <v>7</v>
      </c>
      <c r="N172">
        <v>94.5</v>
      </c>
      <c r="O172" s="3">
        <f t="shared" si="11"/>
        <v>7.7777777777777777</v>
      </c>
      <c r="P172">
        <f t="shared" si="9"/>
        <v>0</v>
      </c>
      <c r="Q172">
        <f t="shared" si="10"/>
        <v>0</v>
      </c>
      <c r="S172">
        <v>-4.1163043478260875</v>
      </c>
      <c r="T172">
        <v>-0.375</v>
      </c>
      <c r="U172">
        <v>-1.1413043478260869</v>
      </c>
      <c r="V172">
        <v>-4.0000000000000009</v>
      </c>
      <c r="W172">
        <v>0</v>
      </c>
      <c r="X172">
        <v>1.4000000000000001</v>
      </c>
      <c r="Y172">
        <v>0</v>
      </c>
    </row>
    <row r="173" spans="1:25" x14ac:dyDescent="0.2">
      <c r="A173" t="s">
        <v>21</v>
      </c>
      <c r="B173" t="s">
        <v>77</v>
      </c>
      <c r="C173">
        <v>130</v>
      </c>
      <c r="D173" s="2">
        <v>0</v>
      </c>
      <c r="E173">
        <v>8</v>
      </c>
      <c r="F173">
        <v>2</v>
      </c>
      <c r="G173">
        <v>0</v>
      </c>
      <c r="H173">
        <v>55</v>
      </c>
      <c r="I173">
        <v>380</v>
      </c>
      <c r="J173">
        <v>3</v>
      </c>
      <c r="K173">
        <v>0</v>
      </c>
      <c r="L173">
        <v>0</v>
      </c>
      <c r="M173">
        <v>10</v>
      </c>
      <c r="N173">
        <v>122</v>
      </c>
      <c r="O173" s="3">
        <f t="shared" si="11"/>
        <v>7.6923076923076925</v>
      </c>
      <c r="P173">
        <f t="shared" si="9"/>
        <v>0</v>
      </c>
      <c r="Q173">
        <f t="shared" si="10"/>
        <v>0</v>
      </c>
      <c r="S173">
        <v>-2.6304347826086949</v>
      </c>
      <c r="T173">
        <v>-0.5</v>
      </c>
      <c r="U173">
        <v>-4.1304347826086953</v>
      </c>
      <c r="V173">
        <v>0</v>
      </c>
      <c r="W173">
        <v>0</v>
      </c>
      <c r="X173">
        <v>2.0000000000000004</v>
      </c>
      <c r="Y173">
        <v>0</v>
      </c>
    </row>
    <row r="174" spans="1:25" x14ac:dyDescent="0.2">
      <c r="A174" t="s">
        <v>21</v>
      </c>
      <c r="B174" t="s">
        <v>81</v>
      </c>
      <c r="C174">
        <v>40</v>
      </c>
      <c r="D174" s="2">
        <v>0</v>
      </c>
      <c r="E174">
        <v>2</v>
      </c>
      <c r="F174">
        <v>1</v>
      </c>
      <c r="G174">
        <v>0</v>
      </c>
      <c r="H174">
        <v>5</v>
      </c>
      <c r="I174">
        <v>90</v>
      </c>
      <c r="J174">
        <v>2</v>
      </c>
      <c r="K174">
        <v>1</v>
      </c>
      <c r="L174">
        <v>1</v>
      </c>
      <c r="M174">
        <v>3</v>
      </c>
      <c r="N174">
        <v>39</v>
      </c>
      <c r="O174" s="3">
        <f t="shared" si="11"/>
        <v>7.5</v>
      </c>
      <c r="P174">
        <f t="shared" si="9"/>
        <v>0</v>
      </c>
      <c r="Q174">
        <f t="shared" si="10"/>
        <v>0</v>
      </c>
      <c r="S174">
        <v>-0.67111801242236035</v>
      </c>
      <c r="T174">
        <v>-0.25</v>
      </c>
      <c r="U174">
        <v>-0.97826086956521752</v>
      </c>
      <c r="V174">
        <v>-0.4</v>
      </c>
      <c r="W174">
        <v>0</v>
      </c>
      <c r="X174">
        <v>0.6</v>
      </c>
      <c r="Y174">
        <v>0.35714285714285715</v>
      </c>
    </row>
    <row r="175" spans="1:25" x14ac:dyDescent="0.2">
      <c r="A175" t="s">
        <v>21</v>
      </c>
      <c r="B175" t="s">
        <v>86</v>
      </c>
      <c r="C175">
        <v>230</v>
      </c>
      <c r="D175" s="2">
        <v>0</v>
      </c>
      <c r="E175">
        <v>13</v>
      </c>
      <c r="F175">
        <v>2.5</v>
      </c>
      <c r="G175">
        <v>0</v>
      </c>
      <c r="H175">
        <v>285</v>
      </c>
      <c r="I175">
        <v>750</v>
      </c>
      <c r="J175">
        <v>12</v>
      </c>
      <c r="K175">
        <v>0</v>
      </c>
      <c r="L175">
        <v>0</v>
      </c>
      <c r="M175">
        <v>17</v>
      </c>
      <c r="N175">
        <v>215.5</v>
      </c>
      <c r="O175" s="3">
        <f t="shared" si="11"/>
        <v>7.3913043478260869</v>
      </c>
      <c r="P175">
        <f t="shared" si="9"/>
        <v>1</v>
      </c>
      <c r="Q175">
        <f t="shared" si="10"/>
        <v>0</v>
      </c>
      <c r="S175">
        <v>-5.3771739130434781</v>
      </c>
      <c r="T175">
        <v>-0.625</v>
      </c>
      <c r="U175">
        <v>-8.1521739130434785</v>
      </c>
      <c r="V175">
        <v>0</v>
      </c>
      <c r="W175">
        <v>0</v>
      </c>
      <c r="X175">
        <v>3.4000000000000004</v>
      </c>
      <c r="Y175">
        <v>0</v>
      </c>
    </row>
    <row r="176" spans="1:25" x14ac:dyDescent="0.2">
      <c r="A176" t="s">
        <v>21</v>
      </c>
      <c r="B176" t="s">
        <v>88</v>
      </c>
      <c r="C176">
        <v>260</v>
      </c>
      <c r="D176" s="2">
        <v>0</v>
      </c>
      <c r="E176">
        <v>14</v>
      </c>
      <c r="F176">
        <v>2</v>
      </c>
      <c r="G176">
        <v>0</v>
      </c>
      <c r="H176">
        <v>50</v>
      </c>
      <c r="I176">
        <v>610</v>
      </c>
      <c r="J176">
        <v>15</v>
      </c>
      <c r="K176" s="2">
        <v>0</v>
      </c>
      <c r="L176">
        <v>0</v>
      </c>
      <c r="M176">
        <v>19</v>
      </c>
      <c r="N176">
        <v>243</v>
      </c>
      <c r="O176" s="3">
        <f t="shared" si="11"/>
        <v>7.3076923076923084</v>
      </c>
      <c r="P176">
        <f t="shared" si="9"/>
        <v>1</v>
      </c>
      <c r="Q176">
        <f t="shared" si="10"/>
        <v>0</v>
      </c>
      <c r="S176">
        <v>-3.3304347826086955</v>
      </c>
      <c r="T176">
        <v>-0.5</v>
      </c>
      <c r="U176">
        <v>-6.6304347826086962</v>
      </c>
      <c r="V176">
        <v>0</v>
      </c>
      <c r="W176">
        <v>0</v>
      </c>
      <c r="X176">
        <v>3.8000000000000007</v>
      </c>
      <c r="Y176">
        <v>0</v>
      </c>
    </row>
    <row r="177" spans="1:25" x14ac:dyDescent="0.2">
      <c r="A177" t="s">
        <v>21</v>
      </c>
      <c r="B177" t="s">
        <v>94</v>
      </c>
      <c r="C177">
        <v>130</v>
      </c>
      <c r="D177" s="2">
        <v>0</v>
      </c>
      <c r="E177">
        <v>8</v>
      </c>
      <c r="F177">
        <v>1.5</v>
      </c>
      <c r="G177">
        <v>0</v>
      </c>
      <c r="H177">
        <v>40</v>
      </c>
      <c r="I177">
        <v>420</v>
      </c>
      <c r="J177">
        <v>5</v>
      </c>
      <c r="K177">
        <v>1</v>
      </c>
      <c r="L177">
        <v>0</v>
      </c>
      <c r="M177">
        <v>9</v>
      </c>
      <c r="N177">
        <v>122.5</v>
      </c>
      <c r="O177" s="3">
        <f t="shared" si="11"/>
        <v>6.9230769230769234</v>
      </c>
      <c r="P177">
        <f t="shared" si="9"/>
        <v>0</v>
      </c>
      <c r="Q177">
        <f t="shared" si="10"/>
        <v>0</v>
      </c>
      <c r="S177">
        <v>-2.7830745341614906</v>
      </c>
      <c r="T177">
        <v>-0.375</v>
      </c>
      <c r="U177">
        <v>-4.5652173913043477</v>
      </c>
      <c r="V177">
        <v>0</v>
      </c>
      <c r="W177">
        <v>0</v>
      </c>
      <c r="X177">
        <v>1.7999999999999998</v>
      </c>
      <c r="Y177">
        <v>0.35714285714285715</v>
      </c>
    </row>
    <row r="178" spans="1:25" x14ac:dyDescent="0.2">
      <c r="A178" t="s">
        <v>21</v>
      </c>
      <c r="B178" t="s">
        <v>95</v>
      </c>
      <c r="C178">
        <v>350</v>
      </c>
      <c r="D178" s="2">
        <v>0</v>
      </c>
      <c r="E178">
        <v>3.5</v>
      </c>
      <c r="F178">
        <v>0.5</v>
      </c>
      <c r="G178">
        <v>0</v>
      </c>
      <c r="H178">
        <v>55</v>
      </c>
      <c r="I178">
        <v>1350</v>
      </c>
      <c r="J178">
        <v>55</v>
      </c>
      <c r="K178">
        <v>2</v>
      </c>
      <c r="L178">
        <v>22</v>
      </c>
      <c r="M178">
        <v>24</v>
      </c>
      <c r="N178">
        <v>348.5</v>
      </c>
      <c r="O178" s="3">
        <f t="shared" si="11"/>
        <v>6.8571428571428577</v>
      </c>
      <c r="P178">
        <f t="shared" si="9"/>
        <v>1</v>
      </c>
      <c r="Q178">
        <f t="shared" si="10"/>
        <v>0</v>
      </c>
      <c r="S178">
        <v>-18.084627329192546</v>
      </c>
      <c r="T178">
        <v>-0.125</v>
      </c>
      <c r="U178">
        <v>-14.673913043478262</v>
      </c>
      <c r="V178">
        <v>-8.8000000000000007</v>
      </c>
      <c r="W178">
        <v>0</v>
      </c>
      <c r="X178">
        <v>4.8</v>
      </c>
      <c r="Y178">
        <v>0.7142857142857143</v>
      </c>
    </row>
    <row r="179" spans="1:25" x14ac:dyDescent="0.2">
      <c r="A179" t="s">
        <v>21</v>
      </c>
      <c r="B179" t="s">
        <v>97</v>
      </c>
      <c r="C179">
        <v>280</v>
      </c>
      <c r="D179" s="2">
        <v>0</v>
      </c>
      <c r="E179">
        <v>19</v>
      </c>
      <c r="F179">
        <v>4.5</v>
      </c>
      <c r="G179">
        <v>0</v>
      </c>
      <c r="H179">
        <v>100</v>
      </c>
      <c r="I179">
        <v>910</v>
      </c>
      <c r="J179">
        <v>8</v>
      </c>
      <c r="K179">
        <v>1</v>
      </c>
      <c r="L179">
        <v>0</v>
      </c>
      <c r="M179">
        <v>19</v>
      </c>
      <c r="N179">
        <v>265.5</v>
      </c>
      <c r="O179" s="3">
        <f t="shared" si="11"/>
        <v>6.7857142857142856</v>
      </c>
      <c r="P179">
        <f t="shared" si="9"/>
        <v>1</v>
      </c>
      <c r="Q179">
        <f t="shared" si="10"/>
        <v>0</v>
      </c>
      <c r="S179">
        <v>-6.8591614906832286</v>
      </c>
      <c r="T179">
        <v>-1.125</v>
      </c>
      <c r="U179">
        <v>-9.891304347826086</v>
      </c>
      <c r="V179">
        <v>0</v>
      </c>
      <c r="W179">
        <v>0</v>
      </c>
      <c r="X179">
        <v>3.8000000000000007</v>
      </c>
      <c r="Y179">
        <v>0.35714285714285715</v>
      </c>
    </row>
    <row r="180" spans="1:25" x14ac:dyDescent="0.2">
      <c r="A180" t="s">
        <v>21</v>
      </c>
      <c r="B180" t="s">
        <v>100</v>
      </c>
      <c r="C180">
        <v>330</v>
      </c>
      <c r="D180" s="2">
        <v>0</v>
      </c>
      <c r="E180">
        <v>23</v>
      </c>
      <c r="F180">
        <v>4.5</v>
      </c>
      <c r="G180">
        <v>0</v>
      </c>
      <c r="H180">
        <v>100</v>
      </c>
      <c r="I180">
        <v>700</v>
      </c>
      <c r="J180">
        <v>9</v>
      </c>
      <c r="K180">
        <v>0</v>
      </c>
      <c r="L180">
        <v>0</v>
      </c>
      <c r="M180">
        <v>22</v>
      </c>
      <c r="N180">
        <v>312.5</v>
      </c>
      <c r="O180" s="3">
        <f t="shared" si="11"/>
        <v>6.666666666666667</v>
      </c>
      <c r="P180">
        <f t="shared" si="9"/>
        <v>1</v>
      </c>
      <c r="Q180">
        <f t="shared" si="10"/>
        <v>0</v>
      </c>
      <c r="S180">
        <v>-4.3336956521739136</v>
      </c>
      <c r="T180">
        <v>-1.125</v>
      </c>
      <c r="U180">
        <v>-7.608695652173914</v>
      </c>
      <c r="V180">
        <v>0</v>
      </c>
      <c r="W180">
        <v>0</v>
      </c>
      <c r="X180">
        <v>4.4000000000000004</v>
      </c>
      <c r="Y180">
        <v>0</v>
      </c>
    </row>
    <row r="181" spans="1:25" x14ac:dyDescent="0.2">
      <c r="A181" t="s">
        <v>21</v>
      </c>
      <c r="B181" t="s">
        <v>101</v>
      </c>
      <c r="C181">
        <v>15</v>
      </c>
      <c r="D181" s="2">
        <v>0</v>
      </c>
      <c r="E181">
        <v>0</v>
      </c>
      <c r="F181">
        <v>0</v>
      </c>
      <c r="G181">
        <v>0</v>
      </c>
      <c r="H181">
        <v>0</v>
      </c>
      <c r="I181">
        <v>10</v>
      </c>
      <c r="J181">
        <v>3</v>
      </c>
      <c r="K181">
        <v>2</v>
      </c>
      <c r="L181">
        <v>2</v>
      </c>
      <c r="M181">
        <v>1</v>
      </c>
      <c r="N181">
        <v>16</v>
      </c>
      <c r="O181" s="3">
        <f t="shared" si="11"/>
        <v>6.666666666666667</v>
      </c>
      <c r="P181">
        <f t="shared" si="9"/>
        <v>0</v>
      </c>
      <c r="Q181">
        <f t="shared" si="10"/>
        <v>0</v>
      </c>
      <c r="S181">
        <v>5.5900621118011307E-3</v>
      </c>
      <c r="T181">
        <v>0</v>
      </c>
      <c r="U181">
        <v>-0.10869565217391304</v>
      </c>
      <c r="V181">
        <v>-0.8</v>
      </c>
      <c r="W181">
        <v>0</v>
      </c>
      <c r="X181">
        <v>0.2</v>
      </c>
      <c r="Y181">
        <v>0.7142857142857143</v>
      </c>
    </row>
    <row r="182" spans="1:25" x14ac:dyDescent="0.2">
      <c r="A182" t="s">
        <v>21</v>
      </c>
      <c r="B182" t="s">
        <v>102</v>
      </c>
      <c r="C182">
        <v>300</v>
      </c>
      <c r="D182" s="2">
        <v>0</v>
      </c>
      <c r="E182">
        <v>16</v>
      </c>
      <c r="F182">
        <v>2</v>
      </c>
      <c r="G182">
        <v>0</v>
      </c>
      <c r="H182">
        <v>210</v>
      </c>
      <c r="I182">
        <v>770</v>
      </c>
      <c r="J182">
        <v>18</v>
      </c>
      <c r="K182" s="2">
        <v>0</v>
      </c>
      <c r="L182">
        <v>0</v>
      </c>
      <c r="M182">
        <v>20</v>
      </c>
      <c r="N182">
        <v>282</v>
      </c>
      <c r="O182" s="3">
        <f t="shared" si="11"/>
        <v>6.666666666666667</v>
      </c>
      <c r="P182">
        <f t="shared" si="9"/>
        <v>1</v>
      </c>
      <c r="Q182">
        <f t="shared" si="10"/>
        <v>0</v>
      </c>
      <c r="S182">
        <v>-4.8695652173913038</v>
      </c>
      <c r="T182">
        <v>-0.5</v>
      </c>
      <c r="U182">
        <v>-8.3695652173913047</v>
      </c>
      <c r="V182">
        <v>0</v>
      </c>
      <c r="W182">
        <v>0</v>
      </c>
      <c r="X182">
        <v>4.0000000000000009</v>
      </c>
      <c r="Y182">
        <v>0</v>
      </c>
    </row>
    <row r="183" spans="1:25" x14ac:dyDescent="0.2">
      <c r="A183" t="s">
        <v>21</v>
      </c>
      <c r="B183" t="s">
        <v>103</v>
      </c>
      <c r="C183">
        <v>530</v>
      </c>
      <c r="D183" s="2">
        <v>0</v>
      </c>
      <c r="E183">
        <v>35</v>
      </c>
      <c r="F183">
        <v>6</v>
      </c>
      <c r="G183">
        <v>0</v>
      </c>
      <c r="H183">
        <v>105</v>
      </c>
      <c r="I183">
        <v>1150</v>
      </c>
      <c r="J183">
        <v>18</v>
      </c>
      <c r="K183">
        <v>0</v>
      </c>
      <c r="L183">
        <v>0</v>
      </c>
      <c r="M183">
        <v>35</v>
      </c>
      <c r="N183">
        <v>501</v>
      </c>
      <c r="O183" s="3">
        <f t="shared" si="11"/>
        <v>6.6037735849056602</v>
      </c>
      <c r="P183">
        <f t="shared" si="9"/>
        <v>1</v>
      </c>
      <c r="Q183">
        <f t="shared" si="10"/>
        <v>0</v>
      </c>
      <c r="S183">
        <v>-7.0000000000000009</v>
      </c>
      <c r="T183">
        <v>-1.5</v>
      </c>
      <c r="U183">
        <v>-12.5</v>
      </c>
      <c r="V183">
        <v>0</v>
      </c>
      <c r="W183">
        <v>0</v>
      </c>
      <c r="X183">
        <v>6.9999999999999991</v>
      </c>
      <c r="Y183">
        <v>0</v>
      </c>
    </row>
    <row r="184" spans="1:25" x14ac:dyDescent="0.2">
      <c r="A184" t="s">
        <v>21</v>
      </c>
      <c r="B184" t="s">
        <v>109</v>
      </c>
      <c r="C184">
        <v>80</v>
      </c>
      <c r="D184" s="2">
        <v>0</v>
      </c>
      <c r="E184">
        <v>6</v>
      </c>
      <c r="F184">
        <v>1</v>
      </c>
      <c r="G184">
        <v>0</v>
      </c>
      <c r="H184">
        <v>20</v>
      </c>
      <c r="I184">
        <v>150</v>
      </c>
      <c r="J184">
        <v>3</v>
      </c>
      <c r="K184">
        <v>0</v>
      </c>
      <c r="L184">
        <v>0</v>
      </c>
      <c r="M184">
        <v>5</v>
      </c>
      <c r="N184">
        <v>76</v>
      </c>
      <c r="O184" s="3">
        <f t="shared" si="11"/>
        <v>6.25</v>
      </c>
      <c r="P184">
        <f t="shared" si="9"/>
        <v>0</v>
      </c>
      <c r="Q184">
        <f t="shared" si="10"/>
        <v>0</v>
      </c>
      <c r="S184">
        <v>-0.88043478260869534</v>
      </c>
      <c r="T184">
        <v>-0.25</v>
      </c>
      <c r="U184">
        <v>-1.6304347826086956</v>
      </c>
      <c r="V184">
        <v>0</v>
      </c>
      <c r="W184">
        <v>0</v>
      </c>
      <c r="X184">
        <v>1.0000000000000002</v>
      </c>
      <c r="Y184">
        <v>0</v>
      </c>
    </row>
    <row r="185" spans="1:25" x14ac:dyDescent="0.2">
      <c r="A185" t="s">
        <v>21</v>
      </c>
      <c r="B185" t="s">
        <v>122</v>
      </c>
      <c r="C185">
        <v>170</v>
      </c>
      <c r="D185" s="2">
        <v>0</v>
      </c>
      <c r="E185">
        <v>12</v>
      </c>
      <c r="F185">
        <v>2</v>
      </c>
      <c r="G185">
        <v>0</v>
      </c>
      <c r="H185">
        <v>50</v>
      </c>
      <c r="I185">
        <v>390</v>
      </c>
      <c r="J185">
        <v>5</v>
      </c>
      <c r="K185">
        <v>0</v>
      </c>
      <c r="L185">
        <v>0</v>
      </c>
      <c r="M185">
        <v>10</v>
      </c>
      <c r="N185">
        <v>162</v>
      </c>
      <c r="O185" s="3">
        <f t="shared" si="11"/>
        <v>5.8823529411764701</v>
      </c>
      <c r="P185">
        <f t="shared" si="9"/>
        <v>0</v>
      </c>
      <c r="Q185">
        <f t="shared" si="10"/>
        <v>0</v>
      </c>
      <c r="S185">
        <v>-2.739130434782608</v>
      </c>
      <c r="T185">
        <v>-0.5</v>
      </c>
      <c r="U185">
        <v>-4.2391304347826084</v>
      </c>
      <c r="V185">
        <v>0</v>
      </c>
      <c r="W185">
        <v>0</v>
      </c>
      <c r="X185">
        <v>2.0000000000000004</v>
      </c>
      <c r="Y185">
        <v>0</v>
      </c>
    </row>
    <row r="186" spans="1:25" x14ac:dyDescent="0.2">
      <c r="A186" t="s">
        <v>21</v>
      </c>
      <c r="B186" t="s">
        <v>123</v>
      </c>
      <c r="C186">
        <v>170</v>
      </c>
      <c r="D186" s="2">
        <v>0</v>
      </c>
      <c r="E186">
        <v>13</v>
      </c>
      <c r="F186">
        <v>2</v>
      </c>
      <c r="G186">
        <v>0</v>
      </c>
      <c r="H186">
        <v>45</v>
      </c>
      <c r="I186">
        <v>340</v>
      </c>
      <c r="J186">
        <v>5</v>
      </c>
      <c r="K186">
        <v>0</v>
      </c>
      <c r="L186">
        <v>0</v>
      </c>
      <c r="M186">
        <v>10</v>
      </c>
      <c r="N186">
        <v>162</v>
      </c>
      <c r="O186" s="3">
        <f t="shared" si="11"/>
        <v>5.8823529411764701</v>
      </c>
      <c r="P186">
        <f t="shared" si="9"/>
        <v>0</v>
      </c>
      <c r="Q186">
        <f t="shared" si="10"/>
        <v>0</v>
      </c>
      <c r="S186">
        <v>-2.1956521739130426</v>
      </c>
      <c r="T186">
        <v>-0.5</v>
      </c>
      <c r="U186">
        <v>-3.6956521739130435</v>
      </c>
      <c r="V186">
        <v>0</v>
      </c>
      <c r="W186">
        <v>0</v>
      </c>
      <c r="X186">
        <v>2.0000000000000004</v>
      </c>
      <c r="Y186">
        <v>0</v>
      </c>
    </row>
    <row r="187" spans="1:25" x14ac:dyDescent="0.2">
      <c r="A187" t="s">
        <v>21</v>
      </c>
      <c r="B187" t="s">
        <v>125</v>
      </c>
      <c r="C187">
        <v>120</v>
      </c>
      <c r="D187" s="2">
        <v>0</v>
      </c>
      <c r="E187">
        <v>8</v>
      </c>
      <c r="F187">
        <v>1.5</v>
      </c>
      <c r="G187">
        <v>0</v>
      </c>
      <c r="H187">
        <v>35</v>
      </c>
      <c r="I187">
        <v>350</v>
      </c>
      <c r="J187">
        <v>5</v>
      </c>
      <c r="K187">
        <v>0</v>
      </c>
      <c r="L187">
        <v>0</v>
      </c>
      <c r="M187">
        <v>7</v>
      </c>
      <c r="N187">
        <v>114.5</v>
      </c>
      <c r="O187" s="3">
        <f t="shared" si="11"/>
        <v>5.833333333333333</v>
      </c>
      <c r="P187">
        <f t="shared" si="9"/>
        <v>0</v>
      </c>
      <c r="Q187">
        <f t="shared" si="10"/>
        <v>0</v>
      </c>
      <c r="S187">
        <v>-2.7793478260869566</v>
      </c>
      <c r="T187">
        <v>-0.375</v>
      </c>
      <c r="U187">
        <v>-3.804347826086957</v>
      </c>
      <c r="V187">
        <v>0</v>
      </c>
      <c r="W187">
        <v>0</v>
      </c>
      <c r="X187">
        <v>1.4000000000000001</v>
      </c>
      <c r="Y187">
        <v>0</v>
      </c>
    </row>
    <row r="188" spans="1:25" x14ac:dyDescent="0.2">
      <c r="A188" t="s">
        <v>21</v>
      </c>
      <c r="B188" t="s">
        <v>128</v>
      </c>
      <c r="C188">
        <v>190</v>
      </c>
      <c r="D188" s="2">
        <v>0</v>
      </c>
      <c r="E188">
        <v>1</v>
      </c>
      <c r="F188">
        <v>0</v>
      </c>
      <c r="G188">
        <v>0</v>
      </c>
      <c r="H188">
        <v>0</v>
      </c>
      <c r="I188">
        <v>650</v>
      </c>
      <c r="J188">
        <v>34</v>
      </c>
      <c r="K188">
        <v>7</v>
      </c>
      <c r="L188">
        <v>15</v>
      </c>
      <c r="M188">
        <v>11</v>
      </c>
      <c r="N188">
        <v>194</v>
      </c>
      <c r="O188" s="3">
        <f t="shared" si="11"/>
        <v>5.7894736842105265</v>
      </c>
      <c r="P188">
        <f t="shared" si="9"/>
        <v>1</v>
      </c>
      <c r="Q188">
        <f t="shared" si="10"/>
        <v>0</v>
      </c>
      <c r="S188">
        <v>-8.3652173913043484</v>
      </c>
      <c r="T188">
        <v>0</v>
      </c>
      <c r="U188">
        <v>-7.0652173913043477</v>
      </c>
      <c r="V188">
        <v>-6</v>
      </c>
      <c r="W188">
        <v>0</v>
      </c>
      <c r="X188">
        <v>2.2000000000000002</v>
      </c>
      <c r="Y188">
        <v>2.5</v>
      </c>
    </row>
    <row r="189" spans="1:25" x14ac:dyDescent="0.2">
      <c r="A189" t="s">
        <v>21</v>
      </c>
      <c r="B189" t="s">
        <v>23</v>
      </c>
      <c r="C189">
        <v>540</v>
      </c>
      <c r="D189" s="2">
        <v>0</v>
      </c>
      <c r="E189">
        <v>40</v>
      </c>
      <c r="F189">
        <v>7</v>
      </c>
      <c r="G189">
        <v>0</v>
      </c>
      <c r="H189">
        <v>100</v>
      </c>
      <c r="I189">
        <v>1390</v>
      </c>
      <c r="J189">
        <v>14</v>
      </c>
      <c r="K189">
        <v>2</v>
      </c>
      <c r="L189">
        <v>1</v>
      </c>
      <c r="M189">
        <v>31</v>
      </c>
      <c r="N189">
        <v>517</v>
      </c>
      <c r="O189" s="3">
        <f t="shared" si="11"/>
        <v>5.7407407407407405</v>
      </c>
      <c r="P189">
        <f t="shared" si="9"/>
        <v>1</v>
      </c>
      <c r="Q189">
        <f t="shared" si="10"/>
        <v>0</v>
      </c>
      <c r="S189">
        <v>-10.3444099378882</v>
      </c>
      <c r="T189">
        <v>-1.75</v>
      </c>
      <c r="U189">
        <v>-15.108695652173912</v>
      </c>
      <c r="V189">
        <v>-0.4</v>
      </c>
      <c r="W189">
        <v>0</v>
      </c>
      <c r="X189">
        <v>6.2</v>
      </c>
      <c r="Y189">
        <v>0.7142857142857143</v>
      </c>
    </row>
    <row r="190" spans="1:25" x14ac:dyDescent="0.2">
      <c r="A190" t="s">
        <v>21</v>
      </c>
      <c r="B190" t="s">
        <v>141</v>
      </c>
      <c r="C190">
        <v>830</v>
      </c>
      <c r="D190" s="2">
        <v>0</v>
      </c>
      <c r="E190">
        <v>5</v>
      </c>
      <c r="F190">
        <v>1</v>
      </c>
      <c r="G190">
        <v>0</v>
      </c>
      <c r="H190">
        <v>0</v>
      </c>
      <c r="I190">
        <v>2810</v>
      </c>
      <c r="J190">
        <v>148</v>
      </c>
      <c r="K190">
        <v>31</v>
      </c>
      <c r="L190">
        <v>63</v>
      </c>
      <c r="M190">
        <v>47</v>
      </c>
      <c r="N190">
        <v>847</v>
      </c>
      <c r="O190" s="3">
        <f t="shared" si="11"/>
        <v>5.6626506024096388</v>
      </c>
      <c r="P190">
        <f t="shared" si="9"/>
        <v>1</v>
      </c>
      <c r="Q190">
        <f t="shared" si="10"/>
        <v>0</v>
      </c>
      <c r="S190">
        <v>-35.522049689440991</v>
      </c>
      <c r="T190">
        <v>-0.25</v>
      </c>
      <c r="U190">
        <v>-30.543478260869566</v>
      </c>
      <c r="V190">
        <v>-25.2</v>
      </c>
      <c r="W190">
        <v>0</v>
      </c>
      <c r="X190">
        <v>9.4</v>
      </c>
      <c r="Y190">
        <v>11.071428571428573</v>
      </c>
    </row>
    <row r="191" spans="1:25" x14ac:dyDescent="0.2">
      <c r="A191" t="s">
        <v>21</v>
      </c>
      <c r="B191" t="s">
        <v>138</v>
      </c>
      <c r="C191">
        <v>620</v>
      </c>
      <c r="D191" s="2">
        <v>0</v>
      </c>
      <c r="E191">
        <v>33</v>
      </c>
      <c r="F191">
        <v>4</v>
      </c>
      <c r="G191">
        <v>0</v>
      </c>
      <c r="H191">
        <v>85</v>
      </c>
      <c r="I191">
        <v>2140</v>
      </c>
      <c r="J191">
        <v>49</v>
      </c>
      <c r="K191">
        <v>1</v>
      </c>
      <c r="L191">
        <v>6</v>
      </c>
      <c r="M191">
        <v>34</v>
      </c>
      <c r="N191">
        <v>596</v>
      </c>
      <c r="O191" s="3">
        <f t="shared" si="11"/>
        <v>5.4838709677419359</v>
      </c>
      <c r="P191">
        <f t="shared" si="9"/>
        <v>1</v>
      </c>
      <c r="Q191">
        <f t="shared" si="10"/>
        <v>0</v>
      </c>
      <c r="S191">
        <v>-19.503726708074531</v>
      </c>
      <c r="T191">
        <v>-1</v>
      </c>
      <c r="U191">
        <v>-23.260869565217391</v>
      </c>
      <c r="V191">
        <v>-2.4</v>
      </c>
      <c r="W191">
        <v>0</v>
      </c>
      <c r="X191">
        <v>6.8000000000000007</v>
      </c>
      <c r="Y191">
        <v>0.35714285714285715</v>
      </c>
    </row>
    <row r="192" spans="1:25" x14ac:dyDescent="0.2">
      <c r="A192" t="s">
        <v>21</v>
      </c>
      <c r="B192" t="s">
        <v>183</v>
      </c>
      <c r="C192">
        <v>650</v>
      </c>
      <c r="D192" s="2">
        <v>0</v>
      </c>
      <c r="E192">
        <v>35</v>
      </c>
      <c r="F192">
        <v>4.5</v>
      </c>
      <c r="G192">
        <v>0</v>
      </c>
      <c r="H192">
        <v>90</v>
      </c>
      <c r="I192">
        <v>1260</v>
      </c>
      <c r="J192">
        <v>49</v>
      </c>
      <c r="K192">
        <v>1</v>
      </c>
      <c r="L192">
        <v>6</v>
      </c>
      <c r="M192">
        <v>34</v>
      </c>
      <c r="N192">
        <v>626.5</v>
      </c>
      <c r="O192" s="3">
        <f t="shared" si="11"/>
        <v>5.2307692307692308</v>
      </c>
      <c r="P192">
        <f t="shared" si="9"/>
        <v>1</v>
      </c>
      <c r="Q192">
        <f t="shared" si="10"/>
        <v>0</v>
      </c>
      <c r="S192">
        <v>-10.063509316770183</v>
      </c>
      <c r="T192">
        <v>-1.125</v>
      </c>
      <c r="U192">
        <v>-13.695652173913043</v>
      </c>
      <c r="V192">
        <v>-2.4</v>
      </c>
      <c r="W192">
        <v>0</v>
      </c>
      <c r="X192">
        <v>6.8000000000000007</v>
      </c>
      <c r="Y192">
        <v>0.35714285714285715</v>
      </c>
    </row>
    <row r="193" spans="1:25" x14ac:dyDescent="0.2">
      <c r="A193" t="s">
        <v>21</v>
      </c>
      <c r="B193" t="s">
        <v>191</v>
      </c>
      <c r="C193">
        <v>470</v>
      </c>
      <c r="D193" s="2">
        <v>0</v>
      </c>
      <c r="E193">
        <v>24</v>
      </c>
      <c r="F193">
        <v>3.5</v>
      </c>
      <c r="G193">
        <v>0</v>
      </c>
      <c r="H193">
        <v>60</v>
      </c>
      <c r="I193">
        <v>1170</v>
      </c>
      <c r="J193">
        <v>39</v>
      </c>
      <c r="K193" s="2">
        <v>0</v>
      </c>
      <c r="L193">
        <v>4</v>
      </c>
      <c r="M193">
        <v>24</v>
      </c>
      <c r="N193">
        <v>453.5</v>
      </c>
      <c r="O193" s="3">
        <f t="shared" si="11"/>
        <v>5.1063829787234036</v>
      </c>
      <c r="P193">
        <f t="shared" si="9"/>
        <v>1</v>
      </c>
      <c r="Q193">
        <f t="shared" si="10"/>
        <v>0</v>
      </c>
      <c r="S193">
        <v>-10.392391304347825</v>
      </c>
      <c r="T193">
        <v>-0.875</v>
      </c>
      <c r="U193">
        <v>-12.717391304347824</v>
      </c>
      <c r="V193">
        <v>-1.6</v>
      </c>
      <c r="W193">
        <v>0</v>
      </c>
      <c r="X193">
        <v>4.8</v>
      </c>
      <c r="Y193">
        <v>0</v>
      </c>
    </row>
    <row r="194" spans="1:25" x14ac:dyDescent="0.2">
      <c r="A194" t="s">
        <v>21</v>
      </c>
      <c r="B194" t="s">
        <v>209</v>
      </c>
      <c r="C194">
        <v>100</v>
      </c>
      <c r="D194" s="2">
        <v>0</v>
      </c>
      <c r="E194">
        <v>7</v>
      </c>
      <c r="F194">
        <v>1.5</v>
      </c>
      <c r="G194">
        <v>0</v>
      </c>
      <c r="H194">
        <v>20</v>
      </c>
      <c r="I194">
        <v>310</v>
      </c>
      <c r="J194">
        <v>3</v>
      </c>
      <c r="K194">
        <v>0</v>
      </c>
      <c r="L194">
        <v>0</v>
      </c>
      <c r="M194">
        <v>5</v>
      </c>
      <c r="N194">
        <v>96.5</v>
      </c>
      <c r="O194" s="3">
        <f t="shared" si="11"/>
        <v>5</v>
      </c>
      <c r="P194">
        <f t="shared" ref="P194:P257" si="12">IF(I194&gt;2300*0.2,1,0)</f>
        <v>0</v>
      </c>
      <c r="Q194">
        <f t="shared" ref="Q194:Q257" si="13">IF(H194&gt;300,1,0)</f>
        <v>0</v>
      </c>
      <c r="S194">
        <v>-2.7445652173913038</v>
      </c>
      <c r="T194">
        <v>-0.375</v>
      </c>
      <c r="U194">
        <v>-3.3695652173913042</v>
      </c>
      <c r="V194">
        <v>0</v>
      </c>
      <c r="W194">
        <v>0</v>
      </c>
      <c r="X194">
        <v>1.0000000000000002</v>
      </c>
      <c r="Y194">
        <v>0</v>
      </c>
    </row>
    <row r="195" spans="1:25" x14ac:dyDescent="0.2">
      <c r="A195" t="s">
        <v>21</v>
      </c>
      <c r="B195" t="s">
        <v>210</v>
      </c>
      <c r="C195">
        <v>100</v>
      </c>
      <c r="D195" s="2">
        <v>0</v>
      </c>
      <c r="E195">
        <v>6</v>
      </c>
      <c r="F195">
        <v>1</v>
      </c>
      <c r="G195">
        <v>0</v>
      </c>
      <c r="H195">
        <v>20</v>
      </c>
      <c r="I195">
        <v>210</v>
      </c>
      <c r="J195">
        <v>8</v>
      </c>
      <c r="K195">
        <v>0</v>
      </c>
      <c r="L195">
        <v>4</v>
      </c>
      <c r="M195">
        <v>5</v>
      </c>
      <c r="N195">
        <v>100</v>
      </c>
      <c r="O195" s="3">
        <f t="shared" ref="O195:O226" si="14">M195/C195*100</f>
        <v>5</v>
      </c>
      <c r="P195">
        <f t="shared" si="12"/>
        <v>0</v>
      </c>
      <c r="Q195">
        <f t="shared" si="13"/>
        <v>0</v>
      </c>
      <c r="S195">
        <v>-3.1326086956521735</v>
      </c>
      <c r="T195">
        <v>-0.25</v>
      </c>
      <c r="U195">
        <v>-2.2826086956521738</v>
      </c>
      <c r="V195">
        <v>-1.6</v>
      </c>
      <c r="W195">
        <v>0</v>
      </c>
      <c r="X195">
        <v>1.0000000000000002</v>
      </c>
      <c r="Y195">
        <v>0</v>
      </c>
    </row>
    <row r="196" spans="1:25" x14ac:dyDescent="0.2">
      <c r="A196" t="s">
        <v>21</v>
      </c>
      <c r="B196" t="s">
        <v>211</v>
      </c>
      <c r="C196">
        <v>80</v>
      </c>
      <c r="D196" s="2">
        <v>0</v>
      </c>
      <c r="E196">
        <v>0</v>
      </c>
      <c r="F196">
        <v>0</v>
      </c>
      <c r="G196">
        <v>0</v>
      </c>
      <c r="H196">
        <v>0</v>
      </c>
      <c r="I196">
        <v>930</v>
      </c>
      <c r="J196">
        <v>15</v>
      </c>
      <c r="K196">
        <v>9</v>
      </c>
      <c r="L196">
        <v>3</v>
      </c>
      <c r="M196">
        <v>4</v>
      </c>
      <c r="N196">
        <v>79</v>
      </c>
      <c r="O196" s="3">
        <f t="shared" si="14"/>
        <v>5</v>
      </c>
      <c r="P196">
        <f t="shared" si="12"/>
        <v>1</v>
      </c>
      <c r="Q196">
        <f t="shared" si="13"/>
        <v>0</v>
      </c>
      <c r="S196">
        <v>-7.2944099378881955</v>
      </c>
      <c r="T196">
        <v>0</v>
      </c>
      <c r="U196">
        <v>-10.108695652173912</v>
      </c>
      <c r="V196">
        <v>-1.2</v>
      </c>
      <c r="W196">
        <v>0</v>
      </c>
      <c r="X196">
        <v>0.8</v>
      </c>
      <c r="Y196">
        <v>3.2142857142857149</v>
      </c>
    </row>
    <row r="197" spans="1:25" x14ac:dyDescent="0.2">
      <c r="A197" t="s">
        <v>21</v>
      </c>
      <c r="B197" t="s">
        <v>227</v>
      </c>
      <c r="C197">
        <v>270</v>
      </c>
      <c r="D197" s="2">
        <v>0</v>
      </c>
      <c r="E197">
        <v>20</v>
      </c>
      <c r="F197">
        <v>3.5</v>
      </c>
      <c r="G197">
        <v>0</v>
      </c>
      <c r="H197">
        <v>65</v>
      </c>
      <c r="I197">
        <v>720</v>
      </c>
      <c r="J197">
        <v>10</v>
      </c>
      <c r="K197">
        <v>1</v>
      </c>
      <c r="L197">
        <v>0</v>
      </c>
      <c r="M197">
        <v>13</v>
      </c>
      <c r="N197">
        <v>260.5</v>
      </c>
      <c r="O197" s="3">
        <f t="shared" si="14"/>
        <v>4.8148148148148149</v>
      </c>
      <c r="P197">
        <f t="shared" si="12"/>
        <v>1</v>
      </c>
      <c r="Q197">
        <f t="shared" si="13"/>
        <v>0</v>
      </c>
      <c r="S197">
        <v>-5.7439440993788837</v>
      </c>
      <c r="T197">
        <v>-0.875</v>
      </c>
      <c r="U197">
        <v>-7.8260869565217401</v>
      </c>
      <c r="V197">
        <v>0</v>
      </c>
      <c r="W197">
        <v>0</v>
      </c>
      <c r="X197">
        <v>2.6</v>
      </c>
      <c r="Y197">
        <v>0.35714285714285715</v>
      </c>
    </row>
    <row r="198" spans="1:25" x14ac:dyDescent="0.2">
      <c r="A198" t="s">
        <v>21</v>
      </c>
      <c r="B198" t="s">
        <v>230</v>
      </c>
      <c r="C198">
        <v>500</v>
      </c>
      <c r="D198" s="2">
        <v>0</v>
      </c>
      <c r="E198">
        <v>27</v>
      </c>
      <c r="F198">
        <v>4</v>
      </c>
      <c r="G198">
        <v>0</v>
      </c>
      <c r="H198">
        <v>60</v>
      </c>
      <c r="I198">
        <v>1500</v>
      </c>
      <c r="J198">
        <v>39</v>
      </c>
      <c r="K198" s="2">
        <v>0</v>
      </c>
      <c r="L198">
        <v>4</v>
      </c>
      <c r="M198">
        <v>24</v>
      </c>
      <c r="N198">
        <v>484</v>
      </c>
      <c r="O198" s="3">
        <f t="shared" si="14"/>
        <v>4.8</v>
      </c>
      <c r="P198">
        <f t="shared" si="12"/>
        <v>1</v>
      </c>
      <c r="Q198">
        <f t="shared" si="13"/>
        <v>0</v>
      </c>
      <c r="S198">
        <v>-14.104347826086958</v>
      </c>
      <c r="T198">
        <v>-1</v>
      </c>
      <c r="U198">
        <v>-16.304347826086957</v>
      </c>
      <c r="V198">
        <v>-1.6</v>
      </c>
      <c r="W198">
        <v>0</v>
      </c>
      <c r="X198">
        <v>4.8</v>
      </c>
      <c r="Y198">
        <v>0</v>
      </c>
    </row>
    <row r="199" spans="1:25" x14ac:dyDescent="0.2">
      <c r="A199" t="s">
        <v>21</v>
      </c>
      <c r="B199" t="s">
        <v>30</v>
      </c>
      <c r="C199">
        <v>190</v>
      </c>
      <c r="D199" s="2">
        <v>0</v>
      </c>
      <c r="E199">
        <v>14</v>
      </c>
      <c r="F199">
        <v>2.5</v>
      </c>
      <c r="G199">
        <v>0</v>
      </c>
      <c r="H199">
        <v>40</v>
      </c>
      <c r="I199">
        <v>510</v>
      </c>
      <c r="J199">
        <v>6</v>
      </c>
      <c r="K199">
        <v>1</v>
      </c>
      <c r="L199">
        <v>0</v>
      </c>
      <c r="M199">
        <v>9</v>
      </c>
      <c r="N199">
        <v>183.5</v>
      </c>
      <c r="O199" s="3">
        <f t="shared" si="14"/>
        <v>4.7368421052631584</v>
      </c>
      <c r="P199">
        <f t="shared" si="12"/>
        <v>1</v>
      </c>
      <c r="Q199">
        <f t="shared" si="13"/>
        <v>0</v>
      </c>
      <c r="S199">
        <v>-4.0113354037267088</v>
      </c>
      <c r="T199">
        <v>-0.625</v>
      </c>
      <c r="U199">
        <v>-5.5434782608695654</v>
      </c>
      <c r="V199">
        <v>0</v>
      </c>
      <c r="W199">
        <v>0</v>
      </c>
      <c r="X199">
        <v>1.7999999999999998</v>
      </c>
      <c r="Y199">
        <v>0.35714285714285715</v>
      </c>
    </row>
    <row r="200" spans="1:25" x14ac:dyDescent="0.2">
      <c r="A200" t="s">
        <v>21</v>
      </c>
      <c r="B200" t="s">
        <v>243</v>
      </c>
      <c r="C200">
        <v>510</v>
      </c>
      <c r="D200" s="2">
        <v>0</v>
      </c>
      <c r="E200">
        <v>25</v>
      </c>
      <c r="F200">
        <v>3.5</v>
      </c>
      <c r="G200">
        <v>0</v>
      </c>
      <c r="H200">
        <v>60</v>
      </c>
      <c r="I200">
        <v>1290</v>
      </c>
      <c r="J200">
        <v>48</v>
      </c>
      <c r="K200" s="2">
        <v>0</v>
      </c>
      <c r="L200">
        <v>12</v>
      </c>
      <c r="M200">
        <v>24</v>
      </c>
      <c r="N200">
        <v>501.5</v>
      </c>
      <c r="O200" s="3">
        <f t="shared" si="14"/>
        <v>4.7058823529411766</v>
      </c>
      <c r="P200">
        <f t="shared" si="12"/>
        <v>1</v>
      </c>
      <c r="Q200">
        <f t="shared" si="13"/>
        <v>0</v>
      </c>
      <c r="S200">
        <v>-14.896739130434781</v>
      </c>
      <c r="T200">
        <v>-0.875</v>
      </c>
      <c r="U200">
        <v>-14.021739130434781</v>
      </c>
      <c r="V200">
        <v>-4.8</v>
      </c>
      <c r="W200">
        <v>0</v>
      </c>
      <c r="X200">
        <v>4.8</v>
      </c>
      <c r="Y200">
        <v>0</v>
      </c>
    </row>
    <row r="201" spans="1:25" x14ac:dyDescent="0.2">
      <c r="A201" t="s">
        <v>21</v>
      </c>
      <c r="B201" t="s">
        <v>252</v>
      </c>
      <c r="C201">
        <v>300</v>
      </c>
      <c r="D201" s="2">
        <v>0</v>
      </c>
      <c r="E201">
        <v>15</v>
      </c>
      <c r="F201">
        <v>2.5</v>
      </c>
      <c r="G201">
        <v>0</v>
      </c>
      <c r="H201">
        <v>30</v>
      </c>
      <c r="I201">
        <v>620</v>
      </c>
      <c r="J201">
        <v>27</v>
      </c>
      <c r="K201">
        <v>1</v>
      </c>
      <c r="L201">
        <v>3</v>
      </c>
      <c r="M201">
        <v>14</v>
      </c>
      <c r="N201">
        <v>291.5</v>
      </c>
      <c r="O201" s="3">
        <f t="shared" si="14"/>
        <v>4.666666666666667</v>
      </c>
      <c r="P201">
        <f t="shared" si="12"/>
        <v>1</v>
      </c>
      <c r="Q201">
        <f t="shared" si="13"/>
        <v>0</v>
      </c>
      <c r="S201">
        <v>-5.4069875776397511</v>
      </c>
      <c r="T201">
        <v>-0.625</v>
      </c>
      <c r="U201">
        <v>-6.7391304347826084</v>
      </c>
      <c r="V201">
        <v>-1.2</v>
      </c>
      <c r="W201">
        <v>0</v>
      </c>
      <c r="X201">
        <v>2.8000000000000003</v>
      </c>
      <c r="Y201">
        <v>0.35714285714285715</v>
      </c>
    </row>
    <row r="202" spans="1:25" x14ac:dyDescent="0.2">
      <c r="A202" t="s">
        <v>21</v>
      </c>
      <c r="B202" t="s">
        <v>253</v>
      </c>
      <c r="C202">
        <v>150</v>
      </c>
      <c r="D202" s="2">
        <v>0</v>
      </c>
      <c r="E202">
        <v>2.5</v>
      </c>
      <c r="F202">
        <v>1.5</v>
      </c>
      <c r="G202">
        <v>0</v>
      </c>
      <c r="H202">
        <v>10</v>
      </c>
      <c r="I202">
        <v>170</v>
      </c>
      <c r="J202">
        <v>26</v>
      </c>
      <c r="K202">
        <v>0</v>
      </c>
      <c r="L202">
        <v>23</v>
      </c>
      <c r="M202">
        <v>7</v>
      </c>
      <c r="N202">
        <v>167.5</v>
      </c>
      <c r="O202" s="3">
        <f t="shared" si="14"/>
        <v>4.666666666666667</v>
      </c>
      <c r="P202">
        <f t="shared" si="12"/>
        <v>0</v>
      </c>
      <c r="Q202">
        <f t="shared" si="13"/>
        <v>0</v>
      </c>
      <c r="S202">
        <v>-10.022826086956522</v>
      </c>
      <c r="T202">
        <v>-0.375</v>
      </c>
      <c r="U202">
        <v>-1.8478260869565217</v>
      </c>
      <c r="V202">
        <v>-9.2000000000000011</v>
      </c>
      <c r="W202">
        <v>0</v>
      </c>
      <c r="X202">
        <v>1.4000000000000001</v>
      </c>
      <c r="Y202">
        <v>0</v>
      </c>
    </row>
    <row r="203" spans="1:25" x14ac:dyDescent="0.2">
      <c r="A203" t="s">
        <v>21</v>
      </c>
      <c r="B203" t="s">
        <v>276</v>
      </c>
      <c r="C203">
        <v>770</v>
      </c>
      <c r="D203" s="2">
        <v>0</v>
      </c>
      <c r="E203">
        <v>60</v>
      </c>
      <c r="F203">
        <v>10</v>
      </c>
      <c r="G203">
        <v>0</v>
      </c>
      <c r="H203">
        <v>105</v>
      </c>
      <c r="I203">
        <v>1530</v>
      </c>
      <c r="J203">
        <v>21</v>
      </c>
      <c r="K203">
        <v>1</v>
      </c>
      <c r="L203">
        <v>1</v>
      </c>
      <c r="M203">
        <v>35</v>
      </c>
      <c r="N203">
        <v>746</v>
      </c>
      <c r="O203" s="3">
        <f t="shared" si="14"/>
        <v>4.5454545454545459</v>
      </c>
      <c r="P203">
        <f t="shared" si="12"/>
        <v>1</v>
      </c>
      <c r="Q203">
        <f t="shared" si="13"/>
        <v>0</v>
      </c>
      <c r="S203">
        <v>-12.173291925465836</v>
      </c>
      <c r="T203">
        <v>-2.5</v>
      </c>
      <c r="U203">
        <v>-16.630434782608695</v>
      </c>
      <c r="V203">
        <v>-0.4</v>
      </c>
      <c r="W203">
        <v>0</v>
      </c>
      <c r="X203">
        <v>6.9999999999999991</v>
      </c>
      <c r="Y203">
        <v>0.35714285714285715</v>
      </c>
    </row>
    <row r="204" spans="1:25" x14ac:dyDescent="0.2">
      <c r="A204" t="s">
        <v>21</v>
      </c>
      <c r="B204" t="s">
        <v>88</v>
      </c>
      <c r="C204">
        <v>220</v>
      </c>
      <c r="D204" s="2">
        <v>0</v>
      </c>
      <c r="E204">
        <v>16</v>
      </c>
      <c r="F204">
        <v>2.5</v>
      </c>
      <c r="G204">
        <v>0</v>
      </c>
      <c r="H204">
        <v>25</v>
      </c>
      <c r="I204">
        <v>460</v>
      </c>
      <c r="J204">
        <v>9</v>
      </c>
      <c r="K204" s="2">
        <v>0</v>
      </c>
      <c r="L204">
        <v>0</v>
      </c>
      <c r="M204">
        <v>10</v>
      </c>
      <c r="N204">
        <v>212.5</v>
      </c>
      <c r="O204" s="3">
        <f t="shared" si="14"/>
        <v>4.5454545454545459</v>
      </c>
      <c r="P204">
        <f t="shared" si="12"/>
        <v>0</v>
      </c>
      <c r="Q204">
        <f t="shared" si="13"/>
        <v>0</v>
      </c>
      <c r="S204">
        <v>-3.6249999999999996</v>
      </c>
      <c r="T204">
        <v>-0.625</v>
      </c>
      <c r="U204">
        <v>-5</v>
      </c>
      <c r="V204">
        <v>0</v>
      </c>
      <c r="W204">
        <v>0</v>
      </c>
      <c r="X204">
        <v>2.0000000000000004</v>
      </c>
      <c r="Y204">
        <v>0</v>
      </c>
    </row>
    <row r="205" spans="1:25" x14ac:dyDescent="0.2">
      <c r="A205" t="s">
        <v>21</v>
      </c>
      <c r="B205" t="s">
        <v>282</v>
      </c>
      <c r="C205">
        <v>310</v>
      </c>
      <c r="D205" s="2">
        <v>0</v>
      </c>
      <c r="E205">
        <v>17</v>
      </c>
      <c r="F205">
        <v>2.5</v>
      </c>
      <c r="G205">
        <v>0</v>
      </c>
      <c r="H205">
        <v>30</v>
      </c>
      <c r="I205">
        <v>790</v>
      </c>
      <c r="J205">
        <v>27</v>
      </c>
      <c r="K205">
        <v>1</v>
      </c>
      <c r="L205">
        <v>3</v>
      </c>
      <c r="M205">
        <v>14</v>
      </c>
      <c r="N205">
        <v>301.5</v>
      </c>
      <c r="O205" s="3">
        <f t="shared" si="14"/>
        <v>4.5161290322580641</v>
      </c>
      <c r="P205">
        <f t="shared" si="12"/>
        <v>1</v>
      </c>
      <c r="Q205">
        <f t="shared" si="13"/>
        <v>0</v>
      </c>
      <c r="S205">
        <v>-7.2548136645962726</v>
      </c>
      <c r="T205">
        <v>-0.625</v>
      </c>
      <c r="U205">
        <v>-8.5869565217391308</v>
      </c>
      <c r="V205">
        <v>-1.2</v>
      </c>
      <c r="W205">
        <v>0</v>
      </c>
      <c r="X205">
        <v>2.8000000000000003</v>
      </c>
      <c r="Y205">
        <v>0.35714285714285715</v>
      </c>
    </row>
    <row r="206" spans="1:25" x14ac:dyDescent="0.2">
      <c r="A206" t="s">
        <v>21</v>
      </c>
      <c r="B206" t="s">
        <v>285</v>
      </c>
      <c r="C206">
        <v>290</v>
      </c>
      <c r="D206" s="2">
        <v>0</v>
      </c>
      <c r="E206">
        <v>19</v>
      </c>
      <c r="F206">
        <v>2.5</v>
      </c>
      <c r="G206">
        <v>0</v>
      </c>
      <c r="H206">
        <v>30</v>
      </c>
      <c r="I206">
        <v>870</v>
      </c>
      <c r="J206">
        <v>19</v>
      </c>
      <c r="K206">
        <v>1</v>
      </c>
      <c r="L206">
        <v>0</v>
      </c>
      <c r="M206">
        <v>13</v>
      </c>
      <c r="N206">
        <v>279.5</v>
      </c>
      <c r="O206" s="3">
        <f t="shared" si="14"/>
        <v>4.4827586206896548</v>
      </c>
      <c r="P206">
        <f t="shared" si="12"/>
        <v>1</v>
      </c>
      <c r="Q206">
        <f t="shared" si="13"/>
        <v>0</v>
      </c>
      <c r="S206">
        <v>-7.1243788819875773</v>
      </c>
      <c r="T206">
        <v>-0.625</v>
      </c>
      <c r="U206">
        <v>-9.4565217391304337</v>
      </c>
      <c r="V206">
        <v>0</v>
      </c>
      <c r="W206">
        <v>0</v>
      </c>
      <c r="X206">
        <v>2.6</v>
      </c>
      <c r="Y206">
        <v>0.35714285714285715</v>
      </c>
    </row>
    <row r="207" spans="1:25" x14ac:dyDescent="0.2">
      <c r="A207" t="s">
        <v>21</v>
      </c>
      <c r="B207" t="s">
        <v>54</v>
      </c>
      <c r="C207">
        <v>180</v>
      </c>
      <c r="D207" s="2">
        <v>0</v>
      </c>
      <c r="E207">
        <v>15</v>
      </c>
      <c r="F207">
        <v>2.5</v>
      </c>
      <c r="G207">
        <v>0</v>
      </c>
      <c r="H207">
        <v>35</v>
      </c>
      <c r="I207">
        <v>450</v>
      </c>
      <c r="J207">
        <v>5</v>
      </c>
      <c r="K207">
        <v>1</v>
      </c>
      <c r="L207">
        <v>0</v>
      </c>
      <c r="M207">
        <v>8</v>
      </c>
      <c r="N207">
        <v>174.5</v>
      </c>
      <c r="O207" s="3">
        <f t="shared" si="14"/>
        <v>4.4444444444444446</v>
      </c>
      <c r="P207">
        <f t="shared" si="12"/>
        <v>0</v>
      </c>
      <c r="Q207">
        <f t="shared" si="13"/>
        <v>0</v>
      </c>
      <c r="S207">
        <v>-3.5591614906832296</v>
      </c>
      <c r="T207">
        <v>-0.625</v>
      </c>
      <c r="U207">
        <v>-4.8913043478260869</v>
      </c>
      <c r="V207">
        <v>0</v>
      </c>
      <c r="W207">
        <v>0</v>
      </c>
      <c r="X207">
        <v>1.6</v>
      </c>
      <c r="Y207">
        <v>0.35714285714285715</v>
      </c>
    </row>
    <row r="208" spans="1:25" x14ac:dyDescent="0.2">
      <c r="A208" t="s">
        <v>21</v>
      </c>
      <c r="B208" t="s">
        <v>289</v>
      </c>
      <c r="C208">
        <v>540</v>
      </c>
      <c r="D208" s="2">
        <v>0</v>
      </c>
      <c r="E208">
        <v>32</v>
      </c>
      <c r="F208">
        <v>4.5</v>
      </c>
      <c r="G208">
        <v>0</v>
      </c>
      <c r="H208">
        <v>60</v>
      </c>
      <c r="I208">
        <v>1290</v>
      </c>
      <c r="J208">
        <v>40</v>
      </c>
      <c r="K208" s="2">
        <v>0</v>
      </c>
      <c r="L208">
        <v>5</v>
      </c>
      <c r="M208">
        <v>24</v>
      </c>
      <c r="N208">
        <v>525.5</v>
      </c>
      <c r="O208" s="3">
        <f t="shared" si="14"/>
        <v>4.4444444444444446</v>
      </c>
      <c r="P208">
        <f t="shared" si="12"/>
        <v>1</v>
      </c>
      <c r="Q208">
        <f t="shared" si="13"/>
        <v>0</v>
      </c>
      <c r="S208">
        <v>-12.346739130434781</v>
      </c>
      <c r="T208">
        <v>-1.125</v>
      </c>
      <c r="U208">
        <v>-14.021739130434781</v>
      </c>
      <c r="V208">
        <v>-2.0000000000000004</v>
      </c>
      <c r="W208">
        <v>0</v>
      </c>
      <c r="X208">
        <v>4.8</v>
      </c>
      <c r="Y208">
        <v>0</v>
      </c>
    </row>
    <row r="209" spans="1:25" x14ac:dyDescent="0.2">
      <c r="A209" t="s">
        <v>21</v>
      </c>
      <c r="B209" t="s">
        <v>290</v>
      </c>
      <c r="C209">
        <v>630</v>
      </c>
      <c r="D209" s="2">
        <v>0</v>
      </c>
      <c r="E209">
        <v>34</v>
      </c>
      <c r="F209">
        <v>7</v>
      </c>
      <c r="G209">
        <v>0</v>
      </c>
      <c r="H209">
        <v>70</v>
      </c>
      <c r="I209">
        <v>1260</v>
      </c>
      <c r="J209">
        <v>53</v>
      </c>
      <c r="K209">
        <v>4</v>
      </c>
      <c r="L209">
        <v>3</v>
      </c>
      <c r="M209">
        <v>28</v>
      </c>
      <c r="N209">
        <v>612</v>
      </c>
      <c r="O209" s="3">
        <f t="shared" si="14"/>
        <v>4.4444444444444446</v>
      </c>
      <c r="P209">
        <f t="shared" si="12"/>
        <v>1</v>
      </c>
      <c r="Q209">
        <f t="shared" si="13"/>
        <v>0</v>
      </c>
      <c r="S209">
        <v>-9.6170807453416121</v>
      </c>
      <c r="T209">
        <v>-1.75</v>
      </c>
      <c r="U209">
        <v>-13.695652173913043</v>
      </c>
      <c r="V209">
        <v>-1.2</v>
      </c>
      <c r="W209">
        <v>0</v>
      </c>
      <c r="X209">
        <v>5.6000000000000005</v>
      </c>
      <c r="Y209">
        <v>1.4285714285714286</v>
      </c>
    </row>
    <row r="210" spans="1:25" x14ac:dyDescent="0.2">
      <c r="A210" t="s">
        <v>21</v>
      </c>
      <c r="B210" t="s">
        <v>301</v>
      </c>
      <c r="C210">
        <v>250</v>
      </c>
      <c r="D210" s="2">
        <v>0</v>
      </c>
      <c r="E210">
        <v>21</v>
      </c>
      <c r="F210">
        <v>3.5</v>
      </c>
      <c r="G210">
        <v>0</v>
      </c>
      <c r="H210">
        <v>50</v>
      </c>
      <c r="I210">
        <v>530</v>
      </c>
      <c r="J210">
        <v>6</v>
      </c>
      <c r="K210">
        <v>1</v>
      </c>
      <c r="L210">
        <v>0</v>
      </c>
      <c r="M210">
        <v>11</v>
      </c>
      <c r="N210">
        <v>242.5</v>
      </c>
      <c r="O210" s="3">
        <f t="shared" si="14"/>
        <v>4.3999999999999995</v>
      </c>
      <c r="P210">
        <f t="shared" si="12"/>
        <v>1</v>
      </c>
      <c r="Q210">
        <f t="shared" si="13"/>
        <v>0</v>
      </c>
      <c r="S210">
        <v>-4.0787267080745346</v>
      </c>
      <c r="T210">
        <v>-0.875</v>
      </c>
      <c r="U210">
        <v>-5.7608695652173916</v>
      </c>
      <c r="V210">
        <v>0</v>
      </c>
      <c r="W210">
        <v>0</v>
      </c>
      <c r="X210">
        <v>2.2000000000000002</v>
      </c>
      <c r="Y210">
        <v>0.35714285714285715</v>
      </c>
    </row>
    <row r="211" spans="1:25" x14ac:dyDescent="0.2">
      <c r="A211" t="s">
        <v>21</v>
      </c>
      <c r="B211" t="s">
        <v>302</v>
      </c>
      <c r="C211">
        <v>500</v>
      </c>
      <c r="D211" s="2">
        <v>0</v>
      </c>
      <c r="E211">
        <v>40</v>
      </c>
      <c r="F211">
        <v>7</v>
      </c>
      <c r="G211">
        <v>0</v>
      </c>
      <c r="H211">
        <v>100</v>
      </c>
      <c r="I211">
        <v>970</v>
      </c>
      <c r="J211">
        <v>11</v>
      </c>
      <c r="K211">
        <v>1</v>
      </c>
      <c r="L211">
        <v>1</v>
      </c>
      <c r="M211">
        <v>22</v>
      </c>
      <c r="N211">
        <v>486</v>
      </c>
      <c r="O211" s="3">
        <f t="shared" si="14"/>
        <v>4.3999999999999995</v>
      </c>
      <c r="P211">
        <f t="shared" si="12"/>
        <v>1</v>
      </c>
      <c r="Q211">
        <f t="shared" si="13"/>
        <v>0</v>
      </c>
      <c r="S211">
        <v>-7.9363354037267095</v>
      </c>
      <c r="T211">
        <v>-1.75</v>
      </c>
      <c r="U211">
        <v>-10.543478260869566</v>
      </c>
      <c r="V211">
        <v>-0.4</v>
      </c>
      <c r="W211">
        <v>0</v>
      </c>
      <c r="X211">
        <v>4.4000000000000004</v>
      </c>
      <c r="Y211">
        <v>0.35714285714285715</v>
      </c>
    </row>
    <row r="212" spans="1:25" x14ac:dyDescent="0.2">
      <c r="A212" t="s">
        <v>21</v>
      </c>
      <c r="B212" t="s">
        <v>306</v>
      </c>
      <c r="C212">
        <v>320</v>
      </c>
      <c r="D212" s="2">
        <v>0</v>
      </c>
      <c r="E212">
        <v>15</v>
      </c>
      <c r="F212">
        <v>2.5</v>
      </c>
      <c r="G212">
        <v>0</v>
      </c>
      <c r="H212">
        <v>30</v>
      </c>
      <c r="I212">
        <v>680</v>
      </c>
      <c r="J212">
        <v>31</v>
      </c>
      <c r="K212">
        <v>1</v>
      </c>
      <c r="L212">
        <v>7</v>
      </c>
      <c r="M212">
        <v>14</v>
      </c>
      <c r="N212">
        <v>315.5</v>
      </c>
      <c r="O212" s="3">
        <f t="shared" si="14"/>
        <v>4.375</v>
      </c>
      <c r="P212">
        <f t="shared" si="12"/>
        <v>1</v>
      </c>
      <c r="Q212">
        <f t="shared" si="13"/>
        <v>0</v>
      </c>
      <c r="S212">
        <v>-7.6591614906832293</v>
      </c>
      <c r="T212">
        <v>-0.625</v>
      </c>
      <c r="U212">
        <v>-7.3913043478260869</v>
      </c>
      <c r="V212">
        <v>-2.8000000000000003</v>
      </c>
      <c r="W212">
        <v>0</v>
      </c>
      <c r="X212">
        <v>2.8000000000000003</v>
      </c>
      <c r="Y212">
        <v>0.35714285714285715</v>
      </c>
    </row>
    <row r="213" spans="1:25" x14ac:dyDescent="0.2">
      <c r="A213" t="s">
        <v>21</v>
      </c>
      <c r="B213" t="s">
        <v>313</v>
      </c>
      <c r="C213">
        <v>620</v>
      </c>
      <c r="D213" s="2">
        <v>0</v>
      </c>
      <c r="E213">
        <v>39</v>
      </c>
      <c r="F213">
        <v>5</v>
      </c>
      <c r="G213">
        <v>0</v>
      </c>
      <c r="H213">
        <v>65</v>
      </c>
      <c r="I213">
        <v>1820</v>
      </c>
      <c r="J213">
        <v>39</v>
      </c>
      <c r="K213">
        <v>2</v>
      </c>
      <c r="L213">
        <v>0</v>
      </c>
      <c r="M213">
        <v>27</v>
      </c>
      <c r="N213">
        <v>598</v>
      </c>
      <c r="O213" s="3">
        <f t="shared" si="14"/>
        <v>4.354838709677419</v>
      </c>
      <c r="P213">
        <f t="shared" si="12"/>
        <v>1</v>
      </c>
      <c r="Q213">
        <f t="shared" si="13"/>
        <v>0</v>
      </c>
      <c r="S213">
        <v>-14.918322981366458</v>
      </c>
      <c r="T213">
        <v>-1.25</v>
      </c>
      <c r="U213">
        <v>-19.782608695652172</v>
      </c>
      <c r="V213">
        <v>0</v>
      </c>
      <c r="W213">
        <v>0</v>
      </c>
      <c r="X213">
        <v>5.4</v>
      </c>
      <c r="Y213">
        <v>0.7142857142857143</v>
      </c>
    </row>
    <row r="214" spans="1:25" x14ac:dyDescent="0.2">
      <c r="A214" t="s">
        <v>21</v>
      </c>
      <c r="B214" t="s">
        <v>350</v>
      </c>
      <c r="C214">
        <v>340</v>
      </c>
      <c r="D214" s="2">
        <v>0</v>
      </c>
      <c r="E214">
        <v>19</v>
      </c>
      <c r="F214">
        <v>3</v>
      </c>
      <c r="G214">
        <v>0</v>
      </c>
      <c r="H214">
        <v>30</v>
      </c>
      <c r="I214">
        <v>680</v>
      </c>
      <c r="J214">
        <v>27</v>
      </c>
      <c r="K214">
        <v>1</v>
      </c>
      <c r="L214">
        <v>3</v>
      </c>
      <c r="M214">
        <v>14</v>
      </c>
      <c r="N214">
        <v>332</v>
      </c>
      <c r="O214" s="3">
        <f t="shared" si="14"/>
        <v>4.117647058823529</v>
      </c>
      <c r="P214">
        <f t="shared" si="12"/>
        <v>1</v>
      </c>
      <c r="Q214">
        <f t="shared" si="13"/>
        <v>0</v>
      </c>
      <c r="S214">
        <v>-6.1841614906832278</v>
      </c>
      <c r="T214">
        <v>-0.75</v>
      </c>
      <c r="U214">
        <v>-7.3913043478260869</v>
      </c>
      <c r="V214">
        <v>-1.2</v>
      </c>
      <c r="W214">
        <v>0</v>
      </c>
      <c r="X214">
        <v>2.8000000000000003</v>
      </c>
      <c r="Y214">
        <v>0.35714285714285715</v>
      </c>
    </row>
    <row r="215" spans="1:25" x14ac:dyDescent="0.2">
      <c r="A215" t="s">
        <v>21</v>
      </c>
      <c r="B215" t="s">
        <v>361</v>
      </c>
      <c r="C215">
        <v>270</v>
      </c>
      <c r="D215" s="2">
        <v>0</v>
      </c>
      <c r="E215">
        <v>14</v>
      </c>
      <c r="F215">
        <v>3.5</v>
      </c>
      <c r="G215">
        <v>0</v>
      </c>
      <c r="H215">
        <v>20</v>
      </c>
      <c r="I215">
        <v>850</v>
      </c>
      <c r="J215">
        <v>27</v>
      </c>
      <c r="K215">
        <v>2</v>
      </c>
      <c r="L215">
        <v>1</v>
      </c>
      <c r="M215">
        <v>11</v>
      </c>
      <c r="N215">
        <v>263.5</v>
      </c>
      <c r="O215" s="3">
        <f t="shared" si="14"/>
        <v>4.0740740740740744</v>
      </c>
      <c r="P215">
        <f t="shared" si="12"/>
        <v>1</v>
      </c>
      <c r="Q215">
        <f t="shared" si="13"/>
        <v>0</v>
      </c>
      <c r="S215">
        <v>-7.5998447204968942</v>
      </c>
      <c r="T215">
        <v>-0.875</v>
      </c>
      <c r="U215">
        <v>-9.2391304347826075</v>
      </c>
      <c r="V215">
        <v>-0.4</v>
      </c>
      <c r="W215">
        <v>0</v>
      </c>
      <c r="X215">
        <v>2.2000000000000002</v>
      </c>
      <c r="Y215">
        <v>0.7142857142857143</v>
      </c>
    </row>
    <row r="216" spans="1:25" x14ac:dyDescent="0.2">
      <c r="A216" t="s">
        <v>21</v>
      </c>
      <c r="B216" t="s">
        <v>374</v>
      </c>
      <c r="C216">
        <v>25</v>
      </c>
      <c r="D216" s="2">
        <v>0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5</v>
      </c>
      <c r="K216">
        <v>3</v>
      </c>
      <c r="L216">
        <v>1</v>
      </c>
      <c r="M216">
        <v>1</v>
      </c>
      <c r="N216">
        <v>25</v>
      </c>
      <c r="O216" s="3">
        <f t="shared" si="14"/>
        <v>4</v>
      </c>
      <c r="P216">
        <f t="shared" si="12"/>
        <v>0</v>
      </c>
      <c r="Q216">
        <f t="shared" si="13"/>
        <v>0</v>
      </c>
      <c r="S216">
        <v>-2.3894409937888197</v>
      </c>
      <c r="T216">
        <v>0</v>
      </c>
      <c r="U216">
        <v>-3.2608695652173911</v>
      </c>
      <c r="V216">
        <v>-0.4</v>
      </c>
      <c r="W216">
        <v>0</v>
      </c>
      <c r="X216">
        <v>0.2</v>
      </c>
      <c r="Y216">
        <v>1.0714285714285714</v>
      </c>
    </row>
    <row r="217" spans="1:25" x14ac:dyDescent="0.2">
      <c r="A217" t="s">
        <v>21</v>
      </c>
      <c r="B217" t="s">
        <v>400</v>
      </c>
      <c r="C217">
        <v>130</v>
      </c>
      <c r="D217" s="2">
        <v>0</v>
      </c>
      <c r="E217">
        <v>11</v>
      </c>
      <c r="F217">
        <v>2</v>
      </c>
      <c r="G217">
        <v>0</v>
      </c>
      <c r="H217">
        <v>20</v>
      </c>
      <c r="I217">
        <v>230</v>
      </c>
      <c r="J217">
        <v>4</v>
      </c>
      <c r="K217">
        <v>0</v>
      </c>
      <c r="L217">
        <v>0</v>
      </c>
      <c r="M217">
        <v>5</v>
      </c>
      <c r="N217">
        <v>127</v>
      </c>
      <c r="O217" s="3">
        <f t="shared" si="14"/>
        <v>3.8461538461538463</v>
      </c>
      <c r="P217">
        <f t="shared" si="12"/>
        <v>0</v>
      </c>
      <c r="Q217">
        <f t="shared" si="13"/>
        <v>0</v>
      </c>
      <c r="S217">
        <v>-1.9999999999999998</v>
      </c>
      <c r="T217">
        <v>-0.5</v>
      </c>
      <c r="U217">
        <v>-2.5</v>
      </c>
      <c r="V217">
        <v>0</v>
      </c>
      <c r="W217">
        <v>0</v>
      </c>
      <c r="X217">
        <v>1.0000000000000002</v>
      </c>
      <c r="Y217">
        <v>0</v>
      </c>
    </row>
    <row r="218" spans="1:25" x14ac:dyDescent="0.2">
      <c r="A218" t="s">
        <v>21</v>
      </c>
      <c r="B218" t="s">
        <v>427</v>
      </c>
      <c r="C218">
        <v>720</v>
      </c>
      <c r="D218" s="2">
        <v>0</v>
      </c>
      <c r="E218">
        <v>41</v>
      </c>
      <c r="F218">
        <v>25</v>
      </c>
      <c r="G218">
        <v>0</v>
      </c>
      <c r="H218">
        <v>80</v>
      </c>
      <c r="I218">
        <v>1750</v>
      </c>
      <c r="J218">
        <v>60</v>
      </c>
      <c r="K218">
        <v>7</v>
      </c>
      <c r="L218">
        <v>5</v>
      </c>
      <c r="M218">
        <v>26</v>
      </c>
      <c r="N218">
        <v>724</v>
      </c>
      <c r="O218" s="3">
        <f t="shared" si="14"/>
        <v>3.6111111111111107</v>
      </c>
      <c r="P218">
        <f t="shared" si="12"/>
        <v>1</v>
      </c>
      <c r="Q218">
        <f t="shared" si="13"/>
        <v>0</v>
      </c>
      <c r="S218">
        <v>-19.571739130434786</v>
      </c>
      <c r="T218">
        <v>-6.25</v>
      </c>
      <c r="U218">
        <v>-19.021739130434785</v>
      </c>
      <c r="V218">
        <v>-2.0000000000000004</v>
      </c>
      <c r="W218">
        <v>0</v>
      </c>
      <c r="X218">
        <v>5.2</v>
      </c>
      <c r="Y218">
        <v>2.5</v>
      </c>
    </row>
    <row r="219" spans="1:25" x14ac:dyDescent="0.2">
      <c r="A219" t="s">
        <v>21</v>
      </c>
      <c r="B219" t="s">
        <v>428</v>
      </c>
      <c r="C219">
        <v>360</v>
      </c>
      <c r="D219" s="2">
        <v>0</v>
      </c>
      <c r="E219">
        <v>24</v>
      </c>
      <c r="F219">
        <v>7</v>
      </c>
      <c r="G219">
        <v>1</v>
      </c>
      <c r="H219">
        <v>35</v>
      </c>
      <c r="I219">
        <v>750</v>
      </c>
      <c r="J219">
        <v>22</v>
      </c>
      <c r="K219">
        <v>2</v>
      </c>
      <c r="L219">
        <v>0</v>
      </c>
      <c r="M219">
        <v>13</v>
      </c>
      <c r="N219">
        <v>354</v>
      </c>
      <c r="O219" s="3">
        <f t="shared" si="14"/>
        <v>3.6111111111111107</v>
      </c>
      <c r="P219">
        <f t="shared" si="12"/>
        <v>1</v>
      </c>
      <c r="Q219">
        <f t="shared" si="13"/>
        <v>0</v>
      </c>
      <c r="S219">
        <v>-6.5888881987577639</v>
      </c>
      <c r="T219">
        <v>-1.75</v>
      </c>
      <c r="U219">
        <v>-8.1521739130434785</v>
      </c>
      <c r="V219">
        <v>0</v>
      </c>
      <c r="W219">
        <v>-1E-3</v>
      </c>
      <c r="X219">
        <v>2.6</v>
      </c>
      <c r="Y219">
        <v>0.7142857142857143</v>
      </c>
    </row>
    <row r="220" spans="1:25" x14ac:dyDescent="0.2">
      <c r="A220" t="s">
        <v>21</v>
      </c>
      <c r="B220" t="s">
        <v>434</v>
      </c>
      <c r="C220">
        <v>140</v>
      </c>
      <c r="D220" s="2">
        <v>0</v>
      </c>
      <c r="E220">
        <v>6</v>
      </c>
      <c r="F220">
        <v>1.5</v>
      </c>
      <c r="G220">
        <v>0</v>
      </c>
      <c r="H220">
        <v>0</v>
      </c>
      <c r="I220">
        <v>590</v>
      </c>
      <c r="J220">
        <v>17</v>
      </c>
      <c r="K220">
        <v>1</v>
      </c>
      <c r="L220">
        <v>2</v>
      </c>
      <c r="M220">
        <v>5</v>
      </c>
      <c r="N220">
        <v>138.5</v>
      </c>
      <c r="O220" s="3">
        <f t="shared" si="14"/>
        <v>3.5714285714285712</v>
      </c>
      <c r="P220">
        <f t="shared" si="12"/>
        <v>1</v>
      </c>
      <c r="Q220">
        <f t="shared" si="13"/>
        <v>0</v>
      </c>
      <c r="S220">
        <v>-6.2309006211180131</v>
      </c>
      <c r="T220">
        <v>-0.375</v>
      </c>
      <c r="U220">
        <v>-6.4130434782608701</v>
      </c>
      <c r="V220">
        <v>-0.8</v>
      </c>
      <c r="W220">
        <v>0</v>
      </c>
      <c r="X220">
        <v>1.0000000000000002</v>
      </c>
      <c r="Y220">
        <v>0.35714285714285715</v>
      </c>
    </row>
    <row r="221" spans="1:25" x14ac:dyDescent="0.2">
      <c r="A221" t="s">
        <v>21</v>
      </c>
      <c r="B221" t="s">
        <v>435</v>
      </c>
      <c r="C221">
        <v>280</v>
      </c>
      <c r="D221" s="2">
        <v>0</v>
      </c>
      <c r="E221">
        <v>2.5</v>
      </c>
      <c r="F221">
        <v>0</v>
      </c>
      <c r="G221">
        <v>0</v>
      </c>
      <c r="H221">
        <v>0</v>
      </c>
      <c r="I221">
        <v>10</v>
      </c>
      <c r="J221">
        <v>67</v>
      </c>
      <c r="K221">
        <v>7</v>
      </c>
      <c r="L221">
        <v>8</v>
      </c>
      <c r="M221">
        <v>10</v>
      </c>
      <c r="N221">
        <v>278</v>
      </c>
      <c r="O221" s="3">
        <f t="shared" si="14"/>
        <v>3.5714285714285712</v>
      </c>
      <c r="P221">
        <f t="shared" si="12"/>
        <v>0</v>
      </c>
      <c r="Q221">
        <f t="shared" si="13"/>
        <v>0</v>
      </c>
      <c r="S221">
        <v>1.1913043478260872</v>
      </c>
      <c r="T221">
        <v>0</v>
      </c>
      <c r="U221">
        <v>-0.10869565217391304</v>
      </c>
      <c r="V221">
        <v>-3.2</v>
      </c>
      <c r="W221">
        <v>0</v>
      </c>
      <c r="X221">
        <v>2.0000000000000004</v>
      </c>
      <c r="Y221">
        <v>2.5</v>
      </c>
    </row>
    <row r="222" spans="1:25" x14ac:dyDescent="0.2">
      <c r="A222" t="s">
        <v>21</v>
      </c>
      <c r="B222" t="s">
        <v>440</v>
      </c>
      <c r="C222">
        <v>740</v>
      </c>
      <c r="D222" s="2">
        <v>0</v>
      </c>
      <c r="E222">
        <v>35</v>
      </c>
      <c r="F222">
        <v>6</v>
      </c>
      <c r="G222">
        <v>0</v>
      </c>
      <c r="H222">
        <v>45</v>
      </c>
      <c r="I222">
        <v>2350</v>
      </c>
      <c r="J222">
        <v>81</v>
      </c>
      <c r="K222">
        <v>6</v>
      </c>
      <c r="L222">
        <v>2</v>
      </c>
      <c r="M222">
        <v>26</v>
      </c>
      <c r="N222">
        <v>722</v>
      </c>
      <c r="O222" s="3">
        <f t="shared" si="14"/>
        <v>3.5135135135135136</v>
      </c>
      <c r="P222">
        <f t="shared" si="12"/>
        <v>1</v>
      </c>
      <c r="Q222">
        <f t="shared" si="13"/>
        <v>0</v>
      </c>
      <c r="S222">
        <v>-20.500621118012425</v>
      </c>
      <c r="T222">
        <v>-1.5</v>
      </c>
      <c r="U222">
        <v>-25.543478260869566</v>
      </c>
      <c r="V222">
        <v>-0.8</v>
      </c>
      <c r="W222">
        <v>0</v>
      </c>
      <c r="X222">
        <v>5.2</v>
      </c>
      <c r="Y222">
        <v>2.1428571428571428</v>
      </c>
    </row>
    <row r="223" spans="1:25" x14ac:dyDescent="0.2">
      <c r="A223" t="s">
        <v>21</v>
      </c>
      <c r="B223" t="s">
        <v>442</v>
      </c>
      <c r="C223">
        <v>290</v>
      </c>
      <c r="D223" s="2">
        <v>0</v>
      </c>
      <c r="E223">
        <v>25</v>
      </c>
      <c r="F223">
        <v>4</v>
      </c>
      <c r="G223">
        <v>0</v>
      </c>
      <c r="H223">
        <v>45</v>
      </c>
      <c r="I223">
        <v>520</v>
      </c>
      <c r="J223">
        <v>6</v>
      </c>
      <c r="K223">
        <v>1</v>
      </c>
      <c r="L223">
        <v>1</v>
      </c>
      <c r="M223">
        <v>10</v>
      </c>
      <c r="N223">
        <v>285</v>
      </c>
      <c r="O223" s="3">
        <f t="shared" si="14"/>
        <v>3.4482758620689653</v>
      </c>
      <c r="P223">
        <f t="shared" si="12"/>
        <v>1</v>
      </c>
      <c r="Q223">
        <f t="shared" si="13"/>
        <v>0</v>
      </c>
      <c r="S223">
        <v>-4.6950310559006221</v>
      </c>
      <c r="T223">
        <v>-1</v>
      </c>
      <c r="U223">
        <v>-5.6521739130434785</v>
      </c>
      <c r="V223">
        <v>-0.4</v>
      </c>
      <c r="W223">
        <v>0</v>
      </c>
      <c r="X223">
        <v>2.0000000000000004</v>
      </c>
      <c r="Y223">
        <v>0.35714285714285715</v>
      </c>
    </row>
    <row r="224" spans="1:25" x14ac:dyDescent="0.2">
      <c r="A224" t="s">
        <v>21</v>
      </c>
      <c r="B224" t="s">
        <v>55</v>
      </c>
      <c r="C224">
        <v>390</v>
      </c>
      <c r="D224" s="2">
        <v>0</v>
      </c>
      <c r="E224">
        <v>32</v>
      </c>
      <c r="F224">
        <v>6</v>
      </c>
      <c r="G224">
        <v>0</v>
      </c>
      <c r="H224">
        <v>65</v>
      </c>
      <c r="I224">
        <v>900</v>
      </c>
      <c r="J224">
        <v>12</v>
      </c>
      <c r="K224">
        <v>2</v>
      </c>
      <c r="L224">
        <v>1</v>
      </c>
      <c r="M224">
        <v>13</v>
      </c>
      <c r="N224">
        <v>384</v>
      </c>
      <c r="O224" s="3">
        <f t="shared" si="14"/>
        <v>3.3333333333333335</v>
      </c>
      <c r="P224">
        <f t="shared" si="12"/>
        <v>1</v>
      </c>
      <c r="Q224">
        <f t="shared" si="13"/>
        <v>0</v>
      </c>
      <c r="S224">
        <v>-8.368322981366461</v>
      </c>
      <c r="T224">
        <v>-1.5</v>
      </c>
      <c r="U224">
        <v>-9.7826086956521738</v>
      </c>
      <c r="V224">
        <v>-0.4</v>
      </c>
      <c r="W224">
        <v>0</v>
      </c>
      <c r="X224">
        <v>2.6</v>
      </c>
      <c r="Y224">
        <v>0.7142857142857143</v>
      </c>
    </row>
    <row r="225" spans="1:25" x14ac:dyDescent="0.2">
      <c r="A225" t="s">
        <v>21</v>
      </c>
      <c r="B225" t="s">
        <v>455</v>
      </c>
      <c r="C225">
        <v>540</v>
      </c>
      <c r="D225" s="2">
        <v>0</v>
      </c>
      <c r="E225">
        <v>23</v>
      </c>
      <c r="F225">
        <v>6</v>
      </c>
      <c r="G225">
        <v>0</v>
      </c>
      <c r="H225">
        <v>10</v>
      </c>
      <c r="I225">
        <v>2220</v>
      </c>
      <c r="J225">
        <v>66</v>
      </c>
      <c r="K225">
        <v>5</v>
      </c>
      <c r="L225">
        <v>8</v>
      </c>
      <c r="M225">
        <v>18</v>
      </c>
      <c r="N225">
        <v>536</v>
      </c>
      <c r="O225" s="3">
        <f t="shared" si="14"/>
        <v>3.3333333333333335</v>
      </c>
      <c r="P225">
        <f t="shared" si="12"/>
        <v>1</v>
      </c>
      <c r="Q225">
        <f t="shared" si="13"/>
        <v>0</v>
      </c>
      <c r="S225">
        <v>-23.444720496894412</v>
      </c>
      <c r="T225">
        <v>-1.5</v>
      </c>
      <c r="U225">
        <v>-24.130434782608695</v>
      </c>
      <c r="V225">
        <v>-3.2</v>
      </c>
      <c r="W225">
        <v>0</v>
      </c>
      <c r="X225">
        <v>3.5999999999999996</v>
      </c>
      <c r="Y225">
        <v>1.785714285714286</v>
      </c>
    </row>
    <row r="226" spans="1:25" x14ac:dyDescent="0.2">
      <c r="A226" t="s">
        <v>21</v>
      </c>
      <c r="B226" t="s">
        <v>456</v>
      </c>
      <c r="C226">
        <v>60</v>
      </c>
      <c r="D226" s="2">
        <v>0</v>
      </c>
      <c r="E226">
        <v>3</v>
      </c>
      <c r="F226">
        <v>0</v>
      </c>
      <c r="G226">
        <v>0</v>
      </c>
      <c r="H226">
        <v>0</v>
      </c>
      <c r="I226">
        <v>135</v>
      </c>
      <c r="J226">
        <v>8</v>
      </c>
      <c r="K226" s="2">
        <v>0</v>
      </c>
      <c r="L226">
        <v>0</v>
      </c>
      <c r="M226">
        <v>2</v>
      </c>
      <c r="N226">
        <v>58</v>
      </c>
      <c r="O226" s="3">
        <f t="shared" si="14"/>
        <v>3.3333333333333335</v>
      </c>
      <c r="P226">
        <f t="shared" si="12"/>
        <v>0</v>
      </c>
      <c r="Q226">
        <f t="shared" si="13"/>
        <v>0</v>
      </c>
      <c r="S226">
        <v>-1.0673913043478263</v>
      </c>
      <c r="T226">
        <v>0</v>
      </c>
      <c r="U226">
        <v>-1.4673913043478262</v>
      </c>
      <c r="V226">
        <v>0</v>
      </c>
      <c r="W226">
        <v>0</v>
      </c>
      <c r="X226">
        <v>0.4</v>
      </c>
      <c r="Y226">
        <v>0</v>
      </c>
    </row>
    <row r="227" spans="1:25" x14ac:dyDescent="0.2">
      <c r="A227" t="s">
        <v>21</v>
      </c>
      <c r="B227" t="s">
        <v>457</v>
      </c>
      <c r="C227">
        <v>390</v>
      </c>
      <c r="D227" s="2">
        <v>0</v>
      </c>
      <c r="E227">
        <v>26</v>
      </c>
      <c r="F227">
        <v>7</v>
      </c>
      <c r="G227">
        <v>1</v>
      </c>
      <c r="H227">
        <v>35</v>
      </c>
      <c r="I227">
        <v>910</v>
      </c>
      <c r="J227">
        <v>26</v>
      </c>
      <c r="K227">
        <v>2</v>
      </c>
      <c r="L227">
        <v>0</v>
      </c>
      <c r="M227">
        <v>13</v>
      </c>
      <c r="N227">
        <v>384</v>
      </c>
      <c r="O227" s="3">
        <f t="shared" ref="O227:O258" si="15">M227/C227*100</f>
        <v>3.3333333333333335</v>
      </c>
      <c r="P227">
        <f t="shared" si="12"/>
        <v>1</v>
      </c>
      <c r="Q227">
        <f t="shared" si="13"/>
        <v>0</v>
      </c>
      <c r="S227">
        <v>-8.3280186335403723</v>
      </c>
      <c r="T227">
        <v>-1.75</v>
      </c>
      <c r="U227">
        <v>-9.891304347826086</v>
      </c>
      <c r="V227">
        <v>0</v>
      </c>
      <c r="W227">
        <v>-1E-3</v>
      </c>
      <c r="X227">
        <v>2.6</v>
      </c>
      <c r="Y227">
        <v>0.7142857142857143</v>
      </c>
    </row>
    <row r="228" spans="1:25" x14ac:dyDescent="0.2">
      <c r="A228" t="s">
        <v>21</v>
      </c>
      <c r="B228" t="s">
        <v>463</v>
      </c>
      <c r="C228">
        <v>280</v>
      </c>
      <c r="D228" s="2">
        <v>0</v>
      </c>
      <c r="E228">
        <v>2</v>
      </c>
      <c r="F228">
        <v>0</v>
      </c>
      <c r="G228">
        <v>0</v>
      </c>
      <c r="H228">
        <v>0</v>
      </c>
      <c r="I228">
        <v>15</v>
      </c>
      <c r="J228">
        <v>67</v>
      </c>
      <c r="K228">
        <v>8</v>
      </c>
      <c r="L228">
        <v>11</v>
      </c>
      <c r="M228">
        <v>9</v>
      </c>
      <c r="N228">
        <v>282</v>
      </c>
      <c r="O228" s="3">
        <f t="shared" si="15"/>
        <v>3.214285714285714</v>
      </c>
      <c r="P228">
        <f t="shared" si="12"/>
        <v>0</v>
      </c>
      <c r="Q228">
        <f t="shared" si="13"/>
        <v>0</v>
      </c>
      <c r="S228">
        <v>9.4099378881987494E-2</v>
      </c>
      <c r="T228">
        <v>0</v>
      </c>
      <c r="U228">
        <v>-0.16304347826086957</v>
      </c>
      <c r="V228">
        <v>-4.4000000000000004</v>
      </c>
      <c r="W228">
        <v>0</v>
      </c>
      <c r="X228">
        <v>1.7999999999999998</v>
      </c>
      <c r="Y228">
        <v>2.8571428571428572</v>
      </c>
    </row>
    <row r="229" spans="1:25" x14ac:dyDescent="0.2">
      <c r="A229" t="s">
        <v>21</v>
      </c>
      <c r="B229" t="s">
        <v>513</v>
      </c>
      <c r="C229">
        <v>70</v>
      </c>
      <c r="D229" s="2">
        <v>0</v>
      </c>
      <c r="E229">
        <v>0.5</v>
      </c>
      <c r="F229">
        <v>0</v>
      </c>
      <c r="G229">
        <v>0</v>
      </c>
      <c r="H229">
        <v>0</v>
      </c>
      <c r="I229">
        <v>0</v>
      </c>
      <c r="J229">
        <v>17</v>
      </c>
      <c r="K229">
        <v>2</v>
      </c>
      <c r="L229">
        <v>3</v>
      </c>
      <c r="M229">
        <v>2</v>
      </c>
      <c r="N229">
        <v>71</v>
      </c>
      <c r="O229" s="3">
        <f t="shared" si="15"/>
        <v>2.8571428571428572</v>
      </c>
      <c r="P229">
        <f t="shared" si="12"/>
        <v>0</v>
      </c>
      <c r="Q229">
        <f t="shared" si="13"/>
        <v>0</v>
      </c>
      <c r="S229">
        <v>-8.5714285714285632E-2</v>
      </c>
      <c r="T229">
        <v>0</v>
      </c>
      <c r="U229">
        <v>0</v>
      </c>
      <c r="V229">
        <v>-1.2</v>
      </c>
      <c r="W229">
        <v>0</v>
      </c>
      <c r="X229">
        <v>0.4</v>
      </c>
      <c r="Y229">
        <v>0.7142857142857143</v>
      </c>
    </row>
    <row r="230" spans="1:25" x14ac:dyDescent="0.2">
      <c r="A230" t="s">
        <v>21</v>
      </c>
      <c r="B230" t="s">
        <v>514</v>
      </c>
      <c r="C230">
        <v>70</v>
      </c>
      <c r="D230" s="2">
        <v>0</v>
      </c>
      <c r="E230">
        <v>0.5</v>
      </c>
      <c r="F230">
        <v>0</v>
      </c>
      <c r="G230">
        <v>0</v>
      </c>
      <c r="H230">
        <v>0</v>
      </c>
      <c r="I230">
        <v>0</v>
      </c>
      <c r="J230">
        <v>16</v>
      </c>
      <c r="K230">
        <v>2</v>
      </c>
      <c r="L230">
        <v>2</v>
      </c>
      <c r="M230">
        <v>2</v>
      </c>
      <c r="N230">
        <v>70</v>
      </c>
      <c r="O230" s="3">
        <f t="shared" si="15"/>
        <v>2.8571428571428572</v>
      </c>
      <c r="P230">
        <f t="shared" si="12"/>
        <v>0</v>
      </c>
      <c r="Q230">
        <f t="shared" si="13"/>
        <v>0</v>
      </c>
      <c r="S230">
        <v>0.31428571428571428</v>
      </c>
      <c r="T230">
        <v>0</v>
      </c>
      <c r="U230">
        <v>0</v>
      </c>
      <c r="V230">
        <v>-0.8</v>
      </c>
      <c r="W230">
        <v>0</v>
      </c>
      <c r="X230">
        <v>0.4</v>
      </c>
      <c r="Y230">
        <v>0.7142857142857143</v>
      </c>
    </row>
    <row r="231" spans="1:25" x14ac:dyDescent="0.2">
      <c r="A231" t="s">
        <v>21</v>
      </c>
      <c r="B231" t="s">
        <v>515</v>
      </c>
      <c r="C231">
        <v>35</v>
      </c>
      <c r="D231" s="2">
        <v>0</v>
      </c>
      <c r="E231">
        <v>0</v>
      </c>
      <c r="F231">
        <v>0</v>
      </c>
      <c r="G231">
        <v>0</v>
      </c>
      <c r="H231">
        <v>0</v>
      </c>
      <c r="I231">
        <v>410</v>
      </c>
      <c r="J231">
        <v>8</v>
      </c>
      <c r="K231">
        <v>0</v>
      </c>
      <c r="L231">
        <v>2</v>
      </c>
      <c r="M231">
        <v>1</v>
      </c>
      <c r="N231">
        <v>36</v>
      </c>
      <c r="O231" s="3">
        <f t="shared" si="15"/>
        <v>2.8571428571428572</v>
      </c>
      <c r="P231">
        <f t="shared" si="12"/>
        <v>0</v>
      </c>
      <c r="Q231">
        <f t="shared" si="13"/>
        <v>0</v>
      </c>
      <c r="S231">
        <v>-5.0565217391304342</v>
      </c>
      <c r="T231">
        <v>0</v>
      </c>
      <c r="U231">
        <v>-4.4565217391304346</v>
      </c>
      <c r="V231">
        <v>-0.8</v>
      </c>
      <c r="W231">
        <v>0</v>
      </c>
      <c r="X231">
        <v>0.2</v>
      </c>
      <c r="Y231">
        <v>0</v>
      </c>
    </row>
    <row r="232" spans="1:25" x14ac:dyDescent="0.2">
      <c r="A232" t="s">
        <v>21</v>
      </c>
      <c r="B232" t="s">
        <v>585</v>
      </c>
      <c r="C232">
        <v>130</v>
      </c>
      <c r="D232" s="2">
        <v>0</v>
      </c>
      <c r="E232">
        <v>4.5</v>
      </c>
      <c r="F232">
        <v>1</v>
      </c>
      <c r="G232">
        <v>0</v>
      </c>
      <c r="H232">
        <v>0</v>
      </c>
      <c r="I232">
        <v>520</v>
      </c>
      <c r="J232">
        <v>20</v>
      </c>
      <c r="K232">
        <v>1</v>
      </c>
      <c r="L232">
        <v>0</v>
      </c>
      <c r="M232">
        <v>3</v>
      </c>
      <c r="N232">
        <v>128</v>
      </c>
      <c r="O232" s="3">
        <f t="shared" si="15"/>
        <v>2.3076923076923079</v>
      </c>
      <c r="P232">
        <f t="shared" si="12"/>
        <v>1</v>
      </c>
      <c r="Q232">
        <f t="shared" si="13"/>
        <v>0</v>
      </c>
      <c r="S232">
        <v>-4.9450310559006221</v>
      </c>
      <c r="T232">
        <v>-0.25</v>
      </c>
      <c r="U232">
        <v>-5.6521739130434785</v>
      </c>
      <c r="V232">
        <v>0</v>
      </c>
      <c r="W232">
        <v>0</v>
      </c>
      <c r="X232">
        <v>0.6</v>
      </c>
      <c r="Y232">
        <v>0.35714285714285715</v>
      </c>
    </row>
    <row r="233" spans="1:25" x14ac:dyDescent="0.2">
      <c r="A233" t="s">
        <v>21</v>
      </c>
      <c r="B233" t="s">
        <v>605</v>
      </c>
      <c r="C233">
        <v>180</v>
      </c>
      <c r="D233" s="2">
        <v>0</v>
      </c>
      <c r="E233">
        <v>8</v>
      </c>
      <c r="F233">
        <v>4.5</v>
      </c>
      <c r="G233">
        <v>0</v>
      </c>
      <c r="H233">
        <v>0</v>
      </c>
      <c r="I233">
        <v>520</v>
      </c>
      <c r="J233">
        <v>22</v>
      </c>
      <c r="K233">
        <v>1</v>
      </c>
      <c r="L233">
        <v>1</v>
      </c>
      <c r="M233">
        <v>4</v>
      </c>
      <c r="N233">
        <v>181.5</v>
      </c>
      <c r="O233" s="3">
        <f t="shared" si="15"/>
        <v>2.2222222222222223</v>
      </c>
      <c r="P233">
        <f t="shared" si="12"/>
        <v>1</v>
      </c>
      <c r="Q233">
        <f t="shared" si="13"/>
        <v>0</v>
      </c>
      <c r="S233">
        <v>-6.0200310559006223</v>
      </c>
      <c r="T233">
        <v>-1.125</v>
      </c>
      <c r="U233">
        <v>-5.6521739130434785</v>
      </c>
      <c r="V233">
        <v>-0.4</v>
      </c>
      <c r="W233">
        <v>0</v>
      </c>
      <c r="X233">
        <v>0.8</v>
      </c>
      <c r="Y233">
        <v>0.35714285714285715</v>
      </c>
    </row>
    <row r="234" spans="1:25" x14ac:dyDescent="0.2">
      <c r="A234" t="s">
        <v>21</v>
      </c>
      <c r="B234" t="s">
        <v>626</v>
      </c>
      <c r="C234">
        <v>590</v>
      </c>
      <c r="D234" s="2">
        <v>0</v>
      </c>
      <c r="E234">
        <v>21</v>
      </c>
      <c r="F234">
        <v>5</v>
      </c>
      <c r="G234">
        <v>0</v>
      </c>
      <c r="H234">
        <v>0</v>
      </c>
      <c r="I234">
        <v>2590</v>
      </c>
      <c r="J234">
        <v>88</v>
      </c>
      <c r="K234">
        <v>6</v>
      </c>
      <c r="L234">
        <v>1</v>
      </c>
      <c r="M234">
        <v>12</v>
      </c>
      <c r="N234">
        <v>584</v>
      </c>
      <c r="O234" s="3">
        <f t="shared" si="15"/>
        <v>2.0338983050847457</v>
      </c>
      <c r="P234">
        <f t="shared" si="12"/>
        <v>1</v>
      </c>
      <c r="Q234">
        <f t="shared" si="13"/>
        <v>0</v>
      </c>
      <c r="S234">
        <v>-25.259316770186334</v>
      </c>
      <c r="T234">
        <v>-1.25</v>
      </c>
      <c r="U234">
        <v>-28.152173913043477</v>
      </c>
      <c r="V234">
        <v>-0.4</v>
      </c>
      <c r="W234">
        <v>0</v>
      </c>
      <c r="X234">
        <v>2.4</v>
      </c>
      <c r="Y234">
        <v>2.1428571428571428</v>
      </c>
    </row>
    <row r="235" spans="1:25" x14ac:dyDescent="0.2">
      <c r="A235" t="s">
        <v>21</v>
      </c>
      <c r="B235" t="s">
        <v>629</v>
      </c>
      <c r="C235">
        <v>460</v>
      </c>
      <c r="D235" s="2">
        <v>0</v>
      </c>
      <c r="E235">
        <v>15</v>
      </c>
      <c r="F235">
        <v>3</v>
      </c>
      <c r="G235">
        <v>0</v>
      </c>
      <c r="H235">
        <v>0</v>
      </c>
      <c r="I235">
        <v>1410</v>
      </c>
      <c r="J235">
        <v>72</v>
      </c>
      <c r="K235">
        <v>6</v>
      </c>
      <c r="L235">
        <v>0</v>
      </c>
      <c r="M235">
        <v>9</v>
      </c>
      <c r="N235">
        <v>454</v>
      </c>
      <c r="O235" s="3">
        <f t="shared" si="15"/>
        <v>1.956521739130435</v>
      </c>
      <c r="P235">
        <f t="shared" si="12"/>
        <v>1</v>
      </c>
      <c r="Q235">
        <f t="shared" si="13"/>
        <v>0</v>
      </c>
      <c r="S235">
        <v>-12.133229813664599</v>
      </c>
      <c r="T235">
        <v>-0.75</v>
      </c>
      <c r="U235">
        <v>-15.32608695652174</v>
      </c>
      <c r="V235">
        <v>0</v>
      </c>
      <c r="W235">
        <v>0</v>
      </c>
      <c r="X235">
        <v>1.7999999999999998</v>
      </c>
      <c r="Y235">
        <v>2.1428571428571428</v>
      </c>
    </row>
    <row r="236" spans="1:25" x14ac:dyDescent="0.2">
      <c r="A236" t="s">
        <v>21</v>
      </c>
      <c r="B236" t="s">
        <v>641</v>
      </c>
      <c r="C236">
        <v>110</v>
      </c>
      <c r="D236" s="2">
        <v>0</v>
      </c>
      <c r="E236">
        <v>3.5</v>
      </c>
      <c r="F236">
        <v>0.5</v>
      </c>
      <c r="G236">
        <v>0</v>
      </c>
      <c r="H236">
        <v>0</v>
      </c>
      <c r="I236">
        <v>330</v>
      </c>
      <c r="J236">
        <v>17</v>
      </c>
      <c r="K236">
        <v>1</v>
      </c>
      <c r="L236">
        <v>0</v>
      </c>
      <c r="M236">
        <v>2</v>
      </c>
      <c r="N236">
        <v>108.5</v>
      </c>
      <c r="O236" s="3">
        <f t="shared" si="15"/>
        <v>1.8181818181818181</v>
      </c>
      <c r="P236">
        <f t="shared" si="12"/>
        <v>0</v>
      </c>
      <c r="Q236">
        <f t="shared" si="13"/>
        <v>0</v>
      </c>
      <c r="S236">
        <v>-2.9548136645962733</v>
      </c>
      <c r="T236">
        <v>-0.125</v>
      </c>
      <c r="U236">
        <v>-3.5869565217391304</v>
      </c>
      <c r="V236">
        <v>0</v>
      </c>
      <c r="W236">
        <v>0</v>
      </c>
      <c r="X236">
        <v>0.4</v>
      </c>
      <c r="Y236">
        <v>0.35714285714285715</v>
      </c>
    </row>
    <row r="237" spans="1:25" x14ac:dyDescent="0.2">
      <c r="A237" t="s">
        <v>21</v>
      </c>
      <c r="B237" t="s">
        <v>649</v>
      </c>
      <c r="C237">
        <v>300</v>
      </c>
      <c r="D237" s="2">
        <v>0</v>
      </c>
      <c r="E237">
        <v>17</v>
      </c>
      <c r="F237">
        <v>9</v>
      </c>
      <c r="G237">
        <v>0</v>
      </c>
      <c r="H237">
        <v>0</v>
      </c>
      <c r="I237">
        <v>270</v>
      </c>
      <c r="J237">
        <v>33</v>
      </c>
      <c r="K237">
        <v>1</v>
      </c>
      <c r="L237">
        <v>22</v>
      </c>
      <c r="M237">
        <v>5</v>
      </c>
      <c r="N237">
        <v>326</v>
      </c>
      <c r="O237" s="3">
        <f t="shared" si="15"/>
        <v>1.6666666666666667</v>
      </c>
      <c r="P237">
        <f t="shared" si="12"/>
        <v>0</v>
      </c>
      <c r="Q237">
        <f t="shared" si="13"/>
        <v>0</v>
      </c>
      <c r="S237">
        <v>-12.627639751552795</v>
      </c>
      <c r="T237">
        <v>-2.25</v>
      </c>
      <c r="U237">
        <v>-2.9347826086956523</v>
      </c>
      <c r="V237">
        <v>-8.8000000000000007</v>
      </c>
      <c r="W237">
        <v>0</v>
      </c>
      <c r="X237">
        <v>1.0000000000000002</v>
      </c>
      <c r="Y237">
        <v>0.35714285714285715</v>
      </c>
    </row>
    <row r="238" spans="1:25" x14ac:dyDescent="0.2">
      <c r="A238" t="s">
        <v>21</v>
      </c>
      <c r="B238" t="s">
        <v>654</v>
      </c>
      <c r="C238">
        <v>320</v>
      </c>
      <c r="D238" s="2">
        <v>0</v>
      </c>
      <c r="E238">
        <v>15</v>
      </c>
      <c r="F238">
        <v>2</v>
      </c>
      <c r="G238">
        <v>0</v>
      </c>
      <c r="H238">
        <v>0</v>
      </c>
      <c r="I238">
        <v>1100</v>
      </c>
      <c r="J238">
        <v>41</v>
      </c>
      <c r="K238">
        <v>3</v>
      </c>
      <c r="L238">
        <v>0</v>
      </c>
      <c r="M238">
        <v>5</v>
      </c>
      <c r="N238">
        <v>317</v>
      </c>
      <c r="O238" s="3">
        <f t="shared" si="15"/>
        <v>1.5625</v>
      </c>
      <c r="P238">
        <f t="shared" si="12"/>
        <v>1</v>
      </c>
      <c r="Q238">
        <f t="shared" si="13"/>
        <v>0</v>
      </c>
      <c r="S238">
        <v>-10.385093167701864</v>
      </c>
      <c r="T238">
        <v>-0.5</v>
      </c>
      <c r="U238">
        <v>-11.956521739130435</v>
      </c>
      <c r="V238">
        <v>0</v>
      </c>
      <c r="W238">
        <v>0</v>
      </c>
      <c r="X238">
        <v>1.0000000000000002</v>
      </c>
      <c r="Y238">
        <v>1.0714285714285714</v>
      </c>
    </row>
    <row r="239" spans="1:25" x14ac:dyDescent="0.2">
      <c r="A239" t="s">
        <v>21</v>
      </c>
      <c r="B239" t="s">
        <v>656</v>
      </c>
      <c r="C239">
        <v>840</v>
      </c>
      <c r="D239" s="2">
        <v>0</v>
      </c>
      <c r="E239">
        <v>40</v>
      </c>
      <c r="F239">
        <v>5</v>
      </c>
      <c r="G239">
        <v>0</v>
      </c>
      <c r="H239">
        <v>0</v>
      </c>
      <c r="I239">
        <v>2890</v>
      </c>
      <c r="J239">
        <v>108</v>
      </c>
      <c r="K239">
        <v>9</v>
      </c>
      <c r="L239">
        <v>0</v>
      </c>
      <c r="M239">
        <v>13</v>
      </c>
      <c r="N239">
        <v>832</v>
      </c>
      <c r="O239" s="3">
        <f t="shared" si="15"/>
        <v>1.5476190476190477</v>
      </c>
      <c r="P239">
        <f t="shared" si="12"/>
        <v>1</v>
      </c>
      <c r="Q239">
        <f t="shared" si="13"/>
        <v>0</v>
      </c>
      <c r="S239">
        <v>-26.848757763975158</v>
      </c>
      <c r="T239">
        <v>-1.25</v>
      </c>
      <c r="U239">
        <v>-31.413043478260871</v>
      </c>
      <c r="V239">
        <v>0</v>
      </c>
      <c r="W239">
        <v>0</v>
      </c>
      <c r="X239">
        <v>2.6</v>
      </c>
      <c r="Y239">
        <v>3.2142857142857149</v>
      </c>
    </row>
    <row r="240" spans="1:25" x14ac:dyDescent="0.2">
      <c r="A240" t="s">
        <v>21</v>
      </c>
      <c r="B240" t="s">
        <v>666</v>
      </c>
      <c r="C240">
        <v>210</v>
      </c>
      <c r="D240" s="2">
        <v>0</v>
      </c>
      <c r="E240">
        <v>9</v>
      </c>
      <c r="F240">
        <v>1.5</v>
      </c>
      <c r="G240">
        <v>0</v>
      </c>
      <c r="H240">
        <v>35</v>
      </c>
      <c r="I240">
        <v>240</v>
      </c>
      <c r="J240">
        <v>28</v>
      </c>
      <c r="K240" s="2">
        <v>0</v>
      </c>
      <c r="L240">
        <v>11</v>
      </c>
      <c r="M240">
        <v>3</v>
      </c>
      <c r="N240">
        <v>219.5</v>
      </c>
      <c r="O240" s="3">
        <f t="shared" si="15"/>
        <v>1.4285714285714286</v>
      </c>
      <c r="P240">
        <f t="shared" si="12"/>
        <v>0</v>
      </c>
      <c r="Q240">
        <f t="shared" si="13"/>
        <v>0</v>
      </c>
      <c r="S240">
        <v>-6.7836956521739138</v>
      </c>
      <c r="T240">
        <v>-0.375</v>
      </c>
      <c r="U240">
        <v>-2.6086956521739131</v>
      </c>
      <c r="V240">
        <v>-4.4000000000000004</v>
      </c>
      <c r="W240">
        <v>0</v>
      </c>
      <c r="X240">
        <v>0.6</v>
      </c>
      <c r="Y240">
        <v>0</v>
      </c>
    </row>
    <row r="241" spans="1:25" x14ac:dyDescent="0.2">
      <c r="A241" t="s">
        <v>21</v>
      </c>
      <c r="B241" t="s">
        <v>670</v>
      </c>
      <c r="C241">
        <v>290</v>
      </c>
      <c r="D241" s="2">
        <v>0</v>
      </c>
      <c r="E241">
        <v>13</v>
      </c>
      <c r="F241">
        <v>7</v>
      </c>
      <c r="G241">
        <v>0</v>
      </c>
      <c r="H241">
        <v>0</v>
      </c>
      <c r="I241">
        <v>580</v>
      </c>
      <c r="J241">
        <v>40</v>
      </c>
      <c r="K241">
        <v>2</v>
      </c>
      <c r="L241">
        <v>17</v>
      </c>
      <c r="M241">
        <v>4</v>
      </c>
      <c r="N241">
        <v>310</v>
      </c>
      <c r="O241" s="3">
        <f t="shared" si="15"/>
        <v>1.3793103448275863</v>
      </c>
      <c r="P241">
        <f t="shared" si="12"/>
        <v>1</v>
      </c>
      <c r="Q241">
        <f t="shared" si="13"/>
        <v>0</v>
      </c>
      <c r="S241">
        <v>-13.340062111801243</v>
      </c>
      <c r="T241">
        <v>-1.75</v>
      </c>
      <c r="U241">
        <v>-6.3043478260869561</v>
      </c>
      <c r="V241">
        <v>-6.8000000000000007</v>
      </c>
      <c r="W241">
        <v>0</v>
      </c>
      <c r="X241">
        <v>0.8</v>
      </c>
      <c r="Y241">
        <v>0.7142857142857143</v>
      </c>
    </row>
    <row r="242" spans="1:25" x14ac:dyDescent="0.2">
      <c r="A242" t="s">
        <v>21</v>
      </c>
      <c r="B242" t="s">
        <v>674</v>
      </c>
      <c r="C242">
        <v>300</v>
      </c>
      <c r="D242" s="2">
        <v>0</v>
      </c>
      <c r="E242">
        <v>15</v>
      </c>
      <c r="F242">
        <v>3</v>
      </c>
      <c r="G242">
        <v>0</v>
      </c>
      <c r="H242">
        <v>50</v>
      </c>
      <c r="I242">
        <v>260</v>
      </c>
      <c r="J242">
        <v>39</v>
      </c>
      <c r="K242">
        <v>1</v>
      </c>
      <c r="L242">
        <v>27</v>
      </c>
      <c r="M242">
        <v>4</v>
      </c>
      <c r="N242">
        <v>326</v>
      </c>
      <c r="O242" s="3">
        <f t="shared" si="15"/>
        <v>1.3333333333333335</v>
      </c>
      <c r="P242">
        <f t="shared" si="12"/>
        <v>0</v>
      </c>
      <c r="Q242">
        <f t="shared" si="13"/>
        <v>0</v>
      </c>
      <c r="S242">
        <v>-13.218944099378881</v>
      </c>
      <c r="T242">
        <v>-0.75</v>
      </c>
      <c r="U242">
        <v>-2.8260869565217392</v>
      </c>
      <c r="V242">
        <v>-10.8</v>
      </c>
      <c r="W242">
        <v>0</v>
      </c>
      <c r="X242">
        <v>0.8</v>
      </c>
      <c r="Y242">
        <v>0.35714285714285715</v>
      </c>
    </row>
    <row r="243" spans="1:25" x14ac:dyDescent="0.2">
      <c r="A243" t="s">
        <v>21</v>
      </c>
      <c r="B243" t="s">
        <v>701</v>
      </c>
      <c r="C243">
        <v>270</v>
      </c>
      <c r="D243" s="2">
        <v>0</v>
      </c>
      <c r="E243">
        <v>13</v>
      </c>
      <c r="F243">
        <v>8</v>
      </c>
      <c r="G243">
        <v>0</v>
      </c>
      <c r="H243">
        <v>0</v>
      </c>
      <c r="I243">
        <v>210</v>
      </c>
      <c r="J243">
        <v>35</v>
      </c>
      <c r="K243">
        <v>1</v>
      </c>
      <c r="L243">
        <v>24</v>
      </c>
      <c r="M243">
        <v>3</v>
      </c>
      <c r="N243">
        <v>299</v>
      </c>
      <c r="O243" s="3">
        <f t="shared" si="15"/>
        <v>1.1111111111111112</v>
      </c>
      <c r="P243">
        <f t="shared" si="12"/>
        <v>0</v>
      </c>
      <c r="Q243">
        <f t="shared" si="13"/>
        <v>0</v>
      </c>
      <c r="S243">
        <v>-12.925465838509316</v>
      </c>
      <c r="T243">
        <v>-2</v>
      </c>
      <c r="U243">
        <v>-2.2826086956521738</v>
      </c>
      <c r="V243">
        <v>-9.6</v>
      </c>
      <c r="W243">
        <v>0</v>
      </c>
      <c r="X243">
        <v>0.6</v>
      </c>
      <c r="Y243">
        <v>0.35714285714285715</v>
      </c>
    </row>
    <row r="244" spans="1:25" x14ac:dyDescent="0.2">
      <c r="A244" t="s">
        <v>21</v>
      </c>
      <c r="B244" t="s">
        <v>714</v>
      </c>
      <c r="C244">
        <v>300</v>
      </c>
      <c r="D244" s="2">
        <v>0</v>
      </c>
      <c r="E244">
        <v>12</v>
      </c>
      <c r="F244">
        <v>2.5</v>
      </c>
      <c r="G244">
        <v>0</v>
      </c>
      <c r="H244">
        <v>40</v>
      </c>
      <c r="I244">
        <v>190</v>
      </c>
      <c r="J244">
        <v>49</v>
      </c>
      <c r="K244">
        <v>1</v>
      </c>
      <c r="L244">
        <v>35</v>
      </c>
      <c r="M244">
        <v>3</v>
      </c>
      <c r="N244">
        <v>334.5</v>
      </c>
      <c r="O244" s="3">
        <f t="shared" si="15"/>
        <v>1</v>
      </c>
      <c r="P244">
        <f t="shared" si="12"/>
        <v>0</v>
      </c>
      <c r="Q244">
        <f t="shared" si="13"/>
        <v>0</v>
      </c>
      <c r="S244">
        <v>-15.733074534161485</v>
      </c>
      <c r="T244">
        <v>-0.625</v>
      </c>
      <c r="U244">
        <v>-2.0652173913043477</v>
      </c>
      <c r="V244">
        <v>-13.999999999999998</v>
      </c>
      <c r="W244">
        <v>0</v>
      </c>
      <c r="X244">
        <v>0.6</v>
      </c>
      <c r="Y244">
        <v>0.35714285714285715</v>
      </c>
    </row>
    <row r="245" spans="1:25" x14ac:dyDescent="0.2">
      <c r="A245" t="s">
        <v>21</v>
      </c>
      <c r="B245" t="s">
        <v>715</v>
      </c>
      <c r="C245">
        <v>300</v>
      </c>
      <c r="D245" s="2">
        <v>0</v>
      </c>
      <c r="E245">
        <v>13</v>
      </c>
      <c r="F245">
        <v>2.5</v>
      </c>
      <c r="G245">
        <v>0</v>
      </c>
      <c r="H245">
        <v>50</v>
      </c>
      <c r="I245">
        <v>230</v>
      </c>
      <c r="J245">
        <v>43</v>
      </c>
      <c r="K245">
        <v>0</v>
      </c>
      <c r="L245">
        <v>31</v>
      </c>
      <c r="M245">
        <v>3</v>
      </c>
      <c r="N245">
        <v>330.5</v>
      </c>
      <c r="O245" s="3">
        <f t="shared" si="15"/>
        <v>1</v>
      </c>
      <c r="P245">
        <f t="shared" si="12"/>
        <v>0</v>
      </c>
      <c r="Q245">
        <f t="shared" si="13"/>
        <v>0</v>
      </c>
      <c r="S245">
        <v>-14.925000000000001</v>
      </c>
      <c r="T245">
        <v>-0.625</v>
      </c>
      <c r="U245">
        <v>-2.5</v>
      </c>
      <c r="V245">
        <v>-12.4</v>
      </c>
      <c r="W245">
        <v>0</v>
      </c>
      <c r="X245">
        <v>0.6</v>
      </c>
      <c r="Y245">
        <v>0</v>
      </c>
    </row>
    <row r="246" spans="1:25" x14ac:dyDescent="0.2">
      <c r="A246" t="s">
        <v>21</v>
      </c>
      <c r="B246" t="s">
        <v>728</v>
      </c>
      <c r="C246">
        <v>220</v>
      </c>
      <c r="D246" s="2">
        <v>0</v>
      </c>
      <c r="E246">
        <v>10</v>
      </c>
      <c r="F246">
        <v>2</v>
      </c>
      <c r="G246">
        <v>0</v>
      </c>
      <c r="H246">
        <v>30</v>
      </c>
      <c r="I246">
        <v>170</v>
      </c>
      <c r="J246">
        <v>30</v>
      </c>
      <c r="K246">
        <v>0</v>
      </c>
      <c r="L246">
        <v>20</v>
      </c>
      <c r="M246">
        <v>2</v>
      </c>
      <c r="N246">
        <v>240</v>
      </c>
      <c r="O246" s="3">
        <f t="shared" si="15"/>
        <v>0.90909090909090906</v>
      </c>
      <c r="P246">
        <f t="shared" si="12"/>
        <v>0</v>
      </c>
      <c r="Q246">
        <f t="shared" si="13"/>
        <v>0</v>
      </c>
      <c r="S246">
        <v>-9.9478260869565229</v>
      </c>
      <c r="T246">
        <v>-0.5</v>
      </c>
      <c r="U246">
        <v>-1.8478260869565217</v>
      </c>
      <c r="V246">
        <v>-8.0000000000000018</v>
      </c>
      <c r="W246">
        <v>0</v>
      </c>
      <c r="X246">
        <v>0.4</v>
      </c>
      <c r="Y246">
        <v>0</v>
      </c>
    </row>
    <row r="247" spans="1:25" x14ac:dyDescent="0.2">
      <c r="A247" t="s">
        <v>21</v>
      </c>
      <c r="B247" t="s">
        <v>733</v>
      </c>
      <c r="C247">
        <v>230</v>
      </c>
      <c r="D247" s="2">
        <v>0</v>
      </c>
      <c r="E247">
        <v>10</v>
      </c>
      <c r="F247">
        <v>2.5</v>
      </c>
      <c r="G247">
        <v>0</v>
      </c>
      <c r="H247">
        <v>0</v>
      </c>
      <c r="I247">
        <v>140</v>
      </c>
      <c r="J247">
        <v>32</v>
      </c>
      <c r="K247" s="2">
        <v>0</v>
      </c>
      <c r="L247">
        <v>12</v>
      </c>
      <c r="M247">
        <v>2</v>
      </c>
      <c r="N247">
        <v>242.5</v>
      </c>
      <c r="O247" s="3">
        <f t="shared" si="15"/>
        <v>0.86956521739130432</v>
      </c>
      <c r="P247">
        <f t="shared" si="12"/>
        <v>0</v>
      </c>
      <c r="Q247">
        <f t="shared" si="13"/>
        <v>0</v>
      </c>
      <c r="S247">
        <v>-6.5467391304347817</v>
      </c>
      <c r="T247">
        <v>-0.625</v>
      </c>
      <c r="U247">
        <v>-1.5217391304347827</v>
      </c>
      <c r="V247">
        <v>-4.8</v>
      </c>
      <c r="W247">
        <v>0</v>
      </c>
      <c r="X247">
        <v>0.4</v>
      </c>
      <c r="Y247">
        <v>0</v>
      </c>
    </row>
    <row r="248" spans="1:25" x14ac:dyDescent="0.2">
      <c r="A248" t="s">
        <v>21</v>
      </c>
      <c r="B248" t="s">
        <v>683</v>
      </c>
      <c r="C248">
        <v>120</v>
      </c>
      <c r="D248" s="2">
        <v>0</v>
      </c>
      <c r="E248">
        <v>6</v>
      </c>
      <c r="F248">
        <v>3</v>
      </c>
      <c r="G248">
        <v>0</v>
      </c>
      <c r="H248">
        <v>0</v>
      </c>
      <c r="I248">
        <v>70</v>
      </c>
      <c r="J248">
        <v>18</v>
      </c>
      <c r="K248">
        <v>1</v>
      </c>
      <c r="L248">
        <v>12</v>
      </c>
      <c r="M248">
        <v>1</v>
      </c>
      <c r="N248">
        <v>134</v>
      </c>
      <c r="O248" s="3">
        <f t="shared" si="15"/>
        <v>0.83333333333333337</v>
      </c>
      <c r="P248">
        <f t="shared" si="12"/>
        <v>0</v>
      </c>
      <c r="Q248">
        <f t="shared" si="13"/>
        <v>0</v>
      </c>
      <c r="S248">
        <v>-5.7537267080745345</v>
      </c>
      <c r="T248">
        <v>-0.75</v>
      </c>
      <c r="U248">
        <v>-0.76086956521739135</v>
      </c>
      <c r="V248">
        <v>-4.8</v>
      </c>
      <c r="W248">
        <v>0</v>
      </c>
      <c r="X248">
        <v>0.2</v>
      </c>
      <c r="Y248">
        <v>0.35714285714285715</v>
      </c>
    </row>
    <row r="249" spans="1:25" x14ac:dyDescent="0.2">
      <c r="A249" t="s">
        <v>21</v>
      </c>
      <c r="B249" t="s">
        <v>744</v>
      </c>
      <c r="C249">
        <v>260</v>
      </c>
      <c r="D249" s="2">
        <v>0</v>
      </c>
      <c r="E249">
        <v>26</v>
      </c>
      <c r="F249">
        <v>5</v>
      </c>
      <c r="G249">
        <v>0</v>
      </c>
      <c r="H249">
        <v>15</v>
      </c>
      <c r="I249">
        <v>540</v>
      </c>
      <c r="J249">
        <v>4</v>
      </c>
      <c r="K249">
        <v>0</v>
      </c>
      <c r="L249">
        <v>2</v>
      </c>
      <c r="M249">
        <v>2</v>
      </c>
      <c r="N249">
        <v>265</v>
      </c>
      <c r="O249" s="3">
        <f t="shared" si="15"/>
        <v>0.76923076923076927</v>
      </c>
      <c r="P249">
        <f t="shared" si="12"/>
        <v>1</v>
      </c>
      <c r="Q249">
        <f t="shared" si="13"/>
        <v>0</v>
      </c>
      <c r="S249">
        <v>-7.5195652173913041</v>
      </c>
      <c r="T249">
        <v>-1.25</v>
      </c>
      <c r="U249">
        <v>-5.8695652173913047</v>
      </c>
      <c r="V249">
        <v>-0.8</v>
      </c>
      <c r="W249">
        <v>0</v>
      </c>
      <c r="X249">
        <v>0.4</v>
      </c>
      <c r="Y249">
        <v>0</v>
      </c>
    </row>
    <row r="250" spans="1:25" x14ac:dyDescent="0.2">
      <c r="A250" t="s">
        <v>21</v>
      </c>
      <c r="B250" t="s">
        <v>752</v>
      </c>
      <c r="C250">
        <v>140</v>
      </c>
      <c r="D250" s="2">
        <v>0</v>
      </c>
      <c r="E250">
        <v>8</v>
      </c>
      <c r="F250">
        <v>1</v>
      </c>
      <c r="G250">
        <v>0</v>
      </c>
      <c r="H250">
        <v>15</v>
      </c>
      <c r="I250">
        <v>290</v>
      </c>
      <c r="J250">
        <v>14</v>
      </c>
      <c r="K250">
        <v>0</v>
      </c>
      <c r="L250">
        <v>9</v>
      </c>
      <c r="M250">
        <v>1</v>
      </c>
      <c r="N250">
        <v>149</v>
      </c>
      <c r="O250" s="3">
        <f t="shared" si="15"/>
        <v>0.7142857142857143</v>
      </c>
      <c r="P250">
        <f t="shared" si="12"/>
        <v>0</v>
      </c>
      <c r="Q250">
        <f t="shared" si="13"/>
        <v>0</v>
      </c>
      <c r="S250">
        <v>-6.802173913043478</v>
      </c>
      <c r="T250">
        <v>-0.25</v>
      </c>
      <c r="U250">
        <v>-3.152173913043478</v>
      </c>
      <c r="V250">
        <v>-3.5999999999999996</v>
      </c>
      <c r="W250">
        <v>0</v>
      </c>
      <c r="X250">
        <v>0.2</v>
      </c>
      <c r="Y250">
        <v>0</v>
      </c>
    </row>
    <row r="251" spans="1:25" x14ac:dyDescent="0.2">
      <c r="A251" t="s">
        <v>21</v>
      </c>
      <c r="B251" t="s">
        <v>757</v>
      </c>
      <c r="C251">
        <v>1200</v>
      </c>
      <c r="D251" s="2">
        <v>0</v>
      </c>
      <c r="E251">
        <v>98</v>
      </c>
      <c r="F251">
        <v>16</v>
      </c>
      <c r="G251">
        <v>0</v>
      </c>
      <c r="H251">
        <v>80</v>
      </c>
      <c r="I251">
        <v>1010</v>
      </c>
      <c r="J251">
        <v>65</v>
      </c>
      <c r="K251">
        <v>8</v>
      </c>
      <c r="L251">
        <v>12</v>
      </c>
      <c r="M251">
        <v>8</v>
      </c>
      <c r="N251">
        <v>1220</v>
      </c>
      <c r="O251" s="3">
        <f t="shared" si="15"/>
        <v>0.66666666666666674</v>
      </c>
      <c r="P251">
        <f t="shared" si="12"/>
        <v>1</v>
      </c>
      <c r="Q251">
        <f t="shared" si="13"/>
        <v>0</v>
      </c>
      <c r="S251">
        <v>-15.32111801242236</v>
      </c>
      <c r="T251">
        <v>-4</v>
      </c>
      <c r="U251">
        <v>-10.978260869565219</v>
      </c>
      <c r="V251">
        <v>-4.8</v>
      </c>
      <c r="W251">
        <v>0</v>
      </c>
      <c r="X251">
        <v>1.6</v>
      </c>
      <c r="Y251">
        <v>2.8571428571428572</v>
      </c>
    </row>
    <row r="252" spans="1:25" x14ac:dyDescent="0.2">
      <c r="A252" t="s">
        <v>21</v>
      </c>
      <c r="B252" t="s">
        <v>758</v>
      </c>
      <c r="C252">
        <v>640</v>
      </c>
      <c r="D252" s="2">
        <v>0</v>
      </c>
      <c r="E252">
        <v>46</v>
      </c>
      <c r="F252">
        <v>7</v>
      </c>
      <c r="G252">
        <v>0</v>
      </c>
      <c r="H252">
        <v>15</v>
      </c>
      <c r="I252">
        <v>670</v>
      </c>
      <c r="J252">
        <v>54</v>
      </c>
      <c r="K252">
        <v>14</v>
      </c>
      <c r="L252">
        <v>37</v>
      </c>
      <c r="M252">
        <v>4</v>
      </c>
      <c r="N252">
        <v>680</v>
      </c>
      <c r="O252" s="3">
        <f t="shared" si="15"/>
        <v>0.625</v>
      </c>
      <c r="P252">
        <f t="shared" si="12"/>
        <v>1</v>
      </c>
      <c r="Q252">
        <f t="shared" si="13"/>
        <v>0</v>
      </c>
      <c r="S252">
        <v>-18.032608695652172</v>
      </c>
      <c r="T252">
        <v>-1.75</v>
      </c>
      <c r="U252">
        <v>-7.2826086956521738</v>
      </c>
      <c r="V252">
        <v>-14.799999999999999</v>
      </c>
      <c r="W252">
        <v>0</v>
      </c>
      <c r="X252">
        <v>0.8</v>
      </c>
      <c r="Y252">
        <v>5</v>
      </c>
    </row>
    <row r="253" spans="1:25" x14ac:dyDescent="0.2">
      <c r="A253" t="s">
        <v>21</v>
      </c>
      <c r="B253" t="s">
        <v>759</v>
      </c>
      <c r="C253">
        <v>480</v>
      </c>
      <c r="D253" s="2">
        <v>0</v>
      </c>
      <c r="E253">
        <v>28</v>
      </c>
      <c r="F253">
        <v>3.5</v>
      </c>
      <c r="G253">
        <v>0</v>
      </c>
      <c r="H253">
        <v>55</v>
      </c>
      <c r="I253">
        <v>990</v>
      </c>
      <c r="J253">
        <v>50</v>
      </c>
      <c r="K253">
        <v>0</v>
      </c>
      <c r="L253">
        <v>30</v>
      </c>
      <c r="M253">
        <v>3</v>
      </c>
      <c r="N253">
        <v>510.5</v>
      </c>
      <c r="O253" s="3">
        <f t="shared" si="15"/>
        <v>0.625</v>
      </c>
      <c r="P253">
        <f t="shared" si="12"/>
        <v>1</v>
      </c>
      <c r="Q253">
        <f t="shared" si="13"/>
        <v>0</v>
      </c>
      <c r="S253">
        <v>-23.035869565217389</v>
      </c>
      <c r="T253">
        <v>-0.875</v>
      </c>
      <c r="U253">
        <v>-10.760869565217392</v>
      </c>
      <c r="V253">
        <v>-12</v>
      </c>
      <c r="W253">
        <v>0</v>
      </c>
      <c r="X253">
        <v>0.6</v>
      </c>
      <c r="Y253">
        <v>0</v>
      </c>
    </row>
    <row r="254" spans="1:25" x14ac:dyDescent="0.2">
      <c r="A254" t="s">
        <v>21</v>
      </c>
      <c r="B254" t="s">
        <v>762</v>
      </c>
      <c r="C254">
        <v>170</v>
      </c>
      <c r="D254" s="2">
        <v>0</v>
      </c>
      <c r="E254">
        <v>12</v>
      </c>
      <c r="F254">
        <v>2</v>
      </c>
      <c r="G254">
        <v>0</v>
      </c>
      <c r="H254">
        <v>0</v>
      </c>
      <c r="I254">
        <v>180</v>
      </c>
      <c r="J254">
        <v>14</v>
      </c>
      <c r="K254">
        <v>4</v>
      </c>
      <c r="L254">
        <v>10</v>
      </c>
      <c r="M254">
        <v>1</v>
      </c>
      <c r="N254">
        <v>181</v>
      </c>
      <c r="O254" s="3">
        <f t="shared" si="15"/>
        <v>0.58823529411764708</v>
      </c>
      <c r="P254">
        <f t="shared" si="12"/>
        <v>0</v>
      </c>
      <c r="Q254">
        <f t="shared" si="13"/>
        <v>0</v>
      </c>
      <c r="S254">
        <v>-4.8279503105590065</v>
      </c>
      <c r="T254">
        <v>-0.5</v>
      </c>
      <c r="U254">
        <v>-1.956521739130435</v>
      </c>
      <c r="V254">
        <v>-4.0000000000000009</v>
      </c>
      <c r="W254">
        <v>0</v>
      </c>
      <c r="X254">
        <v>0.2</v>
      </c>
      <c r="Y254">
        <v>1.4285714285714286</v>
      </c>
    </row>
    <row r="255" spans="1:25" x14ac:dyDescent="0.2">
      <c r="A255" t="s">
        <v>21</v>
      </c>
      <c r="B255" t="s">
        <v>763</v>
      </c>
      <c r="C255">
        <v>340</v>
      </c>
      <c r="D255" s="2">
        <v>0</v>
      </c>
      <c r="E255">
        <v>28</v>
      </c>
      <c r="F255">
        <v>4.5</v>
      </c>
      <c r="G255">
        <v>0</v>
      </c>
      <c r="H255">
        <v>25</v>
      </c>
      <c r="I255">
        <v>290</v>
      </c>
      <c r="J255">
        <v>19</v>
      </c>
      <c r="K255">
        <v>2</v>
      </c>
      <c r="L255">
        <v>3</v>
      </c>
      <c r="M255">
        <v>2</v>
      </c>
      <c r="N255">
        <v>345.5</v>
      </c>
      <c r="O255" s="3">
        <f t="shared" si="15"/>
        <v>0.58823529411764708</v>
      </c>
      <c r="P255">
        <f t="shared" si="12"/>
        <v>0</v>
      </c>
      <c r="Q255">
        <f t="shared" si="13"/>
        <v>0</v>
      </c>
      <c r="S255">
        <v>-4.3628881987577639</v>
      </c>
      <c r="T255">
        <v>-1.125</v>
      </c>
      <c r="U255">
        <v>-3.152173913043478</v>
      </c>
      <c r="V255">
        <v>-1.2</v>
      </c>
      <c r="W255">
        <v>0</v>
      </c>
      <c r="X255">
        <v>0.4</v>
      </c>
      <c r="Y255">
        <v>0.7142857142857143</v>
      </c>
    </row>
    <row r="256" spans="1:25" x14ac:dyDescent="0.2">
      <c r="A256" t="s">
        <v>21</v>
      </c>
      <c r="B256" t="s">
        <v>941</v>
      </c>
      <c r="C256">
        <v>160</v>
      </c>
      <c r="D256" s="2">
        <v>0</v>
      </c>
      <c r="E256">
        <v>17</v>
      </c>
      <c r="F256">
        <v>2</v>
      </c>
      <c r="G256">
        <v>0</v>
      </c>
      <c r="H256">
        <v>10</v>
      </c>
      <c r="I256">
        <v>220</v>
      </c>
      <c r="J256">
        <v>1</v>
      </c>
      <c r="K256">
        <v>0</v>
      </c>
      <c r="L256">
        <v>1</v>
      </c>
      <c r="M256">
        <v>0</v>
      </c>
      <c r="N256">
        <v>163</v>
      </c>
      <c r="O256" s="3">
        <f t="shared" si="15"/>
        <v>0</v>
      </c>
      <c r="P256">
        <f t="shared" si="12"/>
        <v>0</v>
      </c>
      <c r="Q256">
        <f t="shared" si="13"/>
        <v>0</v>
      </c>
      <c r="S256">
        <v>-3.2913043478260868</v>
      </c>
      <c r="T256">
        <v>-0.5</v>
      </c>
      <c r="U256">
        <v>-2.3913043478260869</v>
      </c>
      <c r="V256">
        <v>-0.4</v>
      </c>
      <c r="W256">
        <v>0</v>
      </c>
      <c r="X256">
        <v>0</v>
      </c>
      <c r="Y256">
        <v>0</v>
      </c>
    </row>
    <row r="257" spans="1:25" x14ac:dyDescent="0.2">
      <c r="A257" t="s">
        <v>21</v>
      </c>
      <c r="B257" t="s">
        <v>942</v>
      </c>
      <c r="C257">
        <v>15</v>
      </c>
      <c r="D257" s="2">
        <v>0</v>
      </c>
      <c r="E257">
        <v>0.5</v>
      </c>
      <c r="F257">
        <v>0</v>
      </c>
      <c r="G257">
        <v>0</v>
      </c>
      <c r="H257">
        <v>0</v>
      </c>
      <c r="I257">
        <v>510</v>
      </c>
      <c r="J257">
        <v>2</v>
      </c>
      <c r="K257">
        <v>0</v>
      </c>
      <c r="L257">
        <v>1</v>
      </c>
      <c r="M257">
        <v>0</v>
      </c>
      <c r="N257">
        <v>16</v>
      </c>
      <c r="O257" s="3">
        <f t="shared" si="15"/>
        <v>0</v>
      </c>
      <c r="P257">
        <f t="shared" si="12"/>
        <v>1</v>
      </c>
      <c r="Q257">
        <f t="shared" si="13"/>
        <v>0</v>
      </c>
      <c r="S257">
        <v>-5.9434782608695658</v>
      </c>
      <c r="T257">
        <v>0</v>
      </c>
      <c r="U257">
        <v>-5.5434782608695654</v>
      </c>
      <c r="V257">
        <v>-0.4</v>
      </c>
      <c r="W257">
        <v>0</v>
      </c>
      <c r="X257">
        <v>0</v>
      </c>
      <c r="Y257">
        <v>0</v>
      </c>
    </row>
    <row r="258" spans="1:25" x14ac:dyDescent="0.2">
      <c r="A258" t="s">
        <v>21</v>
      </c>
      <c r="B258" t="s">
        <v>943</v>
      </c>
      <c r="C258">
        <v>45</v>
      </c>
      <c r="D258" s="2">
        <v>0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11</v>
      </c>
      <c r="K258">
        <v>0</v>
      </c>
      <c r="L258">
        <v>11</v>
      </c>
      <c r="M258">
        <v>0</v>
      </c>
      <c r="N258">
        <v>56</v>
      </c>
      <c r="O258" s="3">
        <f t="shared" si="15"/>
        <v>0</v>
      </c>
      <c r="P258">
        <f t="shared" ref="P258:P321" si="16">IF(I258&gt;2300*0.2,1,0)</f>
        <v>0</v>
      </c>
      <c r="Q258">
        <f t="shared" ref="Q258:Q321" si="17">IF(H258&gt;300,1,0)</f>
        <v>0</v>
      </c>
      <c r="S258">
        <v>-6.0304347826086957</v>
      </c>
      <c r="T258">
        <v>0</v>
      </c>
      <c r="U258">
        <v>-1.6304347826086956</v>
      </c>
      <c r="V258">
        <v>-4.4000000000000004</v>
      </c>
      <c r="W258">
        <v>0</v>
      </c>
      <c r="X258">
        <v>0</v>
      </c>
      <c r="Y258">
        <v>0</v>
      </c>
    </row>
    <row r="259" spans="1:25" x14ac:dyDescent="0.2">
      <c r="A259" t="s">
        <v>21</v>
      </c>
      <c r="B259" t="s">
        <v>944</v>
      </c>
      <c r="C259">
        <v>35</v>
      </c>
      <c r="D259" s="2">
        <v>0</v>
      </c>
      <c r="E259">
        <v>4</v>
      </c>
      <c r="F259">
        <v>1.5</v>
      </c>
      <c r="G259">
        <v>0</v>
      </c>
      <c r="H259">
        <v>0</v>
      </c>
      <c r="I259">
        <v>35</v>
      </c>
      <c r="J259">
        <v>0</v>
      </c>
      <c r="K259">
        <v>0</v>
      </c>
      <c r="L259">
        <v>0</v>
      </c>
      <c r="M259">
        <v>0</v>
      </c>
      <c r="N259">
        <v>36.5</v>
      </c>
      <c r="O259" s="3">
        <f t="shared" ref="O259:O279" si="18">M259/C259*100</f>
        <v>0</v>
      </c>
      <c r="P259">
        <f t="shared" si="16"/>
        <v>0</v>
      </c>
      <c r="Q259">
        <f t="shared" si="17"/>
        <v>0</v>
      </c>
      <c r="S259">
        <v>-0.75543478260869568</v>
      </c>
      <c r="T259">
        <v>-0.375</v>
      </c>
      <c r="U259">
        <v>-0.38043478260869568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 t="s">
        <v>21</v>
      </c>
      <c r="B260" t="s">
        <v>945</v>
      </c>
      <c r="C260">
        <v>35</v>
      </c>
      <c r="D260" s="2">
        <v>0</v>
      </c>
      <c r="E260">
        <v>0</v>
      </c>
      <c r="F260">
        <v>0</v>
      </c>
      <c r="G260">
        <v>0</v>
      </c>
      <c r="H260">
        <v>0</v>
      </c>
      <c r="I260">
        <v>10</v>
      </c>
      <c r="J260">
        <v>9</v>
      </c>
      <c r="K260">
        <v>0</v>
      </c>
      <c r="L260">
        <v>7</v>
      </c>
      <c r="M260">
        <v>0</v>
      </c>
      <c r="N260">
        <v>42</v>
      </c>
      <c r="O260" s="3">
        <f t="shared" si="18"/>
        <v>0</v>
      </c>
      <c r="P260">
        <f t="shared" si="16"/>
        <v>0</v>
      </c>
      <c r="Q260">
        <f t="shared" si="17"/>
        <v>0</v>
      </c>
      <c r="S260">
        <v>-2.9086956521739133</v>
      </c>
      <c r="T260">
        <v>0</v>
      </c>
      <c r="U260">
        <v>-0.10869565217391304</v>
      </c>
      <c r="V260">
        <v>-2.8000000000000003</v>
      </c>
      <c r="W260">
        <v>0</v>
      </c>
      <c r="X260">
        <v>0</v>
      </c>
      <c r="Y260">
        <v>0</v>
      </c>
    </row>
    <row r="261" spans="1:25" x14ac:dyDescent="0.2">
      <c r="A261" t="s">
        <v>21</v>
      </c>
      <c r="B261" t="s">
        <v>946</v>
      </c>
      <c r="C261">
        <v>110</v>
      </c>
      <c r="D261" s="2">
        <v>0</v>
      </c>
      <c r="E261">
        <v>9</v>
      </c>
      <c r="F261">
        <v>1.5</v>
      </c>
      <c r="G261">
        <v>0</v>
      </c>
      <c r="H261">
        <v>0</v>
      </c>
      <c r="I261">
        <v>120</v>
      </c>
      <c r="J261">
        <v>6</v>
      </c>
      <c r="K261">
        <v>0</v>
      </c>
      <c r="L261">
        <v>6</v>
      </c>
      <c r="M261">
        <v>0</v>
      </c>
      <c r="N261">
        <v>117.5</v>
      </c>
      <c r="O261" s="3">
        <f t="shared" si="18"/>
        <v>0</v>
      </c>
      <c r="P261">
        <f t="shared" si="16"/>
        <v>0</v>
      </c>
      <c r="Q261">
        <f t="shared" si="17"/>
        <v>0</v>
      </c>
      <c r="S261">
        <v>-4.0793478260869565</v>
      </c>
      <c r="T261">
        <v>-0.375</v>
      </c>
      <c r="U261">
        <v>-1.3043478260869565</v>
      </c>
      <c r="V261">
        <v>-2.4</v>
      </c>
      <c r="W261">
        <v>0</v>
      </c>
      <c r="X261">
        <v>0</v>
      </c>
      <c r="Y261">
        <v>0</v>
      </c>
    </row>
    <row r="262" spans="1:25" x14ac:dyDescent="0.2">
      <c r="A262" t="s">
        <v>21</v>
      </c>
      <c r="B262" t="s">
        <v>947</v>
      </c>
      <c r="C262">
        <v>30</v>
      </c>
      <c r="D262" s="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8</v>
      </c>
      <c r="K262">
        <v>0</v>
      </c>
      <c r="L262">
        <v>5</v>
      </c>
      <c r="M262">
        <v>0</v>
      </c>
      <c r="N262">
        <v>35</v>
      </c>
      <c r="O262" s="3">
        <f t="shared" si="18"/>
        <v>0</v>
      </c>
      <c r="P262">
        <f t="shared" si="16"/>
        <v>0</v>
      </c>
      <c r="Q262">
        <f t="shared" si="17"/>
        <v>0</v>
      </c>
      <c r="S262">
        <v>-2.0000000000000004</v>
      </c>
      <c r="T262">
        <v>0</v>
      </c>
      <c r="U262">
        <v>0</v>
      </c>
      <c r="V262">
        <v>-2.0000000000000004</v>
      </c>
      <c r="W262">
        <v>0</v>
      </c>
      <c r="X262">
        <v>0</v>
      </c>
      <c r="Y262">
        <v>0</v>
      </c>
    </row>
    <row r="263" spans="1:25" x14ac:dyDescent="0.2">
      <c r="A263" t="s">
        <v>21</v>
      </c>
      <c r="B263" t="s">
        <v>948</v>
      </c>
      <c r="C263">
        <v>30</v>
      </c>
      <c r="D263" s="2">
        <v>0</v>
      </c>
      <c r="E263">
        <v>0</v>
      </c>
      <c r="F263">
        <v>0</v>
      </c>
      <c r="G263">
        <v>0</v>
      </c>
      <c r="H263">
        <v>0</v>
      </c>
      <c r="I263">
        <v>250</v>
      </c>
      <c r="J263">
        <v>8</v>
      </c>
      <c r="K263">
        <v>0</v>
      </c>
      <c r="L263">
        <v>6</v>
      </c>
      <c r="M263">
        <v>0</v>
      </c>
      <c r="N263">
        <v>36</v>
      </c>
      <c r="O263" s="3">
        <f t="shared" si="18"/>
        <v>0</v>
      </c>
      <c r="P263">
        <f t="shared" si="16"/>
        <v>0</v>
      </c>
      <c r="Q263">
        <f t="shared" si="17"/>
        <v>0</v>
      </c>
      <c r="S263">
        <v>-5.1173913043478265</v>
      </c>
      <c r="T263">
        <v>0</v>
      </c>
      <c r="U263">
        <v>-2.7173913043478262</v>
      </c>
      <c r="V263">
        <v>-2.4</v>
      </c>
      <c r="W263">
        <v>0</v>
      </c>
      <c r="X263">
        <v>0</v>
      </c>
      <c r="Y263">
        <v>0</v>
      </c>
    </row>
    <row r="264" spans="1:25" x14ac:dyDescent="0.2">
      <c r="A264" t="s">
        <v>21</v>
      </c>
      <c r="B264" t="s">
        <v>949</v>
      </c>
      <c r="C264">
        <v>90</v>
      </c>
      <c r="D264" s="2">
        <v>0</v>
      </c>
      <c r="E264">
        <v>8</v>
      </c>
      <c r="F264">
        <v>1.5</v>
      </c>
      <c r="G264">
        <v>0</v>
      </c>
      <c r="H264">
        <v>10</v>
      </c>
      <c r="I264">
        <v>170</v>
      </c>
      <c r="J264">
        <v>5</v>
      </c>
      <c r="K264">
        <v>0</v>
      </c>
      <c r="L264">
        <v>5</v>
      </c>
      <c r="M264">
        <v>0</v>
      </c>
      <c r="N264">
        <v>96.5</v>
      </c>
      <c r="O264" s="3">
        <f t="shared" si="18"/>
        <v>0</v>
      </c>
      <c r="P264">
        <f t="shared" si="16"/>
        <v>0</v>
      </c>
      <c r="Q264">
        <f t="shared" si="17"/>
        <v>0</v>
      </c>
      <c r="S264">
        <v>-4.2228260869565215</v>
      </c>
      <c r="T264">
        <v>-0.375</v>
      </c>
      <c r="U264">
        <v>-1.8478260869565217</v>
      </c>
      <c r="V264">
        <v>-2.0000000000000004</v>
      </c>
      <c r="W264">
        <v>0</v>
      </c>
      <c r="X264">
        <v>0</v>
      </c>
      <c r="Y264">
        <v>0</v>
      </c>
    </row>
    <row r="265" spans="1:25" x14ac:dyDescent="0.2">
      <c r="A265" t="s">
        <v>21</v>
      </c>
      <c r="B265" t="s">
        <v>950</v>
      </c>
      <c r="C265">
        <v>5</v>
      </c>
      <c r="D265" s="2">
        <v>0</v>
      </c>
      <c r="E265">
        <v>0</v>
      </c>
      <c r="F265">
        <v>0</v>
      </c>
      <c r="G265">
        <v>0</v>
      </c>
      <c r="H265">
        <v>0</v>
      </c>
      <c r="I265">
        <v>20</v>
      </c>
      <c r="J265">
        <v>1</v>
      </c>
      <c r="K265">
        <v>0</v>
      </c>
      <c r="L265">
        <v>0</v>
      </c>
      <c r="M265">
        <v>0</v>
      </c>
      <c r="N265">
        <v>5</v>
      </c>
      <c r="O265" s="3">
        <f t="shared" si="18"/>
        <v>0</v>
      </c>
      <c r="P265">
        <f t="shared" si="16"/>
        <v>0</v>
      </c>
      <c r="Q265">
        <f t="shared" si="17"/>
        <v>0</v>
      </c>
      <c r="S265">
        <v>-0.21739130434782608</v>
      </c>
      <c r="T265">
        <v>0</v>
      </c>
      <c r="U265">
        <v>-0.21739130434782608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 t="s">
        <v>21</v>
      </c>
      <c r="B266" t="s">
        <v>951</v>
      </c>
      <c r="C266">
        <v>130</v>
      </c>
      <c r="D266" s="2">
        <v>0</v>
      </c>
      <c r="E266">
        <v>14</v>
      </c>
      <c r="F266">
        <v>2.5</v>
      </c>
      <c r="G266">
        <v>0</v>
      </c>
      <c r="H266">
        <v>10</v>
      </c>
      <c r="I266">
        <v>240</v>
      </c>
      <c r="J266">
        <v>2</v>
      </c>
      <c r="K266">
        <v>0</v>
      </c>
      <c r="L266">
        <v>1</v>
      </c>
      <c r="M266">
        <v>0</v>
      </c>
      <c r="N266">
        <v>133.5</v>
      </c>
      <c r="O266" s="3">
        <f t="shared" si="18"/>
        <v>0</v>
      </c>
      <c r="P266">
        <f t="shared" si="16"/>
        <v>0</v>
      </c>
      <c r="Q266">
        <f t="shared" si="17"/>
        <v>0</v>
      </c>
      <c r="S266">
        <v>-3.633695652173913</v>
      </c>
      <c r="T266">
        <v>-0.625</v>
      </c>
      <c r="U266">
        <v>-2.6086956521739131</v>
      </c>
      <c r="V266">
        <v>-0.4</v>
      </c>
      <c r="W266">
        <v>0</v>
      </c>
      <c r="X266">
        <v>0</v>
      </c>
      <c r="Y266">
        <v>0</v>
      </c>
    </row>
    <row r="267" spans="1:25" x14ac:dyDescent="0.2">
      <c r="A267" t="s">
        <v>21</v>
      </c>
      <c r="B267" t="s">
        <v>952</v>
      </c>
      <c r="C267">
        <v>35</v>
      </c>
      <c r="D267" s="2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9</v>
      </c>
      <c r="K267">
        <v>0</v>
      </c>
      <c r="L267">
        <v>6</v>
      </c>
      <c r="M267">
        <v>0</v>
      </c>
      <c r="N267">
        <v>41</v>
      </c>
      <c r="O267" s="3">
        <f t="shared" si="18"/>
        <v>0</v>
      </c>
      <c r="P267">
        <f t="shared" si="16"/>
        <v>0</v>
      </c>
      <c r="Q267">
        <f t="shared" si="17"/>
        <v>0</v>
      </c>
      <c r="S267">
        <v>-2.4</v>
      </c>
      <c r="T267">
        <v>0</v>
      </c>
      <c r="U267">
        <v>0</v>
      </c>
      <c r="V267">
        <v>-2.4</v>
      </c>
      <c r="W267">
        <v>0</v>
      </c>
      <c r="X267">
        <v>0</v>
      </c>
      <c r="Y267">
        <v>0</v>
      </c>
    </row>
    <row r="268" spans="1:25" x14ac:dyDescent="0.2">
      <c r="A268" t="s">
        <v>21</v>
      </c>
      <c r="B268" t="s">
        <v>953</v>
      </c>
      <c r="C268">
        <v>80</v>
      </c>
      <c r="D268" s="2">
        <v>0</v>
      </c>
      <c r="E268">
        <v>0</v>
      </c>
      <c r="F268">
        <v>0</v>
      </c>
      <c r="G268">
        <v>0</v>
      </c>
      <c r="H268">
        <v>0</v>
      </c>
      <c r="I268">
        <v>25</v>
      </c>
      <c r="J268">
        <v>21</v>
      </c>
      <c r="K268">
        <v>0</v>
      </c>
      <c r="L268">
        <v>20</v>
      </c>
      <c r="M268">
        <v>0</v>
      </c>
      <c r="N268">
        <v>100</v>
      </c>
      <c r="O268" s="3">
        <f t="shared" si="18"/>
        <v>0</v>
      </c>
      <c r="P268">
        <f t="shared" si="16"/>
        <v>0</v>
      </c>
      <c r="Q268">
        <f t="shared" si="17"/>
        <v>0</v>
      </c>
      <c r="S268">
        <v>-8.2717391304347849</v>
      </c>
      <c r="T268">
        <v>0</v>
      </c>
      <c r="U268">
        <v>-0.27173913043478259</v>
      </c>
      <c r="V268">
        <v>-8.0000000000000018</v>
      </c>
      <c r="W268">
        <v>0</v>
      </c>
      <c r="X268">
        <v>0</v>
      </c>
      <c r="Y268">
        <v>0</v>
      </c>
    </row>
    <row r="269" spans="1:25" x14ac:dyDescent="0.2">
      <c r="A269" t="s">
        <v>21</v>
      </c>
      <c r="B269" t="s">
        <v>954</v>
      </c>
      <c r="C269">
        <v>45</v>
      </c>
      <c r="D269" s="2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12</v>
      </c>
      <c r="K269">
        <v>1</v>
      </c>
      <c r="L269">
        <v>8</v>
      </c>
      <c r="M269">
        <v>0</v>
      </c>
      <c r="N269">
        <v>53</v>
      </c>
      <c r="O269" s="3">
        <f t="shared" si="18"/>
        <v>0</v>
      </c>
      <c r="P269">
        <f t="shared" si="16"/>
        <v>0</v>
      </c>
      <c r="Q269">
        <f t="shared" si="17"/>
        <v>0</v>
      </c>
      <c r="S269">
        <v>-2.842857142857143</v>
      </c>
      <c r="T269">
        <v>0</v>
      </c>
      <c r="U269">
        <v>0</v>
      </c>
      <c r="V269">
        <v>-3.2</v>
      </c>
      <c r="W269">
        <v>0</v>
      </c>
      <c r="X269">
        <v>0</v>
      </c>
      <c r="Y269">
        <v>0.35714285714285715</v>
      </c>
    </row>
    <row r="270" spans="1:25" x14ac:dyDescent="0.2">
      <c r="A270" t="s">
        <v>21</v>
      </c>
      <c r="B270" t="s">
        <v>955</v>
      </c>
      <c r="C270">
        <v>140</v>
      </c>
      <c r="D270" s="2">
        <v>0</v>
      </c>
      <c r="E270">
        <v>0</v>
      </c>
      <c r="F270">
        <v>0</v>
      </c>
      <c r="G270">
        <v>0</v>
      </c>
      <c r="H270">
        <v>0</v>
      </c>
      <c r="I270">
        <v>50</v>
      </c>
      <c r="J270">
        <v>35</v>
      </c>
      <c r="K270">
        <v>0</v>
      </c>
      <c r="L270">
        <v>35</v>
      </c>
      <c r="M270">
        <v>0</v>
      </c>
      <c r="N270">
        <v>175</v>
      </c>
      <c r="O270" s="3">
        <f t="shared" si="18"/>
        <v>0</v>
      </c>
      <c r="P270">
        <f t="shared" si="16"/>
        <v>0</v>
      </c>
      <c r="Q270">
        <f t="shared" si="17"/>
        <v>0</v>
      </c>
      <c r="S270">
        <v>-14.543478260869563</v>
      </c>
      <c r="T270">
        <v>0</v>
      </c>
      <c r="U270">
        <v>-0.54347826086956519</v>
      </c>
      <c r="V270">
        <v>-13.999999999999998</v>
      </c>
      <c r="W270">
        <v>0</v>
      </c>
      <c r="X270">
        <v>0</v>
      </c>
      <c r="Y270">
        <v>0</v>
      </c>
    </row>
    <row r="271" spans="1:25" x14ac:dyDescent="0.2">
      <c r="A271" t="s">
        <v>21</v>
      </c>
      <c r="B271" t="s">
        <v>956</v>
      </c>
      <c r="C271">
        <v>190</v>
      </c>
      <c r="D271" s="2">
        <v>0</v>
      </c>
      <c r="E271">
        <v>0</v>
      </c>
      <c r="F271">
        <v>0</v>
      </c>
      <c r="G271">
        <v>0</v>
      </c>
      <c r="H271">
        <v>0</v>
      </c>
      <c r="I271">
        <v>70</v>
      </c>
      <c r="J271">
        <v>46</v>
      </c>
      <c r="K271">
        <v>0</v>
      </c>
      <c r="L271">
        <v>46</v>
      </c>
      <c r="M271">
        <v>0</v>
      </c>
      <c r="N271">
        <v>236</v>
      </c>
      <c r="O271" s="3">
        <f t="shared" si="18"/>
        <v>0</v>
      </c>
      <c r="P271">
        <f t="shared" si="16"/>
        <v>0</v>
      </c>
      <c r="Q271">
        <f t="shared" si="17"/>
        <v>0</v>
      </c>
      <c r="S271">
        <v>-19.160869565217393</v>
      </c>
      <c r="T271">
        <v>0</v>
      </c>
      <c r="U271">
        <v>-0.76086956521739135</v>
      </c>
      <c r="V271">
        <v>-18.400000000000002</v>
      </c>
      <c r="W271">
        <v>0</v>
      </c>
      <c r="X271">
        <v>0</v>
      </c>
      <c r="Y271">
        <v>0</v>
      </c>
    </row>
    <row r="272" spans="1:25" x14ac:dyDescent="0.2">
      <c r="A272" t="s">
        <v>21</v>
      </c>
      <c r="B272" t="s">
        <v>957</v>
      </c>
      <c r="C272">
        <v>240</v>
      </c>
      <c r="D272" s="2">
        <v>0</v>
      </c>
      <c r="E272">
        <v>0</v>
      </c>
      <c r="F272">
        <v>0</v>
      </c>
      <c r="G272">
        <v>0</v>
      </c>
      <c r="H272">
        <v>0</v>
      </c>
      <c r="I272">
        <v>85</v>
      </c>
      <c r="J272">
        <v>58</v>
      </c>
      <c r="K272">
        <v>0</v>
      </c>
      <c r="L272">
        <v>58</v>
      </c>
      <c r="M272">
        <v>0</v>
      </c>
      <c r="N272">
        <v>298</v>
      </c>
      <c r="O272" s="3">
        <f t="shared" si="18"/>
        <v>0</v>
      </c>
      <c r="P272">
        <f t="shared" si="16"/>
        <v>0</v>
      </c>
      <c r="Q272">
        <f t="shared" si="17"/>
        <v>0</v>
      </c>
      <c r="S272">
        <v>-24.123913043478261</v>
      </c>
      <c r="T272">
        <v>0</v>
      </c>
      <c r="U272">
        <v>-0.92391304347826086</v>
      </c>
      <c r="V272">
        <v>-23.2</v>
      </c>
      <c r="W272">
        <v>0</v>
      </c>
      <c r="X272">
        <v>0</v>
      </c>
      <c r="Y272">
        <v>0</v>
      </c>
    </row>
    <row r="273" spans="1:25" x14ac:dyDescent="0.2">
      <c r="A273" t="s">
        <v>21</v>
      </c>
      <c r="B273" t="s">
        <v>958</v>
      </c>
      <c r="C273">
        <v>350</v>
      </c>
      <c r="D273" s="2">
        <v>0</v>
      </c>
      <c r="E273">
        <v>0</v>
      </c>
      <c r="F273">
        <v>0</v>
      </c>
      <c r="G273">
        <v>0</v>
      </c>
      <c r="H273">
        <v>0</v>
      </c>
      <c r="I273">
        <v>125</v>
      </c>
      <c r="J273">
        <v>87</v>
      </c>
      <c r="K273">
        <v>0</v>
      </c>
      <c r="L273">
        <v>87</v>
      </c>
      <c r="M273">
        <v>0</v>
      </c>
      <c r="N273">
        <v>437</v>
      </c>
      <c r="O273" s="3">
        <f t="shared" si="18"/>
        <v>0</v>
      </c>
      <c r="P273">
        <f t="shared" si="16"/>
        <v>0</v>
      </c>
      <c r="Q273">
        <f t="shared" si="17"/>
        <v>0</v>
      </c>
      <c r="S273">
        <v>-36.158695652173918</v>
      </c>
      <c r="T273">
        <v>0</v>
      </c>
      <c r="U273">
        <v>-1.3586956521739131</v>
      </c>
      <c r="V273">
        <v>-34.800000000000004</v>
      </c>
      <c r="W273">
        <v>0</v>
      </c>
      <c r="X273">
        <v>0</v>
      </c>
      <c r="Y273">
        <v>0</v>
      </c>
    </row>
    <row r="274" spans="1:25" x14ac:dyDescent="0.2">
      <c r="A274" t="s">
        <v>21</v>
      </c>
      <c r="B274" t="s">
        <v>959</v>
      </c>
      <c r="C274">
        <v>880</v>
      </c>
      <c r="D274" s="2">
        <v>0</v>
      </c>
      <c r="E274">
        <v>0</v>
      </c>
      <c r="F274">
        <v>0</v>
      </c>
      <c r="G274">
        <v>0</v>
      </c>
      <c r="H274">
        <v>0</v>
      </c>
      <c r="I274">
        <v>780</v>
      </c>
      <c r="J274">
        <v>234</v>
      </c>
      <c r="K274">
        <v>0</v>
      </c>
      <c r="L274">
        <v>228</v>
      </c>
      <c r="M274">
        <v>0</v>
      </c>
      <c r="N274">
        <v>1108</v>
      </c>
      <c r="O274" s="3">
        <f t="shared" si="18"/>
        <v>0</v>
      </c>
      <c r="P274">
        <f t="shared" si="16"/>
        <v>1</v>
      </c>
      <c r="Q274">
        <f t="shared" si="17"/>
        <v>0</v>
      </c>
      <c r="S274">
        <v>-99.678260869565207</v>
      </c>
      <c r="T274">
        <v>0</v>
      </c>
      <c r="U274">
        <v>-8.4782608695652169</v>
      </c>
      <c r="V274">
        <v>-91.199999999999989</v>
      </c>
      <c r="W274">
        <v>0</v>
      </c>
      <c r="X274">
        <v>0</v>
      </c>
      <c r="Y274">
        <v>0</v>
      </c>
    </row>
    <row r="275" spans="1:25" x14ac:dyDescent="0.2">
      <c r="A275" t="s">
        <v>21</v>
      </c>
      <c r="B275" t="s">
        <v>960</v>
      </c>
      <c r="C275">
        <v>140</v>
      </c>
      <c r="D275" s="2">
        <v>0</v>
      </c>
      <c r="E275">
        <v>0</v>
      </c>
      <c r="F275">
        <v>0</v>
      </c>
      <c r="G275">
        <v>0</v>
      </c>
      <c r="H275">
        <v>0</v>
      </c>
      <c r="I275">
        <v>130</v>
      </c>
      <c r="J275">
        <v>39</v>
      </c>
      <c r="K275">
        <v>0</v>
      </c>
      <c r="L275">
        <v>38</v>
      </c>
      <c r="M275">
        <v>0</v>
      </c>
      <c r="N275">
        <v>178</v>
      </c>
      <c r="O275" s="3">
        <f t="shared" si="18"/>
        <v>0</v>
      </c>
      <c r="P275">
        <f t="shared" si="16"/>
        <v>0</v>
      </c>
      <c r="Q275">
        <f t="shared" si="17"/>
        <v>0</v>
      </c>
      <c r="S275">
        <v>-16.613043478260874</v>
      </c>
      <c r="T275">
        <v>0</v>
      </c>
      <c r="U275">
        <v>-1.4130434782608696</v>
      </c>
      <c r="V275">
        <v>-15.200000000000003</v>
      </c>
      <c r="W275">
        <v>0</v>
      </c>
      <c r="X275">
        <v>0</v>
      </c>
      <c r="Y275">
        <v>0</v>
      </c>
    </row>
    <row r="276" spans="1:25" x14ac:dyDescent="0.2">
      <c r="A276" t="s">
        <v>21</v>
      </c>
      <c r="B276" t="s">
        <v>961</v>
      </c>
      <c r="C276">
        <v>170</v>
      </c>
      <c r="D276" s="2">
        <v>0</v>
      </c>
      <c r="E276">
        <v>0</v>
      </c>
      <c r="F276">
        <v>0</v>
      </c>
      <c r="G276">
        <v>0</v>
      </c>
      <c r="H276">
        <v>0</v>
      </c>
      <c r="I276">
        <v>50</v>
      </c>
      <c r="J276">
        <v>46</v>
      </c>
      <c r="K276">
        <v>0</v>
      </c>
      <c r="L276">
        <v>46</v>
      </c>
      <c r="M276">
        <v>0</v>
      </c>
      <c r="N276">
        <v>216</v>
      </c>
      <c r="O276" s="3">
        <f t="shared" si="18"/>
        <v>0</v>
      </c>
      <c r="P276">
        <f t="shared" si="16"/>
        <v>0</v>
      </c>
      <c r="Q276">
        <f t="shared" si="17"/>
        <v>0</v>
      </c>
      <c r="S276">
        <v>-18.943478260869568</v>
      </c>
      <c r="T276">
        <v>0</v>
      </c>
      <c r="U276">
        <v>-0.54347826086956519</v>
      </c>
      <c r="V276">
        <v>-18.400000000000002</v>
      </c>
      <c r="W276">
        <v>0</v>
      </c>
      <c r="X276">
        <v>0</v>
      </c>
      <c r="Y276">
        <v>0</v>
      </c>
    </row>
    <row r="277" spans="1:25" x14ac:dyDescent="0.2">
      <c r="A277" t="s">
        <v>21</v>
      </c>
      <c r="B277" t="s">
        <v>962</v>
      </c>
      <c r="C277">
        <v>230</v>
      </c>
      <c r="D277" s="2">
        <v>0</v>
      </c>
      <c r="E277">
        <v>0</v>
      </c>
      <c r="F277">
        <v>0</v>
      </c>
      <c r="G277">
        <v>0</v>
      </c>
      <c r="H277">
        <v>0</v>
      </c>
      <c r="I277">
        <v>65</v>
      </c>
      <c r="J277">
        <v>62</v>
      </c>
      <c r="K277">
        <v>0</v>
      </c>
      <c r="L277">
        <v>62</v>
      </c>
      <c r="M277">
        <v>0</v>
      </c>
      <c r="N277">
        <v>292</v>
      </c>
      <c r="O277" s="3">
        <f t="shared" si="18"/>
        <v>0</v>
      </c>
      <c r="P277">
        <f t="shared" si="16"/>
        <v>0</v>
      </c>
      <c r="Q277">
        <f t="shared" si="17"/>
        <v>0</v>
      </c>
      <c r="S277">
        <v>-25.506521739130434</v>
      </c>
      <c r="T277">
        <v>0</v>
      </c>
      <c r="U277">
        <v>-0.70652173913043481</v>
      </c>
      <c r="V277">
        <v>-24.8</v>
      </c>
      <c r="W277">
        <v>0</v>
      </c>
      <c r="X277">
        <v>0</v>
      </c>
      <c r="Y277">
        <v>0</v>
      </c>
    </row>
    <row r="278" spans="1:25" x14ac:dyDescent="0.2">
      <c r="A278" t="s">
        <v>21</v>
      </c>
      <c r="B278" t="s">
        <v>963</v>
      </c>
      <c r="C278">
        <v>290</v>
      </c>
      <c r="D278" s="2">
        <v>0</v>
      </c>
      <c r="E278">
        <v>0</v>
      </c>
      <c r="F278">
        <v>0</v>
      </c>
      <c r="G278">
        <v>0</v>
      </c>
      <c r="H278">
        <v>0</v>
      </c>
      <c r="I278">
        <v>85</v>
      </c>
      <c r="J278">
        <v>77</v>
      </c>
      <c r="K278">
        <v>0</v>
      </c>
      <c r="L278">
        <v>77</v>
      </c>
      <c r="M278">
        <v>0</v>
      </c>
      <c r="N278">
        <v>367</v>
      </c>
      <c r="O278" s="3">
        <f t="shared" si="18"/>
        <v>0</v>
      </c>
      <c r="P278">
        <f t="shared" si="16"/>
        <v>0</v>
      </c>
      <c r="Q278">
        <f t="shared" si="17"/>
        <v>0</v>
      </c>
      <c r="S278">
        <v>-31.723913043478266</v>
      </c>
      <c r="T278">
        <v>0</v>
      </c>
      <c r="U278">
        <v>-0.92391304347826086</v>
      </c>
      <c r="V278">
        <v>-30.800000000000004</v>
      </c>
      <c r="W278">
        <v>0</v>
      </c>
      <c r="X278">
        <v>0</v>
      </c>
      <c r="Y278">
        <v>0</v>
      </c>
    </row>
    <row r="279" spans="1:25" x14ac:dyDescent="0.2">
      <c r="A279" t="s">
        <v>21</v>
      </c>
      <c r="B279" t="s">
        <v>964</v>
      </c>
      <c r="C279">
        <v>430</v>
      </c>
      <c r="D279" s="2">
        <v>0</v>
      </c>
      <c r="E279">
        <v>0</v>
      </c>
      <c r="F279">
        <v>0</v>
      </c>
      <c r="G279">
        <v>0</v>
      </c>
      <c r="H279">
        <v>0</v>
      </c>
      <c r="I279">
        <v>125</v>
      </c>
      <c r="J279">
        <v>116</v>
      </c>
      <c r="K279">
        <v>0</v>
      </c>
      <c r="L279">
        <v>115</v>
      </c>
      <c r="M279">
        <v>0</v>
      </c>
      <c r="N279">
        <v>545</v>
      </c>
      <c r="O279" s="3">
        <f t="shared" si="18"/>
        <v>0</v>
      </c>
      <c r="P279">
        <f t="shared" si="16"/>
        <v>0</v>
      </c>
      <c r="Q279">
        <f t="shared" si="17"/>
        <v>0</v>
      </c>
      <c r="S279">
        <v>-47.358695652173914</v>
      </c>
      <c r="T279">
        <v>0</v>
      </c>
      <c r="U279">
        <v>-1.3586956521739131</v>
      </c>
      <c r="V279">
        <v>-46</v>
      </c>
      <c r="W279">
        <v>0</v>
      </c>
      <c r="X279">
        <v>0</v>
      </c>
      <c r="Y279">
        <v>0</v>
      </c>
    </row>
    <row r="280" spans="1:25" x14ac:dyDescent="0.2">
      <c r="A280" t="s">
        <v>21</v>
      </c>
      <c r="B280" t="s">
        <v>973</v>
      </c>
      <c r="C280">
        <v>0</v>
      </c>
      <c r="D280" s="2">
        <v>0</v>
      </c>
      <c r="E280">
        <v>0</v>
      </c>
      <c r="F280">
        <v>0</v>
      </c>
      <c r="G280">
        <v>0</v>
      </c>
      <c r="H280">
        <v>0</v>
      </c>
      <c r="I280">
        <v>55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f t="shared" si="16"/>
        <v>0</v>
      </c>
      <c r="Q280">
        <f t="shared" si="17"/>
        <v>0</v>
      </c>
      <c r="S280">
        <v>-0.59782608695652173</v>
      </c>
      <c r="T280">
        <v>0</v>
      </c>
      <c r="U280">
        <v>-0.59782608695652173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 t="s">
        <v>21</v>
      </c>
      <c r="B281" t="s">
        <v>974</v>
      </c>
      <c r="C281">
        <v>5</v>
      </c>
      <c r="D281" s="2">
        <v>0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1</v>
      </c>
      <c r="K281">
        <v>0</v>
      </c>
      <c r="L281">
        <v>0</v>
      </c>
      <c r="M281">
        <v>0</v>
      </c>
      <c r="N281">
        <v>5</v>
      </c>
      <c r="O281" s="3">
        <f t="shared" ref="O281:O320" si="19">M281/C281*100</f>
        <v>0</v>
      </c>
      <c r="P281">
        <f t="shared" si="16"/>
        <v>0</v>
      </c>
      <c r="Q281">
        <f t="shared" si="17"/>
        <v>0</v>
      </c>
      <c r="S281">
        <v>-0.81521739130434778</v>
      </c>
      <c r="T281">
        <v>0</v>
      </c>
      <c r="U281">
        <v>-0.81521739130434778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 t="s">
        <v>21</v>
      </c>
      <c r="B282" t="s">
        <v>975</v>
      </c>
      <c r="C282">
        <v>10</v>
      </c>
      <c r="D282" s="2">
        <v>0</v>
      </c>
      <c r="E282">
        <v>0</v>
      </c>
      <c r="F282">
        <v>0</v>
      </c>
      <c r="G282">
        <v>0</v>
      </c>
      <c r="H282">
        <v>0</v>
      </c>
      <c r="I282">
        <v>90</v>
      </c>
      <c r="J282">
        <v>1</v>
      </c>
      <c r="K282">
        <v>0</v>
      </c>
      <c r="L282">
        <v>1</v>
      </c>
      <c r="M282">
        <v>0</v>
      </c>
      <c r="N282">
        <v>11</v>
      </c>
      <c r="O282" s="3">
        <f t="shared" si="19"/>
        <v>0</v>
      </c>
      <c r="P282">
        <f t="shared" si="16"/>
        <v>0</v>
      </c>
      <c r="Q282">
        <f t="shared" si="17"/>
        <v>0</v>
      </c>
      <c r="S282">
        <v>-1.3782608695652177</v>
      </c>
      <c r="T282">
        <v>0</v>
      </c>
      <c r="U282">
        <v>-0.97826086956521752</v>
      </c>
      <c r="V282">
        <v>-0.4</v>
      </c>
      <c r="W282">
        <v>0</v>
      </c>
      <c r="X282">
        <v>0</v>
      </c>
      <c r="Y282">
        <v>0</v>
      </c>
    </row>
    <row r="283" spans="1:25" ht="14" customHeight="1" x14ac:dyDescent="0.2">
      <c r="A283" t="s">
        <v>21</v>
      </c>
      <c r="B283" t="s">
        <v>976</v>
      </c>
      <c r="C283">
        <v>10</v>
      </c>
      <c r="D283" s="2">
        <v>0</v>
      </c>
      <c r="E283">
        <v>0</v>
      </c>
      <c r="F283">
        <v>0</v>
      </c>
      <c r="G283">
        <v>0</v>
      </c>
      <c r="H283">
        <v>0</v>
      </c>
      <c r="I283">
        <v>140</v>
      </c>
      <c r="J283">
        <v>1</v>
      </c>
      <c r="K283">
        <v>0</v>
      </c>
      <c r="L283">
        <v>1</v>
      </c>
      <c r="M283">
        <v>0</v>
      </c>
      <c r="N283">
        <v>11</v>
      </c>
      <c r="O283" s="3">
        <f t="shared" si="19"/>
        <v>0</v>
      </c>
      <c r="P283">
        <f t="shared" si="16"/>
        <v>0</v>
      </c>
      <c r="Q283">
        <f t="shared" si="17"/>
        <v>0</v>
      </c>
      <c r="S283">
        <v>-1.9217391304347826</v>
      </c>
      <c r="T283">
        <v>0</v>
      </c>
      <c r="U283">
        <v>-1.5217391304347827</v>
      </c>
      <c r="V283">
        <v>-0.4</v>
      </c>
      <c r="W283">
        <v>0</v>
      </c>
      <c r="X283">
        <v>0</v>
      </c>
      <c r="Y283">
        <v>0</v>
      </c>
    </row>
    <row r="284" spans="1:25" x14ac:dyDescent="0.2">
      <c r="A284" t="s">
        <v>21</v>
      </c>
      <c r="B284" t="s">
        <v>985</v>
      </c>
      <c r="C284">
        <v>140</v>
      </c>
      <c r="D284" s="2">
        <v>0</v>
      </c>
      <c r="E284">
        <v>0</v>
      </c>
      <c r="F284">
        <v>0</v>
      </c>
      <c r="G284">
        <v>0</v>
      </c>
      <c r="H284">
        <v>0</v>
      </c>
      <c r="I284">
        <v>45</v>
      </c>
      <c r="J284">
        <v>39</v>
      </c>
      <c r="K284">
        <v>0</v>
      </c>
      <c r="L284">
        <v>38</v>
      </c>
      <c r="M284">
        <v>0</v>
      </c>
      <c r="N284">
        <v>178</v>
      </c>
      <c r="O284" s="3">
        <f t="shared" si="19"/>
        <v>0</v>
      </c>
      <c r="P284">
        <f t="shared" si="16"/>
        <v>0</v>
      </c>
      <c r="Q284">
        <f t="shared" si="17"/>
        <v>0</v>
      </c>
      <c r="S284">
        <v>-15.689130434782612</v>
      </c>
      <c r="T284">
        <v>0</v>
      </c>
      <c r="U284">
        <v>-0.48913043478260876</v>
      </c>
      <c r="V284">
        <v>-15.200000000000003</v>
      </c>
      <c r="W284">
        <v>0</v>
      </c>
      <c r="X284">
        <v>0</v>
      </c>
      <c r="Y284">
        <v>0</v>
      </c>
    </row>
    <row r="285" spans="1:25" x14ac:dyDescent="0.2">
      <c r="A285" t="s">
        <v>21</v>
      </c>
      <c r="B285" t="s">
        <v>986</v>
      </c>
      <c r="C285">
        <v>190</v>
      </c>
      <c r="D285" s="2">
        <v>0</v>
      </c>
      <c r="E285">
        <v>0</v>
      </c>
      <c r="F285">
        <v>0</v>
      </c>
      <c r="G285">
        <v>0</v>
      </c>
      <c r="H285">
        <v>0</v>
      </c>
      <c r="I285">
        <v>60</v>
      </c>
      <c r="J285">
        <v>52</v>
      </c>
      <c r="K285">
        <v>0</v>
      </c>
      <c r="L285">
        <v>51</v>
      </c>
      <c r="M285">
        <v>0</v>
      </c>
      <c r="N285">
        <v>241</v>
      </c>
      <c r="O285" s="3">
        <f t="shared" si="19"/>
        <v>0</v>
      </c>
      <c r="P285">
        <f t="shared" si="16"/>
        <v>0</v>
      </c>
      <c r="Q285">
        <f t="shared" si="17"/>
        <v>0</v>
      </c>
      <c r="S285">
        <v>-21.052173913043479</v>
      </c>
      <c r="T285">
        <v>0</v>
      </c>
      <c r="U285">
        <v>-0.65217391304347827</v>
      </c>
      <c r="V285">
        <v>-20.400000000000002</v>
      </c>
      <c r="W285">
        <v>0</v>
      </c>
      <c r="X285">
        <v>0</v>
      </c>
      <c r="Y285">
        <v>0</v>
      </c>
    </row>
    <row r="286" spans="1:25" x14ac:dyDescent="0.2">
      <c r="A286" t="s">
        <v>21</v>
      </c>
      <c r="B286" t="s">
        <v>987</v>
      </c>
      <c r="C286">
        <v>240</v>
      </c>
      <c r="D286" s="2">
        <v>0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65</v>
      </c>
      <c r="K286">
        <v>0</v>
      </c>
      <c r="L286">
        <v>64</v>
      </c>
      <c r="M286">
        <v>0</v>
      </c>
      <c r="N286">
        <v>304</v>
      </c>
      <c r="O286" s="3">
        <f t="shared" si="19"/>
        <v>0</v>
      </c>
      <c r="P286">
        <f t="shared" si="16"/>
        <v>0</v>
      </c>
      <c r="Q286">
        <f t="shared" si="17"/>
        <v>0</v>
      </c>
      <c r="S286">
        <v>-26.415217391304349</v>
      </c>
      <c r="T286">
        <v>0</v>
      </c>
      <c r="U286">
        <v>-0.81521739130434778</v>
      </c>
      <c r="V286">
        <v>-25.6</v>
      </c>
      <c r="W286">
        <v>0</v>
      </c>
      <c r="X286">
        <v>0</v>
      </c>
      <c r="Y286">
        <v>0</v>
      </c>
    </row>
    <row r="287" spans="1:25" x14ac:dyDescent="0.2">
      <c r="A287" t="s">
        <v>21</v>
      </c>
      <c r="B287" t="s">
        <v>988</v>
      </c>
      <c r="C287">
        <v>360</v>
      </c>
      <c r="D287" s="2">
        <v>0</v>
      </c>
      <c r="E287">
        <v>0</v>
      </c>
      <c r="F287">
        <v>0</v>
      </c>
      <c r="G287">
        <v>0</v>
      </c>
      <c r="H287">
        <v>0</v>
      </c>
      <c r="I287">
        <v>110</v>
      </c>
      <c r="J287">
        <v>98</v>
      </c>
      <c r="K287">
        <v>0</v>
      </c>
      <c r="L287">
        <v>96</v>
      </c>
      <c r="M287">
        <v>0</v>
      </c>
      <c r="N287">
        <v>456</v>
      </c>
      <c r="O287" s="3">
        <f t="shared" si="19"/>
        <v>0</v>
      </c>
      <c r="P287">
        <f t="shared" si="16"/>
        <v>0</v>
      </c>
      <c r="Q287">
        <f t="shared" si="17"/>
        <v>0</v>
      </c>
      <c r="S287">
        <v>-39.595652173913045</v>
      </c>
      <c r="T287">
        <v>0</v>
      </c>
      <c r="U287">
        <v>-1.1956521739130435</v>
      </c>
      <c r="V287">
        <v>-38.4</v>
      </c>
      <c r="W287">
        <v>0</v>
      </c>
      <c r="X287">
        <v>0</v>
      </c>
      <c r="Y287">
        <v>0</v>
      </c>
    </row>
    <row r="288" spans="1:25" x14ac:dyDescent="0.2">
      <c r="A288" t="s">
        <v>21</v>
      </c>
      <c r="B288" t="s">
        <v>989</v>
      </c>
      <c r="C288">
        <v>80</v>
      </c>
      <c r="D288" s="2">
        <v>0</v>
      </c>
      <c r="E288">
        <v>0</v>
      </c>
      <c r="F288">
        <v>0</v>
      </c>
      <c r="G288">
        <v>0</v>
      </c>
      <c r="H288">
        <v>0</v>
      </c>
      <c r="I288">
        <v>40</v>
      </c>
      <c r="J288">
        <v>22</v>
      </c>
      <c r="K288">
        <v>0</v>
      </c>
      <c r="L288">
        <v>22</v>
      </c>
      <c r="M288">
        <v>0</v>
      </c>
      <c r="N288">
        <v>102</v>
      </c>
      <c r="O288" s="3">
        <f t="shared" si="19"/>
        <v>0</v>
      </c>
      <c r="P288">
        <f t="shared" si="16"/>
        <v>0</v>
      </c>
      <c r="Q288">
        <f t="shared" si="17"/>
        <v>0</v>
      </c>
      <c r="S288">
        <v>-9.234782608695653</v>
      </c>
      <c r="T288">
        <v>0</v>
      </c>
      <c r="U288">
        <v>-0.43478260869565216</v>
      </c>
      <c r="V288">
        <v>-8.8000000000000007</v>
      </c>
      <c r="W288">
        <v>0</v>
      </c>
      <c r="X288">
        <v>0</v>
      </c>
      <c r="Y288">
        <v>0</v>
      </c>
    </row>
    <row r="289" spans="1:25" x14ac:dyDescent="0.2">
      <c r="A289" t="s">
        <v>21</v>
      </c>
      <c r="B289" t="s">
        <v>990</v>
      </c>
      <c r="C289">
        <v>110</v>
      </c>
      <c r="D289" s="2">
        <v>0</v>
      </c>
      <c r="E289">
        <v>0</v>
      </c>
      <c r="F289">
        <v>0</v>
      </c>
      <c r="G289">
        <v>0</v>
      </c>
      <c r="H289">
        <v>0</v>
      </c>
      <c r="I289">
        <v>55</v>
      </c>
      <c r="J289">
        <v>29</v>
      </c>
      <c r="K289">
        <v>0</v>
      </c>
      <c r="L289">
        <v>29</v>
      </c>
      <c r="M289">
        <v>0</v>
      </c>
      <c r="N289">
        <v>139</v>
      </c>
      <c r="O289" s="3">
        <f t="shared" si="19"/>
        <v>0</v>
      </c>
      <c r="P289">
        <f t="shared" si="16"/>
        <v>0</v>
      </c>
      <c r="Q289">
        <f t="shared" si="17"/>
        <v>0</v>
      </c>
      <c r="S289">
        <v>-12.197826086956521</v>
      </c>
      <c r="T289">
        <v>0</v>
      </c>
      <c r="U289">
        <v>-0.59782608695652173</v>
      </c>
      <c r="V289">
        <v>-11.6</v>
      </c>
      <c r="W289">
        <v>0</v>
      </c>
      <c r="X289">
        <v>0</v>
      </c>
      <c r="Y289">
        <v>0</v>
      </c>
    </row>
    <row r="290" spans="1:25" x14ac:dyDescent="0.2">
      <c r="A290" t="s">
        <v>21</v>
      </c>
      <c r="B290" t="s">
        <v>991</v>
      </c>
      <c r="C290">
        <v>140</v>
      </c>
      <c r="D290" s="2">
        <v>0</v>
      </c>
      <c r="E290">
        <v>0</v>
      </c>
      <c r="F290">
        <v>0</v>
      </c>
      <c r="G290">
        <v>0</v>
      </c>
      <c r="H290">
        <v>0</v>
      </c>
      <c r="I290">
        <v>70</v>
      </c>
      <c r="J290">
        <v>36</v>
      </c>
      <c r="K290">
        <v>0</v>
      </c>
      <c r="L290">
        <v>36</v>
      </c>
      <c r="M290">
        <v>0</v>
      </c>
      <c r="N290">
        <v>176</v>
      </c>
      <c r="O290" s="3">
        <f t="shared" si="19"/>
        <v>0</v>
      </c>
      <c r="P290">
        <f t="shared" si="16"/>
        <v>0</v>
      </c>
      <c r="Q290">
        <f t="shared" si="17"/>
        <v>0</v>
      </c>
      <c r="S290">
        <v>-15.160869565217389</v>
      </c>
      <c r="T290">
        <v>0</v>
      </c>
      <c r="U290">
        <v>-0.76086956521739135</v>
      </c>
      <c r="V290">
        <v>-14.399999999999999</v>
      </c>
      <c r="W290">
        <v>0</v>
      </c>
      <c r="X290">
        <v>0</v>
      </c>
      <c r="Y290">
        <v>0</v>
      </c>
    </row>
    <row r="291" spans="1:25" x14ac:dyDescent="0.2">
      <c r="A291" t="s">
        <v>21</v>
      </c>
      <c r="B291" t="s">
        <v>992</v>
      </c>
      <c r="C291">
        <v>210</v>
      </c>
      <c r="D291" s="2">
        <v>0</v>
      </c>
      <c r="E291">
        <v>0</v>
      </c>
      <c r="F291">
        <v>0</v>
      </c>
      <c r="G291">
        <v>0</v>
      </c>
      <c r="H291">
        <v>0</v>
      </c>
      <c r="I291">
        <v>105</v>
      </c>
      <c r="J291">
        <v>55</v>
      </c>
      <c r="K291">
        <v>0</v>
      </c>
      <c r="L291">
        <v>54</v>
      </c>
      <c r="M291">
        <v>0</v>
      </c>
      <c r="N291">
        <v>264</v>
      </c>
      <c r="O291" s="3">
        <f t="shared" si="19"/>
        <v>0</v>
      </c>
      <c r="P291">
        <f t="shared" si="16"/>
        <v>0</v>
      </c>
      <c r="Q291">
        <f t="shared" si="17"/>
        <v>0</v>
      </c>
      <c r="S291">
        <v>-22.741304347826087</v>
      </c>
      <c r="T291">
        <v>0</v>
      </c>
      <c r="U291">
        <v>-1.1413043478260869</v>
      </c>
      <c r="V291">
        <v>-21.6</v>
      </c>
      <c r="W291">
        <v>0</v>
      </c>
      <c r="X291">
        <v>0</v>
      </c>
      <c r="Y291">
        <v>0</v>
      </c>
    </row>
    <row r="292" spans="1:25" x14ac:dyDescent="0.2">
      <c r="A292" t="s">
        <v>21</v>
      </c>
      <c r="B292" t="s">
        <v>997</v>
      </c>
      <c r="C292">
        <v>80</v>
      </c>
      <c r="D292" s="2">
        <v>0</v>
      </c>
      <c r="E292">
        <v>0</v>
      </c>
      <c r="F292">
        <v>0</v>
      </c>
      <c r="G292">
        <v>0</v>
      </c>
      <c r="H292">
        <v>0</v>
      </c>
      <c r="I292">
        <v>45</v>
      </c>
      <c r="J292">
        <v>20</v>
      </c>
      <c r="K292">
        <v>0</v>
      </c>
      <c r="L292">
        <v>20</v>
      </c>
      <c r="M292">
        <v>0</v>
      </c>
      <c r="N292">
        <v>100</v>
      </c>
      <c r="O292" s="3">
        <f t="shared" si="19"/>
        <v>0</v>
      </c>
      <c r="P292">
        <f t="shared" si="16"/>
        <v>0</v>
      </c>
      <c r="Q292">
        <f t="shared" si="17"/>
        <v>0</v>
      </c>
      <c r="S292">
        <v>-8.4891304347826111</v>
      </c>
      <c r="T292">
        <v>0</v>
      </c>
      <c r="U292">
        <v>-0.48913043478260876</v>
      </c>
      <c r="V292">
        <v>-8.0000000000000018</v>
      </c>
      <c r="W292">
        <v>0</v>
      </c>
      <c r="X292">
        <v>0</v>
      </c>
      <c r="Y292">
        <v>0</v>
      </c>
    </row>
    <row r="293" spans="1:25" x14ac:dyDescent="0.2">
      <c r="A293" t="s">
        <v>21</v>
      </c>
      <c r="B293" t="s">
        <v>998</v>
      </c>
      <c r="C293">
        <v>100</v>
      </c>
      <c r="D293" s="2">
        <v>0</v>
      </c>
      <c r="E293">
        <v>0</v>
      </c>
      <c r="F293">
        <v>0</v>
      </c>
      <c r="G293">
        <v>0</v>
      </c>
      <c r="H293">
        <v>0</v>
      </c>
      <c r="I293">
        <v>55</v>
      </c>
      <c r="J293">
        <v>26</v>
      </c>
      <c r="K293">
        <v>0</v>
      </c>
      <c r="L293">
        <v>26</v>
      </c>
      <c r="M293">
        <v>0</v>
      </c>
      <c r="N293">
        <v>126</v>
      </c>
      <c r="O293" s="3">
        <f t="shared" si="19"/>
        <v>0</v>
      </c>
      <c r="P293">
        <f t="shared" si="16"/>
        <v>0</v>
      </c>
      <c r="Q293">
        <f t="shared" si="17"/>
        <v>0</v>
      </c>
      <c r="S293">
        <v>-10.997826086956522</v>
      </c>
      <c r="T293">
        <v>0</v>
      </c>
      <c r="U293">
        <v>-0.59782608695652173</v>
      </c>
      <c r="V293">
        <v>-10.4</v>
      </c>
      <c r="W293">
        <v>0</v>
      </c>
      <c r="X293">
        <v>0</v>
      </c>
      <c r="Y293">
        <v>0</v>
      </c>
    </row>
    <row r="294" spans="1:25" x14ac:dyDescent="0.2">
      <c r="A294" t="s">
        <v>21</v>
      </c>
      <c r="B294" t="s">
        <v>999</v>
      </c>
      <c r="C294">
        <v>130</v>
      </c>
      <c r="D294" s="2">
        <v>0</v>
      </c>
      <c r="E294">
        <v>0</v>
      </c>
      <c r="F294">
        <v>0</v>
      </c>
      <c r="G294">
        <v>0</v>
      </c>
      <c r="H294">
        <v>0</v>
      </c>
      <c r="I294">
        <v>70</v>
      </c>
      <c r="J294">
        <v>33</v>
      </c>
      <c r="K294">
        <v>0</v>
      </c>
      <c r="L294">
        <v>33</v>
      </c>
      <c r="M294">
        <v>0</v>
      </c>
      <c r="N294">
        <v>163</v>
      </c>
      <c r="O294" s="3">
        <f t="shared" si="19"/>
        <v>0</v>
      </c>
      <c r="P294">
        <f t="shared" si="16"/>
        <v>0</v>
      </c>
      <c r="Q294">
        <f t="shared" si="17"/>
        <v>0</v>
      </c>
      <c r="S294">
        <v>-13.960869565217392</v>
      </c>
      <c r="T294">
        <v>0</v>
      </c>
      <c r="U294">
        <v>-0.76086956521739135</v>
      </c>
      <c r="V294">
        <v>-13.200000000000001</v>
      </c>
      <c r="W294">
        <v>0</v>
      </c>
      <c r="X294">
        <v>0</v>
      </c>
      <c r="Y294">
        <v>0</v>
      </c>
    </row>
    <row r="295" spans="1:25" x14ac:dyDescent="0.2">
      <c r="A295" t="s">
        <v>21</v>
      </c>
      <c r="B295" t="s">
        <v>1000</v>
      </c>
      <c r="C295">
        <v>190</v>
      </c>
      <c r="D295" s="2">
        <v>0</v>
      </c>
      <c r="E295">
        <v>0</v>
      </c>
      <c r="F295">
        <v>0</v>
      </c>
      <c r="G295">
        <v>0</v>
      </c>
      <c r="H295">
        <v>0</v>
      </c>
      <c r="I295">
        <v>110</v>
      </c>
      <c r="J295">
        <v>49</v>
      </c>
      <c r="K295">
        <v>0</v>
      </c>
      <c r="L295">
        <v>49</v>
      </c>
      <c r="M295">
        <v>0</v>
      </c>
      <c r="N295">
        <v>239</v>
      </c>
      <c r="O295" s="3">
        <f t="shared" si="19"/>
        <v>0</v>
      </c>
      <c r="P295">
        <f t="shared" si="16"/>
        <v>0</v>
      </c>
      <c r="Q295">
        <f t="shared" si="17"/>
        <v>0</v>
      </c>
      <c r="S295">
        <v>-20.795652173913044</v>
      </c>
      <c r="T295">
        <v>0</v>
      </c>
      <c r="U295">
        <v>-1.1956521739130435</v>
      </c>
      <c r="V295">
        <v>-19.600000000000001</v>
      </c>
      <c r="W295">
        <v>0</v>
      </c>
      <c r="X295">
        <v>0</v>
      </c>
      <c r="Y295">
        <v>0</v>
      </c>
    </row>
    <row r="296" spans="1:25" x14ac:dyDescent="0.2">
      <c r="A296" t="s">
        <v>21</v>
      </c>
      <c r="B296" t="s">
        <v>1001</v>
      </c>
      <c r="C296">
        <v>80</v>
      </c>
      <c r="D296" s="2">
        <v>0</v>
      </c>
      <c r="E296">
        <v>0</v>
      </c>
      <c r="F296">
        <v>0</v>
      </c>
      <c r="G296">
        <v>0</v>
      </c>
      <c r="H296">
        <v>0</v>
      </c>
      <c r="I296">
        <v>45</v>
      </c>
      <c r="J296">
        <v>22</v>
      </c>
      <c r="K296">
        <v>0</v>
      </c>
      <c r="L296">
        <v>21</v>
      </c>
      <c r="M296">
        <v>0</v>
      </c>
      <c r="N296">
        <v>101</v>
      </c>
      <c r="O296" s="3">
        <f t="shared" si="19"/>
        <v>0</v>
      </c>
      <c r="P296">
        <f t="shared" si="16"/>
        <v>0</v>
      </c>
      <c r="Q296">
        <f t="shared" si="17"/>
        <v>0</v>
      </c>
      <c r="S296">
        <v>-8.8891304347826097</v>
      </c>
      <c r="T296">
        <v>0</v>
      </c>
      <c r="U296">
        <v>-0.48913043478260876</v>
      </c>
      <c r="V296">
        <v>-8.4</v>
      </c>
      <c r="W296">
        <v>0</v>
      </c>
      <c r="X296">
        <v>0</v>
      </c>
      <c r="Y296">
        <v>0</v>
      </c>
    </row>
    <row r="297" spans="1:25" x14ac:dyDescent="0.2">
      <c r="A297" t="s">
        <v>21</v>
      </c>
      <c r="B297" t="s">
        <v>1002</v>
      </c>
      <c r="C297">
        <v>110</v>
      </c>
      <c r="D297" s="2">
        <v>0</v>
      </c>
      <c r="E297">
        <v>0</v>
      </c>
      <c r="F297">
        <v>0</v>
      </c>
      <c r="G297">
        <v>0</v>
      </c>
      <c r="H297">
        <v>0</v>
      </c>
      <c r="I297">
        <v>65</v>
      </c>
      <c r="J297">
        <v>29</v>
      </c>
      <c r="K297">
        <v>0</v>
      </c>
      <c r="L297">
        <v>29</v>
      </c>
      <c r="M297">
        <v>0</v>
      </c>
      <c r="N297">
        <v>139</v>
      </c>
      <c r="O297" s="3">
        <f t="shared" si="19"/>
        <v>0</v>
      </c>
      <c r="P297">
        <f t="shared" si="16"/>
        <v>0</v>
      </c>
      <c r="Q297">
        <f t="shared" si="17"/>
        <v>0</v>
      </c>
      <c r="S297">
        <v>-12.306521739130435</v>
      </c>
      <c r="T297">
        <v>0</v>
      </c>
      <c r="U297">
        <v>-0.70652173913043481</v>
      </c>
      <c r="V297">
        <v>-11.6</v>
      </c>
      <c r="W297">
        <v>0</v>
      </c>
      <c r="X297">
        <v>0</v>
      </c>
      <c r="Y297">
        <v>0</v>
      </c>
    </row>
    <row r="298" spans="1:25" x14ac:dyDescent="0.2">
      <c r="A298" t="s">
        <v>21</v>
      </c>
      <c r="B298" t="s">
        <v>1003</v>
      </c>
      <c r="C298">
        <v>130</v>
      </c>
      <c r="D298" s="2">
        <v>0</v>
      </c>
      <c r="E298">
        <v>0</v>
      </c>
      <c r="F298">
        <v>0</v>
      </c>
      <c r="G298">
        <v>0</v>
      </c>
      <c r="H298">
        <v>0</v>
      </c>
      <c r="I298">
        <v>80</v>
      </c>
      <c r="J298">
        <v>36</v>
      </c>
      <c r="K298">
        <v>0</v>
      </c>
      <c r="L298">
        <v>36</v>
      </c>
      <c r="M298">
        <v>0</v>
      </c>
      <c r="N298">
        <v>166</v>
      </c>
      <c r="O298" s="3">
        <f t="shared" si="19"/>
        <v>0</v>
      </c>
      <c r="P298">
        <f t="shared" si="16"/>
        <v>0</v>
      </c>
      <c r="Q298">
        <f t="shared" si="17"/>
        <v>0</v>
      </c>
      <c r="S298">
        <v>-15.269565217391303</v>
      </c>
      <c r="T298">
        <v>0</v>
      </c>
      <c r="U298">
        <v>-0.86956521739130432</v>
      </c>
      <c r="V298">
        <v>-14.399999999999999</v>
      </c>
      <c r="W298">
        <v>0</v>
      </c>
      <c r="X298">
        <v>0</v>
      </c>
      <c r="Y298">
        <v>0</v>
      </c>
    </row>
    <row r="299" spans="1:25" x14ac:dyDescent="0.2">
      <c r="A299" t="s">
        <v>21</v>
      </c>
      <c r="B299" t="s">
        <v>1004</v>
      </c>
      <c r="C299">
        <v>200</v>
      </c>
      <c r="D299" s="2">
        <v>0</v>
      </c>
      <c r="E299">
        <v>0</v>
      </c>
      <c r="F299">
        <v>0</v>
      </c>
      <c r="G299">
        <v>0</v>
      </c>
      <c r="H299">
        <v>0</v>
      </c>
      <c r="I299">
        <v>120</v>
      </c>
      <c r="J299">
        <v>54</v>
      </c>
      <c r="K299">
        <v>0</v>
      </c>
      <c r="L299">
        <v>54</v>
      </c>
      <c r="M299">
        <v>0</v>
      </c>
      <c r="N299">
        <v>254</v>
      </c>
      <c r="O299" s="3">
        <f t="shared" si="19"/>
        <v>0</v>
      </c>
      <c r="P299">
        <f t="shared" si="16"/>
        <v>0</v>
      </c>
      <c r="Q299">
        <f t="shared" si="17"/>
        <v>0</v>
      </c>
      <c r="S299">
        <v>-22.904347826086958</v>
      </c>
      <c r="T299">
        <v>0</v>
      </c>
      <c r="U299">
        <v>-1.3043478260869565</v>
      </c>
      <c r="V299">
        <v>-21.6</v>
      </c>
      <c r="W299">
        <v>0</v>
      </c>
      <c r="X299">
        <v>0</v>
      </c>
      <c r="Y299">
        <v>0</v>
      </c>
    </row>
    <row r="300" spans="1:25" x14ac:dyDescent="0.2">
      <c r="A300" t="s">
        <v>21</v>
      </c>
      <c r="B300" t="s">
        <v>1009</v>
      </c>
      <c r="C300">
        <v>160</v>
      </c>
      <c r="D300" s="2">
        <v>0</v>
      </c>
      <c r="E300">
        <v>0</v>
      </c>
      <c r="F300">
        <v>0</v>
      </c>
      <c r="G300">
        <v>0</v>
      </c>
      <c r="H300">
        <v>0</v>
      </c>
      <c r="I300">
        <v>35</v>
      </c>
      <c r="J300">
        <v>42</v>
      </c>
      <c r="K300">
        <v>0</v>
      </c>
      <c r="L300">
        <v>42</v>
      </c>
      <c r="M300">
        <v>0</v>
      </c>
      <c r="N300">
        <v>202</v>
      </c>
      <c r="O300" s="3">
        <f t="shared" si="19"/>
        <v>0</v>
      </c>
      <c r="P300">
        <f t="shared" si="16"/>
        <v>0</v>
      </c>
      <c r="Q300">
        <f t="shared" si="17"/>
        <v>0</v>
      </c>
      <c r="S300">
        <v>-17.180434782608696</v>
      </c>
      <c r="T300">
        <v>0</v>
      </c>
      <c r="U300">
        <v>-0.38043478260869568</v>
      </c>
      <c r="V300">
        <v>-16.8</v>
      </c>
      <c r="W300">
        <v>0</v>
      </c>
      <c r="X300">
        <v>0</v>
      </c>
      <c r="Y300">
        <v>0</v>
      </c>
    </row>
    <row r="301" spans="1:25" x14ac:dyDescent="0.2">
      <c r="A301" t="s">
        <v>21</v>
      </c>
      <c r="B301" t="s">
        <v>1010</v>
      </c>
      <c r="C301">
        <v>210</v>
      </c>
      <c r="D301" s="2">
        <v>0</v>
      </c>
      <c r="E301">
        <v>0</v>
      </c>
      <c r="F301">
        <v>0</v>
      </c>
      <c r="G301">
        <v>0</v>
      </c>
      <c r="H301">
        <v>0</v>
      </c>
      <c r="I301">
        <v>45</v>
      </c>
      <c r="J301">
        <v>57</v>
      </c>
      <c r="K301">
        <v>0</v>
      </c>
      <c r="L301">
        <v>57</v>
      </c>
      <c r="M301">
        <v>0</v>
      </c>
      <c r="N301">
        <v>267</v>
      </c>
      <c r="O301" s="3">
        <f t="shared" si="19"/>
        <v>0</v>
      </c>
      <c r="P301">
        <f t="shared" si="16"/>
        <v>0</v>
      </c>
      <c r="Q301">
        <f t="shared" si="17"/>
        <v>0</v>
      </c>
      <c r="S301">
        <v>-23.289130434782606</v>
      </c>
      <c r="T301">
        <v>0</v>
      </c>
      <c r="U301">
        <v>-0.48913043478260876</v>
      </c>
      <c r="V301">
        <v>-22.799999999999997</v>
      </c>
      <c r="W301">
        <v>0</v>
      </c>
      <c r="X301">
        <v>0</v>
      </c>
      <c r="Y301">
        <v>0</v>
      </c>
    </row>
    <row r="302" spans="1:25" x14ac:dyDescent="0.2">
      <c r="A302" t="s">
        <v>21</v>
      </c>
      <c r="B302" t="s">
        <v>1011</v>
      </c>
      <c r="C302">
        <v>260</v>
      </c>
      <c r="D302" s="2">
        <v>0</v>
      </c>
      <c r="E302">
        <v>0</v>
      </c>
      <c r="F302">
        <v>0</v>
      </c>
      <c r="G302">
        <v>0</v>
      </c>
      <c r="H302">
        <v>0</v>
      </c>
      <c r="I302">
        <v>55</v>
      </c>
      <c r="J302">
        <v>71</v>
      </c>
      <c r="K302">
        <v>0</v>
      </c>
      <c r="L302">
        <v>71</v>
      </c>
      <c r="M302">
        <v>0</v>
      </c>
      <c r="N302">
        <v>331</v>
      </c>
      <c r="O302" s="3">
        <f t="shared" si="19"/>
        <v>0</v>
      </c>
      <c r="P302">
        <f t="shared" si="16"/>
        <v>0</v>
      </c>
      <c r="Q302">
        <f t="shared" si="17"/>
        <v>0</v>
      </c>
      <c r="S302">
        <v>-28.997826086956522</v>
      </c>
      <c r="T302">
        <v>0</v>
      </c>
      <c r="U302">
        <v>-0.59782608695652173</v>
      </c>
      <c r="V302">
        <v>-28.4</v>
      </c>
      <c r="W302">
        <v>0</v>
      </c>
      <c r="X302">
        <v>0</v>
      </c>
      <c r="Y302">
        <v>0</v>
      </c>
    </row>
    <row r="303" spans="1:25" x14ac:dyDescent="0.2">
      <c r="A303" t="s">
        <v>21</v>
      </c>
      <c r="B303" t="s">
        <v>1012</v>
      </c>
      <c r="C303">
        <v>400</v>
      </c>
      <c r="D303" s="2">
        <v>0</v>
      </c>
      <c r="E303">
        <v>0</v>
      </c>
      <c r="F303">
        <v>0</v>
      </c>
      <c r="G303">
        <v>0</v>
      </c>
      <c r="H303">
        <v>0</v>
      </c>
      <c r="I303">
        <v>80</v>
      </c>
      <c r="J303">
        <v>106</v>
      </c>
      <c r="K303">
        <v>0</v>
      </c>
      <c r="L303">
        <v>106</v>
      </c>
      <c r="M303">
        <v>0</v>
      </c>
      <c r="N303">
        <v>506</v>
      </c>
      <c r="O303" s="3">
        <f t="shared" si="19"/>
        <v>0</v>
      </c>
      <c r="P303">
        <f t="shared" si="16"/>
        <v>0</v>
      </c>
      <c r="Q303">
        <f t="shared" si="17"/>
        <v>0</v>
      </c>
      <c r="S303">
        <v>-43.26956521739131</v>
      </c>
      <c r="T303">
        <v>0</v>
      </c>
      <c r="U303">
        <v>-0.86956521739130432</v>
      </c>
      <c r="V303">
        <v>-42.400000000000006</v>
      </c>
      <c r="W303">
        <v>0</v>
      </c>
      <c r="X303">
        <v>0</v>
      </c>
      <c r="Y303">
        <v>0</v>
      </c>
    </row>
    <row r="304" spans="1:25" x14ac:dyDescent="0.2">
      <c r="A304" t="s">
        <v>21</v>
      </c>
      <c r="B304" t="s">
        <v>1013</v>
      </c>
      <c r="C304">
        <v>160</v>
      </c>
      <c r="D304" s="2">
        <v>0</v>
      </c>
      <c r="E304">
        <v>0</v>
      </c>
      <c r="F304">
        <v>0</v>
      </c>
      <c r="G304">
        <v>0</v>
      </c>
      <c r="H304">
        <v>0</v>
      </c>
      <c r="I304">
        <v>70</v>
      </c>
      <c r="J304">
        <v>44</v>
      </c>
      <c r="K304">
        <v>0</v>
      </c>
      <c r="L304">
        <v>44</v>
      </c>
      <c r="M304">
        <v>0</v>
      </c>
      <c r="N304">
        <v>204</v>
      </c>
      <c r="O304" s="3">
        <f t="shared" si="19"/>
        <v>0</v>
      </c>
      <c r="P304">
        <f t="shared" si="16"/>
        <v>0</v>
      </c>
      <c r="Q304">
        <f t="shared" si="17"/>
        <v>0</v>
      </c>
      <c r="S304">
        <v>-18.360869565217392</v>
      </c>
      <c r="T304">
        <v>0</v>
      </c>
      <c r="U304">
        <v>-0.76086956521739135</v>
      </c>
      <c r="V304">
        <v>-17.600000000000001</v>
      </c>
      <c r="W304">
        <v>0</v>
      </c>
      <c r="X304">
        <v>0</v>
      </c>
      <c r="Y304">
        <v>0</v>
      </c>
    </row>
    <row r="305" spans="1:25" x14ac:dyDescent="0.2">
      <c r="A305" t="s">
        <v>21</v>
      </c>
      <c r="B305" t="s">
        <v>1014</v>
      </c>
      <c r="C305">
        <v>220</v>
      </c>
      <c r="D305" s="2">
        <v>0</v>
      </c>
      <c r="E305">
        <v>0</v>
      </c>
      <c r="F305">
        <v>0</v>
      </c>
      <c r="G305">
        <v>0</v>
      </c>
      <c r="H305">
        <v>0</v>
      </c>
      <c r="I305">
        <v>95</v>
      </c>
      <c r="J305">
        <v>58</v>
      </c>
      <c r="K305">
        <v>0</v>
      </c>
      <c r="L305">
        <v>58</v>
      </c>
      <c r="M305">
        <v>0</v>
      </c>
      <c r="N305">
        <v>278</v>
      </c>
      <c r="O305" s="3">
        <f t="shared" si="19"/>
        <v>0</v>
      </c>
      <c r="P305">
        <f t="shared" si="16"/>
        <v>0</v>
      </c>
      <c r="Q305">
        <f t="shared" si="17"/>
        <v>0</v>
      </c>
      <c r="S305">
        <v>-24.232608695652175</v>
      </c>
      <c r="T305">
        <v>0</v>
      </c>
      <c r="U305">
        <v>-1.0326086956521738</v>
      </c>
      <c r="V305">
        <v>-23.2</v>
      </c>
      <c r="W305">
        <v>0</v>
      </c>
      <c r="X305">
        <v>0</v>
      </c>
      <c r="Y305">
        <v>0</v>
      </c>
    </row>
    <row r="306" spans="1:25" x14ac:dyDescent="0.2">
      <c r="A306" t="s">
        <v>21</v>
      </c>
      <c r="B306" t="s">
        <v>1015</v>
      </c>
      <c r="C306">
        <v>270</v>
      </c>
      <c r="D306" s="2">
        <v>0</v>
      </c>
      <c r="E306">
        <v>0</v>
      </c>
      <c r="F306">
        <v>0</v>
      </c>
      <c r="G306">
        <v>0</v>
      </c>
      <c r="H306">
        <v>0</v>
      </c>
      <c r="I306">
        <v>120</v>
      </c>
      <c r="J306">
        <v>73</v>
      </c>
      <c r="K306">
        <v>0</v>
      </c>
      <c r="L306">
        <v>73</v>
      </c>
      <c r="M306">
        <v>0</v>
      </c>
      <c r="N306">
        <v>343</v>
      </c>
      <c r="O306" s="3">
        <f t="shared" si="19"/>
        <v>0</v>
      </c>
      <c r="P306">
        <f t="shared" si="16"/>
        <v>0</v>
      </c>
      <c r="Q306">
        <f t="shared" si="17"/>
        <v>0</v>
      </c>
      <c r="S306">
        <v>-30.504347826086956</v>
      </c>
      <c r="T306">
        <v>0</v>
      </c>
      <c r="U306">
        <v>-1.3043478260869565</v>
      </c>
      <c r="V306">
        <v>-29.2</v>
      </c>
      <c r="W306">
        <v>0</v>
      </c>
      <c r="X306">
        <v>0</v>
      </c>
      <c r="Y306">
        <v>0</v>
      </c>
    </row>
    <row r="307" spans="1:25" x14ac:dyDescent="0.2">
      <c r="A307" t="s">
        <v>21</v>
      </c>
      <c r="B307" t="s">
        <v>1016</v>
      </c>
      <c r="C307">
        <v>410</v>
      </c>
      <c r="D307" s="2">
        <v>0</v>
      </c>
      <c r="E307">
        <v>0</v>
      </c>
      <c r="F307">
        <v>0</v>
      </c>
      <c r="G307">
        <v>0</v>
      </c>
      <c r="H307">
        <v>0</v>
      </c>
      <c r="I307">
        <v>180</v>
      </c>
      <c r="J307">
        <v>109</v>
      </c>
      <c r="K307">
        <v>0</v>
      </c>
      <c r="L307">
        <v>109</v>
      </c>
      <c r="M307">
        <v>0</v>
      </c>
      <c r="N307">
        <v>519</v>
      </c>
      <c r="O307" s="3">
        <f t="shared" si="19"/>
        <v>0</v>
      </c>
      <c r="P307">
        <f t="shared" si="16"/>
        <v>0</v>
      </c>
      <c r="Q307">
        <f t="shared" si="17"/>
        <v>0</v>
      </c>
      <c r="S307">
        <v>-45.556521739130446</v>
      </c>
      <c r="T307">
        <v>0</v>
      </c>
      <c r="U307">
        <v>-1.956521739130435</v>
      </c>
      <c r="V307">
        <v>-43.600000000000009</v>
      </c>
      <c r="W307">
        <v>0</v>
      </c>
      <c r="X307">
        <v>0</v>
      </c>
      <c r="Y307">
        <v>0</v>
      </c>
    </row>
    <row r="308" spans="1:25" x14ac:dyDescent="0.2">
      <c r="A308" t="s">
        <v>21</v>
      </c>
      <c r="B308" t="s">
        <v>1017</v>
      </c>
      <c r="C308">
        <v>150</v>
      </c>
      <c r="D308" s="2">
        <v>0</v>
      </c>
      <c r="E308">
        <v>0</v>
      </c>
      <c r="F308">
        <v>0</v>
      </c>
      <c r="G308">
        <v>0</v>
      </c>
      <c r="H308">
        <v>0</v>
      </c>
      <c r="I308">
        <v>35</v>
      </c>
      <c r="J308">
        <v>41</v>
      </c>
      <c r="K308">
        <v>0</v>
      </c>
      <c r="L308">
        <v>41</v>
      </c>
      <c r="M308">
        <v>0</v>
      </c>
      <c r="N308">
        <v>191</v>
      </c>
      <c r="O308" s="3">
        <f t="shared" si="19"/>
        <v>0</v>
      </c>
      <c r="P308">
        <f t="shared" si="16"/>
        <v>0</v>
      </c>
      <c r="Q308">
        <f t="shared" si="17"/>
        <v>0</v>
      </c>
      <c r="S308">
        <v>-16.780434782608697</v>
      </c>
      <c r="T308">
        <v>0</v>
      </c>
      <c r="U308">
        <v>-0.38043478260869568</v>
      </c>
      <c r="V308">
        <v>-16.400000000000002</v>
      </c>
      <c r="W308">
        <v>0</v>
      </c>
      <c r="X308">
        <v>0</v>
      </c>
      <c r="Y308">
        <v>0</v>
      </c>
    </row>
    <row r="309" spans="1:25" x14ac:dyDescent="0.2">
      <c r="A309" t="s">
        <v>21</v>
      </c>
      <c r="B309" t="s">
        <v>1018</v>
      </c>
      <c r="C309">
        <v>200</v>
      </c>
      <c r="D309" s="2">
        <v>0</v>
      </c>
      <c r="E309">
        <v>0</v>
      </c>
      <c r="F309">
        <v>0</v>
      </c>
      <c r="G309">
        <v>0</v>
      </c>
      <c r="H309">
        <v>0</v>
      </c>
      <c r="I309">
        <v>45</v>
      </c>
      <c r="J309">
        <v>54</v>
      </c>
      <c r="K309">
        <v>0</v>
      </c>
      <c r="L309">
        <v>54</v>
      </c>
      <c r="M309">
        <v>0</v>
      </c>
      <c r="N309">
        <v>254</v>
      </c>
      <c r="O309" s="3">
        <f t="shared" si="19"/>
        <v>0</v>
      </c>
      <c r="P309">
        <f t="shared" si="16"/>
        <v>0</v>
      </c>
      <c r="Q309">
        <f t="shared" si="17"/>
        <v>0</v>
      </c>
      <c r="S309">
        <v>-22.089130434782611</v>
      </c>
      <c r="T309">
        <v>0</v>
      </c>
      <c r="U309">
        <v>-0.48913043478260876</v>
      </c>
      <c r="V309">
        <v>-21.6</v>
      </c>
      <c r="W309">
        <v>0</v>
      </c>
      <c r="X309">
        <v>0</v>
      </c>
      <c r="Y309">
        <v>0</v>
      </c>
    </row>
    <row r="310" spans="1:25" x14ac:dyDescent="0.2">
      <c r="A310" t="s">
        <v>21</v>
      </c>
      <c r="B310" t="s">
        <v>1019</v>
      </c>
      <c r="C310">
        <v>260</v>
      </c>
      <c r="D310" s="2">
        <v>0</v>
      </c>
      <c r="E310">
        <v>0</v>
      </c>
      <c r="F310">
        <v>0</v>
      </c>
      <c r="G310">
        <v>0</v>
      </c>
      <c r="H310">
        <v>0</v>
      </c>
      <c r="I310">
        <v>55</v>
      </c>
      <c r="J310">
        <v>68</v>
      </c>
      <c r="K310">
        <v>0</v>
      </c>
      <c r="L310">
        <v>68</v>
      </c>
      <c r="M310">
        <v>0</v>
      </c>
      <c r="N310">
        <v>328</v>
      </c>
      <c r="O310" s="3">
        <f t="shared" si="19"/>
        <v>0</v>
      </c>
      <c r="P310">
        <f t="shared" si="16"/>
        <v>0</v>
      </c>
      <c r="Q310">
        <f t="shared" si="17"/>
        <v>0</v>
      </c>
      <c r="S310">
        <v>-27.797826086956526</v>
      </c>
      <c r="T310">
        <v>0</v>
      </c>
      <c r="U310">
        <v>-0.59782608695652173</v>
      </c>
      <c r="V310">
        <v>-27.200000000000003</v>
      </c>
      <c r="W310">
        <v>0</v>
      </c>
      <c r="X310">
        <v>0</v>
      </c>
      <c r="Y310">
        <v>0</v>
      </c>
    </row>
    <row r="311" spans="1:25" x14ac:dyDescent="0.2">
      <c r="A311" t="s">
        <v>21</v>
      </c>
      <c r="B311" t="s">
        <v>1020</v>
      </c>
      <c r="C311">
        <v>380</v>
      </c>
      <c r="D311" s="2">
        <v>0</v>
      </c>
      <c r="E311">
        <v>0</v>
      </c>
      <c r="F311">
        <v>0</v>
      </c>
      <c r="G311">
        <v>0</v>
      </c>
      <c r="H311">
        <v>0</v>
      </c>
      <c r="I311">
        <v>80</v>
      </c>
      <c r="J311">
        <v>101</v>
      </c>
      <c r="K311">
        <v>0</v>
      </c>
      <c r="L311">
        <v>101</v>
      </c>
      <c r="M311">
        <v>0</v>
      </c>
      <c r="N311">
        <v>481</v>
      </c>
      <c r="O311" s="3">
        <f t="shared" si="19"/>
        <v>0</v>
      </c>
      <c r="P311">
        <f t="shared" si="16"/>
        <v>0</v>
      </c>
      <c r="Q311">
        <f t="shared" si="17"/>
        <v>0</v>
      </c>
      <c r="S311">
        <v>-41.26956521739131</v>
      </c>
      <c r="T311">
        <v>0</v>
      </c>
      <c r="U311">
        <v>-0.86956521739130432</v>
      </c>
      <c r="V311">
        <v>-40.400000000000006</v>
      </c>
      <c r="W311">
        <v>0</v>
      </c>
      <c r="X311">
        <v>0</v>
      </c>
      <c r="Y311">
        <v>0</v>
      </c>
    </row>
    <row r="312" spans="1:25" x14ac:dyDescent="0.2">
      <c r="A312" t="s">
        <v>21</v>
      </c>
      <c r="B312" t="s">
        <v>1021</v>
      </c>
      <c r="C312">
        <v>120</v>
      </c>
      <c r="D312" s="2">
        <v>0</v>
      </c>
      <c r="E312">
        <v>0</v>
      </c>
      <c r="F312">
        <v>0</v>
      </c>
      <c r="G312">
        <v>0</v>
      </c>
      <c r="H312">
        <v>0</v>
      </c>
      <c r="I312">
        <v>190</v>
      </c>
      <c r="J312">
        <v>32</v>
      </c>
      <c r="K312">
        <v>0</v>
      </c>
      <c r="L312">
        <v>25</v>
      </c>
      <c r="M312">
        <v>0</v>
      </c>
      <c r="N312">
        <v>145</v>
      </c>
      <c r="O312" s="3">
        <f t="shared" si="19"/>
        <v>0</v>
      </c>
      <c r="P312">
        <f t="shared" si="16"/>
        <v>0</v>
      </c>
      <c r="Q312">
        <f t="shared" si="17"/>
        <v>0</v>
      </c>
      <c r="S312">
        <v>-12.065217391304348</v>
      </c>
      <c r="T312">
        <v>0</v>
      </c>
      <c r="U312">
        <v>-2.0652173913043477</v>
      </c>
      <c r="V312">
        <v>-10</v>
      </c>
      <c r="W312">
        <v>0</v>
      </c>
      <c r="X312">
        <v>0</v>
      </c>
      <c r="Y312">
        <v>0</v>
      </c>
    </row>
    <row r="313" spans="1:25" x14ac:dyDescent="0.2">
      <c r="A313" t="s">
        <v>21</v>
      </c>
      <c r="B313" t="s">
        <v>1022</v>
      </c>
      <c r="C313">
        <v>160</v>
      </c>
      <c r="D313" s="2">
        <v>0</v>
      </c>
      <c r="E313">
        <v>0</v>
      </c>
      <c r="F313">
        <v>0</v>
      </c>
      <c r="G313">
        <v>0</v>
      </c>
      <c r="H313">
        <v>0</v>
      </c>
      <c r="I313">
        <v>50</v>
      </c>
      <c r="J313">
        <v>44</v>
      </c>
      <c r="K313">
        <v>0</v>
      </c>
      <c r="L313">
        <v>44</v>
      </c>
      <c r="M313">
        <v>0</v>
      </c>
      <c r="N313">
        <v>204</v>
      </c>
      <c r="O313" s="3">
        <f t="shared" si="19"/>
        <v>0</v>
      </c>
      <c r="P313">
        <f t="shared" si="16"/>
        <v>0</v>
      </c>
      <c r="Q313">
        <f t="shared" si="17"/>
        <v>0</v>
      </c>
      <c r="S313">
        <v>-18.143478260869568</v>
      </c>
      <c r="T313">
        <v>0</v>
      </c>
      <c r="U313">
        <v>-0.54347826086956519</v>
      </c>
      <c r="V313">
        <v>-17.600000000000001</v>
      </c>
      <c r="W313">
        <v>0</v>
      </c>
      <c r="X313">
        <v>0</v>
      </c>
      <c r="Y313">
        <v>0</v>
      </c>
    </row>
    <row r="314" spans="1:25" x14ac:dyDescent="0.2">
      <c r="A314" t="s">
        <v>21</v>
      </c>
      <c r="B314" t="s">
        <v>1023</v>
      </c>
      <c r="C314">
        <v>220</v>
      </c>
      <c r="D314" s="2">
        <v>0</v>
      </c>
      <c r="E314">
        <v>0</v>
      </c>
      <c r="F314">
        <v>0</v>
      </c>
      <c r="G314">
        <v>0</v>
      </c>
      <c r="H314">
        <v>0</v>
      </c>
      <c r="I314">
        <v>70</v>
      </c>
      <c r="J314">
        <v>59</v>
      </c>
      <c r="K314">
        <v>0</v>
      </c>
      <c r="L314">
        <v>58</v>
      </c>
      <c r="M314">
        <v>0</v>
      </c>
      <c r="N314">
        <v>278</v>
      </c>
      <c r="O314" s="3">
        <f t="shared" si="19"/>
        <v>0</v>
      </c>
      <c r="P314">
        <f t="shared" si="16"/>
        <v>0</v>
      </c>
      <c r="Q314">
        <f t="shared" si="17"/>
        <v>0</v>
      </c>
      <c r="S314">
        <v>-23.96086956521739</v>
      </c>
      <c r="T314">
        <v>0</v>
      </c>
      <c r="U314">
        <v>-0.76086956521739135</v>
      </c>
      <c r="V314">
        <v>-23.2</v>
      </c>
      <c r="W314">
        <v>0</v>
      </c>
      <c r="X314">
        <v>0</v>
      </c>
      <c r="Y314">
        <v>0</v>
      </c>
    </row>
    <row r="315" spans="1:25" x14ac:dyDescent="0.2">
      <c r="A315" t="s">
        <v>21</v>
      </c>
      <c r="B315" t="s">
        <v>1024</v>
      </c>
      <c r="C315">
        <v>270</v>
      </c>
      <c r="D315" s="2">
        <v>0</v>
      </c>
      <c r="E315">
        <v>0</v>
      </c>
      <c r="F315">
        <v>0</v>
      </c>
      <c r="G315">
        <v>0</v>
      </c>
      <c r="H315">
        <v>0</v>
      </c>
      <c r="I315">
        <v>85</v>
      </c>
      <c r="J315">
        <v>73</v>
      </c>
      <c r="K315">
        <v>0</v>
      </c>
      <c r="L315">
        <v>73</v>
      </c>
      <c r="M315">
        <v>0</v>
      </c>
      <c r="N315">
        <v>343</v>
      </c>
      <c r="O315" s="3">
        <f t="shared" si="19"/>
        <v>0</v>
      </c>
      <c r="P315">
        <f t="shared" si="16"/>
        <v>0</v>
      </c>
      <c r="Q315">
        <f t="shared" si="17"/>
        <v>0</v>
      </c>
      <c r="S315">
        <v>-30.123913043478261</v>
      </c>
      <c r="T315">
        <v>0</v>
      </c>
      <c r="U315">
        <v>-0.92391304347826086</v>
      </c>
      <c r="V315">
        <v>-29.2</v>
      </c>
      <c r="W315">
        <v>0</v>
      </c>
      <c r="X315">
        <v>0</v>
      </c>
      <c r="Y315">
        <v>0</v>
      </c>
    </row>
    <row r="316" spans="1:25" x14ac:dyDescent="0.2">
      <c r="A316" t="s">
        <v>21</v>
      </c>
      <c r="B316" t="s">
        <v>1025</v>
      </c>
      <c r="C316">
        <v>410</v>
      </c>
      <c r="D316" s="2">
        <v>0</v>
      </c>
      <c r="E316">
        <v>0</v>
      </c>
      <c r="F316">
        <v>0</v>
      </c>
      <c r="G316">
        <v>0</v>
      </c>
      <c r="H316">
        <v>0</v>
      </c>
      <c r="I316">
        <v>125</v>
      </c>
      <c r="J316">
        <v>110</v>
      </c>
      <c r="K316">
        <v>0</v>
      </c>
      <c r="L316">
        <v>109</v>
      </c>
      <c r="M316">
        <v>0</v>
      </c>
      <c r="N316">
        <v>519</v>
      </c>
      <c r="O316" s="3">
        <f t="shared" si="19"/>
        <v>0</v>
      </c>
      <c r="P316">
        <f t="shared" si="16"/>
        <v>0</v>
      </c>
      <c r="Q316">
        <f t="shared" si="17"/>
        <v>0</v>
      </c>
      <c r="S316">
        <v>-44.958695652173922</v>
      </c>
      <c r="T316">
        <v>0</v>
      </c>
      <c r="U316">
        <v>-1.3586956521739131</v>
      </c>
      <c r="V316">
        <v>-43.600000000000009</v>
      </c>
      <c r="W316">
        <v>0</v>
      </c>
      <c r="X316">
        <v>0</v>
      </c>
      <c r="Y316">
        <v>0</v>
      </c>
    </row>
    <row r="317" spans="1:25" x14ac:dyDescent="0.2">
      <c r="A317" t="s">
        <v>21</v>
      </c>
      <c r="B317" t="s">
        <v>1026</v>
      </c>
      <c r="C317">
        <v>140</v>
      </c>
      <c r="D317" s="2">
        <v>0</v>
      </c>
      <c r="E317">
        <v>0</v>
      </c>
      <c r="F317">
        <v>0</v>
      </c>
      <c r="G317">
        <v>0</v>
      </c>
      <c r="H317">
        <v>0</v>
      </c>
      <c r="I317">
        <v>45</v>
      </c>
      <c r="J317">
        <v>39</v>
      </c>
      <c r="K317">
        <v>0</v>
      </c>
      <c r="L317">
        <v>39</v>
      </c>
      <c r="M317">
        <v>0</v>
      </c>
      <c r="N317">
        <v>179</v>
      </c>
      <c r="O317" s="3">
        <f t="shared" si="19"/>
        <v>0</v>
      </c>
      <c r="P317">
        <f t="shared" si="16"/>
        <v>0</v>
      </c>
      <c r="Q317">
        <f t="shared" si="17"/>
        <v>0</v>
      </c>
      <c r="S317">
        <v>-16.089130434782611</v>
      </c>
      <c r="T317">
        <v>0</v>
      </c>
      <c r="U317">
        <v>-0.48913043478260876</v>
      </c>
      <c r="V317">
        <v>-15.600000000000003</v>
      </c>
      <c r="W317">
        <v>0</v>
      </c>
      <c r="X317">
        <v>0</v>
      </c>
      <c r="Y317">
        <v>0</v>
      </c>
    </row>
    <row r="318" spans="1:25" x14ac:dyDescent="0.2">
      <c r="A318" t="s">
        <v>21</v>
      </c>
      <c r="B318" t="s">
        <v>1027</v>
      </c>
      <c r="C318">
        <v>190</v>
      </c>
      <c r="D318" s="2">
        <v>0</v>
      </c>
      <c r="E318">
        <v>0</v>
      </c>
      <c r="F318">
        <v>0</v>
      </c>
      <c r="G318">
        <v>0</v>
      </c>
      <c r="H318">
        <v>0</v>
      </c>
      <c r="I318">
        <v>60</v>
      </c>
      <c r="J318">
        <v>52</v>
      </c>
      <c r="K318">
        <v>0</v>
      </c>
      <c r="L318">
        <v>52</v>
      </c>
      <c r="M318">
        <v>0</v>
      </c>
      <c r="N318">
        <v>242</v>
      </c>
      <c r="O318" s="3">
        <f t="shared" si="19"/>
        <v>0</v>
      </c>
      <c r="P318">
        <f t="shared" si="16"/>
        <v>0</v>
      </c>
      <c r="Q318">
        <f t="shared" si="17"/>
        <v>0</v>
      </c>
      <c r="S318">
        <v>-21.452173913043477</v>
      </c>
      <c r="T318">
        <v>0</v>
      </c>
      <c r="U318">
        <v>-0.65217391304347827</v>
      </c>
      <c r="V318">
        <v>-20.8</v>
      </c>
      <c r="W318">
        <v>0</v>
      </c>
      <c r="X318">
        <v>0</v>
      </c>
      <c r="Y318">
        <v>0</v>
      </c>
    </row>
    <row r="319" spans="1:25" x14ac:dyDescent="0.2">
      <c r="A319" t="s">
        <v>21</v>
      </c>
      <c r="B319" t="s">
        <v>1028</v>
      </c>
      <c r="C319">
        <v>240</v>
      </c>
      <c r="D319" s="2">
        <v>0</v>
      </c>
      <c r="E319">
        <v>0</v>
      </c>
      <c r="F319">
        <v>0</v>
      </c>
      <c r="G319">
        <v>0</v>
      </c>
      <c r="H319">
        <v>0</v>
      </c>
      <c r="I319">
        <v>75</v>
      </c>
      <c r="J319">
        <v>65</v>
      </c>
      <c r="K319">
        <v>0</v>
      </c>
      <c r="L319">
        <v>65</v>
      </c>
      <c r="M319">
        <v>0</v>
      </c>
      <c r="N319">
        <v>305</v>
      </c>
      <c r="O319" s="3">
        <f t="shared" si="19"/>
        <v>0</v>
      </c>
      <c r="P319">
        <f t="shared" si="16"/>
        <v>0</v>
      </c>
      <c r="Q319">
        <f t="shared" si="17"/>
        <v>0</v>
      </c>
      <c r="S319">
        <v>-26.815217391304348</v>
      </c>
      <c r="T319">
        <v>0</v>
      </c>
      <c r="U319">
        <v>-0.81521739130434778</v>
      </c>
      <c r="V319">
        <v>-26</v>
      </c>
      <c r="W319">
        <v>0</v>
      </c>
      <c r="X319">
        <v>0</v>
      </c>
      <c r="Y319">
        <v>0</v>
      </c>
    </row>
    <row r="320" spans="1:25" x14ac:dyDescent="0.2">
      <c r="A320" t="s">
        <v>21</v>
      </c>
      <c r="B320" t="s">
        <v>1029</v>
      </c>
      <c r="C320">
        <v>360</v>
      </c>
      <c r="D320" s="2">
        <v>0</v>
      </c>
      <c r="E320">
        <v>0</v>
      </c>
      <c r="F320">
        <v>0</v>
      </c>
      <c r="G320">
        <v>0</v>
      </c>
      <c r="H320">
        <v>0</v>
      </c>
      <c r="I320">
        <v>110</v>
      </c>
      <c r="J320">
        <v>98</v>
      </c>
      <c r="K320">
        <v>0</v>
      </c>
      <c r="L320">
        <v>98</v>
      </c>
      <c r="M320">
        <v>0</v>
      </c>
      <c r="N320">
        <v>458</v>
      </c>
      <c r="O320" s="3">
        <f t="shared" si="19"/>
        <v>0</v>
      </c>
      <c r="P320">
        <f t="shared" si="16"/>
        <v>0</v>
      </c>
      <c r="Q320">
        <f t="shared" si="17"/>
        <v>0</v>
      </c>
      <c r="S320">
        <v>-40.395652173913049</v>
      </c>
      <c r="T320">
        <v>0</v>
      </c>
      <c r="U320">
        <v>-1.1956521739130435</v>
      </c>
      <c r="V320">
        <v>-39.200000000000003</v>
      </c>
      <c r="W320">
        <v>0</v>
      </c>
      <c r="X320">
        <v>0</v>
      </c>
      <c r="Y320">
        <v>0</v>
      </c>
    </row>
    <row r="321" spans="1:25" x14ac:dyDescent="0.2">
      <c r="A321" t="s">
        <v>21</v>
      </c>
      <c r="B321" t="s">
        <v>1033</v>
      </c>
      <c r="C321">
        <v>0</v>
      </c>
      <c r="D321" s="2">
        <v>0</v>
      </c>
      <c r="E321">
        <v>0</v>
      </c>
      <c r="F321">
        <v>0</v>
      </c>
      <c r="G321">
        <v>0</v>
      </c>
      <c r="H321">
        <v>0</v>
      </c>
      <c r="I321">
        <v>95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f t="shared" si="16"/>
        <v>0</v>
      </c>
      <c r="Q321">
        <f t="shared" si="17"/>
        <v>0</v>
      </c>
      <c r="S321">
        <v>-1.0326086956521738</v>
      </c>
      <c r="T321">
        <v>0</v>
      </c>
      <c r="U321">
        <v>-1.0326086956521738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 t="s">
        <v>21</v>
      </c>
      <c r="B322" t="s">
        <v>1034</v>
      </c>
      <c r="C322">
        <v>150</v>
      </c>
      <c r="D322" s="2">
        <v>0</v>
      </c>
      <c r="E322">
        <v>0</v>
      </c>
      <c r="F322">
        <v>0</v>
      </c>
      <c r="G322">
        <v>0</v>
      </c>
      <c r="H322">
        <v>0</v>
      </c>
      <c r="I322">
        <v>30</v>
      </c>
      <c r="J322">
        <v>41</v>
      </c>
      <c r="K322">
        <v>0</v>
      </c>
      <c r="L322">
        <v>41</v>
      </c>
      <c r="M322">
        <v>0</v>
      </c>
      <c r="N322">
        <v>191</v>
      </c>
      <c r="O322" s="3">
        <f t="shared" ref="O322:O385" si="20">M322/C322*100</f>
        <v>0</v>
      </c>
      <c r="P322">
        <f t="shared" ref="P322:P385" si="21">IF(I322&gt;2300*0.2,1,0)</f>
        <v>0</v>
      </c>
      <c r="Q322">
        <f t="shared" ref="Q322:Q385" si="22">IF(H322&gt;300,1,0)</f>
        <v>0</v>
      </c>
      <c r="S322">
        <v>-16.72608695652174</v>
      </c>
      <c r="T322">
        <v>0</v>
      </c>
      <c r="U322">
        <v>-0.32608695652173914</v>
      </c>
      <c r="V322">
        <v>-16.400000000000002</v>
      </c>
      <c r="W322">
        <v>0</v>
      </c>
      <c r="X322">
        <v>0</v>
      </c>
      <c r="Y322">
        <v>0</v>
      </c>
    </row>
    <row r="323" spans="1:25" x14ac:dyDescent="0.2">
      <c r="A323" t="s">
        <v>21</v>
      </c>
      <c r="B323" t="s">
        <v>1035</v>
      </c>
      <c r="C323">
        <v>200</v>
      </c>
      <c r="D323" s="2">
        <v>0</v>
      </c>
      <c r="E323">
        <v>0</v>
      </c>
      <c r="F323">
        <v>0</v>
      </c>
      <c r="G323">
        <v>0</v>
      </c>
      <c r="H323">
        <v>0</v>
      </c>
      <c r="I323">
        <v>45</v>
      </c>
      <c r="J323">
        <v>55</v>
      </c>
      <c r="K323">
        <v>0</v>
      </c>
      <c r="L323">
        <v>55</v>
      </c>
      <c r="M323">
        <v>0</v>
      </c>
      <c r="N323">
        <v>255</v>
      </c>
      <c r="O323" s="3">
        <f t="shared" si="20"/>
        <v>0</v>
      </c>
      <c r="P323">
        <f t="shared" si="21"/>
        <v>0</v>
      </c>
      <c r="Q323">
        <f t="shared" si="22"/>
        <v>0</v>
      </c>
      <c r="S323">
        <v>-22.489130434782613</v>
      </c>
      <c r="T323">
        <v>0</v>
      </c>
      <c r="U323">
        <v>-0.48913043478260876</v>
      </c>
      <c r="V323">
        <v>-22.000000000000004</v>
      </c>
      <c r="W323">
        <v>0</v>
      </c>
      <c r="X323">
        <v>0</v>
      </c>
      <c r="Y323">
        <v>0</v>
      </c>
    </row>
    <row r="324" spans="1:25" x14ac:dyDescent="0.2">
      <c r="A324" t="s">
        <v>21</v>
      </c>
      <c r="B324" t="s">
        <v>1036</v>
      </c>
      <c r="C324">
        <v>250</v>
      </c>
      <c r="D324" s="2">
        <v>0</v>
      </c>
      <c r="E324">
        <v>0</v>
      </c>
      <c r="F324">
        <v>0</v>
      </c>
      <c r="G324">
        <v>0</v>
      </c>
      <c r="H324">
        <v>0</v>
      </c>
      <c r="I324">
        <v>55</v>
      </c>
      <c r="J324">
        <v>69</v>
      </c>
      <c r="K324">
        <v>0</v>
      </c>
      <c r="L324">
        <v>69</v>
      </c>
      <c r="M324">
        <v>0</v>
      </c>
      <c r="N324">
        <v>319</v>
      </c>
      <c r="O324" s="3">
        <f t="shared" si="20"/>
        <v>0</v>
      </c>
      <c r="P324">
        <f t="shared" si="21"/>
        <v>0</v>
      </c>
      <c r="Q324">
        <f t="shared" si="22"/>
        <v>0</v>
      </c>
      <c r="S324">
        <v>-28.197826086956521</v>
      </c>
      <c r="T324">
        <v>0</v>
      </c>
      <c r="U324">
        <v>-0.59782608695652173</v>
      </c>
      <c r="V324">
        <v>-27.599999999999998</v>
      </c>
      <c r="W324">
        <v>0</v>
      </c>
      <c r="X324">
        <v>0</v>
      </c>
      <c r="Y324">
        <v>0</v>
      </c>
    </row>
    <row r="325" spans="1:25" x14ac:dyDescent="0.2">
      <c r="A325" t="s">
        <v>21</v>
      </c>
      <c r="B325" t="s">
        <v>1037</v>
      </c>
      <c r="C325">
        <v>380</v>
      </c>
      <c r="D325" s="2">
        <v>0</v>
      </c>
      <c r="E325">
        <v>0</v>
      </c>
      <c r="F325">
        <v>0</v>
      </c>
      <c r="G325">
        <v>0</v>
      </c>
      <c r="H325">
        <v>0</v>
      </c>
      <c r="I325">
        <v>80</v>
      </c>
      <c r="J325">
        <v>104</v>
      </c>
      <c r="K325">
        <v>0</v>
      </c>
      <c r="L325">
        <v>103</v>
      </c>
      <c r="M325">
        <v>0</v>
      </c>
      <c r="N325">
        <v>483</v>
      </c>
      <c r="O325" s="3">
        <f t="shared" si="20"/>
        <v>0</v>
      </c>
      <c r="P325">
        <f t="shared" si="21"/>
        <v>0</v>
      </c>
      <c r="Q325">
        <f t="shared" si="22"/>
        <v>0</v>
      </c>
      <c r="S325">
        <v>-42.069565217391307</v>
      </c>
      <c r="T325">
        <v>0</v>
      </c>
      <c r="U325">
        <v>-0.86956521739130432</v>
      </c>
      <c r="V325">
        <v>-41.2</v>
      </c>
      <c r="W325">
        <v>0</v>
      </c>
      <c r="X325">
        <v>0</v>
      </c>
      <c r="Y325">
        <v>0</v>
      </c>
    </row>
    <row r="326" spans="1:25" x14ac:dyDescent="0.2">
      <c r="A326" t="s">
        <v>21</v>
      </c>
      <c r="B326" t="s">
        <v>1041</v>
      </c>
      <c r="C326">
        <v>5</v>
      </c>
      <c r="D326" s="2">
        <v>0</v>
      </c>
      <c r="E326">
        <v>0</v>
      </c>
      <c r="F326">
        <v>0</v>
      </c>
      <c r="G326">
        <v>0</v>
      </c>
      <c r="H326">
        <v>0</v>
      </c>
      <c r="I326">
        <v>120</v>
      </c>
      <c r="J326">
        <v>1</v>
      </c>
      <c r="K326">
        <v>0</v>
      </c>
      <c r="L326">
        <v>0</v>
      </c>
      <c r="M326">
        <v>0</v>
      </c>
      <c r="N326">
        <v>5</v>
      </c>
      <c r="O326" s="3">
        <f t="shared" si="20"/>
        <v>0</v>
      </c>
      <c r="P326">
        <f t="shared" si="21"/>
        <v>0</v>
      </c>
      <c r="Q326">
        <f t="shared" si="22"/>
        <v>0</v>
      </c>
      <c r="S326">
        <v>-1.3043478260869565</v>
      </c>
      <c r="T326">
        <v>0</v>
      </c>
      <c r="U326">
        <v>-1.3043478260869565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 t="s">
        <v>21</v>
      </c>
      <c r="B327" t="s">
        <v>1042</v>
      </c>
      <c r="C327">
        <v>950</v>
      </c>
      <c r="D327" s="2">
        <v>0</v>
      </c>
      <c r="E327">
        <v>0</v>
      </c>
      <c r="F327">
        <v>0</v>
      </c>
      <c r="G327">
        <v>0</v>
      </c>
      <c r="H327">
        <v>0</v>
      </c>
      <c r="I327">
        <v>790</v>
      </c>
      <c r="J327">
        <v>270</v>
      </c>
      <c r="K327">
        <v>0</v>
      </c>
      <c r="L327">
        <v>264</v>
      </c>
      <c r="M327">
        <v>0</v>
      </c>
      <c r="N327">
        <v>1214</v>
      </c>
      <c r="O327" s="3">
        <f t="shared" si="20"/>
        <v>0</v>
      </c>
      <c r="P327">
        <f t="shared" si="21"/>
        <v>1</v>
      </c>
      <c r="Q327">
        <f t="shared" si="22"/>
        <v>0</v>
      </c>
      <c r="S327">
        <v>-114.18695652173913</v>
      </c>
      <c r="T327">
        <v>0</v>
      </c>
      <c r="U327">
        <v>-8.5869565217391308</v>
      </c>
      <c r="V327">
        <v>-105.60000000000001</v>
      </c>
      <c r="W327">
        <v>0</v>
      </c>
      <c r="X327">
        <v>0</v>
      </c>
      <c r="Y327">
        <v>0</v>
      </c>
    </row>
    <row r="328" spans="1:25" x14ac:dyDescent="0.2">
      <c r="A328" t="s">
        <v>21</v>
      </c>
      <c r="B328" t="s">
        <v>1043</v>
      </c>
      <c r="C328">
        <v>170</v>
      </c>
      <c r="D328" s="2">
        <v>0</v>
      </c>
      <c r="E328">
        <v>0</v>
      </c>
      <c r="F328">
        <v>0</v>
      </c>
      <c r="G328">
        <v>0</v>
      </c>
      <c r="H328">
        <v>0</v>
      </c>
      <c r="I328">
        <v>130</v>
      </c>
      <c r="J328">
        <v>45</v>
      </c>
      <c r="K328">
        <v>0</v>
      </c>
      <c r="L328">
        <v>44</v>
      </c>
      <c r="M328">
        <v>0</v>
      </c>
      <c r="N328">
        <v>214</v>
      </c>
      <c r="O328" s="3">
        <f t="shared" si="20"/>
        <v>0</v>
      </c>
      <c r="P328">
        <f t="shared" si="21"/>
        <v>0</v>
      </c>
      <c r="Q328">
        <f t="shared" si="22"/>
        <v>0</v>
      </c>
      <c r="S328">
        <v>-19.013043478260872</v>
      </c>
      <c r="T328">
        <v>0</v>
      </c>
      <c r="U328">
        <v>-1.4130434782608696</v>
      </c>
      <c r="V328">
        <v>-17.600000000000001</v>
      </c>
      <c r="W328">
        <v>0</v>
      </c>
      <c r="X328">
        <v>0</v>
      </c>
      <c r="Y328">
        <v>0</v>
      </c>
    </row>
    <row r="329" spans="1:25" x14ac:dyDescent="0.2">
      <c r="A329" t="s">
        <v>21</v>
      </c>
      <c r="B329" t="s">
        <v>1044</v>
      </c>
      <c r="C329">
        <v>170</v>
      </c>
      <c r="D329" s="2">
        <v>0</v>
      </c>
      <c r="E329">
        <v>0</v>
      </c>
      <c r="F329">
        <v>0</v>
      </c>
      <c r="G329">
        <v>0</v>
      </c>
      <c r="H329">
        <v>0</v>
      </c>
      <c r="I329">
        <v>35</v>
      </c>
      <c r="J329">
        <v>45</v>
      </c>
      <c r="K329">
        <v>0</v>
      </c>
      <c r="L329">
        <v>45</v>
      </c>
      <c r="M329">
        <v>0</v>
      </c>
      <c r="N329">
        <v>215</v>
      </c>
      <c r="O329" s="3">
        <f t="shared" si="20"/>
        <v>0</v>
      </c>
      <c r="P329">
        <f t="shared" si="21"/>
        <v>0</v>
      </c>
      <c r="Q329">
        <f t="shared" si="22"/>
        <v>0</v>
      </c>
      <c r="S329">
        <v>-18.380434782608699</v>
      </c>
      <c r="T329">
        <v>0</v>
      </c>
      <c r="U329">
        <v>-0.38043478260869568</v>
      </c>
      <c r="V329">
        <v>-18.000000000000004</v>
      </c>
      <c r="W329">
        <v>0</v>
      </c>
      <c r="X329">
        <v>0</v>
      </c>
      <c r="Y329">
        <v>0</v>
      </c>
    </row>
    <row r="330" spans="1:25" x14ac:dyDescent="0.2">
      <c r="A330" t="s">
        <v>21</v>
      </c>
      <c r="B330" t="s">
        <v>1045</v>
      </c>
      <c r="C330">
        <v>230</v>
      </c>
      <c r="D330" s="2">
        <v>0</v>
      </c>
      <c r="E330">
        <v>0</v>
      </c>
      <c r="F330">
        <v>0</v>
      </c>
      <c r="G330">
        <v>0</v>
      </c>
      <c r="H330">
        <v>0</v>
      </c>
      <c r="I330">
        <v>45</v>
      </c>
      <c r="J330">
        <v>60</v>
      </c>
      <c r="K330">
        <v>0</v>
      </c>
      <c r="L330">
        <v>60</v>
      </c>
      <c r="M330">
        <v>0</v>
      </c>
      <c r="N330">
        <v>290</v>
      </c>
      <c r="O330" s="3">
        <f t="shared" si="20"/>
        <v>0</v>
      </c>
      <c r="P330">
        <f t="shared" si="21"/>
        <v>0</v>
      </c>
      <c r="Q330">
        <f t="shared" si="22"/>
        <v>0</v>
      </c>
      <c r="S330">
        <v>-24.489130434782609</v>
      </c>
      <c r="T330">
        <v>0</v>
      </c>
      <c r="U330">
        <v>-0.48913043478260876</v>
      </c>
      <c r="V330">
        <v>-24</v>
      </c>
      <c r="W330">
        <v>0</v>
      </c>
      <c r="X330">
        <v>0</v>
      </c>
      <c r="Y330">
        <v>0</v>
      </c>
    </row>
    <row r="331" spans="1:25" x14ac:dyDescent="0.2">
      <c r="A331" t="s">
        <v>21</v>
      </c>
      <c r="B331" t="s">
        <v>1046</v>
      </c>
      <c r="C331">
        <v>280</v>
      </c>
      <c r="D331" s="2">
        <v>0</v>
      </c>
      <c r="E331">
        <v>0</v>
      </c>
      <c r="F331">
        <v>0</v>
      </c>
      <c r="G331">
        <v>0</v>
      </c>
      <c r="H331">
        <v>0</v>
      </c>
      <c r="I331">
        <v>60</v>
      </c>
      <c r="J331">
        <v>75</v>
      </c>
      <c r="K331">
        <v>0</v>
      </c>
      <c r="L331">
        <v>75</v>
      </c>
      <c r="M331">
        <v>0</v>
      </c>
      <c r="N331">
        <v>355</v>
      </c>
      <c r="O331" s="3">
        <f t="shared" si="20"/>
        <v>0</v>
      </c>
      <c r="P331">
        <f t="shared" si="21"/>
        <v>0</v>
      </c>
      <c r="Q331">
        <f t="shared" si="22"/>
        <v>0</v>
      </c>
      <c r="S331">
        <v>-30.65217391304348</v>
      </c>
      <c r="T331">
        <v>0</v>
      </c>
      <c r="U331">
        <v>-0.65217391304347827</v>
      </c>
      <c r="V331">
        <v>-30.000000000000004</v>
      </c>
      <c r="W331">
        <v>0</v>
      </c>
      <c r="X331">
        <v>0</v>
      </c>
      <c r="Y331">
        <v>0</v>
      </c>
    </row>
    <row r="332" spans="1:25" x14ac:dyDescent="0.2">
      <c r="A332" t="s">
        <v>21</v>
      </c>
      <c r="B332" t="s">
        <v>1047</v>
      </c>
      <c r="C332">
        <v>420</v>
      </c>
      <c r="D332" s="2">
        <v>0</v>
      </c>
      <c r="E332">
        <v>0</v>
      </c>
      <c r="F332">
        <v>0</v>
      </c>
      <c r="G332">
        <v>0</v>
      </c>
      <c r="H332">
        <v>0</v>
      </c>
      <c r="I332">
        <v>90</v>
      </c>
      <c r="J332">
        <v>113</v>
      </c>
      <c r="K332">
        <v>0</v>
      </c>
      <c r="L332">
        <v>112</v>
      </c>
      <c r="M332">
        <v>0</v>
      </c>
      <c r="N332">
        <v>532</v>
      </c>
      <c r="O332" s="3">
        <f t="shared" si="20"/>
        <v>0</v>
      </c>
      <c r="P332">
        <f t="shared" si="21"/>
        <v>0</v>
      </c>
      <c r="Q332">
        <f t="shared" si="22"/>
        <v>0</v>
      </c>
      <c r="S332">
        <v>-45.778260869565223</v>
      </c>
      <c r="T332">
        <v>0</v>
      </c>
      <c r="U332">
        <v>-0.97826086956521752</v>
      </c>
      <c r="V332">
        <v>-44.800000000000004</v>
      </c>
      <c r="W332">
        <v>0</v>
      </c>
      <c r="X332">
        <v>0</v>
      </c>
      <c r="Y332">
        <v>0</v>
      </c>
    </row>
    <row r="333" spans="1:25" x14ac:dyDescent="0.2">
      <c r="A333" t="s">
        <v>21</v>
      </c>
      <c r="B333" t="s">
        <v>1051</v>
      </c>
      <c r="C333">
        <v>15</v>
      </c>
      <c r="D333" s="2">
        <v>0</v>
      </c>
      <c r="E333">
        <v>0</v>
      </c>
      <c r="F333">
        <v>0</v>
      </c>
      <c r="G333">
        <v>0</v>
      </c>
      <c r="H333">
        <v>0</v>
      </c>
      <c r="I333">
        <v>350</v>
      </c>
      <c r="J333">
        <v>1</v>
      </c>
      <c r="K333">
        <v>0</v>
      </c>
      <c r="L333">
        <v>0</v>
      </c>
      <c r="M333">
        <v>0</v>
      </c>
      <c r="N333">
        <v>15</v>
      </c>
      <c r="O333" s="3">
        <f t="shared" si="20"/>
        <v>0</v>
      </c>
      <c r="P333">
        <f t="shared" si="21"/>
        <v>0</v>
      </c>
      <c r="Q333">
        <f t="shared" si="22"/>
        <v>0</v>
      </c>
      <c r="S333">
        <v>-3.804347826086957</v>
      </c>
      <c r="T333">
        <v>0</v>
      </c>
      <c r="U333">
        <v>-3.804347826086957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 t="s">
        <v>21</v>
      </c>
      <c r="B334" t="s">
        <v>1052</v>
      </c>
      <c r="C334">
        <v>150</v>
      </c>
      <c r="D334" s="2">
        <v>0</v>
      </c>
      <c r="E334">
        <v>0</v>
      </c>
      <c r="F334">
        <v>0</v>
      </c>
      <c r="G334">
        <v>0</v>
      </c>
      <c r="H334">
        <v>0</v>
      </c>
      <c r="I334">
        <v>160</v>
      </c>
      <c r="J334">
        <v>40</v>
      </c>
      <c r="K334">
        <v>0</v>
      </c>
      <c r="L334">
        <v>40</v>
      </c>
      <c r="M334">
        <v>0</v>
      </c>
      <c r="N334">
        <v>190</v>
      </c>
      <c r="O334" s="3">
        <f t="shared" si="20"/>
        <v>0</v>
      </c>
      <c r="P334">
        <f t="shared" si="21"/>
        <v>0</v>
      </c>
      <c r="Q334">
        <f t="shared" si="22"/>
        <v>0</v>
      </c>
      <c r="S334">
        <v>-17.739130434782613</v>
      </c>
      <c r="T334">
        <v>0</v>
      </c>
      <c r="U334">
        <v>-1.7391304347826086</v>
      </c>
      <c r="V334">
        <v>-16.000000000000004</v>
      </c>
      <c r="W334">
        <v>0</v>
      </c>
      <c r="X334">
        <v>0</v>
      </c>
      <c r="Y334">
        <v>0</v>
      </c>
    </row>
    <row r="335" spans="1:25" x14ac:dyDescent="0.2">
      <c r="A335" t="s">
        <v>21</v>
      </c>
      <c r="B335" t="s">
        <v>1053</v>
      </c>
      <c r="C335">
        <v>210</v>
      </c>
      <c r="D335" s="2">
        <v>0</v>
      </c>
      <c r="E335">
        <v>0</v>
      </c>
      <c r="F335">
        <v>0</v>
      </c>
      <c r="G335">
        <v>0</v>
      </c>
      <c r="H335">
        <v>0</v>
      </c>
      <c r="I335">
        <v>210</v>
      </c>
      <c r="J335">
        <v>53</v>
      </c>
      <c r="K335">
        <v>0</v>
      </c>
      <c r="L335">
        <v>53</v>
      </c>
      <c r="M335">
        <v>0</v>
      </c>
      <c r="N335">
        <v>263</v>
      </c>
      <c r="O335" s="3">
        <f t="shared" si="20"/>
        <v>0</v>
      </c>
      <c r="P335">
        <f t="shared" si="21"/>
        <v>0</v>
      </c>
      <c r="Q335">
        <f t="shared" si="22"/>
        <v>0</v>
      </c>
      <c r="S335">
        <v>-23.482608695652175</v>
      </c>
      <c r="T335">
        <v>0</v>
      </c>
      <c r="U335">
        <v>-2.2826086956521738</v>
      </c>
      <c r="V335">
        <v>-21.200000000000003</v>
      </c>
      <c r="W335">
        <v>0</v>
      </c>
      <c r="X335">
        <v>0</v>
      </c>
      <c r="Y335">
        <v>0</v>
      </c>
    </row>
    <row r="336" spans="1:25" x14ac:dyDescent="0.2">
      <c r="A336" t="s">
        <v>21</v>
      </c>
      <c r="B336" t="s">
        <v>1054</v>
      </c>
      <c r="C336">
        <v>260</v>
      </c>
      <c r="D336" s="2">
        <v>0</v>
      </c>
      <c r="E336">
        <v>0</v>
      </c>
      <c r="F336">
        <v>0</v>
      </c>
      <c r="G336">
        <v>0</v>
      </c>
      <c r="H336">
        <v>0</v>
      </c>
      <c r="I336">
        <v>260</v>
      </c>
      <c r="J336">
        <v>67</v>
      </c>
      <c r="K336">
        <v>0</v>
      </c>
      <c r="L336">
        <v>67</v>
      </c>
      <c r="M336">
        <v>0</v>
      </c>
      <c r="N336">
        <v>327</v>
      </c>
      <c r="O336" s="3">
        <f t="shared" si="20"/>
        <v>0</v>
      </c>
      <c r="P336">
        <f t="shared" si="21"/>
        <v>0</v>
      </c>
      <c r="Q336">
        <f t="shared" si="22"/>
        <v>0</v>
      </c>
      <c r="S336">
        <v>-29.626086956521739</v>
      </c>
      <c r="T336">
        <v>0</v>
      </c>
      <c r="U336">
        <v>-2.8260869565217392</v>
      </c>
      <c r="V336">
        <v>-26.8</v>
      </c>
      <c r="W336">
        <v>0</v>
      </c>
      <c r="X336">
        <v>0</v>
      </c>
      <c r="Y336">
        <v>0</v>
      </c>
    </row>
    <row r="337" spans="1:25" x14ac:dyDescent="0.2">
      <c r="A337" t="s">
        <v>21</v>
      </c>
      <c r="B337" t="s">
        <v>1055</v>
      </c>
      <c r="C337">
        <v>390</v>
      </c>
      <c r="D337" s="2">
        <v>0</v>
      </c>
      <c r="E337">
        <v>0</v>
      </c>
      <c r="F337">
        <v>0</v>
      </c>
      <c r="G337">
        <v>0</v>
      </c>
      <c r="H337">
        <v>0</v>
      </c>
      <c r="I337">
        <v>390</v>
      </c>
      <c r="J337">
        <v>100</v>
      </c>
      <c r="K337">
        <v>0</v>
      </c>
      <c r="L337">
        <v>100</v>
      </c>
      <c r="M337">
        <v>0</v>
      </c>
      <c r="N337">
        <v>490</v>
      </c>
      <c r="O337" s="3">
        <f t="shared" si="20"/>
        <v>0</v>
      </c>
      <c r="P337">
        <f t="shared" si="21"/>
        <v>0</v>
      </c>
      <c r="Q337">
        <f t="shared" si="22"/>
        <v>0</v>
      </c>
      <c r="S337">
        <v>-44.239130434782609</v>
      </c>
      <c r="T337">
        <v>0</v>
      </c>
      <c r="U337">
        <v>-4.2391304347826084</v>
      </c>
      <c r="V337">
        <v>-40</v>
      </c>
      <c r="W337">
        <v>0</v>
      </c>
      <c r="X337">
        <v>0</v>
      </c>
      <c r="Y337">
        <v>0</v>
      </c>
    </row>
    <row r="338" spans="1:25" x14ac:dyDescent="0.2">
      <c r="A338" t="s">
        <v>21</v>
      </c>
      <c r="B338" t="s">
        <v>1056</v>
      </c>
      <c r="C338">
        <v>170</v>
      </c>
      <c r="D338" s="2">
        <v>0</v>
      </c>
      <c r="E338">
        <v>0</v>
      </c>
      <c r="F338">
        <v>0</v>
      </c>
      <c r="G338">
        <v>0</v>
      </c>
      <c r="H338">
        <v>0</v>
      </c>
      <c r="I338">
        <v>35</v>
      </c>
      <c r="J338">
        <v>46</v>
      </c>
      <c r="K338">
        <v>0</v>
      </c>
      <c r="L338">
        <v>46</v>
      </c>
      <c r="M338">
        <v>0</v>
      </c>
      <c r="N338">
        <v>216</v>
      </c>
      <c r="O338" s="3">
        <f t="shared" si="20"/>
        <v>0</v>
      </c>
      <c r="P338">
        <f t="shared" si="21"/>
        <v>0</v>
      </c>
      <c r="Q338">
        <f t="shared" si="22"/>
        <v>0</v>
      </c>
      <c r="S338">
        <v>-18.780434782608697</v>
      </c>
      <c r="T338">
        <v>0</v>
      </c>
      <c r="U338">
        <v>-0.38043478260869568</v>
      </c>
      <c r="V338">
        <v>-18.400000000000002</v>
      </c>
      <c r="W338">
        <v>0</v>
      </c>
      <c r="X338">
        <v>0</v>
      </c>
      <c r="Y338">
        <v>0</v>
      </c>
    </row>
    <row r="339" spans="1:25" x14ac:dyDescent="0.2">
      <c r="A339" t="s">
        <v>21</v>
      </c>
      <c r="B339" t="s">
        <v>1057</v>
      </c>
      <c r="C339">
        <v>230</v>
      </c>
      <c r="D339" s="2">
        <v>0</v>
      </c>
      <c r="E339">
        <v>0</v>
      </c>
      <c r="F339">
        <v>0</v>
      </c>
      <c r="G339">
        <v>0</v>
      </c>
      <c r="H339">
        <v>0</v>
      </c>
      <c r="I339">
        <v>50</v>
      </c>
      <c r="J339">
        <v>61</v>
      </c>
      <c r="K339">
        <v>0</v>
      </c>
      <c r="L339">
        <v>61</v>
      </c>
      <c r="M339">
        <v>0</v>
      </c>
      <c r="N339">
        <v>291</v>
      </c>
      <c r="O339" s="3">
        <f t="shared" si="20"/>
        <v>0</v>
      </c>
      <c r="P339">
        <f t="shared" si="21"/>
        <v>0</v>
      </c>
      <c r="Q339">
        <f t="shared" si="22"/>
        <v>0</v>
      </c>
      <c r="S339">
        <v>-24.943478260869565</v>
      </c>
      <c r="T339">
        <v>0</v>
      </c>
      <c r="U339">
        <v>-0.54347826086956519</v>
      </c>
      <c r="V339">
        <v>-24.4</v>
      </c>
      <c r="W339">
        <v>0</v>
      </c>
      <c r="X339">
        <v>0</v>
      </c>
      <c r="Y339">
        <v>0</v>
      </c>
    </row>
    <row r="340" spans="1:25" x14ac:dyDescent="0.2">
      <c r="A340" t="s">
        <v>21</v>
      </c>
      <c r="B340" t="s">
        <v>1058</v>
      </c>
      <c r="C340">
        <v>290</v>
      </c>
      <c r="D340" s="2">
        <v>0</v>
      </c>
      <c r="E340">
        <v>0</v>
      </c>
      <c r="F340">
        <v>0</v>
      </c>
      <c r="G340">
        <v>0</v>
      </c>
      <c r="H340">
        <v>0</v>
      </c>
      <c r="I340">
        <v>60</v>
      </c>
      <c r="J340">
        <v>76</v>
      </c>
      <c r="K340">
        <v>0</v>
      </c>
      <c r="L340">
        <v>76</v>
      </c>
      <c r="M340">
        <v>0</v>
      </c>
      <c r="N340">
        <v>366</v>
      </c>
      <c r="O340" s="3">
        <f t="shared" si="20"/>
        <v>0</v>
      </c>
      <c r="P340">
        <f t="shared" si="21"/>
        <v>0</v>
      </c>
      <c r="Q340">
        <f t="shared" si="22"/>
        <v>0</v>
      </c>
      <c r="S340">
        <v>-31.052173913043482</v>
      </c>
      <c r="T340">
        <v>0</v>
      </c>
      <c r="U340">
        <v>-0.65217391304347827</v>
      </c>
      <c r="V340">
        <v>-30.400000000000006</v>
      </c>
      <c r="W340">
        <v>0</v>
      </c>
      <c r="X340">
        <v>0</v>
      </c>
      <c r="Y340">
        <v>0</v>
      </c>
    </row>
    <row r="341" spans="1:25" x14ac:dyDescent="0.2">
      <c r="A341" t="s">
        <v>21</v>
      </c>
      <c r="B341" t="s">
        <v>1059</v>
      </c>
      <c r="C341">
        <v>430</v>
      </c>
      <c r="D341" s="2">
        <v>0</v>
      </c>
      <c r="E341">
        <v>0</v>
      </c>
      <c r="F341">
        <v>0</v>
      </c>
      <c r="G341">
        <v>0</v>
      </c>
      <c r="H341">
        <v>0</v>
      </c>
      <c r="I341">
        <v>90</v>
      </c>
      <c r="J341">
        <v>115</v>
      </c>
      <c r="K341">
        <v>0</v>
      </c>
      <c r="L341">
        <v>114</v>
      </c>
      <c r="M341">
        <v>0</v>
      </c>
      <c r="N341">
        <v>544</v>
      </c>
      <c r="O341" s="3">
        <f t="shared" si="20"/>
        <v>0</v>
      </c>
      <c r="P341">
        <f t="shared" si="21"/>
        <v>0</v>
      </c>
      <c r="Q341">
        <f t="shared" si="22"/>
        <v>0</v>
      </c>
      <c r="S341">
        <v>-46.578260869565213</v>
      </c>
      <c r="T341">
        <v>0</v>
      </c>
      <c r="U341">
        <v>-0.97826086956521752</v>
      </c>
      <c r="V341">
        <v>-45.599999999999994</v>
      </c>
      <c r="W341">
        <v>0</v>
      </c>
      <c r="X341">
        <v>0</v>
      </c>
      <c r="Y341">
        <v>0</v>
      </c>
    </row>
    <row r="342" spans="1:25" x14ac:dyDescent="0.2">
      <c r="A342" t="s">
        <v>21</v>
      </c>
      <c r="B342" t="s">
        <v>1060</v>
      </c>
      <c r="C342">
        <v>160</v>
      </c>
      <c r="D342" s="2">
        <v>0</v>
      </c>
      <c r="E342">
        <v>0</v>
      </c>
      <c r="F342">
        <v>0</v>
      </c>
      <c r="G342">
        <v>0</v>
      </c>
      <c r="H342">
        <v>0</v>
      </c>
      <c r="I342">
        <v>30</v>
      </c>
      <c r="J342">
        <v>42</v>
      </c>
      <c r="K342">
        <v>0</v>
      </c>
      <c r="L342">
        <v>42</v>
      </c>
      <c r="M342">
        <v>0</v>
      </c>
      <c r="N342">
        <v>202</v>
      </c>
      <c r="O342" s="3">
        <f t="shared" si="20"/>
        <v>0</v>
      </c>
      <c r="P342">
        <f t="shared" si="21"/>
        <v>0</v>
      </c>
      <c r="Q342">
        <f t="shared" si="22"/>
        <v>0</v>
      </c>
      <c r="S342">
        <v>-17.126086956521739</v>
      </c>
      <c r="T342">
        <v>0</v>
      </c>
      <c r="U342">
        <v>-0.32608695652173914</v>
      </c>
      <c r="V342">
        <v>-16.8</v>
      </c>
      <c r="W342">
        <v>0</v>
      </c>
      <c r="X342">
        <v>0</v>
      </c>
      <c r="Y342">
        <v>0</v>
      </c>
    </row>
    <row r="343" spans="1:25" x14ac:dyDescent="0.2">
      <c r="A343" t="s">
        <v>21</v>
      </c>
      <c r="B343" t="s">
        <v>1061</v>
      </c>
      <c r="C343">
        <v>210</v>
      </c>
      <c r="D343" s="2">
        <v>0</v>
      </c>
      <c r="E343">
        <v>0</v>
      </c>
      <c r="F343">
        <v>0</v>
      </c>
      <c r="G343">
        <v>0</v>
      </c>
      <c r="H343">
        <v>0</v>
      </c>
      <c r="I343">
        <v>40</v>
      </c>
      <c r="J343">
        <v>56</v>
      </c>
      <c r="K343">
        <v>0</v>
      </c>
      <c r="L343">
        <v>56</v>
      </c>
      <c r="M343">
        <v>0</v>
      </c>
      <c r="N343">
        <v>266</v>
      </c>
      <c r="O343" s="3">
        <f t="shared" si="20"/>
        <v>0</v>
      </c>
      <c r="P343">
        <f t="shared" si="21"/>
        <v>0</v>
      </c>
      <c r="Q343">
        <f t="shared" si="22"/>
        <v>0</v>
      </c>
      <c r="S343">
        <v>-22.834782608695654</v>
      </c>
      <c r="T343">
        <v>0</v>
      </c>
      <c r="U343">
        <v>-0.43478260869565216</v>
      </c>
      <c r="V343">
        <v>-22.400000000000002</v>
      </c>
      <c r="W343">
        <v>0</v>
      </c>
      <c r="X343">
        <v>0</v>
      </c>
      <c r="Y343">
        <v>0</v>
      </c>
    </row>
    <row r="344" spans="1:25" x14ac:dyDescent="0.2">
      <c r="A344" t="s">
        <v>21</v>
      </c>
      <c r="B344" t="s">
        <v>1062</v>
      </c>
      <c r="C344">
        <v>260</v>
      </c>
      <c r="D344" s="2">
        <v>0</v>
      </c>
      <c r="E344">
        <v>0</v>
      </c>
      <c r="F344">
        <v>0</v>
      </c>
      <c r="G344">
        <v>0</v>
      </c>
      <c r="H344">
        <v>0</v>
      </c>
      <c r="I344">
        <v>50</v>
      </c>
      <c r="J344">
        <v>70</v>
      </c>
      <c r="K344">
        <v>0</v>
      </c>
      <c r="L344">
        <v>70</v>
      </c>
      <c r="M344">
        <v>0</v>
      </c>
      <c r="N344">
        <v>330</v>
      </c>
      <c r="O344" s="3">
        <f t="shared" si="20"/>
        <v>0</v>
      </c>
      <c r="P344">
        <f t="shared" si="21"/>
        <v>0</v>
      </c>
      <c r="Q344">
        <f t="shared" si="22"/>
        <v>0</v>
      </c>
      <c r="S344">
        <v>-28.543478260869563</v>
      </c>
      <c r="T344">
        <v>0</v>
      </c>
      <c r="U344">
        <v>-0.54347826086956519</v>
      </c>
      <c r="V344">
        <v>-27.999999999999996</v>
      </c>
      <c r="W344">
        <v>0</v>
      </c>
      <c r="X344">
        <v>0</v>
      </c>
      <c r="Y344">
        <v>0</v>
      </c>
    </row>
    <row r="345" spans="1:25" x14ac:dyDescent="0.2">
      <c r="A345" t="s">
        <v>21</v>
      </c>
      <c r="B345" t="s">
        <v>1063</v>
      </c>
      <c r="C345">
        <v>390</v>
      </c>
      <c r="D345" s="2">
        <v>0</v>
      </c>
      <c r="E345">
        <v>0</v>
      </c>
      <c r="F345">
        <v>0</v>
      </c>
      <c r="G345">
        <v>0</v>
      </c>
      <c r="H345">
        <v>0</v>
      </c>
      <c r="I345">
        <v>80</v>
      </c>
      <c r="J345">
        <v>105</v>
      </c>
      <c r="K345">
        <v>0</v>
      </c>
      <c r="L345">
        <v>105</v>
      </c>
      <c r="M345">
        <v>0</v>
      </c>
      <c r="N345">
        <v>495</v>
      </c>
      <c r="O345" s="3">
        <f t="shared" si="20"/>
        <v>0</v>
      </c>
      <c r="P345">
        <f t="shared" si="21"/>
        <v>0</v>
      </c>
      <c r="Q345">
        <f t="shared" si="22"/>
        <v>0</v>
      </c>
      <c r="S345">
        <v>-42.869565217391312</v>
      </c>
      <c r="T345">
        <v>0</v>
      </c>
      <c r="U345">
        <v>-0.86956521739130432</v>
      </c>
      <c r="V345">
        <v>-42.000000000000007</v>
      </c>
      <c r="W345">
        <v>0</v>
      </c>
      <c r="X345">
        <v>0</v>
      </c>
      <c r="Y345">
        <v>0</v>
      </c>
    </row>
    <row r="346" spans="1:25" x14ac:dyDescent="0.2">
      <c r="A346" t="s">
        <v>25</v>
      </c>
      <c r="B346" t="s">
        <v>26</v>
      </c>
      <c r="C346">
        <v>220</v>
      </c>
      <c r="D346">
        <v>60</v>
      </c>
      <c r="E346">
        <v>6</v>
      </c>
      <c r="F346">
        <v>3</v>
      </c>
      <c r="G346">
        <v>0</v>
      </c>
      <c r="H346">
        <v>75</v>
      </c>
      <c r="I346">
        <v>890</v>
      </c>
      <c r="J346">
        <v>12</v>
      </c>
      <c r="K346">
        <v>3</v>
      </c>
      <c r="L346">
        <v>5</v>
      </c>
      <c r="M346">
        <v>30</v>
      </c>
      <c r="N346">
        <v>198</v>
      </c>
      <c r="O346" s="3">
        <f t="shared" si="20"/>
        <v>13.636363636363635</v>
      </c>
      <c r="P346">
        <f t="shared" si="21"/>
        <v>1</v>
      </c>
      <c r="Q346">
        <f t="shared" si="22"/>
        <v>0</v>
      </c>
      <c r="S346">
        <v>-5.3524844720496887</v>
      </c>
      <c r="T346">
        <v>-0.75</v>
      </c>
      <c r="U346">
        <v>-9.6739130434782599</v>
      </c>
      <c r="V346">
        <v>-2.0000000000000004</v>
      </c>
      <c r="W346">
        <v>0</v>
      </c>
      <c r="X346">
        <v>6</v>
      </c>
      <c r="Y346">
        <v>1.0714285714285714</v>
      </c>
    </row>
    <row r="347" spans="1:25" x14ac:dyDescent="0.2">
      <c r="A347" t="s">
        <v>25</v>
      </c>
      <c r="B347" t="s">
        <v>28</v>
      </c>
      <c r="C347">
        <v>260</v>
      </c>
      <c r="D347">
        <v>90</v>
      </c>
      <c r="E347">
        <v>9</v>
      </c>
      <c r="F347">
        <v>4</v>
      </c>
      <c r="G347">
        <v>0</v>
      </c>
      <c r="H347">
        <v>90</v>
      </c>
      <c r="I347">
        <v>1010</v>
      </c>
      <c r="J347">
        <v>12</v>
      </c>
      <c r="K347">
        <v>3</v>
      </c>
      <c r="L347">
        <v>5</v>
      </c>
      <c r="M347">
        <v>33</v>
      </c>
      <c r="N347">
        <v>236</v>
      </c>
      <c r="O347" s="3">
        <f t="shared" si="20"/>
        <v>12.692307692307692</v>
      </c>
      <c r="P347">
        <f t="shared" si="21"/>
        <v>1</v>
      </c>
      <c r="Q347">
        <f t="shared" si="22"/>
        <v>0</v>
      </c>
      <c r="S347">
        <v>-6.3068322981366469</v>
      </c>
      <c r="T347">
        <v>-1</v>
      </c>
      <c r="U347">
        <v>-10.978260869565219</v>
      </c>
      <c r="V347">
        <v>-2.0000000000000004</v>
      </c>
      <c r="W347">
        <v>0</v>
      </c>
      <c r="X347">
        <v>6.6000000000000005</v>
      </c>
      <c r="Y347">
        <v>1.0714285714285714</v>
      </c>
    </row>
    <row r="348" spans="1:25" x14ac:dyDescent="0.2">
      <c r="A348" t="s">
        <v>25</v>
      </c>
      <c r="B348" t="s">
        <v>31</v>
      </c>
      <c r="C348">
        <v>60</v>
      </c>
      <c r="D348">
        <v>0</v>
      </c>
      <c r="E348">
        <v>0</v>
      </c>
      <c r="F348">
        <v>0</v>
      </c>
      <c r="G348">
        <v>0</v>
      </c>
      <c r="H348">
        <v>5</v>
      </c>
      <c r="I348">
        <v>85</v>
      </c>
      <c r="J348">
        <v>9</v>
      </c>
      <c r="K348">
        <v>0</v>
      </c>
      <c r="L348">
        <v>9</v>
      </c>
      <c r="M348">
        <v>6</v>
      </c>
      <c r="N348">
        <v>63</v>
      </c>
      <c r="O348" s="3">
        <f t="shared" si="20"/>
        <v>10</v>
      </c>
      <c r="P348">
        <f t="shared" si="21"/>
        <v>0</v>
      </c>
      <c r="Q348">
        <f t="shared" si="22"/>
        <v>0</v>
      </c>
      <c r="S348">
        <v>-3.3239130434782602</v>
      </c>
      <c r="T348">
        <v>0</v>
      </c>
      <c r="U348">
        <v>-0.92391304347826086</v>
      </c>
      <c r="V348">
        <v>-3.5999999999999996</v>
      </c>
      <c r="W348">
        <v>0</v>
      </c>
      <c r="X348">
        <v>1.2</v>
      </c>
      <c r="Y348">
        <v>0</v>
      </c>
    </row>
    <row r="349" spans="1:25" x14ac:dyDescent="0.2">
      <c r="A349" t="s">
        <v>25</v>
      </c>
      <c r="B349" t="s">
        <v>32</v>
      </c>
      <c r="C349">
        <v>80</v>
      </c>
      <c r="D349">
        <v>0</v>
      </c>
      <c r="E349">
        <v>0</v>
      </c>
      <c r="F349">
        <v>0</v>
      </c>
      <c r="G349">
        <v>0</v>
      </c>
      <c r="H349">
        <v>5</v>
      </c>
      <c r="I349">
        <v>110</v>
      </c>
      <c r="J349">
        <v>12</v>
      </c>
      <c r="K349">
        <v>0</v>
      </c>
      <c r="L349">
        <v>12</v>
      </c>
      <c r="M349">
        <v>8</v>
      </c>
      <c r="N349">
        <v>84</v>
      </c>
      <c r="O349" s="3">
        <f t="shared" si="20"/>
        <v>10</v>
      </c>
      <c r="P349">
        <f t="shared" si="21"/>
        <v>0</v>
      </c>
      <c r="Q349">
        <f t="shared" si="22"/>
        <v>0</v>
      </c>
      <c r="S349">
        <v>-4.3956521739130441</v>
      </c>
      <c r="T349">
        <v>0</v>
      </c>
      <c r="U349">
        <v>-1.1956521739130435</v>
      </c>
      <c r="V349">
        <v>-4.8</v>
      </c>
      <c r="W349">
        <v>0</v>
      </c>
      <c r="X349">
        <v>1.6</v>
      </c>
      <c r="Y349">
        <v>0</v>
      </c>
    </row>
    <row r="350" spans="1:25" x14ac:dyDescent="0.2">
      <c r="A350" t="s">
        <v>25</v>
      </c>
      <c r="B350" t="s">
        <v>33</v>
      </c>
      <c r="C350">
        <v>90</v>
      </c>
      <c r="D350">
        <v>0</v>
      </c>
      <c r="E350">
        <v>0</v>
      </c>
      <c r="F350">
        <v>0</v>
      </c>
      <c r="G350">
        <v>0</v>
      </c>
      <c r="H350">
        <v>5</v>
      </c>
      <c r="I350">
        <v>130</v>
      </c>
      <c r="J350">
        <v>13</v>
      </c>
      <c r="K350">
        <v>0</v>
      </c>
      <c r="L350">
        <v>13</v>
      </c>
      <c r="M350">
        <v>9</v>
      </c>
      <c r="N350">
        <v>94</v>
      </c>
      <c r="O350" s="3">
        <f t="shared" si="20"/>
        <v>10</v>
      </c>
      <c r="P350">
        <f t="shared" si="21"/>
        <v>0</v>
      </c>
      <c r="Q350">
        <f t="shared" si="22"/>
        <v>0</v>
      </c>
      <c r="S350">
        <v>-4.8130434782608704</v>
      </c>
      <c r="T350">
        <v>0</v>
      </c>
      <c r="U350">
        <v>-1.4130434782608696</v>
      </c>
      <c r="V350">
        <v>-5.2</v>
      </c>
      <c r="W350">
        <v>0</v>
      </c>
      <c r="X350">
        <v>1.7999999999999998</v>
      </c>
      <c r="Y350">
        <v>0</v>
      </c>
    </row>
    <row r="351" spans="1:25" x14ac:dyDescent="0.2">
      <c r="A351" t="s">
        <v>25</v>
      </c>
      <c r="B351" t="s">
        <v>34</v>
      </c>
      <c r="C351">
        <v>90</v>
      </c>
      <c r="D351">
        <v>0</v>
      </c>
      <c r="E351">
        <v>0</v>
      </c>
      <c r="F351">
        <v>0</v>
      </c>
      <c r="G351">
        <v>0</v>
      </c>
      <c r="H351">
        <v>5</v>
      </c>
      <c r="I351">
        <v>115</v>
      </c>
      <c r="J351">
        <v>13</v>
      </c>
      <c r="K351">
        <v>0</v>
      </c>
      <c r="L351">
        <v>13</v>
      </c>
      <c r="M351">
        <v>9</v>
      </c>
      <c r="N351">
        <v>94</v>
      </c>
      <c r="O351" s="3">
        <f t="shared" si="20"/>
        <v>10</v>
      </c>
      <c r="P351">
        <f t="shared" si="21"/>
        <v>0</v>
      </c>
      <c r="Q351">
        <f t="shared" si="22"/>
        <v>0</v>
      </c>
      <c r="S351">
        <v>-4.6500000000000004</v>
      </c>
      <c r="T351">
        <v>0</v>
      </c>
      <c r="U351">
        <v>-1.25</v>
      </c>
      <c r="V351">
        <v>-5.2</v>
      </c>
      <c r="W351">
        <v>0</v>
      </c>
      <c r="X351">
        <v>1.7999999999999998</v>
      </c>
      <c r="Y351">
        <v>0</v>
      </c>
    </row>
    <row r="352" spans="1:25" x14ac:dyDescent="0.2">
      <c r="A352" t="s">
        <v>25</v>
      </c>
      <c r="B352" t="s">
        <v>35</v>
      </c>
      <c r="C352">
        <v>120</v>
      </c>
      <c r="D352">
        <v>0</v>
      </c>
      <c r="E352">
        <v>0</v>
      </c>
      <c r="F352">
        <v>0</v>
      </c>
      <c r="G352">
        <v>0</v>
      </c>
      <c r="H352">
        <v>5</v>
      </c>
      <c r="I352">
        <v>160</v>
      </c>
      <c r="J352">
        <v>18</v>
      </c>
      <c r="K352">
        <v>0</v>
      </c>
      <c r="L352">
        <v>18</v>
      </c>
      <c r="M352">
        <v>12</v>
      </c>
      <c r="N352">
        <v>126</v>
      </c>
      <c r="O352" s="3">
        <f t="shared" si="20"/>
        <v>10</v>
      </c>
      <c r="P352">
        <f t="shared" si="21"/>
        <v>0</v>
      </c>
      <c r="Q352">
        <f t="shared" si="22"/>
        <v>0</v>
      </c>
      <c r="S352">
        <v>-6.5391304347826082</v>
      </c>
      <c r="T352">
        <v>0</v>
      </c>
      <c r="U352">
        <v>-1.7391304347826086</v>
      </c>
      <c r="V352">
        <v>-7.1999999999999993</v>
      </c>
      <c r="W352">
        <v>0</v>
      </c>
      <c r="X352">
        <v>2.4</v>
      </c>
      <c r="Y352">
        <v>0</v>
      </c>
    </row>
    <row r="353" spans="1:25" x14ac:dyDescent="0.2">
      <c r="A353" t="s">
        <v>25</v>
      </c>
      <c r="B353" t="s">
        <v>36</v>
      </c>
      <c r="C353">
        <v>50</v>
      </c>
      <c r="D353">
        <v>0</v>
      </c>
      <c r="E353">
        <v>0</v>
      </c>
      <c r="F353">
        <v>0</v>
      </c>
      <c r="G353">
        <v>0</v>
      </c>
      <c r="H353">
        <v>5</v>
      </c>
      <c r="I353">
        <v>100</v>
      </c>
      <c r="J353">
        <v>15</v>
      </c>
      <c r="K353">
        <v>0</v>
      </c>
      <c r="L353">
        <v>8</v>
      </c>
      <c r="M353">
        <v>5</v>
      </c>
      <c r="N353">
        <v>53</v>
      </c>
      <c r="O353" s="3">
        <f t="shared" si="20"/>
        <v>10</v>
      </c>
      <c r="P353">
        <f t="shared" si="21"/>
        <v>0</v>
      </c>
      <c r="Q353">
        <f t="shared" si="22"/>
        <v>0</v>
      </c>
      <c r="S353">
        <v>-3.2869565217391301</v>
      </c>
      <c r="T353">
        <v>0</v>
      </c>
      <c r="U353">
        <v>-1.0869565217391304</v>
      </c>
      <c r="V353">
        <v>-3.2</v>
      </c>
      <c r="W353">
        <v>0</v>
      </c>
      <c r="X353">
        <v>1.0000000000000002</v>
      </c>
      <c r="Y353">
        <v>0</v>
      </c>
    </row>
    <row r="354" spans="1:25" x14ac:dyDescent="0.2">
      <c r="A354" t="s">
        <v>25</v>
      </c>
      <c r="B354" t="s">
        <v>37</v>
      </c>
      <c r="C354">
        <v>70</v>
      </c>
      <c r="D354">
        <v>0</v>
      </c>
      <c r="E354">
        <v>0</v>
      </c>
      <c r="F354">
        <v>0</v>
      </c>
      <c r="G354">
        <v>0</v>
      </c>
      <c r="H354">
        <v>5</v>
      </c>
      <c r="I354">
        <v>130</v>
      </c>
      <c r="J354">
        <v>19</v>
      </c>
      <c r="K354">
        <v>0</v>
      </c>
      <c r="L354">
        <v>10</v>
      </c>
      <c r="M354">
        <v>7</v>
      </c>
      <c r="N354">
        <v>73</v>
      </c>
      <c r="O354" s="3">
        <f t="shared" si="20"/>
        <v>10</v>
      </c>
      <c r="P354">
        <f t="shared" si="21"/>
        <v>0</v>
      </c>
      <c r="Q354">
        <f t="shared" si="22"/>
        <v>0</v>
      </c>
      <c r="S354">
        <v>-4.0130434782608706</v>
      </c>
      <c r="T354">
        <v>0</v>
      </c>
      <c r="U354">
        <v>-1.4130434782608696</v>
      </c>
      <c r="V354">
        <v>-4.0000000000000009</v>
      </c>
      <c r="W354">
        <v>0</v>
      </c>
      <c r="X354">
        <v>1.4000000000000001</v>
      </c>
      <c r="Y354">
        <v>0</v>
      </c>
    </row>
    <row r="355" spans="1:25" x14ac:dyDescent="0.2">
      <c r="A355" t="s">
        <v>25</v>
      </c>
      <c r="B355" t="s">
        <v>38</v>
      </c>
      <c r="C355">
        <v>80</v>
      </c>
      <c r="D355">
        <v>0</v>
      </c>
      <c r="E355">
        <v>0</v>
      </c>
      <c r="F355">
        <v>0</v>
      </c>
      <c r="G355">
        <v>0</v>
      </c>
      <c r="H355">
        <v>5</v>
      </c>
      <c r="I355">
        <v>150</v>
      </c>
      <c r="J355">
        <v>22</v>
      </c>
      <c r="K355">
        <v>0</v>
      </c>
      <c r="L355">
        <v>11</v>
      </c>
      <c r="M355">
        <v>8</v>
      </c>
      <c r="N355">
        <v>83</v>
      </c>
      <c r="O355" s="3">
        <f t="shared" si="20"/>
        <v>10</v>
      </c>
      <c r="P355">
        <f t="shared" si="21"/>
        <v>0</v>
      </c>
      <c r="Q355">
        <f t="shared" si="22"/>
        <v>0</v>
      </c>
      <c r="S355">
        <v>-4.4304347826086961</v>
      </c>
      <c r="T355">
        <v>0</v>
      </c>
      <c r="U355">
        <v>-1.6304347826086956</v>
      </c>
      <c r="V355">
        <v>-4.4000000000000004</v>
      </c>
      <c r="W355">
        <v>0</v>
      </c>
      <c r="X355">
        <v>1.6</v>
      </c>
      <c r="Y355">
        <v>0</v>
      </c>
    </row>
    <row r="356" spans="1:25" x14ac:dyDescent="0.2">
      <c r="A356" t="s">
        <v>25</v>
      </c>
      <c r="B356" t="s">
        <v>39</v>
      </c>
      <c r="C356">
        <v>90</v>
      </c>
      <c r="D356">
        <v>0</v>
      </c>
      <c r="E356">
        <v>0</v>
      </c>
      <c r="F356">
        <v>0</v>
      </c>
      <c r="G356">
        <v>0</v>
      </c>
      <c r="H356">
        <v>5</v>
      </c>
      <c r="I356">
        <v>160</v>
      </c>
      <c r="J356">
        <v>22</v>
      </c>
      <c r="K356">
        <v>0</v>
      </c>
      <c r="L356">
        <v>13</v>
      </c>
      <c r="M356">
        <v>9</v>
      </c>
      <c r="N356">
        <v>94</v>
      </c>
      <c r="O356" s="3">
        <f t="shared" si="20"/>
        <v>10</v>
      </c>
      <c r="P356">
        <f t="shared" si="21"/>
        <v>0</v>
      </c>
      <c r="Q356">
        <f t="shared" si="22"/>
        <v>0</v>
      </c>
      <c r="S356">
        <v>-5.1391304347826088</v>
      </c>
      <c r="T356">
        <v>0</v>
      </c>
      <c r="U356">
        <v>-1.7391304347826086</v>
      </c>
      <c r="V356">
        <v>-5.2</v>
      </c>
      <c r="W356">
        <v>0</v>
      </c>
      <c r="X356">
        <v>1.7999999999999998</v>
      </c>
      <c r="Y356">
        <v>0</v>
      </c>
    </row>
    <row r="357" spans="1:25" x14ac:dyDescent="0.2">
      <c r="A357" t="s">
        <v>25</v>
      </c>
      <c r="B357" t="s">
        <v>40</v>
      </c>
      <c r="C357">
        <v>110</v>
      </c>
      <c r="D357">
        <v>0</v>
      </c>
      <c r="E357">
        <v>0</v>
      </c>
      <c r="F357">
        <v>0</v>
      </c>
      <c r="G357">
        <v>0</v>
      </c>
      <c r="H357">
        <v>5</v>
      </c>
      <c r="I357">
        <v>190</v>
      </c>
      <c r="J357">
        <v>27</v>
      </c>
      <c r="K357">
        <v>0</v>
      </c>
      <c r="L357">
        <v>15</v>
      </c>
      <c r="M357">
        <v>11</v>
      </c>
      <c r="N357">
        <v>114</v>
      </c>
      <c r="O357" s="3">
        <f t="shared" si="20"/>
        <v>10</v>
      </c>
      <c r="P357">
        <f t="shared" si="21"/>
        <v>0</v>
      </c>
      <c r="Q357">
        <f t="shared" si="22"/>
        <v>0</v>
      </c>
      <c r="S357">
        <v>-5.8652173913043475</v>
      </c>
      <c r="T357">
        <v>0</v>
      </c>
      <c r="U357">
        <v>-2.0652173913043477</v>
      </c>
      <c r="V357">
        <v>-6</v>
      </c>
      <c r="W357">
        <v>0</v>
      </c>
      <c r="X357">
        <v>2.2000000000000002</v>
      </c>
      <c r="Y357">
        <v>0</v>
      </c>
    </row>
    <row r="358" spans="1:25" x14ac:dyDescent="0.2">
      <c r="A358" t="s">
        <v>25</v>
      </c>
      <c r="B358" t="s">
        <v>43</v>
      </c>
      <c r="C358">
        <v>50</v>
      </c>
      <c r="D358">
        <v>0</v>
      </c>
      <c r="E358">
        <v>0</v>
      </c>
      <c r="F358">
        <v>0</v>
      </c>
      <c r="G358">
        <v>0</v>
      </c>
      <c r="H358">
        <v>5</v>
      </c>
      <c r="I358">
        <v>70</v>
      </c>
      <c r="J358">
        <v>7</v>
      </c>
      <c r="K358">
        <v>0</v>
      </c>
      <c r="L358">
        <v>7</v>
      </c>
      <c r="M358">
        <v>5</v>
      </c>
      <c r="N358">
        <v>52</v>
      </c>
      <c r="O358" s="3">
        <f t="shared" si="20"/>
        <v>10</v>
      </c>
      <c r="P358">
        <f t="shared" si="21"/>
        <v>0</v>
      </c>
      <c r="Q358">
        <f t="shared" si="22"/>
        <v>0</v>
      </c>
      <c r="S358">
        <v>-2.5608695652173914</v>
      </c>
      <c r="T358">
        <v>0</v>
      </c>
      <c r="U358">
        <v>-0.76086956521739135</v>
      </c>
      <c r="V358">
        <v>-2.8000000000000003</v>
      </c>
      <c r="W358">
        <v>0</v>
      </c>
      <c r="X358">
        <v>1.0000000000000002</v>
      </c>
      <c r="Y358">
        <v>0</v>
      </c>
    </row>
    <row r="359" spans="1:25" x14ac:dyDescent="0.2">
      <c r="A359" t="s">
        <v>25</v>
      </c>
      <c r="B359" t="s">
        <v>46</v>
      </c>
      <c r="C359">
        <v>60</v>
      </c>
      <c r="D359">
        <v>0</v>
      </c>
      <c r="E359">
        <v>0</v>
      </c>
      <c r="F359">
        <v>0</v>
      </c>
      <c r="G359">
        <v>0</v>
      </c>
      <c r="H359">
        <v>5</v>
      </c>
      <c r="I359">
        <v>90</v>
      </c>
      <c r="J359">
        <v>9</v>
      </c>
      <c r="K359">
        <v>0</v>
      </c>
      <c r="L359">
        <v>9</v>
      </c>
      <c r="M359">
        <v>6</v>
      </c>
      <c r="N359">
        <v>63</v>
      </c>
      <c r="O359" s="3">
        <f t="shared" si="20"/>
        <v>10</v>
      </c>
      <c r="P359">
        <f t="shared" si="21"/>
        <v>0</v>
      </c>
      <c r="Q359">
        <f t="shared" si="22"/>
        <v>0</v>
      </c>
      <c r="S359">
        <v>-3.3782608695652172</v>
      </c>
      <c r="T359">
        <v>0</v>
      </c>
      <c r="U359">
        <v>-0.97826086956521752</v>
      </c>
      <c r="V359">
        <v>-3.5999999999999996</v>
      </c>
      <c r="W359">
        <v>0</v>
      </c>
      <c r="X359">
        <v>1.2</v>
      </c>
      <c r="Y359">
        <v>0</v>
      </c>
    </row>
    <row r="360" spans="1:25" x14ac:dyDescent="0.2">
      <c r="A360" t="s">
        <v>25</v>
      </c>
      <c r="B360" t="s">
        <v>47</v>
      </c>
      <c r="C360">
        <v>70</v>
      </c>
      <c r="D360">
        <v>0</v>
      </c>
      <c r="E360">
        <v>0</v>
      </c>
      <c r="F360">
        <v>0</v>
      </c>
      <c r="G360">
        <v>0</v>
      </c>
      <c r="H360">
        <v>5</v>
      </c>
      <c r="I360">
        <v>105</v>
      </c>
      <c r="J360">
        <v>11</v>
      </c>
      <c r="K360">
        <v>0</v>
      </c>
      <c r="L360">
        <v>11</v>
      </c>
      <c r="M360">
        <v>7</v>
      </c>
      <c r="N360">
        <v>74</v>
      </c>
      <c r="O360" s="3">
        <f t="shared" si="20"/>
        <v>10</v>
      </c>
      <c r="P360">
        <f t="shared" si="21"/>
        <v>0</v>
      </c>
      <c r="Q360">
        <f t="shared" si="22"/>
        <v>0</v>
      </c>
      <c r="S360">
        <v>-4.1413043478260869</v>
      </c>
      <c r="T360">
        <v>0</v>
      </c>
      <c r="U360">
        <v>-1.1413043478260869</v>
      </c>
      <c r="V360">
        <v>-4.4000000000000004</v>
      </c>
      <c r="W360">
        <v>0</v>
      </c>
      <c r="X360">
        <v>1.4000000000000001</v>
      </c>
      <c r="Y360">
        <v>0</v>
      </c>
    </row>
    <row r="361" spans="1:25" x14ac:dyDescent="0.2">
      <c r="A361" t="s">
        <v>25</v>
      </c>
      <c r="B361" t="s">
        <v>48</v>
      </c>
      <c r="C361">
        <v>40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85</v>
      </c>
      <c r="J361">
        <v>13</v>
      </c>
      <c r="K361">
        <v>0</v>
      </c>
      <c r="L361">
        <v>5</v>
      </c>
      <c r="M361">
        <v>4</v>
      </c>
      <c r="N361">
        <v>41</v>
      </c>
      <c r="O361" s="3">
        <f t="shared" si="20"/>
        <v>10</v>
      </c>
      <c r="P361">
        <f t="shared" si="21"/>
        <v>0</v>
      </c>
      <c r="Q361">
        <f t="shared" si="22"/>
        <v>0</v>
      </c>
      <c r="S361">
        <v>-2.1239130434782609</v>
      </c>
      <c r="T361">
        <v>0</v>
      </c>
      <c r="U361">
        <v>-0.92391304347826086</v>
      </c>
      <c r="V361">
        <v>-2.0000000000000004</v>
      </c>
      <c r="W361">
        <v>0</v>
      </c>
      <c r="X361">
        <v>0.8</v>
      </c>
      <c r="Y361">
        <v>0</v>
      </c>
    </row>
    <row r="362" spans="1:25" x14ac:dyDescent="0.2">
      <c r="A362" t="s">
        <v>25</v>
      </c>
      <c r="B362" t="s">
        <v>49</v>
      </c>
      <c r="C362">
        <v>50</v>
      </c>
      <c r="D362">
        <v>0</v>
      </c>
      <c r="E362">
        <v>0</v>
      </c>
      <c r="F362">
        <v>0</v>
      </c>
      <c r="G362">
        <v>0</v>
      </c>
      <c r="H362">
        <v>5</v>
      </c>
      <c r="I362">
        <v>100</v>
      </c>
      <c r="J362">
        <v>14</v>
      </c>
      <c r="K362">
        <v>0</v>
      </c>
      <c r="L362">
        <v>6</v>
      </c>
      <c r="M362">
        <v>5</v>
      </c>
      <c r="N362">
        <v>51</v>
      </c>
      <c r="O362" s="3">
        <f t="shared" si="20"/>
        <v>10</v>
      </c>
      <c r="P362">
        <f t="shared" si="21"/>
        <v>0</v>
      </c>
      <c r="Q362">
        <f t="shared" si="22"/>
        <v>0</v>
      </c>
      <c r="S362">
        <v>-2.4869565217391303</v>
      </c>
      <c r="T362">
        <v>0</v>
      </c>
      <c r="U362">
        <v>-1.0869565217391304</v>
      </c>
      <c r="V362">
        <v>-2.4</v>
      </c>
      <c r="W362">
        <v>0</v>
      </c>
      <c r="X362">
        <v>1.0000000000000002</v>
      </c>
      <c r="Y362">
        <v>0</v>
      </c>
    </row>
    <row r="363" spans="1:25" x14ac:dyDescent="0.2">
      <c r="A363" t="s">
        <v>25</v>
      </c>
      <c r="B363" t="s">
        <v>50</v>
      </c>
      <c r="C363">
        <v>60</v>
      </c>
      <c r="D363">
        <v>0</v>
      </c>
      <c r="E363">
        <v>0</v>
      </c>
      <c r="F363">
        <v>0</v>
      </c>
      <c r="G363">
        <v>0</v>
      </c>
      <c r="H363">
        <v>5</v>
      </c>
      <c r="I363">
        <v>130</v>
      </c>
      <c r="J363">
        <v>19</v>
      </c>
      <c r="K363">
        <v>0</v>
      </c>
      <c r="L363">
        <v>8</v>
      </c>
      <c r="M363">
        <v>6</v>
      </c>
      <c r="N363">
        <v>62</v>
      </c>
      <c r="O363" s="3">
        <f t="shared" si="20"/>
        <v>10</v>
      </c>
      <c r="P363">
        <f t="shared" si="21"/>
        <v>0</v>
      </c>
      <c r="Q363">
        <f t="shared" si="22"/>
        <v>0</v>
      </c>
      <c r="S363">
        <v>-3.4130434782608701</v>
      </c>
      <c r="T363">
        <v>0</v>
      </c>
      <c r="U363">
        <v>-1.4130434782608696</v>
      </c>
      <c r="V363">
        <v>-3.2</v>
      </c>
      <c r="W363">
        <v>0</v>
      </c>
      <c r="X363">
        <v>1.2</v>
      </c>
      <c r="Y363">
        <v>0</v>
      </c>
    </row>
    <row r="364" spans="1:25" x14ac:dyDescent="0.2">
      <c r="A364" t="s">
        <v>25</v>
      </c>
      <c r="B364" t="s">
        <v>56</v>
      </c>
      <c r="C364">
        <v>320</v>
      </c>
      <c r="D364">
        <v>80</v>
      </c>
      <c r="E364">
        <v>9</v>
      </c>
      <c r="F364">
        <v>3</v>
      </c>
      <c r="G364">
        <v>0</v>
      </c>
      <c r="H364">
        <v>70</v>
      </c>
      <c r="I364">
        <v>960</v>
      </c>
      <c r="J364">
        <v>30</v>
      </c>
      <c r="K364">
        <v>6</v>
      </c>
      <c r="L364">
        <v>11</v>
      </c>
      <c r="M364">
        <v>30</v>
      </c>
      <c r="N364">
        <v>304</v>
      </c>
      <c r="O364" s="3">
        <f t="shared" si="20"/>
        <v>9.375</v>
      </c>
      <c r="P364">
        <f t="shared" si="21"/>
        <v>1</v>
      </c>
      <c r="Q364">
        <f t="shared" si="22"/>
        <v>0</v>
      </c>
      <c r="S364">
        <v>-7.4419254658385103</v>
      </c>
      <c r="T364">
        <v>-0.75</v>
      </c>
      <c r="U364">
        <v>-10.434782608695652</v>
      </c>
      <c r="V364">
        <v>-4.4000000000000004</v>
      </c>
      <c r="W364">
        <v>0</v>
      </c>
      <c r="X364">
        <v>6</v>
      </c>
      <c r="Y364">
        <v>2.1428571428571428</v>
      </c>
    </row>
    <row r="365" spans="1:25" x14ac:dyDescent="0.2">
      <c r="A365" t="s">
        <v>25</v>
      </c>
      <c r="B365" t="s">
        <v>61</v>
      </c>
      <c r="C365">
        <v>110</v>
      </c>
      <c r="D365">
        <v>0</v>
      </c>
      <c r="E365">
        <v>0</v>
      </c>
      <c r="F365">
        <v>0</v>
      </c>
      <c r="G365">
        <v>0</v>
      </c>
      <c r="H365">
        <v>5</v>
      </c>
      <c r="I365">
        <v>140</v>
      </c>
      <c r="J365">
        <v>15</v>
      </c>
      <c r="K365">
        <v>0</v>
      </c>
      <c r="L365">
        <v>15</v>
      </c>
      <c r="M365">
        <v>10</v>
      </c>
      <c r="N365">
        <v>115</v>
      </c>
      <c r="O365" s="3">
        <f t="shared" si="20"/>
        <v>9.0909090909090917</v>
      </c>
      <c r="P365">
        <f t="shared" si="21"/>
        <v>0</v>
      </c>
      <c r="Q365">
        <f t="shared" si="22"/>
        <v>0</v>
      </c>
      <c r="S365">
        <v>-5.5217391304347831</v>
      </c>
      <c r="T365">
        <v>0</v>
      </c>
      <c r="U365">
        <v>-1.5217391304347827</v>
      </c>
      <c r="V365">
        <v>-6</v>
      </c>
      <c r="W365">
        <v>0</v>
      </c>
      <c r="X365">
        <v>2.0000000000000004</v>
      </c>
      <c r="Y365">
        <v>0</v>
      </c>
    </row>
    <row r="366" spans="1:25" x14ac:dyDescent="0.2">
      <c r="A366" t="s">
        <v>25</v>
      </c>
      <c r="B366" t="s">
        <v>65</v>
      </c>
      <c r="C366">
        <v>80</v>
      </c>
      <c r="D366">
        <v>0</v>
      </c>
      <c r="E366">
        <v>0</v>
      </c>
      <c r="F366">
        <v>0</v>
      </c>
      <c r="G366">
        <v>0</v>
      </c>
      <c r="H366">
        <v>5</v>
      </c>
      <c r="I366">
        <v>130</v>
      </c>
      <c r="J366">
        <v>18</v>
      </c>
      <c r="K366">
        <v>0</v>
      </c>
      <c r="L366">
        <v>11</v>
      </c>
      <c r="M366">
        <v>7</v>
      </c>
      <c r="N366">
        <v>84</v>
      </c>
      <c r="O366" s="3">
        <f t="shared" si="20"/>
        <v>8.75</v>
      </c>
      <c r="P366">
        <f t="shared" si="21"/>
        <v>0</v>
      </c>
      <c r="Q366">
        <f t="shared" si="22"/>
        <v>0</v>
      </c>
      <c r="S366">
        <v>-4.4130434782608692</v>
      </c>
      <c r="T366">
        <v>0</v>
      </c>
      <c r="U366">
        <v>-1.4130434782608696</v>
      </c>
      <c r="V366">
        <v>-4.4000000000000004</v>
      </c>
      <c r="W366">
        <v>0</v>
      </c>
      <c r="X366">
        <v>1.4000000000000001</v>
      </c>
      <c r="Y366">
        <v>0</v>
      </c>
    </row>
    <row r="367" spans="1:25" x14ac:dyDescent="0.2">
      <c r="A367" t="s">
        <v>25</v>
      </c>
      <c r="B367" t="s">
        <v>68</v>
      </c>
      <c r="C367">
        <v>380</v>
      </c>
      <c r="D367">
        <v>90</v>
      </c>
      <c r="E367">
        <v>10</v>
      </c>
      <c r="F367">
        <v>3</v>
      </c>
      <c r="G367">
        <v>0</v>
      </c>
      <c r="H367">
        <v>75</v>
      </c>
      <c r="I367">
        <v>1000</v>
      </c>
      <c r="J367">
        <v>41</v>
      </c>
      <c r="K367">
        <v>4</v>
      </c>
      <c r="L367">
        <v>9</v>
      </c>
      <c r="M367">
        <v>31</v>
      </c>
      <c r="N367">
        <v>361</v>
      </c>
      <c r="O367" s="3">
        <f t="shared" si="20"/>
        <v>8.1578947368421062</v>
      </c>
      <c r="P367">
        <f t="shared" si="21"/>
        <v>1</v>
      </c>
      <c r="Q367">
        <f t="shared" si="22"/>
        <v>0</v>
      </c>
      <c r="S367">
        <v>-7.5909937888198744</v>
      </c>
      <c r="T367">
        <v>-0.75</v>
      </c>
      <c r="U367">
        <v>-10.869565217391305</v>
      </c>
      <c r="V367">
        <v>-3.5999999999999996</v>
      </c>
      <c r="W367">
        <v>0</v>
      </c>
      <c r="X367">
        <v>6.2</v>
      </c>
      <c r="Y367">
        <v>1.4285714285714286</v>
      </c>
    </row>
    <row r="368" spans="1:25" x14ac:dyDescent="0.2">
      <c r="A368" t="s">
        <v>25</v>
      </c>
      <c r="B368" t="s">
        <v>70</v>
      </c>
      <c r="C368">
        <v>100</v>
      </c>
      <c r="D368">
        <v>20</v>
      </c>
      <c r="E368">
        <v>2.5</v>
      </c>
      <c r="F368">
        <v>1.5</v>
      </c>
      <c r="G368">
        <v>0</v>
      </c>
      <c r="H368">
        <v>10</v>
      </c>
      <c r="I368">
        <v>125</v>
      </c>
      <c r="J368">
        <v>12</v>
      </c>
      <c r="K368">
        <v>0</v>
      </c>
      <c r="L368">
        <v>12</v>
      </c>
      <c r="M368">
        <v>8</v>
      </c>
      <c r="N368">
        <v>105.5</v>
      </c>
      <c r="O368" s="3">
        <f t="shared" si="20"/>
        <v>8</v>
      </c>
      <c r="P368">
        <f t="shared" si="21"/>
        <v>0</v>
      </c>
      <c r="Q368">
        <f t="shared" si="22"/>
        <v>0</v>
      </c>
      <c r="S368">
        <v>-4.9336956521739133</v>
      </c>
      <c r="T368">
        <v>-0.375</v>
      </c>
      <c r="U368">
        <v>-1.3586956521739131</v>
      </c>
      <c r="V368">
        <v>-4.8</v>
      </c>
      <c r="W368">
        <v>0</v>
      </c>
      <c r="X368">
        <v>1.6</v>
      </c>
      <c r="Y368">
        <v>0</v>
      </c>
    </row>
    <row r="369" spans="1:25" x14ac:dyDescent="0.2">
      <c r="A369" t="s">
        <v>25</v>
      </c>
      <c r="B369" t="s">
        <v>72</v>
      </c>
      <c r="C369">
        <v>330</v>
      </c>
      <c r="D369">
        <v>150</v>
      </c>
      <c r="E369">
        <v>17</v>
      </c>
      <c r="F369">
        <v>4.5</v>
      </c>
      <c r="G369">
        <v>0</v>
      </c>
      <c r="H369">
        <v>60</v>
      </c>
      <c r="I369">
        <v>840</v>
      </c>
      <c r="J369">
        <v>20</v>
      </c>
      <c r="K369">
        <v>3</v>
      </c>
      <c r="L369">
        <v>6</v>
      </c>
      <c r="M369">
        <v>26</v>
      </c>
      <c r="N369">
        <v>314.5</v>
      </c>
      <c r="O369" s="3">
        <f t="shared" si="20"/>
        <v>7.878787878787878</v>
      </c>
      <c r="P369">
        <f t="shared" si="21"/>
        <v>1</v>
      </c>
      <c r="Q369">
        <f t="shared" si="22"/>
        <v>0</v>
      </c>
      <c r="S369">
        <v>-6.3840062111801243</v>
      </c>
      <c r="T369">
        <v>-1.125</v>
      </c>
      <c r="U369">
        <v>-9.1304347826086953</v>
      </c>
      <c r="V369">
        <v>-2.4</v>
      </c>
      <c r="W369">
        <v>0</v>
      </c>
      <c r="X369">
        <v>5.2</v>
      </c>
      <c r="Y369">
        <v>1.0714285714285714</v>
      </c>
    </row>
    <row r="370" spans="1:25" x14ac:dyDescent="0.2">
      <c r="A370" t="s">
        <v>25</v>
      </c>
      <c r="B370" t="s">
        <v>73</v>
      </c>
      <c r="C370">
        <v>370</v>
      </c>
      <c r="D370">
        <v>180</v>
      </c>
      <c r="E370">
        <v>20</v>
      </c>
      <c r="F370">
        <v>6</v>
      </c>
      <c r="G370">
        <v>0</v>
      </c>
      <c r="H370">
        <v>75</v>
      </c>
      <c r="I370">
        <v>970</v>
      </c>
      <c r="J370">
        <v>20</v>
      </c>
      <c r="K370">
        <v>3</v>
      </c>
      <c r="L370">
        <v>6</v>
      </c>
      <c r="M370">
        <v>29</v>
      </c>
      <c r="N370">
        <v>353</v>
      </c>
      <c r="O370" s="3">
        <f t="shared" si="20"/>
        <v>7.8378378378378386</v>
      </c>
      <c r="P370">
        <f t="shared" si="21"/>
        <v>1</v>
      </c>
      <c r="Q370">
        <f t="shared" si="22"/>
        <v>0</v>
      </c>
      <c r="S370">
        <v>-7.5720496894409965</v>
      </c>
      <c r="T370">
        <v>-1.5</v>
      </c>
      <c r="U370">
        <v>-10.543478260869566</v>
      </c>
      <c r="V370">
        <v>-2.4</v>
      </c>
      <c r="W370">
        <v>0</v>
      </c>
      <c r="X370">
        <v>5.8</v>
      </c>
      <c r="Y370">
        <v>1.0714285714285714</v>
      </c>
    </row>
    <row r="371" spans="1:25" x14ac:dyDescent="0.2">
      <c r="A371" t="s">
        <v>25</v>
      </c>
      <c r="B371" t="s">
        <v>74</v>
      </c>
      <c r="C371">
        <v>90</v>
      </c>
      <c r="D371">
        <v>35</v>
      </c>
      <c r="E371">
        <v>4</v>
      </c>
      <c r="F371">
        <v>2.5</v>
      </c>
      <c r="G371">
        <v>0</v>
      </c>
      <c r="H371">
        <v>10</v>
      </c>
      <c r="I371">
        <v>180</v>
      </c>
      <c r="J371">
        <v>9</v>
      </c>
      <c r="K371">
        <v>3</v>
      </c>
      <c r="L371">
        <v>4</v>
      </c>
      <c r="M371">
        <v>7</v>
      </c>
      <c r="N371">
        <v>89.5</v>
      </c>
      <c r="O371" s="3">
        <f t="shared" si="20"/>
        <v>7.7777777777777777</v>
      </c>
      <c r="P371">
        <f t="shared" si="21"/>
        <v>0</v>
      </c>
      <c r="Q371">
        <f t="shared" si="22"/>
        <v>0</v>
      </c>
      <c r="S371">
        <v>-1.7100931677018634</v>
      </c>
      <c r="T371">
        <v>-0.625</v>
      </c>
      <c r="U371">
        <v>-1.956521739130435</v>
      </c>
      <c r="V371">
        <v>-1.6</v>
      </c>
      <c r="W371">
        <v>0</v>
      </c>
      <c r="X371">
        <v>1.4000000000000001</v>
      </c>
      <c r="Y371">
        <v>1.0714285714285714</v>
      </c>
    </row>
    <row r="372" spans="1:25" x14ac:dyDescent="0.2">
      <c r="A372" t="s">
        <v>25</v>
      </c>
      <c r="B372" t="s">
        <v>78</v>
      </c>
      <c r="C372">
        <v>460</v>
      </c>
      <c r="D372">
        <v>150</v>
      </c>
      <c r="E372">
        <v>17</v>
      </c>
      <c r="F372">
        <v>6</v>
      </c>
      <c r="G372">
        <v>0</v>
      </c>
      <c r="H372">
        <v>90</v>
      </c>
      <c r="I372">
        <v>1040</v>
      </c>
      <c r="J372">
        <v>43</v>
      </c>
      <c r="K372">
        <v>4</v>
      </c>
      <c r="L372">
        <v>9</v>
      </c>
      <c r="M372">
        <v>35</v>
      </c>
      <c r="N372">
        <v>440</v>
      </c>
      <c r="O372" s="3">
        <f t="shared" si="20"/>
        <v>7.608695652173914</v>
      </c>
      <c r="P372">
        <f t="shared" si="21"/>
        <v>1</v>
      </c>
      <c r="Q372">
        <f t="shared" si="22"/>
        <v>0</v>
      </c>
      <c r="S372">
        <v>-7.975776397515526</v>
      </c>
      <c r="T372">
        <v>-1.5</v>
      </c>
      <c r="U372">
        <v>-11.304347826086957</v>
      </c>
      <c r="V372">
        <v>-3.5999999999999996</v>
      </c>
      <c r="W372">
        <v>0</v>
      </c>
      <c r="X372">
        <v>6.9999999999999991</v>
      </c>
      <c r="Y372">
        <v>1.4285714285714286</v>
      </c>
    </row>
    <row r="373" spans="1:25" x14ac:dyDescent="0.2">
      <c r="A373" t="s">
        <v>25</v>
      </c>
      <c r="B373" t="s">
        <v>79</v>
      </c>
      <c r="C373">
        <v>360</v>
      </c>
      <c r="D373">
        <v>80</v>
      </c>
      <c r="E373">
        <v>9</v>
      </c>
      <c r="F373">
        <v>2</v>
      </c>
      <c r="G373">
        <v>0</v>
      </c>
      <c r="H373">
        <v>65</v>
      </c>
      <c r="I373">
        <v>820</v>
      </c>
      <c r="J373">
        <v>41</v>
      </c>
      <c r="K373">
        <v>4</v>
      </c>
      <c r="L373">
        <v>8</v>
      </c>
      <c r="M373">
        <v>27</v>
      </c>
      <c r="N373">
        <v>343</v>
      </c>
      <c r="O373" s="3">
        <f t="shared" si="20"/>
        <v>7.5</v>
      </c>
      <c r="P373">
        <f t="shared" si="21"/>
        <v>1</v>
      </c>
      <c r="Q373">
        <f t="shared" si="22"/>
        <v>0</v>
      </c>
      <c r="S373">
        <v>-5.7844720496894411</v>
      </c>
      <c r="T373">
        <v>-0.5</v>
      </c>
      <c r="U373">
        <v>-8.9130434782608692</v>
      </c>
      <c r="V373">
        <v>-3.2</v>
      </c>
      <c r="W373">
        <v>0</v>
      </c>
      <c r="X373">
        <v>5.4</v>
      </c>
      <c r="Y373">
        <v>1.4285714285714286</v>
      </c>
    </row>
    <row r="374" spans="1:25" x14ac:dyDescent="0.2">
      <c r="A374" t="s">
        <v>25</v>
      </c>
      <c r="B374" t="s">
        <v>92</v>
      </c>
      <c r="C374">
        <v>260</v>
      </c>
      <c r="D374">
        <v>80</v>
      </c>
      <c r="E374">
        <v>9</v>
      </c>
      <c r="F374">
        <v>3.5</v>
      </c>
      <c r="G374">
        <v>0</v>
      </c>
      <c r="H374">
        <v>45</v>
      </c>
      <c r="I374">
        <v>800</v>
      </c>
      <c r="J374">
        <v>27</v>
      </c>
      <c r="K374">
        <v>1</v>
      </c>
      <c r="L374">
        <v>4</v>
      </c>
      <c r="M374">
        <v>18</v>
      </c>
      <c r="N374">
        <v>249.5</v>
      </c>
      <c r="O374" s="3">
        <f t="shared" si="20"/>
        <v>6.9230769230769234</v>
      </c>
      <c r="P374">
        <f t="shared" si="21"/>
        <v>1</v>
      </c>
      <c r="Q374">
        <f t="shared" si="22"/>
        <v>0</v>
      </c>
      <c r="S374">
        <v>-7.2135093167701863</v>
      </c>
      <c r="T374">
        <v>-0.875</v>
      </c>
      <c r="U374">
        <v>-8.695652173913043</v>
      </c>
      <c r="V374">
        <v>-1.6</v>
      </c>
      <c r="W374">
        <v>0</v>
      </c>
      <c r="X374">
        <v>3.5999999999999996</v>
      </c>
      <c r="Y374">
        <v>0.35714285714285715</v>
      </c>
    </row>
    <row r="375" spans="1:25" x14ac:dyDescent="0.2">
      <c r="A375" t="s">
        <v>25</v>
      </c>
      <c r="B375" t="s">
        <v>93</v>
      </c>
      <c r="C375">
        <v>260</v>
      </c>
      <c r="D375">
        <v>80</v>
      </c>
      <c r="E375">
        <v>9</v>
      </c>
      <c r="F375">
        <v>3.5</v>
      </c>
      <c r="G375">
        <v>0</v>
      </c>
      <c r="H375">
        <v>45</v>
      </c>
      <c r="I375">
        <v>830</v>
      </c>
      <c r="J375">
        <v>28</v>
      </c>
      <c r="K375">
        <v>1</v>
      </c>
      <c r="L375">
        <v>5</v>
      </c>
      <c r="M375">
        <v>18</v>
      </c>
      <c r="N375">
        <v>250.5</v>
      </c>
      <c r="O375" s="3">
        <f t="shared" si="20"/>
        <v>6.9230769230769234</v>
      </c>
      <c r="P375">
        <f t="shared" si="21"/>
        <v>1</v>
      </c>
      <c r="Q375">
        <f t="shared" si="22"/>
        <v>0</v>
      </c>
      <c r="S375">
        <v>-7.9395962732919267</v>
      </c>
      <c r="T375">
        <v>-0.875</v>
      </c>
      <c r="U375">
        <v>-9.0217391304347831</v>
      </c>
      <c r="V375">
        <v>-2.0000000000000004</v>
      </c>
      <c r="W375">
        <v>0</v>
      </c>
      <c r="X375">
        <v>3.5999999999999996</v>
      </c>
      <c r="Y375">
        <v>0.35714285714285715</v>
      </c>
    </row>
    <row r="376" spans="1:25" x14ac:dyDescent="0.2">
      <c r="A376" t="s">
        <v>25</v>
      </c>
      <c r="B376" t="s">
        <v>98</v>
      </c>
      <c r="C376">
        <v>270</v>
      </c>
      <c r="D376">
        <v>90</v>
      </c>
      <c r="E376">
        <v>10</v>
      </c>
      <c r="F376">
        <v>4</v>
      </c>
      <c r="G376">
        <v>0</v>
      </c>
      <c r="H376">
        <v>45</v>
      </c>
      <c r="I376">
        <v>830</v>
      </c>
      <c r="J376">
        <v>26</v>
      </c>
      <c r="K376">
        <v>1</v>
      </c>
      <c r="L376">
        <v>2</v>
      </c>
      <c r="M376">
        <v>18</v>
      </c>
      <c r="N376">
        <v>258</v>
      </c>
      <c r="O376" s="3">
        <f t="shared" si="20"/>
        <v>6.666666666666667</v>
      </c>
      <c r="P376">
        <f t="shared" si="21"/>
        <v>1</v>
      </c>
      <c r="Q376">
        <f t="shared" si="22"/>
        <v>0</v>
      </c>
      <c r="S376">
        <v>-6.8645962732919275</v>
      </c>
      <c r="T376">
        <v>-1</v>
      </c>
      <c r="U376">
        <v>-9.0217391304347831</v>
      </c>
      <c r="V376">
        <v>-0.8</v>
      </c>
      <c r="W376">
        <v>0</v>
      </c>
      <c r="X376">
        <v>3.5999999999999996</v>
      </c>
      <c r="Y376">
        <v>0.35714285714285715</v>
      </c>
    </row>
    <row r="377" spans="1:25" x14ac:dyDescent="0.2">
      <c r="A377" t="s">
        <v>25</v>
      </c>
      <c r="B377" t="s">
        <v>105</v>
      </c>
      <c r="C377">
        <v>740</v>
      </c>
      <c r="D377">
        <v>380</v>
      </c>
      <c r="E377">
        <v>42</v>
      </c>
      <c r="F377">
        <v>19</v>
      </c>
      <c r="G377">
        <v>2.5</v>
      </c>
      <c r="H377">
        <v>155</v>
      </c>
      <c r="I377">
        <v>1380</v>
      </c>
      <c r="J377">
        <v>40</v>
      </c>
      <c r="K377">
        <v>3</v>
      </c>
      <c r="L377">
        <v>9</v>
      </c>
      <c r="M377">
        <v>48</v>
      </c>
      <c r="N377">
        <v>720</v>
      </c>
      <c r="O377" s="3">
        <f t="shared" si="20"/>
        <v>6.4864864864864868</v>
      </c>
      <c r="P377">
        <f t="shared" si="21"/>
        <v>1</v>
      </c>
      <c r="Q377">
        <f t="shared" si="22"/>
        <v>0</v>
      </c>
      <c r="S377">
        <v>-12.681071428571432</v>
      </c>
      <c r="T377">
        <v>-4.75</v>
      </c>
      <c r="U377">
        <v>-15</v>
      </c>
      <c r="V377">
        <v>-3.5999999999999996</v>
      </c>
      <c r="W377">
        <v>-2.5000000000000005E-3</v>
      </c>
      <c r="X377">
        <v>9.6</v>
      </c>
      <c r="Y377">
        <v>1.0714285714285714</v>
      </c>
    </row>
    <row r="378" spans="1:25" x14ac:dyDescent="0.2">
      <c r="A378" t="s">
        <v>25</v>
      </c>
      <c r="B378" t="s">
        <v>106</v>
      </c>
      <c r="C378">
        <v>140</v>
      </c>
      <c r="D378">
        <v>70</v>
      </c>
      <c r="E378">
        <v>7</v>
      </c>
      <c r="F378">
        <v>3.5</v>
      </c>
      <c r="G378">
        <v>0</v>
      </c>
      <c r="H378">
        <v>25</v>
      </c>
      <c r="I378">
        <v>300</v>
      </c>
      <c r="J378">
        <v>10</v>
      </c>
      <c r="K378">
        <v>3</v>
      </c>
      <c r="L378">
        <v>4</v>
      </c>
      <c r="M378">
        <v>9</v>
      </c>
      <c r="N378">
        <v>138.5</v>
      </c>
      <c r="O378" s="3">
        <f t="shared" si="20"/>
        <v>6.4285714285714279</v>
      </c>
      <c r="P378">
        <f t="shared" si="21"/>
        <v>0</v>
      </c>
      <c r="Q378">
        <f t="shared" si="22"/>
        <v>0</v>
      </c>
      <c r="S378">
        <v>-2.8644409937888193</v>
      </c>
      <c r="T378">
        <v>-0.875</v>
      </c>
      <c r="U378">
        <v>-3.2608695652173911</v>
      </c>
      <c r="V378">
        <v>-1.6</v>
      </c>
      <c r="W378">
        <v>0</v>
      </c>
      <c r="X378">
        <v>1.7999999999999998</v>
      </c>
      <c r="Y378">
        <v>1.0714285714285714</v>
      </c>
    </row>
    <row r="379" spans="1:25" x14ac:dyDescent="0.2">
      <c r="A379" t="s">
        <v>25</v>
      </c>
      <c r="B379" t="s">
        <v>113</v>
      </c>
      <c r="C379">
        <v>430</v>
      </c>
      <c r="D379">
        <v>180</v>
      </c>
      <c r="E379">
        <v>20</v>
      </c>
      <c r="F379">
        <v>4</v>
      </c>
      <c r="G379">
        <v>0</v>
      </c>
      <c r="H379">
        <v>55</v>
      </c>
      <c r="I379">
        <v>920</v>
      </c>
      <c r="J379">
        <v>38</v>
      </c>
      <c r="K379">
        <v>6</v>
      </c>
      <c r="L379">
        <v>12</v>
      </c>
      <c r="M379">
        <v>26</v>
      </c>
      <c r="N379">
        <v>420</v>
      </c>
      <c r="O379" s="3">
        <f t="shared" si="20"/>
        <v>6.0465116279069768</v>
      </c>
      <c r="P379">
        <f t="shared" si="21"/>
        <v>1</v>
      </c>
      <c r="Q379">
        <f t="shared" si="22"/>
        <v>0</v>
      </c>
      <c r="S379">
        <v>-8.4571428571428591</v>
      </c>
      <c r="T379">
        <v>-1</v>
      </c>
      <c r="U379">
        <v>-10</v>
      </c>
      <c r="V379">
        <v>-4.8</v>
      </c>
      <c r="W379">
        <v>0</v>
      </c>
      <c r="X379">
        <v>5.2</v>
      </c>
      <c r="Y379">
        <v>2.1428571428571428</v>
      </c>
    </row>
    <row r="380" spans="1:25" x14ac:dyDescent="0.2">
      <c r="A380" t="s">
        <v>25</v>
      </c>
      <c r="B380" t="s">
        <v>114</v>
      </c>
      <c r="C380">
        <v>400</v>
      </c>
      <c r="D380">
        <v>150</v>
      </c>
      <c r="E380">
        <v>17</v>
      </c>
      <c r="F380">
        <v>3</v>
      </c>
      <c r="G380">
        <v>0</v>
      </c>
      <c r="H380">
        <v>45</v>
      </c>
      <c r="I380">
        <v>1030</v>
      </c>
      <c r="J380">
        <v>39</v>
      </c>
      <c r="K380">
        <v>1</v>
      </c>
      <c r="L380">
        <v>6</v>
      </c>
      <c r="M380">
        <v>24</v>
      </c>
      <c r="N380">
        <v>385</v>
      </c>
      <c r="O380" s="3">
        <f t="shared" si="20"/>
        <v>6</v>
      </c>
      <c r="P380">
        <f t="shared" si="21"/>
        <v>1</v>
      </c>
      <c r="Q380">
        <f t="shared" si="22"/>
        <v>0</v>
      </c>
      <c r="S380">
        <v>-9.1885093167701868</v>
      </c>
      <c r="T380">
        <v>-0.75</v>
      </c>
      <c r="U380">
        <v>-11.195652173913045</v>
      </c>
      <c r="V380">
        <v>-2.4</v>
      </c>
      <c r="W380">
        <v>0</v>
      </c>
      <c r="X380">
        <v>4.8</v>
      </c>
      <c r="Y380">
        <v>0.35714285714285715</v>
      </c>
    </row>
    <row r="381" spans="1:25" x14ac:dyDescent="0.2">
      <c r="A381" t="s">
        <v>25</v>
      </c>
      <c r="B381" t="s">
        <v>115</v>
      </c>
      <c r="C381">
        <v>300</v>
      </c>
      <c r="D381">
        <v>110</v>
      </c>
      <c r="E381">
        <v>12</v>
      </c>
      <c r="F381">
        <v>5</v>
      </c>
      <c r="G381">
        <v>0</v>
      </c>
      <c r="H381">
        <v>260</v>
      </c>
      <c r="I381">
        <v>820</v>
      </c>
      <c r="J381">
        <v>30</v>
      </c>
      <c r="K381">
        <v>2</v>
      </c>
      <c r="L381">
        <v>3</v>
      </c>
      <c r="M381">
        <v>18</v>
      </c>
      <c r="N381">
        <v>290</v>
      </c>
      <c r="O381" s="3">
        <f t="shared" si="20"/>
        <v>6</v>
      </c>
      <c r="P381">
        <f t="shared" si="21"/>
        <v>1</v>
      </c>
      <c r="Q381">
        <f t="shared" si="22"/>
        <v>0</v>
      </c>
      <c r="S381">
        <v>-7.0487577639751544</v>
      </c>
      <c r="T381">
        <v>-1.25</v>
      </c>
      <c r="U381">
        <v>-8.9130434782608692</v>
      </c>
      <c r="V381">
        <v>-1.2</v>
      </c>
      <c r="W381">
        <v>0</v>
      </c>
      <c r="X381">
        <v>3.5999999999999996</v>
      </c>
      <c r="Y381">
        <v>0.7142857142857143</v>
      </c>
    </row>
    <row r="382" spans="1:25" x14ac:dyDescent="0.2">
      <c r="A382" t="s">
        <v>25</v>
      </c>
      <c r="B382" t="s">
        <v>116</v>
      </c>
      <c r="C382">
        <v>100</v>
      </c>
      <c r="D382">
        <v>50</v>
      </c>
      <c r="E382">
        <v>6</v>
      </c>
      <c r="F382">
        <v>3.5</v>
      </c>
      <c r="G382">
        <v>0</v>
      </c>
      <c r="H382">
        <v>15</v>
      </c>
      <c r="I382">
        <v>80</v>
      </c>
      <c r="J382">
        <v>8</v>
      </c>
      <c r="K382">
        <v>0</v>
      </c>
      <c r="L382">
        <v>8</v>
      </c>
      <c r="M382">
        <v>6</v>
      </c>
      <c r="N382">
        <v>105.5</v>
      </c>
      <c r="O382" s="3">
        <f t="shared" si="20"/>
        <v>6</v>
      </c>
      <c r="P382">
        <f t="shared" si="21"/>
        <v>0</v>
      </c>
      <c r="Q382">
        <f t="shared" si="22"/>
        <v>0</v>
      </c>
      <c r="S382">
        <v>-3.7445652173913038</v>
      </c>
      <c r="T382">
        <v>-0.875</v>
      </c>
      <c r="U382">
        <v>-0.86956521739130432</v>
      </c>
      <c r="V382">
        <v>-3.2</v>
      </c>
      <c r="W382">
        <v>0</v>
      </c>
      <c r="X382">
        <v>1.2</v>
      </c>
      <c r="Y382">
        <v>0</v>
      </c>
    </row>
    <row r="383" spans="1:25" x14ac:dyDescent="0.2">
      <c r="A383" t="s">
        <v>25</v>
      </c>
      <c r="B383" t="s">
        <v>129</v>
      </c>
      <c r="C383">
        <v>660</v>
      </c>
      <c r="D383">
        <v>360</v>
      </c>
      <c r="E383">
        <v>40</v>
      </c>
      <c r="F383">
        <v>6</v>
      </c>
      <c r="G383">
        <v>0</v>
      </c>
      <c r="H383">
        <v>85</v>
      </c>
      <c r="I383">
        <v>1680</v>
      </c>
      <c r="J383">
        <v>39</v>
      </c>
      <c r="K383">
        <v>0</v>
      </c>
      <c r="L383">
        <v>0</v>
      </c>
      <c r="M383">
        <v>38</v>
      </c>
      <c r="N383">
        <v>628</v>
      </c>
      <c r="O383" s="3">
        <f t="shared" si="20"/>
        <v>5.7575757575757578</v>
      </c>
      <c r="P383">
        <f t="shared" si="21"/>
        <v>1</v>
      </c>
      <c r="Q383">
        <f t="shared" si="22"/>
        <v>0</v>
      </c>
      <c r="S383">
        <v>-12.160869565217389</v>
      </c>
      <c r="T383">
        <v>-1.5</v>
      </c>
      <c r="U383">
        <v>-18.260869565217391</v>
      </c>
      <c r="V383">
        <v>0</v>
      </c>
      <c r="W383">
        <v>0</v>
      </c>
      <c r="X383">
        <v>7.6000000000000014</v>
      </c>
      <c r="Y383">
        <v>0</v>
      </c>
    </row>
    <row r="384" spans="1:25" x14ac:dyDescent="0.2">
      <c r="A384" t="s">
        <v>25</v>
      </c>
      <c r="B384" t="s">
        <v>131</v>
      </c>
      <c r="C384">
        <v>400</v>
      </c>
      <c r="D384">
        <v>210</v>
      </c>
      <c r="E384">
        <v>24</v>
      </c>
      <c r="F384">
        <v>3.5</v>
      </c>
      <c r="G384">
        <v>0</v>
      </c>
      <c r="H384">
        <v>50</v>
      </c>
      <c r="I384">
        <v>1010</v>
      </c>
      <c r="J384">
        <v>23</v>
      </c>
      <c r="K384">
        <v>0</v>
      </c>
      <c r="L384">
        <v>0</v>
      </c>
      <c r="M384">
        <v>23</v>
      </c>
      <c r="N384">
        <v>380.5</v>
      </c>
      <c r="O384" s="3">
        <f t="shared" si="20"/>
        <v>5.75</v>
      </c>
      <c r="P384">
        <f t="shared" si="21"/>
        <v>1</v>
      </c>
      <c r="Q384">
        <f t="shared" si="22"/>
        <v>0</v>
      </c>
      <c r="S384">
        <v>-7.2532608695652181</v>
      </c>
      <c r="T384">
        <v>-0.875</v>
      </c>
      <c r="U384">
        <v>-10.978260869565219</v>
      </c>
      <c r="V384">
        <v>0</v>
      </c>
      <c r="W384">
        <v>0</v>
      </c>
      <c r="X384">
        <v>4.6000000000000005</v>
      </c>
      <c r="Y384">
        <v>0</v>
      </c>
    </row>
    <row r="385" spans="1:25" x14ac:dyDescent="0.2">
      <c r="A385" t="s">
        <v>25</v>
      </c>
      <c r="B385" t="s">
        <v>133</v>
      </c>
      <c r="C385">
        <v>770</v>
      </c>
      <c r="D385">
        <v>360</v>
      </c>
      <c r="E385">
        <v>40</v>
      </c>
      <c r="F385">
        <v>17</v>
      </c>
      <c r="G385">
        <v>2</v>
      </c>
      <c r="H385">
        <v>135</v>
      </c>
      <c r="I385">
        <v>1170</v>
      </c>
      <c r="J385">
        <v>59</v>
      </c>
      <c r="K385">
        <v>4</v>
      </c>
      <c r="L385">
        <v>8</v>
      </c>
      <c r="M385">
        <v>44</v>
      </c>
      <c r="N385">
        <v>751</v>
      </c>
      <c r="O385" s="3">
        <f t="shared" si="20"/>
        <v>5.7142857142857144</v>
      </c>
      <c r="P385">
        <f t="shared" si="21"/>
        <v>1</v>
      </c>
      <c r="Q385">
        <f t="shared" si="22"/>
        <v>0</v>
      </c>
      <c r="S385">
        <v>-9.940819875776393</v>
      </c>
      <c r="T385">
        <v>-4.25</v>
      </c>
      <c r="U385">
        <v>-12.717391304347824</v>
      </c>
      <c r="V385">
        <v>-3.2</v>
      </c>
      <c r="W385">
        <v>-2E-3</v>
      </c>
      <c r="X385">
        <v>8.8000000000000007</v>
      </c>
      <c r="Y385">
        <v>1.4285714285714286</v>
      </c>
    </row>
    <row r="386" spans="1:25" x14ac:dyDescent="0.2">
      <c r="A386" t="s">
        <v>25</v>
      </c>
      <c r="B386" t="s">
        <v>134</v>
      </c>
      <c r="C386">
        <v>140</v>
      </c>
      <c r="D386">
        <v>70</v>
      </c>
      <c r="E386">
        <v>8</v>
      </c>
      <c r="F386">
        <v>4.5</v>
      </c>
      <c r="G386">
        <v>0</v>
      </c>
      <c r="H386">
        <v>25</v>
      </c>
      <c r="I386">
        <v>105</v>
      </c>
      <c r="J386">
        <v>11</v>
      </c>
      <c r="K386">
        <v>0</v>
      </c>
      <c r="L386">
        <v>11</v>
      </c>
      <c r="M386">
        <v>8</v>
      </c>
      <c r="N386">
        <v>147.5</v>
      </c>
      <c r="O386" s="3">
        <f t="shared" ref="O386:O449" si="23">M386/C386*100</f>
        <v>5.7142857142857144</v>
      </c>
      <c r="P386">
        <f t="shared" ref="P386:P449" si="24">IF(I386&gt;2300*0.2,1,0)</f>
        <v>0</v>
      </c>
      <c r="Q386">
        <f t="shared" ref="Q386:Q449" si="25">IF(H386&gt;300,1,0)</f>
        <v>0</v>
      </c>
      <c r="S386">
        <v>-5.0663043478260867</v>
      </c>
      <c r="T386">
        <v>-1.125</v>
      </c>
      <c r="U386">
        <v>-1.1413043478260869</v>
      </c>
      <c r="V386">
        <v>-4.4000000000000004</v>
      </c>
      <c r="W386">
        <v>0</v>
      </c>
      <c r="X386">
        <v>1.6</v>
      </c>
      <c r="Y386">
        <v>0</v>
      </c>
    </row>
    <row r="387" spans="1:25" x14ac:dyDescent="0.2">
      <c r="A387" t="s">
        <v>25</v>
      </c>
      <c r="B387" t="s">
        <v>136</v>
      </c>
      <c r="C387">
        <v>790</v>
      </c>
      <c r="D387">
        <v>350</v>
      </c>
      <c r="E387">
        <v>39</v>
      </c>
      <c r="F387">
        <v>17</v>
      </c>
      <c r="G387">
        <v>2</v>
      </c>
      <c r="H387">
        <v>145</v>
      </c>
      <c r="I387">
        <v>2070</v>
      </c>
      <c r="J387">
        <v>63</v>
      </c>
      <c r="K387">
        <v>4</v>
      </c>
      <c r="L387">
        <v>13</v>
      </c>
      <c r="M387">
        <v>45</v>
      </c>
      <c r="N387">
        <v>775</v>
      </c>
      <c r="O387" s="3">
        <f t="shared" si="23"/>
        <v>5.6962025316455698</v>
      </c>
      <c r="P387">
        <f t="shared" si="24"/>
        <v>1</v>
      </c>
      <c r="Q387">
        <f t="shared" si="25"/>
        <v>0</v>
      </c>
      <c r="S387">
        <v>-21.523428571428571</v>
      </c>
      <c r="T387">
        <v>-4.25</v>
      </c>
      <c r="U387">
        <v>-22.5</v>
      </c>
      <c r="V387">
        <v>-5.2</v>
      </c>
      <c r="W387">
        <v>-2E-3</v>
      </c>
      <c r="X387">
        <v>9.0000000000000018</v>
      </c>
      <c r="Y387">
        <v>1.4285714285714286</v>
      </c>
    </row>
    <row r="388" spans="1:25" x14ac:dyDescent="0.2">
      <c r="A388" t="s">
        <v>25</v>
      </c>
      <c r="B388" t="s">
        <v>137</v>
      </c>
      <c r="C388">
        <v>510</v>
      </c>
      <c r="D388">
        <v>230</v>
      </c>
      <c r="E388">
        <v>26</v>
      </c>
      <c r="F388">
        <v>12</v>
      </c>
      <c r="G388">
        <v>1.5</v>
      </c>
      <c r="H388">
        <v>90</v>
      </c>
      <c r="I388">
        <v>1190</v>
      </c>
      <c r="J388">
        <v>40</v>
      </c>
      <c r="K388">
        <v>3</v>
      </c>
      <c r="L388">
        <v>9</v>
      </c>
      <c r="M388">
        <v>29</v>
      </c>
      <c r="N388">
        <v>502</v>
      </c>
      <c r="O388" s="3">
        <f t="shared" si="23"/>
        <v>5.6862745098039218</v>
      </c>
      <c r="P388">
        <f t="shared" si="24"/>
        <v>1</v>
      </c>
      <c r="Q388">
        <f t="shared" si="25"/>
        <v>0</v>
      </c>
      <c r="S388">
        <v>-12.664854037267078</v>
      </c>
      <c r="T388">
        <v>-3</v>
      </c>
      <c r="U388">
        <v>-12.934782608695652</v>
      </c>
      <c r="V388">
        <v>-3.5999999999999996</v>
      </c>
      <c r="W388">
        <v>-1.5E-3</v>
      </c>
      <c r="X388">
        <v>5.8</v>
      </c>
      <c r="Y388">
        <v>1.0714285714285714</v>
      </c>
    </row>
    <row r="389" spans="1:25" x14ac:dyDescent="0.2">
      <c r="A389" t="s">
        <v>25</v>
      </c>
      <c r="B389" t="s">
        <v>120</v>
      </c>
      <c r="C389">
        <v>440</v>
      </c>
      <c r="D389">
        <v>210</v>
      </c>
      <c r="E389">
        <v>23</v>
      </c>
      <c r="F389">
        <v>11</v>
      </c>
      <c r="G389">
        <v>1.5</v>
      </c>
      <c r="H389">
        <v>80</v>
      </c>
      <c r="I389">
        <v>1150</v>
      </c>
      <c r="J389">
        <v>34</v>
      </c>
      <c r="K389">
        <v>2</v>
      </c>
      <c r="L389">
        <v>7</v>
      </c>
      <c r="M389">
        <v>25</v>
      </c>
      <c r="N389">
        <v>433</v>
      </c>
      <c r="O389" s="3">
        <f t="shared" si="23"/>
        <v>5.6818181818181817</v>
      </c>
      <c r="P389">
        <f t="shared" si="24"/>
        <v>1</v>
      </c>
      <c r="Q389">
        <f t="shared" si="25"/>
        <v>0</v>
      </c>
      <c r="S389">
        <v>-12.337214285714287</v>
      </c>
      <c r="T389">
        <v>-2.75</v>
      </c>
      <c r="U389">
        <v>-12.5</v>
      </c>
      <c r="V389">
        <v>-2.8000000000000003</v>
      </c>
      <c r="W389">
        <v>-1.5E-3</v>
      </c>
      <c r="X389">
        <v>5</v>
      </c>
      <c r="Y389">
        <v>0.7142857142857143</v>
      </c>
    </row>
    <row r="390" spans="1:25" x14ac:dyDescent="0.2">
      <c r="A390" t="s">
        <v>25</v>
      </c>
      <c r="B390" t="s">
        <v>142</v>
      </c>
      <c r="C390">
        <v>390</v>
      </c>
      <c r="D390">
        <v>170</v>
      </c>
      <c r="E390">
        <v>19</v>
      </c>
      <c r="F390">
        <v>8</v>
      </c>
      <c r="G390">
        <v>1</v>
      </c>
      <c r="H390">
        <v>65</v>
      </c>
      <c r="I390">
        <v>920</v>
      </c>
      <c r="J390">
        <v>33</v>
      </c>
      <c r="K390">
        <v>2</v>
      </c>
      <c r="L390">
        <v>7</v>
      </c>
      <c r="M390">
        <v>22</v>
      </c>
      <c r="N390">
        <v>383</v>
      </c>
      <c r="O390" s="3">
        <f t="shared" si="23"/>
        <v>5.6410256410256414</v>
      </c>
      <c r="P390">
        <f t="shared" si="24"/>
        <v>1</v>
      </c>
      <c r="Q390">
        <f t="shared" si="25"/>
        <v>0</v>
      </c>
      <c r="S390">
        <v>-9.6867142857142863</v>
      </c>
      <c r="T390">
        <v>-2</v>
      </c>
      <c r="U390">
        <v>-10</v>
      </c>
      <c r="V390">
        <v>-2.8000000000000003</v>
      </c>
      <c r="W390">
        <v>-1E-3</v>
      </c>
      <c r="X390">
        <v>4.4000000000000004</v>
      </c>
      <c r="Y390">
        <v>0.7142857142857143</v>
      </c>
    </row>
    <row r="391" spans="1:25" x14ac:dyDescent="0.2">
      <c r="A391" t="s">
        <v>25</v>
      </c>
      <c r="B391" t="s">
        <v>143</v>
      </c>
      <c r="C391">
        <v>800</v>
      </c>
      <c r="D391">
        <v>350</v>
      </c>
      <c r="E391">
        <v>39</v>
      </c>
      <c r="F391">
        <v>18</v>
      </c>
      <c r="G391">
        <v>2</v>
      </c>
      <c r="H391">
        <v>145</v>
      </c>
      <c r="I391">
        <v>2020</v>
      </c>
      <c r="J391">
        <v>66</v>
      </c>
      <c r="K391">
        <v>4</v>
      </c>
      <c r="L391">
        <v>16</v>
      </c>
      <c r="M391">
        <v>45</v>
      </c>
      <c r="N391">
        <v>789</v>
      </c>
      <c r="O391" s="3">
        <f t="shared" si="23"/>
        <v>5.625</v>
      </c>
      <c r="P391">
        <f t="shared" si="24"/>
        <v>1</v>
      </c>
      <c r="Q391">
        <f t="shared" si="25"/>
        <v>0</v>
      </c>
      <c r="S391">
        <v>-22.429950310559011</v>
      </c>
      <c r="T391">
        <v>-4.5</v>
      </c>
      <c r="U391">
        <v>-21.956521739130437</v>
      </c>
      <c r="V391">
        <v>-6.4</v>
      </c>
      <c r="W391">
        <v>-2E-3</v>
      </c>
      <c r="X391">
        <v>9.0000000000000018</v>
      </c>
      <c r="Y391">
        <v>1.4285714285714286</v>
      </c>
    </row>
    <row r="392" spans="1:25" x14ac:dyDescent="0.2">
      <c r="A392" t="s">
        <v>25</v>
      </c>
      <c r="B392" t="s">
        <v>146</v>
      </c>
      <c r="C392">
        <v>180</v>
      </c>
      <c r="D392">
        <v>90</v>
      </c>
      <c r="E392">
        <v>10</v>
      </c>
      <c r="F392">
        <v>6</v>
      </c>
      <c r="G392">
        <v>0</v>
      </c>
      <c r="H392">
        <v>30</v>
      </c>
      <c r="I392">
        <v>130</v>
      </c>
      <c r="J392">
        <v>13</v>
      </c>
      <c r="K392">
        <v>0</v>
      </c>
      <c r="L392">
        <v>13</v>
      </c>
      <c r="M392">
        <v>10</v>
      </c>
      <c r="N392">
        <v>189</v>
      </c>
      <c r="O392" s="3">
        <f t="shared" si="23"/>
        <v>5.5555555555555554</v>
      </c>
      <c r="P392">
        <f t="shared" si="24"/>
        <v>0</v>
      </c>
      <c r="Q392">
        <f t="shared" si="25"/>
        <v>0</v>
      </c>
      <c r="S392">
        <v>-6.1130434782608702</v>
      </c>
      <c r="T392">
        <v>-1.5</v>
      </c>
      <c r="U392">
        <v>-1.4130434782608696</v>
      </c>
      <c r="V392">
        <v>-5.2</v>
      </c>
      <c r="W392">
        <v>0</v>
      </c>
      <c r="X392">
        <v>2.0000000000000004</v>
      </c>
      <c r="Y392">
        <v>0</v>
      </c>
    </row>
    <row r="393" spans="1:25" x14ac:dyDescent="0.2">
      <c r="A393" t="s">
        <v>25</v>
      </c>
      <c r="B393" t="s">
        <v>147</v>
      </c>
      <c r="C393">
        <v>180</v>
      </c>
      <c r="D393">
        <v>90</v>
      </c>
      <c r="E393">
        <v>10</v>
      </c>
      <c r="F393">
        <v>6</v>
      </c>
      <c r="G393">
        <v>0</v>
      </c>
      <c r="H393">
        <v>30</v>
      </c>
      <c r="I393">
        <v>180</v>
      </c>
      <c r="J393">
        <v>25</v>
      </c>
      <c r="K393">
        <v>0</v>
      </c>
      <c r="L393">
        <v>13</v>
      </c>
      <c r="M393">
        <v>10</v>
      </c>
      <c r="N393">
        <v>189</v>
      </c>
      <c r="O393" s="3">
        <f t="shared" si="23"/>
        <v>5.5555555555555554</v>
      </c>
      <c r="P393">
        <f t="shared" si="24"/>
        <v>0</v>
      </c>
      <c r="Q393">
        <f t="shared" si="25"/>
        <v>0</v>
      </c>
      <c r="S393">
        <v>-6.6565217391304348</v>
      </c>
      <c r="T393">
        <v>-1.5</v>
      </c>
      <c r="U393">
        <v>-1.956521739130435</v>
      </c>
      <c r="V393">
        <v>-5.2</v>
      </c>
      <c r="W393">
        <v>0</v>
      </c>
      <c r="X393">
        <v>2.0000000000000004</v>
      </c>
      <c r="Y393">
        <v>0</v>
      </c>
    </row>
    <row r="394" spans="1:25" x14ac:dyDescent="0.2">
      <c r="A394" t="s">
        <v>25</v>
      </c>
      <c r="B394" t="s">
        <v>148</v>
      </c>
      <c r="C394">
        <v>90</v>
      </c>
      <c r="D394">
        <v>40</v>
      </c>
      <c r="E394">
        <v>5</v>
      </c>
      <c r="F394">
        <v>3</v>
      </c>
      <c r="G394">
        <v>0</v>
      </c>
      <c r="H394">
        <v>15</v>
      </c>
      <c r="I394">
        <v>105</v>
      </c>
      <c r="J394">
        <v>14</v>
      </c>
      <c r="K394">
        <v>0</v>
      </c>
      <c r="L394">
        <v>6</v>
      </c>
      <c r="M394">
        <v>5</v>
      </c>
      <c r="N394">
        <v>94</v>
      </c>
      <c r="O394" s="3">
        <f t="shared" si="23"/>
        <v>5.5555555555555554</v>
      </c>
      <c r="P394">
        <f t="shared" si="24"/>
        <v>0</v>
      </c>
      <c r="Q394">
        <f t="shared" si="25"/>
        <v>0</v>
      </c>
      <c r="S394">
        <v>-3.2913043478260864</v>
      </c>
      <c r="T394">
        <v>-0.75</v>
      </c>
      <c r="U394">
        <v>-1.1413043478260869</v>
      </c>
      <c r="V394">
        <v>-2.4</v>
      </c>
      <c r="W394">
        <v>0</v>
      </c>
      <c r="X394">
        <v>1.0000000000000002</v>
      </c>
      <c r="Y394">
        <v>0</v>
      </c>
    </row>
    <row r="395" spans="1:25" x14ac:dyDescent="0.2">
      <c r="A395" t="s">
        <v>25</v>
      </c>
      <c r="B395" t="s">
        <v>153</v>
      </c>
      <c r="C395">
        <v>110</v>
      </c>
      <c r="D395">
        <v>50</v>
      </c>
      <c r="E395">
        <v>6</v>
      </c>
      <c r="F395">
        <v>3.5</v>
      </c>
      <c r="G395">
        <v>0</v>
      </c>
      <c r="H395">
        <v>15</v>
      </c>
      <c r="I395">
        <v>130</v>
      </c>
      <c r="J395">
        <v>19</v>
      </c>
      <c r="K395">
        <v>0</v>
      </c>
      <c r="L395">
        <v>8</v>
      </c>
      <c r="M395">
        <v>6</v>
      </c>
      <c r="N395">
        <v>115.5</v>
      </c>
      <c r="O395" s="3">
        <f t="shared" si="23"/>
        <v>5.4545454545454541</v>
      </c>
      <c r="P395">
        <f t="shared" si="24"/>
        <v>0</v>
      </c>
      <c r="Q395">
        <f t="shared" si="25"/>
        <v>0</v>
      </c>
      <c r="S395">
        <v>-4.2880434782608701</v>
      </c>
      <c r="T395">
        <v>-0.875</v>
      </c>
      <c r="U395">
        <v>-1.4130434782608696</v>
      </c>
      <c r="V395">
        <v>-3.2</v>
      </c>
      <c r="W395">
        <v>0</v>
      </c>
      <c r="X395">
        <v>1.2</v>
      </c>
      <c r="Y395">
        <v>0</v>
      </c>
    </row>
    <row r="396" spans="1:25" x14ac:dyDescent="0.2">
      <c r="A396" t="s">
        <v>25</v>
      </c>
      <c r="B396" t="s">
        <v>157</v>
      </c>
      <c r="C396">
        <v>390</v>
      </c>
      <c r="D396">
        <v>190</v>
      </c>
      <c r="E396">
        <v>21</v>
      </c>
      <c r="F396">
        <v>9</v>
      </c>
      <c r="G396">
        <v>1</v>
      </c>
      <c r="H396">
        <v>75</v>
      </c>
      <c r="I396">
        <v>1080</v>
      </c>
      <c r="J396">
        <v>28</v>
      </c>
      <c r="K396">
        <v>1</v>
      </c>
      <c r="L396">
        <v>4</v>
      </c>
      <c r="M396">
        <v>21</v>
      </c>
      <c r="N396">
        <v>382</v>
      </c>
      <c r="O396" s="3">
        <f t="shared" si="23"/>
        <v>5.384615384615385</v>
      </c>
      <c r="P396">
        <f t="shared" si="24"/>
        <v>1</v>
      </c>
      <c r="Q396">
        <f t="shared" si="25"/>
        <v>0</v>
      </c>
      <c r="S396">
        <v>-11.032987577639751</v>
      </c>
      <c r="T396">
        <v>-2.25</v>
      </c>
      <c r="U396">
        <v>-11.739130434782609</v>
      </c>
      <c r="V396">
        <v>-1.6</v>
      </c>
      <c r="W396">
        <v>-1E-3</v>
      </c>
      <c r="X396">
        <v>4.2</v>
      </c>
      <c r="Y396">
        <v>0.35714285714285715</v>
      </c>
    </row>
    <row r="397" spans="1:25" x14ac:dyDescent="0.2">
      <c r="A397" t="s">
        <v>25</v>
      </c>
      <c r="B397" t="s">
        <v>158</v>
      </c>
      <c r="C397">
        <v>130</v>
      </c>
      <c r="D397">
        <v>60</v>
      </c>
      <c r="E397">
        <v>7</v>
      </c>
      <c r="F397">
        <v>4</v>
      </c>
      <c r="G397">
        <v>0</v>
      </c>
      <c r="H397">
        <v>20</v>
      </c>
      <c r="I397">
        <v>125</v>
      </c>
      <c r="J397">
        <v>17</v>
      </c>
      <c r="K397">
        <v>0</v>
      </c>
      <c r="L397">
        <v>10</v>
      </c>
      <c r="M397">
        <v>7</v>
      </c>
      <c r="N397">
        <v>137</v>
      </c>
      <c r="O397" s="3">
        <f t="shared" si="23"/>
        <v>5.384615384615385</v>
      </c>
      <c r="P397">
        <f t="shared" si="24"/>
        <v>0</v>
      </c>
      <c r="Q397">
        <f t="shared" si="25"/>
        <v>0</v>
      </c>
      <c r="S397">
        <v>-4.9586956521739136</v>
      </c>
      <c r="T397">
        <v>-1</v>
      </c>
      <c r="U397">
        <v>-1.3586956521739131</v>
      </c>
      <c r="V397">
        <v>-4.0000000000000009</v>
      </c>
      <c r="W397">
        <v>0</v>
      </c>
      <c r="X397">
        <v>1.4000000000000001</v>
      </c>
      <c r="Y397">
        <v>0</v>
      </c>
    </row>
    <row r="398" spans="1:25" x14ac:dyDescent="0.2">
      <c r="A398" t="s">
        <v>25</v>
      </c>
      <c r="B398" t="s">
        <v>165</v>
      </c>
      <c r="C398">
        <v>750</v>
      </c>
      <c r="D398">
        <v>350</v>
      </c>
      <c r="E398">
        <v>39</v>
      </c>
      <c r="F398">
        <v>16</v>
      </c>
      <c r="G398">
        <v>2</v>
      </c>
      <c r="H398">
        <v>135</v>
      </c>
      <c r="I398">
        <v>1700</v>
      </c>
      <c r="J398">
        <v>61</v>
      </c>
      <c r="K398">
        <v>4</v>
      </c>
      <c r="L398">
        <v>10</v>
      </c>
      <c r="M398">
        <v>40</v>
      </c>
      <c r="N398">
        <v>736</v>
      </c>
      <c r="O398" s="3">
        <f t="shared" si="23"/>
        <v>5.3333333333333339</v>
      </c>
      <c r="P398">
        <f t="shared" si="24"/>
        <v>1</v>
      </c>
      <c r="Q398">
        <f t="shared" si="25"/>
        <v>0</v>
      </c>
      <c r="S398">
        <v>-17.051689440993787</v>
      </c>
      <c r="T398">
        <v>-4</v>
      </c>
      <c r="U398">
        <v>-18.478260869565215</v>
      </c>
      <c r="V398">
        <v>-4.0000000000000009</v>
      </c>
      <c r="W398">
        <v>-2E-3</v>
      </c>
      <c r="X398">
        <v>8.0000000000000018</v>
      </c>
      <c r="Y398">
        <v>1.4285714285714286</v>
      </c>
    </row>
    <row r="399" spans="1:25" x14ac:dyDescent="0.2">
      <c r="A399" t="s">
        <v>25</v>
      </c>
      <c r="B399" t="s">
        <v>166</v>
      </c>
      <c r="C399">
        <v>150</v>
      </c>
      <c r="D399">
        <v>70</v>
      </c>
      <c r="E399">
        <v>8</v>
      </c>
      <c r="F399">
        <v>4.5</v>
      </c>
      <c r="G399">
        <v>0</v>
      </c>
      <c r="H399">
        <v>25</v>
      </c>
      <c r="I399">
        <v>105</v>
      </c>
      <c r="J399">
        <v>11</v>
      </c>
      <c r="K399">
        <v>0</v>
      </c>
      <c r="L399">
        <v>11</v>
      </c>
      <c r="M399">
        <v>8</v>
      </c>
      <c r="N399">
        <v>157.5</v>
      </c>
      <c r="O399" s="3">
        <f t="shared" si="23"/>
        <v>5.3333333333333339</v>
      </c>
      <c r="P399">
        <f t="shared" si="24"/>
        <v>0</v>
      </c>
      <c r="Q399">
        <f t="shared" si="25"/>
        <v>0</v>
      </c>
      <c r="S399">
        <v>-5.0663043478260867</v>
      </c>
      <c r="T399">
        <v>-1.125</v>
      </c>
      <c r="U399">
        <v>-1.1413043478260869</v>
      </c>
      <c r="V399">
        <v>-4.4000000000000004</v>
      </c>
      <c r="W399">
        <v>0</v>
      </c>
      <c r="X399">
        <v>1.6</v>
      </c>
      <c r="Y399">
        <v>0</v>
      </c>
    </row>
    <row r="400" spans="1:25" x14ac:dyDescent="0.2">
      <c r="A400" t="s">
        <v>25</v>
      </c>
      <c r="B400" t="s">
        <v>167</v>
      </c>
      <c r="C400">
        <v>150</v>
      </c>
      <c r="D400">
        <v>70</v>
      </c>
      <c r="E400">
        <v>8</v>
      </c>
      <c r="F400">
        <v>4.5</v>
      </c>
      <c r="G400">
        <v>0</v>
      </c>
      <c r="H400">
        <v>25</v>
      </c>
      <c r="I400">
        <v>160</v>
      </c>
      <c r="J400">
        <v>22</v>
      </c>
      <c r="K400">
        <v>0</v>
      </c>
      <c r="L400">
        <v>11</v>
      </c>
      <c r="M400">
        <v>8</v>
      </c>
      <c r="N400">
        <v>157.5</v>
      </c>
      <c r="O400" s="3">
        <f t="shared" si="23"/>
        <v>5.3333333333333339</v>
      </c>
      <c r="P400">
        <f t="shared" si="24"/>
        <v>0</v>
      </c>
      <c r="Q400">
        <f t="shared" si="25"/>
        <v>0</v>
      </c>
      <c r="S400">
        <v>-5.6641304347826082</v>
      </c>
      <c r="T400">
        <v>-1.125</v>
      </c>
      <c r="U400">
        <v>-1.7391304347826086</v>
      </c>
      <c r="V400">
        <v>-4.4000000000000004</v>
      </c>
      <c r="W400">
        <v>0</v>
      </c>
      <c r="X400">
        <v>1.6</v>
      </c>
      <c r="Y400">
        <v>0</v>
      </c>
    </row>
    <row r="401" spans="1:25" x14ac:dyDescent="0.2">
      <c r="A401" t="s">
        <v>25</v>
      </c>
      <c r="B401" t="s">
        <v>173</v>
      </c>
      <c r="C401">
        <v>510</v>
      </c>
      <c r="D401">
        <v>250</v>
      </c>
      <c r="E401">
        <v>28</v>
      </c>
      <c r="F401">
        <v>11</v>
      </c>
      <c r="G401">
        <v>1.5</v>
      </c>
      <c r="H401">
        <v>85</v>
      </c>
      <c r="I401">
        <v>960</v>
      </c>
      <c r="J401">
        <v>38</v>
      </c>
      <c r="K401">
        <v>3</v>
      </c>
      <c r="L401">
        <v>8</v>
      </c>
      <c r="M401">
        <v>27</v>
      </c>
      <c r="N401">
        <v>502</v>
      </c>
      <c r="O401" s="3">
        <f t="shared" si="23"/>
        <v>5.2941176470588234</v>
      </c>
      <c r="P401">
        <f t="shared" si="24"/>
        <v>1</v>
      </c>
      <c r="Q401">
        <f t="shared" si="25"/>
        <v>0</v>
      </c>
      <c r="S401">
        <v>-9.9148540372670801</v>
      </c>
      <c r="T401">
        <v>-2.75</v>
      </c>
      <c r="U401">
        <v>-10.434782608695652</v>
      </c>
      <c r="V401">
        <v>-3.2</v>
      </c>
      <c r="W401">
        <v>-1.5E-3</v>
      </c>
      <c r="X401">
        <v>5.4</v>
      </c>
      <c r="Y401">
        <v>1.0714285714285714</v>
      </c>
    </row>
    <row r="402" spans="1:25" x14ac:dyDescent="0.2">
      <c r="A402" t="s">
        <v>25</v>
      </c>
      <c r="B402" t="s">
        <v>174</v>
      </c>
      <c r="C402">
        <v>170</v>
      </c>
      <c r="D402">
        <v>25</v>
      </c>
      <c r="E402">
        <v>3</v>
      </c>
      <c r="F402">
        <v>1.5</v>
      </c>
      <c r="G402">
        <v>0</v>
      </c>
      <c r="H402">
        <v>5</v>
      </c>
      <c r="I402">
        <v>150</v>
      </c>
      <c r="J402">
        <v>26</v>
      </c>
      <c r="K402">
        <v>1</v>
      </c>
      <c r="L402">
        <v>25</v>
      </c>
      <c r="M402">
        <v>9</v>
      </c>
      <c r="N402">
        <v>187.5</v>
      </c>
      <c r="O402" s="3">
        <f t="shared" si="23"/>
        <v>5.2941176470588234</v>
      </c>
      <c r="P402">
        <f t="shared" si="24"/>
        <v>0</v>
      </c>
      <c r="Q402">
        <f t="shared" si="25"/>
        <v>0</v>
      </c>
      <c r="S402">
        <v>-9.848291925465837</v>
      </c>
      <c r="T402">
        <v>-0.375</v>
      </c>
      <c r="U402">
        <v>-1.6304347826086956</v>
      </c>
      <c r="V402">
        <v>-10</v>
      </c>
      <c r="W402">
        <v>0</v>
      </c>
      <c r="X402">
        <v>1.7999999999999998</v>
      </c>
      <c r="Y402">
        <v>0.35714285714285715</v>
      </c>
    </row>
    <row r="403" spans="1:25" x14ac:dyDescent="0.2">
      <c r="A403" t="s">
        <v>25</v>
      </c>
      <c r="B403" t="s">
        <v>180</v>
      </c>
      <c r="C403">
        <v>400</v>
      </c>
      <c r="D403">
        <v>190</v>
      </c>
      <c r="E403">
        <v>22</v>
      </c>
      <c r="F403">
        <v>10</v>
      </c>
      <c r="G403">
        <v>1</v>
      </c>
      <c r="H403">
        <v>75</v>
      </c>
      <c r="I403">
        <v>1060</v>
      </c>
      <c r="J403">
        <v>30</v>
      </c>
      <c r="K403">
        <v>1</v>
      </c>
      <c r="L403">
        <v>6</v>
      </c>
      <c r="M403">
        <v>21</v>
      </c>
      <c r="N403">
        <v>395</v>
      </c>
      <c r="O403" s="3">
        <f t="shared" si="23"/>
        <v>5.25</v>
      </c>
      <c r="P403">
        <f t="shared" si="24"/>
        <v>1</v>
      </c>
      <c r="Q403">
        <f t="shared" si="25"/>
        <v>0</v>
      </c>
      <c r="S403">
        <v>-11.865596273291928</v>
      </c>
      <c r="T403">
        <v>-2.5</v>
      </c>
      <c r="U403">
        <v>-11.521739130434783</v>
      </c>
      <c r="V403">
        <v>-2.4</v>
      </c>
      <c r="W403">
        <v>-1E-3</v>
      </c>
      <c r="X403">
        <v>4.2</v>
      </c>
      <c r="Y403">
        <v>0.35714285714285715</v>
      </c>
    </row>
    <row r="404" spans="1:25" x14ac:dyDescent="0.2">
      <c r="A404" t="s">
        <v>25</v>
      </c>
      <c r="B404" t="s">
        <v>181</v>
      </c>
      <c r="C404">
        <v>210</v>
      </c>
      <c r="D404">
        <v>100</v>
      </c>
      <c r="E404">
        <v>11</v>
      </c>
      <c r="F404">
        <v>7</v>
      </c>
      <c r="G404">
        <v>0</v>
      </c>
      <c r="H404">
        <v>35</v>
      </c>
      <c r="I404">
        <v>150</v>
      </c>
      <c r="J404">
        <v>16</v>
      </c>
      <c r="K404">
        <v>0</v>
      </c>
      <c r="L404">
        <v>16</v>
      </c>
      <c r="M404">
        <v>11</v>
      </c>
      <c r="N404">
        <v>222</v>
      </c>
      <c r="O404" s="3">
        <f t="shared" si="23"/>
        <v>5.2380952380952381</v>
      </c>
      <c r="P404">
        <f t="shared" si="24"/>
        <v>0</v>
      </c>
      <c r="Q404">
        <f t="shared" si="25"/>
        <v>0</v>
      </c>
      <c r="S404">
        <v>-7.5804347826086955</v>
      </c>
      <c r="T404">
        <v>-1.75</v>
      </c>
      <c r="U404">
        <v>-1.6304347826086956</v>
      </c>
      <c r="V404">
        <v>-6.4</v>
      </c>
      <c r="W404">
        <v>0</v>
      </c>
      <c r="X404">
        <v>2.2000000000000002</v>
      </c>
      <c r="Y404">
        <v>0</v>
      </c>
    </row>
    <row r="405" spans="1:25" x14ac:dyDescent="0.2">
      <c r="A405" t="s">
        <v>25</v>
      </c>
      <c r="B405" t="s">
        <v>184</v>
      </c>
      <c r="C405">
        <v>460</v>
      </c>
      <c r="D405">
        <v>220</v>
      </c>
      <c r="E405">
        <v>24</v>
      </c>
      <c r="F405">
        <v>8</v>
      </c>
      <c r="G405">
        <v>1.5</v>
      </c>
      <c r="H405">
        <v>70</v>
      </c>
      <c r="I405">
        <v>720</v>
      </c>
      <c r="J405">
        <v>37</v>
      </c>
      <c r="K405">
        <v>3</v>
      </c>
      <c r="L405">
        <v>8</v>
      </c>
      <c r="M405">
        <v>24</v>
      </c>
      <c r="N405">
        <v>452</v>
      </c>
      <c r="O405" s="3">
        <f t="shared" si="23"/>
        <v>5.2173913043478262</v>
      </c>
      <c r="P405">
        <f t="shared" si="24"/>
        <v>1</v>
      </c>
      <c r="Q405">
        <f t="shared" si="25"/>
        <v>0</v>
      </c>
      <c r="S405">
        <v>-7.1561583850931694</v>
      </c>
      <c r="T405">
        <v>-2</v>
      </c>
      <c r="U405">
        <v>-7.8260869565217401</v>
      </c>
      <c r="V405">
        <v>-3.2</v>
      </c>
      <c r="W405">
        <v>-1.5E-3</v>
      </c>
      <c r="X405">
        <v>4.8</v>
      </c>
      <c r="Y405">
        <v>1.0714285714285714</v>
      </c>
    </row>
    <row r="406" spans="1:25" x14ac:dyDescent="0.2">
      <c r="A406" t="s">
        <v>25</v>
      </c>
      <c r="B406" t="s">
        <v>190</v>
      </c>
      <c r="C406">
        <v>430</v>
      </c>
      <c r="D406">
        <v>230</v>
      </c>
      <c r="E406">
        <v>26</v>
      </c>
      <c r="F406">
        <v>10</v>
      </c>
      <c r="G406">
        <v>1.5</v>
      </c>
      <c r="H406">
        <v>75</v>
      </c>
      <c r="I406">
        <v>730</v>
      </c>
      <c r="J406">
        <v>27</v>
      </c>
      <c r="K406">
        <v>2</v>
      </c>
      <c r="L406">
        <v>2</v>
      </c>
      <c r="M406">
        <v>22</v>
      </c>
      <c r="N406">
        <v>420</v>
      </c>
      <c r="O406" s="3">
        <f t="shared" si="23"/>
        <v>5.1162790697674421</v>
      </c>
      <c r="P406">
        <f t="shared" si="24"/>
        <v>1</v>
      </c>
      <c r="Q406">
        <f t="shared" si="25"/>
        <v>0</v>
      </c>
      <c r="S406">
        <v>-6.1219968944099383</v>
      </c>
      <c r="T406">
        <v>-2.5</v>
      </c>
      <c r="U406">
        <v>-7.9347826086956523</v>
      </c>
      <c r="V406">
        <v>-0.8</v>
      </c>
      <c r="W406">
        <v>-1.5E-3</v>
      </c>
      <c r="X406">
        <v>4.4000000000000004</v>
      </c>
      <c r="Y406">
        <v>0.7142857142857143</v>
      </c>
    </row>
    <row r="407" spans="1:25" x14ac:dyDescent="0.2">
      <c r="A407" t="s">
        <v>25</v>
      </c>
      <c r="B407" t="s">
        <v>192</v>
      </c>
      <c r="C407">
        <v>475</v>
      </c>
      <c r="D407" s="2">
        <v>0</v>
      </c>
      <c r="E407">
        <v>22</v>
      </c>
      <c r="F407">
        <v>4.5</v>
      </c>
      <c r="G407">
        <v>0</v>
      </c>
      <c r="H407">
        <v>50</v>
      </c>
      <c r="I407">
        <v>680</v>
      </c>
      <c r="J407">
        <v>46</v>
      </c>
      <c r="K407">
        <v>2</v>
      </c>
      <c r="L407">
        <v>14</v>
      </c>
      <c r="M407">
        <v>24</v>
      </c>
      <c r="O407" s="3">
        <f t="shared" si="23"/>
        <v>5.0526315789473681</v>
      </c>
      <c r="P407">
        <f t="shared" si="24"/>
        <v>1</v>
      </c>
      <c r="Q407">
        <f t="shared" si="25"/>
        <v>0</v>
      </c>
      <c r="S407">
        <v>-8.6020186335403732</v>
      </c>
      <c r="T407">
        <v>-1.125</v>
      </c>
      <c r="U407">
        <v>-7.3913043478260869</v>
      </c>
      <c r="V407">
        <v>-5.6000000000000005</v>
      </c>
      <c r="W407">
        <v>0</v>
      </c>
      <c r="X407">
        <v>4.8</v>
      </c>
      <c r="Y407">
        <v>0.7142857142857143</v>
      </c>
    </row>
    <row r="408" spans="1:25" x14ac:dyDescent="0.2">
      <c r="A408" t="s">
        <v>25</v>
      </c>
      <c r="B408" t="s">
        <v>162</v>
      </c>
      <c r="C408">
        <v>300</v>
      </c>
      <c r="D408">
        <v>110</v>
      </c>
      <c r="E408">
        <v>12</v>
      </c>
      <c r="F408">
        <v>6</v>
      </c>
      <c r="G408">
        <v>0.5</v>
      </c>
      <c r="H408">
        <v>40</v>
      </c>
      <c r="I408">
        <v>750</v>
      </c>
      <c r="J408">
        <v>33</v>
      </c>
      <c r="K408">
        <v>2</v>
      </c>
      <c r="L408">
        <v>6</v>
      </c>
      <c r="M408">
        <v>15</v>
      </c>
      <c r="N408">
        <v>297</v>
      </c>
      <c r="O408" s="3">
        <f t="shared" si="23"/>
        <v>5</v>
      </c>
      <c r="P408">
        <f t="shared" si="24"/>
        <v>1</v>
      </c>
      <c r="Q408">
        <f t="shared" si="25"/>
        <v>0</v>
      </c>
      <c r="S408">
        <v>-8.3383881987577659</v>
      </c>
      <c r="T408">
        <v>-1.5</v>
      </c>
      <c r="U408">
        <v>-8.1521739130434785</v>
      </c>
      <c r="V408">
        <v>-2.4</v>
      </c>
      <c r="W408">
        <v>-5.0000000000000001E-4</v>
      </c>
      <c r="X408">
        <v>3</v>
      </c>
      <c r="Y408">
        <v>0.7142857142857143</v>
      </c>
    </row>
    <row r="409" spans="1:25" x14ac:dyDescent="0.2">
      <c r="A409" t="s">
        <v>25</v>
      </c>
      <c r="B409" t="s">
        <v>193</v>
      </c>
      <c r="C409">
        <v>620</v>
      </c>
      <c r="D409">
        <v>260</v>
      </c>
      <c r="E409">
        <v>29</v>
      </c>
      <c r="F409">
        <v>7</v>
      </c>
      <c r="G409">
        <v>0</v>
      </c>
      <c r="H409">
        <v>70</v>
      </c>
      <c r="I409">
        <v>1200</v>
      </c>
      <c r="J409">
        <v>57</v>
      </c>
      <c r="K409">
        <v>3</v>
      </c>
      <c r="L409">
        <v>11</v>
      </c>
      <c r="M409">
        <v>31</v>
      </c>
      <c r="N409">
        <v>607</v>
      </c>
      <c r="O409" s="3">
        <f t="shared" si="23"/>
        <v>5</v>
      </c>
      <c r="P409">
        <f t="shared" si="24"/>
        <v>1</v>
      </c>
      <c r="Q409">
        <f t="shared" si="25"/>
        <v>0</v>
      </c>
      <c r="S409">
        <v>-11.922049689440994</v>
      </c>
      <c r="T409">
        <v>-1.75</v>
      </c>
      <c r="U409">
        <v>-13.043478260869565</v>
      </c>
      <c r="V409">
        <v>-4.4000000000000004</v>
      </c>
      <c r="W409">
        <v>0</v>
      </c>
      <c r="X409">
        <v>6.2</v>
      </c>
      <c r="Y409">
        <v>1.0714285714285714</v>
      </c>
    </row>
    <row r="410" spans="1:25" x14ac:dyDescent="0.2">
      <c r="A410" t="s">
        <v>25</v>
      </c>
      <c r="B410" t="s">
        <v>194</v>
      </c>
      <c r="C410">
        <v>540</v>
      </c>
      <c r="D410">
        <v>210</v>
      </c>
      <c r="E410">
        <v>23</v>
      </c>
      <c r="F410">
        <v>4.5</v>
      </c>
      <c r="G410">
        <v>0</v>
      </c>
      <c r="H410">
        <v>55</v>
      </c>
      <c r="I410">
        <v>1160</v>
      </c>
      <c r="J410">
        <v>56</v>
      </c>
      <c r="K410">
        <v>3</v>
      </c>
      <c r="L410">
        <v>11</v>
      </c>
      <c r="M410">
        <v>27</v>
      </c>
      <c r="N410">
        <v>528.5</v>
      </c>
      <c r="O410" s="3">
        <f t="shared" si="23"/>
        <v>5</v>
      </c>
      <c r="P410">
        <f t="shared" si="24"/>
        <v>1</v>
      </c>
      <c r="Q410">
        <f t="shared" si="25"/>
        <v>0</v>
      </c>
      <c r="S410">
        <v>-11.662267080745341</v>
      </c>
      <c r="T410">
        <v>-1.125</v>
      </c>
      <c r="U410">
        <v>-12.608695652173912</v>
      </c>
      <c r="V410">
        <v>-4.4000000000000004</v>
      </c>
      <c r="W410">
        <v>0</v>
      </c>
      <c r="X410">
        <v>5.4</v>
      </c>
      <c r="Y410">
        <v>1.0714285714285714</v>
      </c>
    </row>
    <row r="411" spans="1:25" x14ac:dyDescent="0.2">
      <c r="A411" t="s">
        <v>25</v>
      </c>
      <c r="B411" t="s">
        <v>195</v>
      </c>
      <c r="C411">
        <v>20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10</v>
      </c>
      <c r="J411">
        <v>4</v>
      </c>
      <c r="K411">
        <v>1</v>
      </c>
      <c r="L411">
        <v>2</v>
      </c>
      <c r="M411">
        <v>1</v>
      </c>
      <c r="N411">
        <v>21</v>
      </c>
      <c r="O411" s="3">
        <f t="shared" si="23"/>
        <v>5</v>
      </c>
      <c r="P411">
        <f t="shared" si="24"/>
        <v>0</v>
      </c>
      <c r="Q411">
        <f t="shared" si="25"/>
        <v>0</v>
      </c>
      <c r="S411">
        <v>-0.35155279503105602</v>
      </c>
      <c r="T411">
        <v>0</v>
      </c>
      <c r="U411">
        <v>-0.10869565217391304</v>
      </c>
      <c r="V411">
        <v>-0.8</v>
      </c>
      <c r="W411">
        <v>0</v>
      </c>
      <c r="X411">
        <v>0.2</v>
      </c>
      <c r="Y411">
        <v>0.35714285714285715</v>
      </c>
    </row>
    <row r="412" spans="1:25" x14ac:dyDescent="0.2">
      <c r="A412" t="s">
        <v>25</v>
      </c>
      <c r="B412" t="s">
        <v>196</v>
      </c>
      <c r="C412">
        <v>660</v>
      </c>
      <c r="D412">
        <v>300</v>
      </c>
      <c r="E412">
        <v>33</v>
      </c>
      <c r="F412">
        <v>12</v>
      </c>
      <c r="G412">
        <v>1</v>
      </c>
      <c r="H412">
        <v>300</v>
      </c>
      <c r="I412">
        <v>1580</v>
      </c>
      <c r="J412">
        <v>56</v>
      </c>
      <c r="K412">
        <v>3</v>
      </c>
      <c r="L412">
        <v>7</v>
      </c>
      <c r="M412">
        <v>33</v>
      </c>
      <c r="N412">
        <v>646</v>
      </c>
      <c r="O412" s="3">
        <f t="shared" si="23"/>
        <v>5</v>
      </c>
      <c r="P412">
        <f t="shared" si="24"/>
        <v>1</v>
      </c>
      <c r="Q412">
        <f t="shared" si="25"/>
        <v>0</v>
      </c>
      <c r="S412">
        <v>-15.303484472049691</v>
      </c>
      <c r="T412">
        <v>-3</v>
      </c>
      <c r="U412">
        <v>-17.173913043478262</v>
      </c>
      <c r="V412">
        <v>-2.8000000000000003</v>
      </c>
      <c r="W412">
        <v>-1E-3</v>
      </c>
      <c r="X412">
        <v>6.6000000000000005</v>
      </c>
      <c r="Y412">
        <v>1.0714285714285714</v>
      </c>
    </row>
    <row r="413" spans="1:25" x14ac:dyDescent="0.2">
      <c r="A413" t="s">
        <v>25</v>
      </c>
      <c r="B413" t="s">
        <v>197</v>
      </c>
      <c r="C413">
        <v>120</v>
      </c>
      <c r="D413">
        <v>60</v>
      </c>
      <c r="E413">
        <v>7</v>
      </c>
      <c r="F413">
        <v>4</v>
      </c>
      <c r="G413">
        <v>0</v>
      </c>
      <c r="H413">
        <v>20</v>
      </c>
      <c r="I413">
        <v>85</v>
      </c>
      <c r="J413">
        <v>9</v>
      </c>
      <c r="K413">
        <v>0</v>
      </c>
      <c r="L413">
        <v>9</v>
      </c>
      <c r="M413">
        <v>6</v>
      </c>
      <c r="N413">
        <v>127</v>
      </c>
      <c r="O413" s="3">
        <f t="shared" si="23"/>
        <v>5</v>
      </c>
      <c r="P413">
        <f t="shared" si="24"/>
        <v>0</v>
      </c>
      <c r="Q413">
        <f t="shared" si="25"/>
        <v>0</v>
      </c>
      <c r="S413">
        <v>-4.3239130434782602</v>
      </c>
      <c r="T413">
        <v>-1</v>
      </c>
      <c r="U413">
        <v>-0.92391304347826086</v>
      </c>
      <c r="V413">
        <v>-3.5999999999999996</v>
      </c>
      <c r="W413">
        <v>0</v>
      </c>
      <c r="X413">
        <v>1.2</v>
      </c>
      <c r="Y413">
        <v>0</v>
      </c>
    </row>
    <row r="414" spans="1:25" x14ac:dyDescent="0.2">
      <c r="A414" t="s">
        <v>25</v>
      </c>
      <c r="B414" t="s">
        <v>198</v>
      </c>
      <c r="C414">
        <v>180</v>
      </c>
      <c r="D414">
        <v>90</v>
      </c>
      <c r="E414">
        <v>10</v>
      </c>
      <c r="F414">
        <v>6</v>
      </c>
      <c r="G414">
        <v>0</v>
      </c>
      <c r="H414">
        <v>30</v>
      </c>
      <c r="I414">
        <v>130</v>
      </c>
      <c r="J414">
        <v>13</v>
      </c>
      <c r="K414">
        <v>0</v>
      </c>
      <c r="L414">
        <v>13</v>
      </c>
      <c r="M414">
        <v>9</v>
      </c>
      <c r="N414">
        <v>190</v>
      </c>
      <c r="O414" s="3">
        <f t="shared" si="23"/>
        <v>5</v>
      </c>
      <c r="P414">
        <f t="shared" si="24"/>
        <v>0</v>
      </c>
      <c r="Q414">
        <f t="shared" si="25"/>
        <v>0</v>
      </c>
      <c r="S414">
        <v>-6.3130434782608704</v>
      </c>
      <c r="T414">
        <v>-1.5</v>
      </c>
      <c r="U414">
        <v>-1.4130434782608696</v>
      </c>
      <c r="V414">
        <v>-5.2</v>
      </c>
      <c r="W414">
        <v>0</v>
      </c>
      <c r="X414">
        <v>1.7999999999999998</v>
      </c>
      <c r="Y414">
        <v>0</v>
      </c>
    </row>
    <row r="415" spans="1:25" x14ac:dyDescent="0.2">
      <c r="A415" t="s">
        <v>25</v>
      </c>
      <c r="B415" t="s">
        <v>199</v>
      </c>
      <c r="C415">
        <v>100</v>
      </c>
      <c r="D415">
        <v>50</v>
      </c>
      <c r="E415">
        <v>5</v>
      </c>
      <c r="F415">
        <v>3</v>
      </c>
      <c r="G415">
        <v>0</v>
      </c>
      <c r="H415">
        <v>15</v>
      </c>
      <c r="I415">
        <v>105</v>
      </c>
      <c r="J415">
        <v>15</v>
      </c>
      <c r="K415">
        <v>0</v>
      </c>
      <c r="L415">
        <v>7</v>
      </c>
      <c r="M415">
        <v>5</v>
      </c>
      <c r="N415">
        <v>105</v>
      </c>
      <c r="O415" s="3">
        <f t="shared" si="23"/>
        <v>5</v>
      </c>
      <c r="P415">
        <f t="shared" si="24"/>
        <v>0</v>
      </c>
      <c r="Q415">
        <f t="shared" si="25"/>
        <v>0</v>
      </c>
      <c r="S415">
        <v>-3.6913043478260867</v>
      </c>
      <c r="T415">
        <v>-0.75</v>
      </c>
      <c r="U415">
        <v>-1.1413043478260869</v>
      </c>
      <c r="V415">
        <v>-2.8000000000000003</v>
      </c>
      <c r="W415">
        <v>0</v>
      </c>
      <c r="X415">
        <v>1.0000000000000002</v>
      </c>
      <c r="Y415">
        <v>0</v>
      </c>
    </row>
    <row r="416" spans="1:25" x14ac:dyDescent="0.2">
      <c r="A416" t="s">
        <v>25</v>
      </c>
      <c r="B416" t="s">
        <v>200</v>
      </c>
      <c r="C416">
        <v>120</v>
      </c>
      <c r="D416">
        <v>60</v>
      </c>
      <c r="E416">
        <v>6</v>
      </c>
      <c r="F416">
        <v>3.5</v>
      </c>
      <c r="G416">
        <v>0</v>
      </c>
      <c r="H416">
        <v>20</v>
      </c>
      <c r="I416">
        <v>130</v>
      </c>
      <c r="J416">
        <v>18</v>
      </c>
      <c r="K416">
        <v>0</v>
      </c>
      <c r="L416">
        <v>9</v>
      </c>
      <c r="M416">
        <v>6</v>
      </c>
      <c r="N416">
        <v>126.5</v>
      </c>
      <c r="O416" s="3">
        <f t="shared" si="23"/>
        <v>5</v>
      </c>
      <c r="P416">
        <f t="shared" si="24"/>
        <v>0</v>
      </c>
      <c r="Q416">
        <f t="shared" si="25"/>
        <v>0</v>
      </c>
      <c r="S416">
        <v>-4.6880434782608686</v>
      </c>
      <c r="T416">
        <v>-0.875</v>
      </c>
      <c r="U416">
        <v>-1.4130434782608696</v>
      </c>
      <c r="V416">
        <v>-3.5999999999999996</v>
      </c>
      <c r="W416">
        <v>0</v>
      </c>
      <c r="X416">
        <v>1.2</v>
      </c>
      <c r="Y416">
        <v>0</v>
      </c>
    </row>
    <row r="417" spans="1:25" x14ac:dyDescent="0.2">
      <c r="A417" t="s">
        <v>25</v>
      </c>
      <c r="B417" t="s">
        <v>201</v>
      </c>
      <c r="C417">
        <v>160</v>
      </c>
      <c r="D417">
        <v>70</v>
      </c>
      <c r="E417">
        <v>8</v>
      </c>
      <c r="F417">
        <v>5</v>
      </c>
      <c r="G417">
        <v>0</v>
      </c>
      <c r="H417">
        <v>25</v>
      </c>
      <c r="I417">
        <v>150</v>
      </c>
      <c r="J417">
        <v>21</v>
      </c>
      <c r="K417">
        <v>0</v>
      </c>
      <c r="L417">
        <v>11</v>
      </c>
      <c r="M417">
        <v>8</v>
      </c>
      <c r="N417">
        <v>168</v>
      </c>
      <c r="O417" s="3">
        <f t="shared" si="23"/>
        <v>5</v>
      </c>
      <c r="P417">
        <f t="shared" si="24"/>
        <v>0</v>
      </c>
      <c r="Q417">
        <f t="shared" si="25"/>
        <v>0</v>
      </c>
      <c r="S417">
        <v>-5.6804347826086961</v>
      </c>
      <c r="T417">
        <v>-1.25</v>
      </c>
      <c r="U417">
        <v>-1.6304347826086956</v>
      </c>
      <c r="V417">
        <v>-4.4000000000000004</v>
      </c>
      <c r="W417">
        <v>0</v>
      </c>
      <c r="X417">
        <v>1.6</v>
      </c>
      <c r="Y417">
        <v>0</v>
      </c>
    </row>
    <row r="418" spans="1:25" x14ac:dyDescent="0.2">
      <c r="A418" t="s">
        <v>25</v>
      </c>
      <c r="B418" t="s">
        <v>202</v>
      </c>
      <c r="C418">
        <v>80</v>
      </c>
      <c r="D418">
        <v>40</v>
      </c>
      <c r="E418">
        <v>4.5</v>
      </c>
      <c r="F418">
        <v>2.5</v>
      </c>
      <c r="G418">
        <v>0</v>
      </c>
      <c r="H418">
        <v>15</v>
      </c>
      <c r="I418">
        <v>65</v>
      </c>
      <c r="J418">
        <v>6</v>
      </c>
      <c r="K418">
        <v>0</v>
      </c>
      <c r="L418">
        <v>6</v>
      </c>
      <c r="M418">
        <v>4</v>
      </c>
      <c r="N418">
        <v>84.5</v>
      </c>
      <c r="O418" s="3">
        <f t="shared" si="23"/>
        <v>5</v>
      </c>
      <c r="P418">
        <f t="shared" si="24"/>
        <v>0</v>
      </c>
      <c r="Q418">
        <f t="shared" si="25"/>
        <v>0</v>
      </c>
      <c r="S418">
        <v>-2.9315217391304351</v>
      </c>
      <c r="T418">
        <v>-0.625</v>
      </c>
      <c r="U418">
        <v>-0.70652173913043481</v>
      </c>
      <c r="V418">
        <v>-2.4</v>
      </c>
      <c r="W418">
        <v>0</v>
      </c>
      <c r="X418">
        <v>0.8</v>
      </c>
      <c r="Y418">
        <v>0</v>
      </c>
    </row>
    <row r="419" spans="1:25" x14ac:dyDescent="0.2">
      <c r="A419" t="s">
        <v>25</v>
      </c>
      <c r="B419" t="s">
        <v>203</v>
      </c>
      <c r="C419">
        <v>140</v>
      </c>
      <c r="D419">
        <v>70</v>
      </c>
      <c r="E419">
        <v>8</v>
      </c>
      <c r="F419">
        <v>4.5</v>
      </c>
      <c r="G419">
        <v>0</v>
      </c>
      <c r="H419">
        <v>25</v>
      </c>
      <c r="I419">
        <v>105</v>
      </c>
      <c r="J419">
        <v>10</v>
      </c>
      <c r="K419">
        <v>0</v>
      </c>
      <c r="L419">
        <v>10</v>
      </c>
      <c r="M419">
        <v>7</v>
      </c>
      <c r="N419">
        <v>147.5</v>
      </c>
      <c r="O419" s="3">
        <f t="shared" si="23"/>
        <v>5</v>
      </c>
      <c r="P419">
        <f t="shared" si="24"/>
        <v>0</v>
      </c>
      <c r="Q419">
        <f t="shared" si="25"/>
        <v>0</v>
      </c>
      <c r="S419">
        <v>-4.8663043478260875</v>
      </c>
      <c r="T419">
        <v>-1.125</v>
      </c>
      <c r="U419">
        <v>-1.1413043478260869</v>
      </c>
      <c r="V419">
        <v>-4.0000000000000009</v>
      </c>
      <c r="W419">
        <v>0</v>
      </c>
      <c r="X419">
        <v>1.4000000000000001</v>
      </c>
      <c r="Y419">
        <v>0</v>
      </c>
    </row>
    <row r="420" spans="1:25" x14ac:dyDescent="0.2">
      <c r="A420" t="s">
        <v>25</v>
      </c>
      <c r="B420" t="s">
        <v>204</v>
      </c>
      <c r="C420">
        <v>60</v>
      </c>
      <c r="D420">
        <v>30</v>
      </c>
      <c r="E420">
        <v>3</v>
      </c>
      <c r="F420">
        <v>2</v>
      </c>
      <c r="G420">
        <v>0</v>
      </c>
      <c r="H420">
        <v>10</v>
      </c>
      <c r="I420">
        <v>80</v>
      </c>
      <c r="J420">
        <v>12</v>
      </c>
      <c r="K420">
        <v>0</v>
      </c>
      <c r="L420">
        <v>4</v>
      </c>
      <c r="M420">
        <v>3</v>
      </c>
      <c r="N420">
        <v>63</v>
      </c>
      <c r="O420" s="3">
        <f t="shared" si="23"/>
        <v>5</v>
      </c>
      <c r="P420">
        <f t="shared" si="24"/>
        <v>0</v>
      </c>
      <c r="Q420">
        <f t="shared" si="25"/>
        <v>0</v>
      </c>
      <c r="S420">
        <v>-2.3695652173913042</v>
      </c>
      <c r="T420">
        <v>-0.5</v>
      </c>
      <c r="U420">
        <v>-0.86956521739130432</v>
      </c>
      <c r="V420">
        <v>-1.6</v>
      </c>
      <c r="W420">
        <v>0</v>
      </c>
      <c r="X420">
        <v>0.6</v>
      </c>
      <c r="Y420">
        <v>0</v>
      </c>
    </row>
    <row r="421" spans="1:25" x14ac:dyDescent="0.2">
      <c r="A421" t="s">
        <v>25</v>
      </c>
      <c r="B421" t="s">
        <v>219</v>
      </c>
      <c r="C421">
        <v>410</v>
      </c>
      <c r="D421">
        <v>220</v>
      </c>
      <c r="E421">
        <v>25</v>
      </c>
      <c r="F421">
        <v>10</v>
      </c>
      <c r="G421">
        <v>1.5</v>
      </c>
      <c r="H421">
        <v>75</v>
      </c>
      <c r="I421">
        <v>990</v>
      </c>
      <c r="J421">
        <v>27</v>
      </c>
      <c r="K421">
        <v>2</v>
      </c>
      <c r="L421">
        <v>3</v>
      </c>
      <c r="M421">
        <v>20</v>
      </c>
      <c r="N421">
        <v>403</v>
      </c>
      <c r="O421" s="3">
        <f t="shared" si="23"/>
        <v>4.8780487804878048</v>
      </c>
      <c r="P421">
        <f t="shared" si="24"/>
        <v>1</v>
      </c>
      <c r="Q421">
        <f t="shared" si="25"/>
        <v>0</v>
      </c>
      <c r="S421">
        <v>-9.7480838509316765</v>
      </c>
      <c r="T421">
        <v>-2.5</v>
      </c>
      <c r="U421">
        <v>-10.760869565217392</v>
      </c>
      <c r="V421">
        <v>-1.2</v>
      </c>
      <c r="W421">
        <v>-1.5E-3</v>
      </c>
      <c r="X421">
        <v>4.0000000000000009</v>
      </c>
      <c r="Y421">
        <v>0.7142857142857143</v>
      </c>
    </row>
    <row r="422" spans="1:25" x14ac:dyDescent="0.2">
      <c r="A422" t="s">
        <v>25</v>
      </c>
      <c r="B422" t="s">
        <v>229</v>
      </c>
      <c r="C422">
        <v>395</v>
      </c>
      <c r="D422" s="2">
        <v>0</v>
      </c>
      <c r="E422">
        <v>17</v>
      </c>
      <c r="F422">
        <v>3.5</v>
      </c>
      <c r="G422">
        <v>0</v>
      </c>
      <c r="H422">
        <v>35</v>
      </c>
      <c r="I422">
        <v>510</v>
      </c>
      <c r="J422">
        <v>41</v>
      </c>
      <c r="K422">
        <v>1</v>
      </c>
      <c r="L422">
        <v>14</v>
      </c>
      <c r="M422">
        <v>19</v>
      </c>
      <c r="O422" s="3">
        <f t="shared" si="23"/>
        <v>4.8101265822784809</v>
      </c>
      <c r="P422">
        <f t="shared" si="24"/>
        <v>1</v>
      </c>
      <c r="Q422">
        <f t="shared" si="25"/>
        <v>0</v>
      </c>
      <c r="S422">
        <v>-7.8613354037267085</v>
      </c>
      <c r="T422">
        <v>-0.875</v>
      </c>
      <c r="U422">
        <v>-5.5434782608695654</v>
      </c>
      <c r="V422">
        <v>-5.6000000000000005</v>
      </c>
      <c r="W422">
        <v>0</v>
      </c>
      <c r="X422">
        <v>3.8000000000000007</v>
      </c>
      <c r="Y422">
        <v>0.35714285714285715</v>
      </c>
    </row>
    <row r="423" spans="1:25" x14ac:dyDescent="0.2">
      <c r="A423" t="s">
        <v>25</v>
      </c>
      <c r="B423" t="s">
        <v>154</v>
      </c>
      <c r="C423">
        <v>250</v>
      </c>
      <c r="D423">
        <v>80</v>
      </c>
      <c r="E423">
        <v>9</v>
      </c>
      <c r="F423">
        <v>3.5</v>
      </c>
      <c r="G423">
        <v>0.5</v>
      </c>
      <c r="H423">
        <v>25</v>
      </c>
      <c r="I423">
        <v>520</v>
      </c>
      <c r="J423">
        <v>31</v>
      </c>
      <c r="K423">
        <v>2</v>
      </c>
      <c r="L423">
        <v>6</v>
      </c>
      <c r="M423">
        <v>12</v>
      </c>
      <c r="N423">
        <v>247.5</v>
      </c>
      <c r="O423" s="3">
        <f t="shared" si="23"/>
        <v>4.8</v>
      </c>
      <c r="P423">
        <f t="shared" si="24"/>
        <v>1</v>
      </c>
      <c r="Q423">
        <f t="shared" si="25"/>
        <v>0</v>
      </c>
      <c r="S423">
        <v>-5.8133881987577647</v>
      </c>
      <c r="T423">
        <v>-0.875</v>
      </c>
      <c r="U423">
        <v>-5.6521739130434785</v>
      </c>
      <c r="V423">
        <v>-2.4</v>
      </c>
      <c r="W423">
        <v>-5.0000000000000001E-4</v>
      </c>
      <c r="X423">
        <v>2.4</v>
      </c>
      <c r="Y423">
        <v>0.7142857142857143</v>
      </c>
    </row>
    <row r="424" spans="1:25" x14ac:dyDescent="0.2">
      <c r="A424" t="s">
        <v>25</v>
      </c>
      <c r="B424" t="s">
        <v>237</v>
      </c>
      <c r="C424">
        <v>190</v>
      </c>
      <c r="D424">
        <v>110</v>
      </c>
      <c r="E424">
        <v>12</v>
      </c>
      <c r="F424">
        <v>2</v>
      </c>
      <c r="G424">
        <v>0</v>
      </c>
      <c r="H424">
        <v>25</v>
      </c>
      <c r="I424">
        <v>360</v>
      </c>
      <c r="J424">
        <v>12</v>
      </c>
      <c r="K424">
        <v>1</v>
      </c>
      <c r="L424">
        <v>0</v>
      </c>
      <c r="M424">
        <v>9</v>
      </c>
      <c r="N424">
        <v>183</v>
      </c>
      <c r="O424" s="3">
        <f t="shared" si="23"/>
        <v>4.7368421052631584</v>
      </c>
      <c r="P424">
        <f t="shared" si="24"/>
        <v>0</v>
      </c>
      <c r="Q424">
        <f t="shared" si="25"/>
        <v>0</v>
      </c>
      <c r="S424">
        <v>-2.255900621118013</v>
      </c>
      <c r="T424">
        <v>-0.5</v>
      </c>
      <c r="U424">
        <v>-3.9130434782608701</v>
      </c>
      <c r="V424">
        <v>0</v>
      </c>
      <c r="W424">
        <v>0</v>
      </c>
      <c r="X424">
        <v>1.7999999999999998</v>
      </c>
      <c r="Y424">
        <v>0.35714285714285715</v>
      </c>
    </row>
    <row r="425" spans="1:25" x14ac:dyDescent="0.2">
      <c r="A425" t="s">
        <v>25</v>
      </c>
      <c r="B425" t="s">
        <v>240</v>
      </c>
      <c r="C425">
        <v>510</v>
      </c>
      <c r="D425">
        <v>200</v>
      </c>
      <c r="E425">
        <v>22</v>
      </c>
      <c r="F425">
        <v>3.5</v>
      </c>
      <c r="G425">
        <v>0</v>
      </c>
      <c r="H425">
        <v>45</v>
      </c>
      <c r="I425">
        <v>990</v>
      </c>
      <c r="J425">
        <v>56</v>
      </c>
      <c r="K425">
        <v>3</v>
      </c>
      <c r="L425">
        <v>10</v>
      </c>
      <c r="M425">
        <v>24</v>
      </c>
      <c r="N425">
        <v>499.5</v>
      </c>
      <c r="O425" s="3">
        <f t="shared" si="23"/>
        <v>4.7058823529411766</v>
      </c>
      <c r="P425">
        <f t="shared" si="24"/>
        <v>1</v>
      </c>
      <c r="Q425">
        <f t="shared" si="25"/>
        <v>0</v>
      </c>
      <c r="S425">
        <v>-9.7644409937888224</v>
      </c>
      <c r="T425">
        <v>-0.875</v>
      </c>
      <c r="U425">
        <v>-10.760869565217392</v>
      </c>
      <c r="V425">
        <v>-4.0000000000000009</v>
      </c>
      <c r="W425">
        <v>0</v>
      </c>
      <c r="X425">
        <v>4.8</v>
      </c>
      <c r="Y425">
        <v>1.0714285714285714</v>
      </c>
    </row>
    <row r="426" spans="1:25" x14ac:dyDescent="0.2">
      <c r="A426" t="s">
        <v>25</v>
      </c>
      <c r="B426" t="s">
        <v>249</v>
      </c>
      <c r="C426">
        <v>470</v>
      </c>
      <c r="D426">
        <v>270</v>
      </c>
      <c r="E426">
        <v>30</v>
      </c>
      <c r="F426">
        <v>5</v>
      </c>
      <c r="G426">
        <v>0</v>
      </c>
      <c r="H426">
        <v>65</v>
      </c>
      <c r="I426">
        <v>900</v>
      </c>
      <c r="J426">
        <v>30</v>
      </c>
      <c r="K426">
        <v>2</v>
      </c>
      <c r="L426">
        <v>0</v>
      </c>
      <c r="M426">
        <v>22</v>
      </c>
      <c r="N426">
        <v>453</v>
      </c>
      <c r="O426" s="3">
        <f t="shared" si="23"/>
        <v>4.6808510638297873</v>
      </c>
      <c r="P426">
        <f t="shared" si="24"/>
        <v>1</v>
      </c>
      <c r="Q426">
        <f t="shared" si="25"/>
        <v>0</v>
      </c>
      <c r="S426">
        <v>-5.9183229813664591</v>
      </c>
      <c r="T426">
        <v>-1.25</v>
      </c>
      <c r="U426">
        <v>-9.7826086956521738</v>
      </c>
      <c r="V426">
        <v>0</v>
      </c>
      <c r="W426">
        <v>0</v>
      </c>
      <c r="X426">
        <v>4.4000000000000004</v>
      </c>
      <c r="Y426">
        <v>0.7142857142857143</v>
      </c>
    </row>
    <row r="427" spans="1:25" x14ac:dyDescent="0.2">
      <c r="A427" t="s">
        <v>25</v>
      </c>
      <c r="B427" t="s">
        <v>250</v>
      </c>
      <c r="C427">
        <v>450</v>
      </c>
      <c r="D427">
        <v>250</v>
      </c>
      <c r="E427">
        <v>27</v>
      </c>
      <c r="F427">
        <v>10</v>
      </c>
      <c r="G427">
        <v>0</v>
      </c>
      <c r="H427">
        <v>285</v>
      </c>
      <c r="I427">
        <v>920</v>
      </c>
      <c r="J427">
        <v>30</v>
      </c>
      <c r="K427">
        <v>2</v>
      </c>
      <c r="L427">
        <v>2</v>
      </c>
      <c r="M427">
        <v>21</v>
      </c>
      <c r="N427">
        <v>441</v>
      </c>
      <c r="O427" s="3">
        <f t="shared" si="23"/>
        <v>4.666666666666667</v>
      </c>
      <c r="P427">
        <f t="shared" si="24"/>
        <v>1</v>
      </c>
      <c r="Q427">
        <f t="shared" si="25"/>
        <v>0</v>
      </c>
      <c r="S427">
        <v>-8.3857142857142879</v>
      </c>
      <c r="T427">
        <v>-2.5</v>
      </c>
      <c r="U427">
        <v>-10</v>
      </c>
      <c r="V427">
        <v>-0.8</v>
      </c>
      <c r="W427">
        <v>0</v>
      </c>
      <c r="X427">
        <v>4.2</v>
      </c>
      <c r="Y427">
        <v>0.7142857142857143</v>
      </c>
    </row>
    <row r="428" spans="1:25" x14ac:dyDescent="0.2">
      <c r="A428" t="s">
        <v>25</v>
      </c>
      <c r="B428" t="s">
        <v>259</v>
      </c>
      <c r="C428">
        <v>280</v>
      </c>
      <c r="D428">
        <v>160</v>
      </c>
      <c r="E428">
        <v>18</v>
      </c>
      <c r="F428">
        <v>3</v>
      </c>
      <c r="G428">
        <v>0</v>
      </c>
      <c r="H428">
        <v>40</v>
      </c>
      <c r="I428">
        <v>540</v>
      </c>
      <c r="J428">
        <v>18</v>
      </c>
      <c r="K428">
        <v>1</v>
      </c>
      <c r="L428">
        <v>0</v>
      </c>
      <c r="M428">
        <v>13</v>
      </c>
      <c r="N428">
        <v>270</v>
      </c>
      <c r="O428" s="3">
        <f t="shared" si="23"/>
        <v>4.6428571428571432</v>
      </c>
      <c r="P428">
        <f t="shared" si="24"/>
        <v>1</v>
      </c>
      <c r="Q428">
        <f t="shared" si="25"/>
        <v>0</v>
      </c>
      <c r="S428">
        <v>-3.6624223602484478</v>
      </c>
      <c r="T428">
        <v>-0.75</v>
      </c>
      <c r="U428">
        <v>-5.8695652173913047</v>
      </c>
      <c r="V428">
        <v>0</v>
      </c>
      <c r="W428">
        <v>0</v>
      </c>
      <c r="X428">
        <v>2.6</v>
      </c>
      <c r="Y428">
        <v>0.35714285714285715</v>
      </c>
    </row>
    <row r="429" spans="1:25" x14ac:dyDescent="0.2">
      <c r="A429" t="s">
        <v>25</v>
      </c>
      <c r="B429" t="s">
        <v>262</v>
      </c>
      <c r="C429">
        <v>475</v>
      </c>
      <c r="D429" s="2">
        <v>0</v>
      </c>
      <c r="E429">
        <v>16</v>
      </c>
      <c r="F429" t="s">
        <v>263</v>
      </c>
      <c r="G429">
        <v>0</v>
      </c>
      <c r="H429">
        <v>40</v>
      </c>
      <c r="I429">
        <v>690</v>
      </c>
      <c r="J429">
        <v>62</v>
      </c>
      <c r="K429">
        <v>2</v>
      </c>
      <c r="L429">
        <v>20</v>
      </c>
      <c r="M429">
        <v>22</v>
      </c>
      <c r="O429" s="3">
        <f t="shared" si="23"/>
        <v>4.6315789473684212</v>
      </c>
      <c r="P429">
        <f t="shared" si="24"/>
        <v>1</v>
      </c>
      <c r="Q429">
        <f t="shared" si="25"/>
        <v>0</v>
      </c>
      <c r="S429">
        <v>-11.760714285714286</v>
      </c>
      <c r="T429">
        <v>-1.375</v>
      </c>
      <c r="U429">
        <v>-7.5</v>
      </c>
      <c r="V429">
        <v>-8.0000000000000018</v>
      </c>
      <c r="W429">
        <v>0</v>
      </c>
      <c r="X429">
        <v>4.4000000000000004</v>
      </c>
      <c r="Y429">
        <v>0.7142857142857143</v>
      </c>
    </row>
    <row r="430" spans="1:25" x14ac:dyDescent="0.2">
      <c r="A430" t="s">
        <v>25</v>
      </c>
      <c r="B430" t="s">
        <v>264</v>
      </c>
      <c r="C430">
        <v>540</v>
      </c>
      <c r="D430">
        <v>260</v>
      </c>
      <c r="E430">
        <v>29</v>
      </c>
      <c r="F430">
        <v>10</v>
      </c>
      <c r="G430">
        <v>1.5</v>
      </c>
      <c r="H430">
        <v>75</v>
      </c>
      <c r="I430">
        <v>1040</v>
      </c>
      <c r="J430">
        <v>45</v>
      </c>
      <c r="K430">
        <v>3</v>
      </c>
      <c r="L430">
        <v>9</v>
      </c>
      <c r="M430">
        <v>25</v>
      </c>
      <c r="N430">
        <v>534</v>
      </c>
      <c r="O430" s="3">
        <f t="shared" si="23"/>
        <v>4.6296296296296298</v>
      </c>
      <c r="P430">
        <f t="shared" si="24"/>
        <v>1</v>
      </c>
      <c r="Q430">
        <f t="shared" si="25"/>
        <v>0</v>
      </c>
      <c r="S430">
        <v>-11.334419254658384</v>
      </c>
      <c r="T430">
        <v>-2.5</v>
      </c>
      <c r="U430">
        <v>-11.304347826086957</v>
      </c>
      <c r="V430">
        <v>-3.5999999999999996</v>
      </c>
      <c r="W430">
        <v>-1.5E-3</v>
      </c>
      <c r="X430">
        <v>5</v>
      </c>
      <c r="Y430">
        <v>1.0714285714285714</v>
      </c>
    </row>
    <row r="431" spans="1:25" x14ac:dyDescent="0.2">
      <c r="A431" t="s">
        <v>25</v>
      </c>
      <c r="B431" t="s">
        <v>275</v>
      </c>
      <c r="C431">
        <v>330</v>
      </c>
      <c r="D431">
        <v>170</v>
      </c>
      <c r="E431">
        <v>19</v>
      </c>
      <c r="F431">
        <v>7</v>
      </c>
      <c r="G431">
        <v>1</v>
      </c>
      <c r="H431">
        <v>45</v>
      </c>
      <c r="I431">
        <v>690</v>
      </c>
      <c r="J431">
        <v>26</v>
      </c>
      <c r="K431">
        <v>1</v>
      </c>
      <c r="L431">
        <v>3</v>
      </c>
      <c r="M431">
        <v>15</v>
      </c>
      <c r="N431">
        <v>325</v>
      </c>
      <c r="O431" s="3">
        <f t="shared" si="23"/>
        <v>4.5454545454545459</v>
      </c>
      <c r="P431">
        <f t="shared" si="24"/>
        <v>1</v>
      </c>
      <c r="Q431">
        <f t="shared" si="25"/>
        <v>0</v>
      </c>
      <c r="S431">
        <v>-7.093857142857142</v>
      </c>
      <c r="T431">
        <v>-1.75</v>
      </c>
      <c r="U431">
        <v>-7.5</v>
      </c>
      <c r="V431">
        <v>-1.2</v>
      </c>
      <c r="W431">
        <v>-1E-3</v>
      </c>
      <c r="X431">
        <v>3</v>
      </c>
      <c r="Y431">
        <v>0.35714285714285715</v>
      </c>
    </row>
    <row r="432" spans="1:25" x14ac:dyDescent="0.2">
      <c r="A432" t="s">
        <v>25</v>
      </c>
      <c r="B432" t="s">
        <v>288</v>
      </c>
      <c r="C432">
        <v>45</v>
      </c>
      <c r="D432">
        <v>30</v>
      </c>
      <c r="E432">
        <v>3.5</v>
      </c>
      <c r="F432">
        <v>0.5</v>
      </c>
      <c r="G432">
        <v>0</v>
      </c>
      <c r="H432">
        <v>0</v>
      </c>
      <c r="I432">
        <v>0</v>
      </c>
      <c r="J432">
        <v>2</v>
      </c>
      <c r="K432">
        <v>1</v>
      </c>
      <c r="L432">
        <v>0</v>
      </c>
      <c r="M432">
        <v>2</v>
      </c>
      <c r="N432">
        <v>43.5</v>
      </c>
      <c r="O432" s="3">
        <f t="shared" si="23"/>
        <v>4.4444444444444446</v>
      </c>
      <c r="P432">
        <f t="shared" si="24"/>
        <v>0</v>
      </c>
      <c r="Q432">
        <f t="shared" si="25"/>
        <v>0</v>
      </c>
      <c r="S432">
        <v>0.63214285714285712</v>
      </c>
      <c r="T432">
        <v>-0.125</v>
      </c>
      <c r="U432">
        <v>0</v>
      </c>
      <c r="V432">
        <v>0</v>
      </c>
      <c r="W432">
        <v>0</v>
      </c>
      <c r="X432">
        <v>0.4</v>
      </c>
      <c r="Y432">
        <v>0.35714285714285715</v>
      </c>
    </row>
    <row r="433" spans="1:25" x14ac:dyDescent="0.2">
      <c r="A433" t="s">
        <v>25</v>
      </c>
      <c r="B433" t="s">
        <v>298</v>
      </c>
      <c r="C433">
        <v>610</v>
      </c>
      <c r="D433">
        <v>320</v>
      </c>
      <c r="E433">
        <v>36</v>
      </c>
      <c r="F433">
        <v>14</v>
      </c>
      <c r="G433">
        <v>0.5</v>
      </c>
      <c r="H433">
        <v>410</v>
      </c>
      <c r="I433">
        <v>1390</v>
      </c>
      <c r="J433">
        <v>44</v>
      </c>
      <c r="K433">
        <v>3</v>
      </c>
      <c r="L433">
        <v>4</v>
      </c>
      <c r="M433">
        <v>27</v>
      </c>
      <c r="N433">
        <v>601</v>
      </c>
      <c r="O433" s="3">
        <f t="shared" si="23"/>
        <v>4.4262295081967213</v>
      </c>
      <c r="P433">
        <f t="shared" si="24"/>
        <v>1</v>
      </c>
      <c r="Q433">
        <f t="shared" si="25"/>
        <v>1</v>
      </c>
      <c r="S433">
        <v>-13.737767080745343</v>
      </c>
      <c r="T433">
        <v>-3.5</v>
      </c>
      <c r="U433">
        <v>-15.108695652173912</v>
      </c>
      <c r="V433">
        <v>-1.6</v>
      </c>
      <c r="W433">
        <v>-5.0000000000000001E-4</v>
      </c>
      <c r="X433">
        <v>5.4</v>
      </c>
      <c r="Y433">
        <v>1.0714285714285714</v>
      </c>
    </row>
    <row r="434" spans="1:25" x14ac:dyDescent="0.2">
      <c r="A434" t="s">
        <v>25</v>
      </c>
      <c r="B434" t="s">
        <v>300</v>
      </c>
      <c r="C434">
        <v>500</v>
      </c>
      <c r="D434">
        <v>240</v>
      </c>
      <c r="E434">
        <v>26</v>
      </c>
      <c r="F434">
        <v>10</v>
      </c>
      <c r="G434">
        <v>0</v>
      </c>
      <c r="H434">
        <v>70</v>
      </c>
      <c r="I434">
        <v>980</v>
      </c>
      <c r="J434">
        <v>44</v>
      </c>
      <c r="K434">
        <v>3</v>
      </c>
      <c r="L434">
        <v>11</v>
      </c>
      <c r="M434">
        <v>22</v>
      </c>
      <c r="N434">
        <v>499</v>
      </c>
      <c r="O434" s="3">
        <f t="shared" si="23"/>
        <v>4.3999999999999995</v>
      </c>
      <c r="P434">
        <f t="shared" si="24"/>
        <v>1</v>
      </c>
      <c r="Q434">
        <f t="shared" si="25"/>
        <v>0</v>
      </c>
      <c r="S434">
        <v>-12.080745341614907</v>
      </c>
      <c r="T434">
        <v>-2.5</v>
      </c>
      <c r="U434">
        <v>-10.652173913043478</v>
      </c>
      <c r="V434">
        <v>-4.4000000000000004</v>
      </c>
      <c r="W434">
        <v>0</v>
      </c>
      <c r="X434">
        <v>4.4000000000000004</v>
      </c>
      <c r="Y434">
        <v>1.0714285714285714</v>
      </c>
    </row>
    <row r="435" spans="1:25" x14ac:dyDescent="0.2">
      <c r="A435" t="s">
        <v>25</v>
      </c>
      <c r="B435" t="s">
        <v>319</v>
      </c>
      <c r="C435">
        <v>140</v>
      </c>
      <c r="D435">
        <v>40</v>
      </c>
      <c r="E435">
        <v>4.5</v>
      </c>
      <c r="F435">
        <v>2</v>
      </c>
      <c r="G435">
        <v>0</v>
      </c>
      <c r="H435">
        <v>10</v>
      </c>
      <c r="I435">
        <v>150</v>
      </c>
      <c r="J435">
        <v>20</v>
      </c>
      <c r="K435">
        <v>6</v>
      </c>
      <c r="L435">
        <v>6</v>
      </c>
      <c r="M435">
        <v>6</v>
      </c>
      <c r="N435">
        <v>142</v>
      </c>
      <c r="O435" s="3">
        <f t="shared" si="23"/>
        <v>4.2857142857142856</v>
      </c>
      <c r="P435">
        <f t="shared" si="24"/>
        <v>0</v>
      </c>
      <c r="Q435">
        <f t="shared" si="25"/>
        <v>0</v>
      </c>
      <c r="S435">
        <v>-1.1875776397515527</v>
      </c>
      <c r="T435">
        <v>-0.5</v>
      </c>
      <c r="U435">
        <v>-1.6304347826086956</v>
      </c>
      <c r="V435">
        <v>-2.4</v>
      </c>
      <c r="W435">
        <v>0</v>
      </c>
      <c r="X435">
        <v>1.2</v>
      </c>
      <c r="Y435">
        <v>2.1428571428571428</v>
      </c>
    </row>
    <row r="436" spans="1:25" x14ac:dyDescent="0.2">
      <c r="A436" t="s">
        <v>25</v>
      </c>
      <c r="B436" t="s">
        <v>320</v>
      </c>
      <c r="C436">
        <v>560</v>
      </c>
      <c r="D436">
        <v>240</v>
      </c>
      <c r="E436">
        <v>27</v>
      </c>
      <c r="F436">
        <v>9</v>
      </c>
      <c r="G436">
        <v>0.5</v>
      </c>
      <c r="H436">
        <v>260</v>
      </c>
      <c r="I436">
        <v>1300</v>
      </c>
      <c r="J436">
        <v>56</v>
      </c>
      <c r="K436">
        <v>3</v>
      </c>
      <c r="L436">
        <v>7</v>
      </c>
      <c r="M436">
        <v>24</v>
      </c>
      <c r="N436">
        <v>552</v>
      </c>
      <c r="O436" s="3">
        <f t="shared" si="23"/>
        <v>4.2857142857142856</v>
      </c>
      <c r="P436">
        <f t="shared" si="24"/>
        <v>1</v>
      </c>
      <c r="Q436">
        <f t="shared" si="25"/>
        <v>0</v>
      </c>
      <c r="S436">
        <v>-13.309506211180123</v>
      </c>
      <c r="T436">
        <v>-2.25</v>
      </c>
      <c r="U436">
        <v>-14.130434782608695</v>
      </c>
      <c r="V436">
        <v>-2.8000000000000003</v>
      </c>
      <c r="W436">
        <v>-5.0000000000000001E-4</v>
      </c>
      <c r="X436">
        <v>4.8</v>
      </c>
      <c r="Y436">
        <v>1.0714285714285714</v>
      </c>
    </row>
    <row r="437" spans="1:25" x14ac:dyDescent="0.2">
      <c r="A437" t="s">
        <v>25</v>
      </c>
      <c r="B437" t="s">
        <v>321</v>
      </c>
      <c r="C437">
        <v>280</v>
      </c>
      <c r="D437">
        <v>35</v>
      </c>
      <c r="E437">
        <v>4</v>
      </c>
      <c r="F437">
        <v>2.5</v>
      </c>
      <c r="G437">
        <v>0</v>
      </c>
      <c r="H437">
        <v>10</v>
      </c>
      <c r="I437">
        <v>260</v>
      </c>
      <c r="J437">
        <v>49</v>
      </c>
      <c r="K437">
        <v>0</v>
      </c>
      <c r="L437">
        <v>46</v>
      </c>
      <c r="M437">
        <v>12</v>
      </c>
      <c r="N437">
        <v>316.5</v>
      </c>
      <c r="O437" s="3">
        <f t="shared" si="23"/>
        <v>4.2857142857142856</v>
      </c>
      <c r="P437">
        <f t="shared" si="24"/>
        <v>0</v>
      </c>
      <c r="Q437">
        <f t="shared" si="25"/>
        <v>0</v>
      </c>
      <c r="S437">
        <v>-19.451086956521742</v>
      </c>
      <c r="T437">
        <v>-0.625</v>
      </c>
      <c r="U437">
        <v>-2.8260869565217392</v>
      </c>
      <c r="V437">
        <v>-18.400000000000002</v>
      </c>
      <c r="W437">
        <v>0</v>
      </c>
      <c r="X437">
        <v>2.4</v>
      </c>
      <c r="Y437">
        <v>0</v>
      </c>
    </row>
    <row r="438" spans="1:25" x14ac:dyDescent="0.2">
      <c r="A438" t="s">
        <v>25</v>
      </c>
      <c r="B438" t="s">
        <v>329</v>
      </c>
      <c r="C438">
        <v>330</v>
      </c>
      <c r="D438">
        <v>140</v>
      </c>
      <c r="E438">
        <v>16</v>
      </c>
      <c r="F438">
        <v>4.5</v>
      </c>
      <c r="G438">
        <v>0</v>
      </c>
      <c r="H438">
        <v>30</v>
      </c>
      <c r="I438">
        <v>780</v>
      </c>
      <c r="J438">
        <v>34</v>
      </c>
      <c r="K438">
        <v>1</v>
      </c>
      <c r="L438">
        <v>4</v>
      </c>
      <c r="M438">
        <v>14</v>
      </c>
      <c r="N438">
        <v>324.5</v>
      </c>
      <c r="O438" s="3">
        <f t="shared" si="23"/>
        <v>4.2424242424242431</v>
      </c>
      <c r="P438">
        <f t="shared" si="24"/>
        <v>1</v>
      </c>
      <c r="Q438">
        <f t="shared" si="25"/>
        <v>0</v>
      </c>
      <c r="S438">
        <v>-8.0461180124223581</v>
      </c>
      <c r="T438">
        <v>-1.125</v>
      </c>
      <c r="U438">
        <v>-8.4782608695652169</v>
      </c>
      <c r="V438">
        <v>-1.6</v>
      </c>
      <c r="W438">
        <v>0</v>
      </c>
      <c r="X438">
        <v>2.8000000000000003</v>
      </c>
      <c r="Y438">
        <v>0.35714285714285715</v>
      </c>
    </row>
    <row r="439" spans="1:25" x14ac:dyDescent="0.2">
      <c r="A439" t="s">
        <v>25</v>
      </c>
      <c r="B439" t="s">
        <v>330</v>
      </c>
      <c r="C439">
        <v>330</v>
      </c>
      <c r="D439">
        <v>140</v>
      </c>
      <c r="E439">
        <v>15</v>
      </c>
      <c r="F439">
        <v>4.5</v>
      </c>
      <c r="G439">
        <v>0</v>
      </c>
      <c r="H439">
        <v>30</v>
      </c>
      <c r="I439">
        <v>810</v>
      </c>
      <c r="J439">
        <v>35</v>
      </c>
      <c r="K439">
        <v>1</v>
      </c>
      <c r="L439">
        <v>4</v>
      </c>
      <c r="M439">
        <v>14</v>
      </c>
      <c r="N439">
        <v>324.5</v>
      </c>
      <c r="O439" s="3">
        <f t="shared" si="23"/>
        <v>4.2424242424242431</v>
      </c>
      <c r="P439">
        <f t="shared" si="24"/>
        <v>1</v>
      </c>
      <c r="Q439">
        <f t="shared" si="25"/>
        <v>0</v>
      </c>
      <c r="S439">
        <v>-8.3722049689440983</v>
      </c>
      <c r="T439">
        <v>-1.125</v>
      </c>
      <c r="U439">
        <v>-8.804347826086957</v>
      </c>
      <c r="V439">
        <v>-1.6</v>
      </c>
      <c r="W439">
        <v>0</v>
      </c>
      <c r="X439">
        <v>2.8000000000000003</v>
      </c>
      <c r="Y439">
        <v>0.35714285714285715</v>
      </c>
    </row>
    <row r="440" spans="1:25" x14ac:dyDescent="0.2">
      <c r="A440" t="s">
        <v>25</v>
      </c>
      <c r="B440" t="s">
        <v>345</v>
      </c>
      <c r="C440">
        <v>410</v>
      </c>
      <c r="D440">
        <v>180</v>
      </c>
      <c r="E440">
        <v>20</v>
      </c>
      <c r="F440">
        <v>8</v>
      </c>
      <c r="G440">
        <v>0</v>
      </c>
      <c r="H440">
        <v>30</v>
      </c>
      <c r="I440">
        <v>1180</v>
      </c>
      <c r="J440">
        <v>41</v>
      </c>
      <c r="K440">
        <v>2</v>
      </c>
      <c r="L440">
        <v>3</v>
      </c>
      <c r="M440">
        <v>17</v>
      </c>
      <c r="N440">
        <v>404</v>
      </c>
      <c r="O440" s="3">
        <f t="shared" si="23"/>
        <v>4.1463414634146343</v>
      </c>
      <c r="P440">
        <f t="shared" si="24"/>
        <v>1</v>
      </c>
      <c r="Q440">
        <f t="shared" si="25"/>
        <v>0</v>
      </c>
      <c r="S440">
        <v>-11.911801242236027</v>
      </c>
      <c r="T440">
        <v>-2</v>
      </c>
      <c r="U440">
        <v>-12.82608695652174</v>
      </c>
      <c r="V440">
        <v>-1.2</v>
      </c>
      <c r="W440">
        <v>0</v>
      </c>
      <c r="X440">
        <v>3.4000000000000004</v>
      </c>
      <c r="Y440">
        <v>0.7142857142857143</v>
      </c>
    </row>
    <row r="441" spans="1:25" x14ac:dyDescent="0.2">
      <c r="A441" t="s">
        <v>25</v>
      </c>
      <c r="B441" t="s">
        <v>348</v>
      </c>
      <c r="C441">
        <v>340</v>
      </c>
      <c r="D441">
        <v>150</v>
      </c>
      <c r="E441">
        <v>17</v>
      </c>
      <c r="F441">
        <v>4.5</v>
      </c>
      <c r="G441">
        <v>0</v>
      </c>
      <c r="H441">
        <v>30</v>
      </c>
      <c r="I441">
        <v>810</v>
      </c>
      <c r="J441">
        <v>33</v>
      </c>
      <c r="K441">
        <v>1</v>
      </c>
      <c r="L441">
        <v>2</v>
      </c>
      <c r="M441">
        <v>14</v>
      </c>
      <c r="N441">
        <v>332.5</v>
      </c>
      <c r="O441" s="3">
        <f t="shared" si="23"/>
        <v>4.117647058823529</v>
      </c>
      <c r="P441">
        <f t="shared" si="24"/>
        <v>1</v>
      </c>
      <c r="Q441">
        <f t="shared" si="25"/>
        <v>0</v>
      </c>
      <c r="S441">
        <v>-7.5722049689441002</v>
      </c>
      <c r="T441">
        <v>-1.125</v>
      </c>
      <c r="U441">
        <v>-8.804347826086957</v>
      </c>
      <c r="V441">
        <v>-0.8</v>
      </c>
      <c r="W441">
        <v>0</v>
      </c>
      <c r="X441">
        <v>2.8000000000000003</v>
      </c>
      <c r="Y441">
        <v>0.35714285714285715</v>
      </c>
    </row>
    <row r="442" spans="1:25" x14ac:dyDescent="0.2">
      <c r="A442" t="s">
        <v>25</v>
      </c>
      <c r="B442" t="s">
        <v>349</v>
      </c>
      <c r="C442">
        <v>170</v>
      </c>
      <c r="D442">
        <v>0</v>
      </c>
      <c r="E442">
        <v>0</v>
      </c>
      <c r="F442">
        <v>0</v>
      </c>
      <c r="G442">
        <v>0</v>
      </c>
      <c r="H442">
        <v>5</v>
      </c>
      <c r="I442">
        <v>150</v>
      </c>
      <c r="J442">
        <v>36</v>
      </c>
      <c r="K442">
        <v>0</v>
      </c>
      <c r="L442">
        <v>36</v>
      </c>
      <c r="M442">
        <v>7</v>
      </c>
      <c r="N442">
        <v>199</v>
      </c>
      <c r="O442" s="3">
        <f t="shared" si="23"/>
        <v>4.117647058823529</v>
      </c>
      <c r="P442">
        <f t="shared" si="24"/>
        <v>0</v>
      </c>
      <c r="Q442">
        <f t="shared" si="25"/>
        <v>0</v>
      </c>
      <c r="S442">
        <v>-14.630434782608694</v>
      </c>
      <c r="T442">
        <v>0</v>
      </c>
      <c r="U442">
        <v>-1.6304347826086956</v>
      </c>
      <c r="V442">
        <v>-14.399999999999999</v>
      </c>
      <c r="W442">
        <v>0</v>
      </c>
      <c r="X442">
        <v>1.4000000000000001</v>
      </c>
      <c r="Y442">
        <v>0</v>
      </c>
    </row>
    <row r="443" spans="1:25" x14ac:dyDescent="0.2">
      <c r="A443" t="s">
        <v>25</v>
      </c>
      <c r="B443" t="s">
        <v>352</v>
      </c>
      <c r="C443">
        <v>390</v>
      </c>
      <c r="D443">
        <v>50</v>
      </c>
      <c r="E443">
        <v>6</v>
      </c>
      <c r="F443">
        <v>3.5</v>
      </c>
      <c r="G443">
        <v>0</v>
      </c>
      <c r="H443">
        <v>10</v>
      </c>
      <c r="I443">
        <v>250</v>
      </c>
      <c r="J443">
        <v>68</v>
      </c>
      <c r="K443">
        <v>0</v>
      </c>
      <c r="L443">
        <v>59</v>
      </c>
      <c r="M443">
        <v>16</v>
      </c>
      <c r="N443">
        <v>436.5</v>
      </c>
      <c r="O443" s="3">
        <f t="shared" si="23"/>
        <v>4.1025641025641022</v>
      </c>
      <c r="P443">
        <f t="shared" si="24"/>
        <v>0</v>
      </c>
      <c r="Q443">
        <f t="shared" si="25"/>
        <v>0</v>
      </c>
      <c r="S443">
        <v>-23.992391304347823</v>
      </c>
      <c r="T443">
        <v>-0.875</v>
      </c>
      <c r="U443">
        <v>-2.7173913043478262</v>
      </c>
      <c r="V443">
        <v>-23.599999999999998</v>
      </c>
      <c r="W443">
        <v>0</v>
      </c>
      <c r="X443">
        <v>3.2</v>
      </c>
      <c r="Y443">
        <v>0</v>
      </c>
    </row>
    <row r="444" spans="1:25" x14ac:dyDescent="0.2">
      <c r="A444" t="s">
        <v>25</v>
      </c>
      <c r="B444" t="s">
        <v>356</v>
      </c>
      <c r="C444">
        <v>220</v>
      </c>
      <c r="D444">
        <v>0</v>
      </c>
      <c r="E444">
        <v>0</v>
      </c>
      <c r="F444">
        <v>0</v>
      </c>
      <c r="G444">
        <v>0</v>
      </c>
      <c r="H444">
        <v>5</v>
      </c>
      <c r="I444">
        <v>180</v>
      </c>
      <c r="J444">
        <v>45</v>
      </c>
      <c r="K444">
        <v>0</v>
      </c>
      <c r="L444">
        <v>45</v>
      </c>
      <c r="M444">
        <v>9</v>
      </c>
      <c r="N444">
        <v>256</v>
      </c>
      <c r="O444" s="3">
        <f t="shared" si="23"/>
        <v>4.0909090909090908</v>
      </c>
      <c r="P444">
        <f t="shared" si="24"/>
        <v>0</v>
      </c>
      <c r="Q444">
        <f t="shared" si="25"/>
        <v>0</v>
      </c>
      <c r="S444">
        <v>-18.156521739130437</v>
      </c>
      <c r="T444">
        <v>0</v>
      </c>
      <c r="U444">
        <v>-1.956521739130435</v>
      </c>
      <c r="V444">
        <v>-18.000000000000004</v>
      </c>
      <c r="W444">
        <v>0</v>
      </c>
      <c r="X444">
        <v>1.7999999999999998</v>
      </c>
      <c r="Y444">
        <v>0</v>
      </c>
    </row>
    <row r="445" spans="1:25" x14ac:dyDescent="0.2">
      <c r="A445" t="s">
        <v>25</v>
      </c>
      <c r="B445" t="s">
        <v>357</v>
      </c>
      <c r="C445">
        <v>220</v>
      </c>
      <c r="D445">
        <v>0</v>
      </c>
      <c r="E445">
        <v>0</v>
      </c>
      <c r="F445">
        <v>0</v>
      </c>
      <c r="G445">
        <v>0</v>
      </c>
      <c r="H445">
        <v>5</v>
      </c>
      <c r="I445">
        <v>115</v>
      </c>
      <c r="J445">
        <v>46</v>
      </c>
      <c r="K445">
        <v>0</v>
      </c>
      <c r="L445">
        <v>46</v>
      </c>
      <c r="M445">
        <v>9</v>
      </c>
      <c r="N445">
        <v>257</v>
      </c>
      <c r="O445" s="3">
        <f t="shared" si="23"/>
        <v>4.0909090909090908</v>
      </c>
      <c r="P445">
        <f t="shared" si="24"/>
        <v>0</v>
      </c>
      <c r="Q445">
        <f t="shared" si="25"/>
        <v>0</v>
      </c>
      <c r="S445">
        <v>-17.850000000000001</v>
      </c>
      <c r="T445">
        <v>0</v>
      </c>
      <c r="U445">
        <v>-1.25</v>
      </c>
      <c r="V445">
        <v>-18.400000000000002</v>
      </c>
      <c r="W445">
        <v>0</v>
      </c>
      <c r="X445">
        <v>1.7999999999999998</v>
      </c>
      <c r="Y445">
        <v>0</v>
      </c>
    </row>
    <row r="446" spans="1:25" x14ac:dyDescent="0.2">
      <c r="A446" t="s">
        <v>25</v>
      </c>
      <c r="B446" t="s">
        <v>358</v>
      </c>
      <c r="C446">
        <v>220</v>
      </c>
      <c r="D446">
        <v>0</v>
      </c>
      <c r="E446">
        <v>0</v>
      </c>
      <c r="F446">
        <v>0</v>
      </c>
      <c r="G446">
        <v>0</v>
      </c>
      <c r="H446">
        <v>5</v>
      </c>
      <c r="I446">
        <v>115</v>
      </c>
      <c r="J446">
        <v>46</v>
      </c>
      <c r="K446">
        <v>0</v>
      </c>
      <c r="L446">
        <v>46</v>
      </c>
      <c r="M446">
        <v>9</v>
      </c>
      <c r="N446">
        <v>257</v>
      </c>
      <c r="O446" s="3">
        <f t="shared" si="23"/>
        <v>4.0909090909090908</v>
      </c>
      <c r="P446">
        <f t="shared" si="24"/>
        <v>0</v>
      </c>
      <c r="Q446">
        <f t="shared" si="25"/>
        <v>0</v>
      </c>
      <c r="S446">
        <v>-17.850000000000001</v>
      </c>
      <c r="T446">
        <v>0</v>
      </c>
      <c r="U446">
        <v>-1.25</v>
      </c>
      <c r="V446">
        <v>-18.400000000000002</v>
      </c>
      <c r="W446">
        <v>0</v>
      </c>
      <c r="X446">
        <v>1.7999999999999998</v>
      </c>
      <c r="Y446">
        <v>0</v>
      </c>
    </row>
    <row r="447" spans="1:25" x14ac:dyDescent="0.2">
      <c r="A447" t="s">
        <v>25</v>
      </c>
      <c r="B447" t="s">
        <v>372</v>
      </c>
      <c r="C447">
        <v>300</v>
      </c>
      <c r="D447">
        <v>140</v>
      </c>
      <c r="E447">
        <v>16</v>
      </c>
      <c r="F447">
        <v>7</v>
      </c>
      <c r="G447">
        <v>0</v>
      </c>
      <c r="H447">
        <v>115</v>
      </c>
      <c r="I447">
        <v>830</v>
      </c>
      <c r="J447">
        <v>26</v>
      </c>
      <c r="K447">
        <v>1</v>
      </c>
      <c r="L447">
        <v>2</v>
      </c>
      <c r="M447">
        <v>12</v>
      </c>
      <c r="N447">
        <v>297</v>
      </c>
      <c r="O447" s="3">
        <f t="shared" si="23"/>
        <v>4</v>
      </c>
      <c r="P447">
        <f t="shared" si="24"/>
        <v>1</v>
      </c>
      <c r="Q447">
        <f t="shared" si="25"/>
        <v>0</v>
      </c>
      <c r="S447">
        <v>-8.8145962732919259</v>
      </c>
      <c r="T447">
        <v>-1.75</v>
      </c>
      <c r="U447">
        <v>-9.0217391304347831</v>
      </c>
      <c r="V447">
        <v>-0.8</v>
      </c>
      <c r="W447">
        <v>0</v>
      </c>
      <c r="X447">
        <v>2.4</v>
      </c>
      <c r="Y447">
        <v>0.35714285714285715</v>
      </c>
    </row>
    <row r="448" spans="1:25" x14ac:dyDescent="0.2">
      <c r="A448" t="s">
        <v>25</v>
      </c>
      <c r="B448" t="s">
        <v>373</v>
      </c>
      <c r="C448">
        <v>200</v>
      </c>
      <c r="D448">
        <v>35</v>
      </c>
      <c r="E448">
        <v>4</v>
      </c>
      <c r="F448">
        <v>2.5</v>
      </c>
      <c r="G448">
        <v>0</v>
      </c>
      <c r="H448">
        <v>5</v>
      </c>
      <c r="I448">
        <v>170</v>
      </c>
      <c r="J448">
        <v>34</v>
      </c>
      <c r="K448">
        <v>0</v>
      </c>
      <c r="L448">
        <v>31</v>
      </c>
      <c r="M448">
        <v>8</v>
      </c>
      <c r="N448">
        <v>225.5</v>
      </c>
      <c r="O448" s="3">
        <f t="shared" si="23"/>
        <v>4</v>
      </c>
      <c r="P448">
        <f t="shared" si="24"/>
        <v>0</v>
      </c>
      <c r="Q448">
        <f t="shared" si="25"/>
        <v>0</v>
      </c>
      <c r="S448">
        <v>-13.272826086956522</v>
      </c>
      <c r="T448">
        <v>-0.625</v>
      </c>
      <c r="U448">
        <v>-1.8478260869565217</v>
      </c>
      <c r="V448">
        <v>-12.4</v>
      </c>
      <c r="W448">
        <v>0</v>
      </c>
      <c r="X448">
        <v>1.6</v>
      </c>
      <c r="Y448">
        <v>0</v>
      </c>
    </row>
    <row r="449" spans="1:25" x14ac:dyDescent="0.2">
      <c r="A449" t="s">
        <v>25</v>
      </c>
      <c r="B449" t="s">
        <v>389</v>
      </c>
      <c r="C449">
        <v>380</v>
      </c>
      <c r="D449">
        <v>170</v>
      </c>
      <c r="E449">
        <v>18</v>
      </c>
      <c r="F449">
        <v>3.5</v>
      </c>
      <c r="G449">
        <v>0</v>
      </c>
      <c r="H449">
        <v>40</v>
      </c>
      <c r="I449">
        <v>640</v>
      </c>
      <c r="J449">
        <v>38</v>
      </c>
      <c r="K449">
        <v>2</v>
      </c>
      <c r="L449">
        <v>5</v>
      </c>
      <c r="M449">
        <v>15</v>
      </c>
      <c r="N449">
        <v>373.5</v>
      </c>
      <c r="O449" s="3">
        <f t="shared" si="23"/>
        <v>3.9473684210526314</v>
      </c>
      <c r="P449">
        <f t="shared" si="24"/>
        <v>1</v>
      </c>
      <c r="Q449">
        <f t="shared" si="25"/>
        <v>0</v>
      </c>
      <c r="S449">
        <v>-6.1172360248447211</v>
      </c>
      <c r="T449">
        <v>-0.875</v>
      </c>
      <c r="U449">
        <v>-6.9565217391304346</v>
      </c>
      <c r="V449">
        <v>-2.0000000000000004</v>
      </c>
      <c r="W449">
        <v>0</v>
      </c>
      <c r="X449">
        <v>3</v>
      </c>
      <c r="Y449">
        <v>0.7142857142857143</v>
      </c>
    </row>
    <row r="450" spans="1:25" x14ac:dyDescent="0.2">
      <c r="A450" t="s">
        <v>25</v>
      </c>
      <c r="B450" t="s">
        <v>392</v>
      </c>
      <c r="C450">
        <v>360</v>
      </c>
      <c r="D450">
        <v>150</v>
      </c>
      <c r="E450">
        <v>16</v>
      </c>
      <c r="F450">
        <v>3</v>
      </c>
      <c r="G450">
        <v>0</v>
      </c>
      <c r="H450">
        <v>35</v>
      </c>
      <c r="I450">
        <v>830</v>
      </c>
      <c r="J450">
        <v>40</v>
      </c>
      <c r="K450">
        <v>2</v>
      </c>
      <c r="L450">
        <v>5</v>
      </c>
      <c r="M450">
        <v>14</v>
      </c>
      <c r="N450">
        <v>354</v>
      </c>
      <c r="O450" s="3">
        <f t="shared" ref="O450:O513" si="26">M450/C450*100</f>
        <v>3.8888888888888888</v>
      </c>
      <c r="P450">
        <f t="shared" ref="P450:P513" si="27">IF(I450&gt;2300*0.2,1,0)</f>
        <v>1</v>
      </c>
      <c r="Q450">
        <f t="shared" ref="Q450:Q513" si="28">IF(H450&gt;300,1,0)</f>
        <v>0</v>
      </c>
      <c r="S450">
        <v>-8.2574534161490689</v>
      </c>
      <c r="T450">
        <v>-0.75</v>
      </c>
      <c r="U450">
        <v>-9.0217391304347831</v>
      </c>
      <c r="V450">
        <v>-2.0000000000000004</v>
      </c>
      <c r="W450">
        <v>0</v>
      </c>
      <c r="X450">
        <v>2.8000000000000003</v>
      </c>
      <c r="Y450">
        <v>0.7142857142857143</v>
      </c>
    </row>
    <row r="451" spans="1:25" x14ac:dyDescent="0.2">
      <c r="A451" t="s">
        <v>25</v>
      </c>
      <c r="B451" t="s">
        <v>393</v>
      </c>
      <c r="C451">
        <v>180</v>
      </c>
      <c r="D451">
        <v>0</v>
      </c>
      <c r="E451">
        <v>0</v>
      </c>
      <c r="F451">
        <v>0</v>
      </c>
      <c r="G451">
        <v>0</v>
      </c>
      <c r="H451">
        <v>5</v>
      </c>
      <c r="I451">
        <v>95</v>
      </c>
      <c r="J451">
        <v>37</v>
      </c>
      <c r="K451">
        <v>0</v>
      </c>
      <c r="L451">
        <v>37</v>
      </c>
      <c r="M451">
        <v>7</v>
      </c>
      <c r="N451">
        <v>210</v>
      </c>
      <c r="O451" s="3">
        <f t="shared" si="26"/>
        <v>3.8888888888888888</v>
      </c>
      <c r="P451">
        <f t="shared" si="27"/>
        <v>0</v>
      </c>
      <c r="Q451">
        <f t="shared" si="28"/>
        <v>0</v>
      </c>
      <c r="S451">
        <v>-14.432608695652172</v>
      </c>
      <c r="T451">
        <v>0</v>
      </c>
      <c r="U451">
        <v>-1.0326086956521738</v>
      </c>
      <c r="V451">
        <v>-14.799999999999999</v>
      </c>
      <c r="W451">
        <v>0</v>
      </c>
      <c r="X451">
        <v>1.4000000000000001</v>
      </c>
      <c r="Y451">
        <v>0</v>
      </c>
    </row>
    <row r="452" spans="1:25" x14ac:dyDescent="0.2">
      <c r="A452" t="s">
        <v>25</v>
      </c>
      <c r="B452" t="s">
        <v>394</v>
      </c>
      <c r="C452">
        <v>180</v>
      </c>
      <c r="D452">
        <v>0</v>
      </c>
      <c r="E452">
        <v>0</v>
      </c>
      <c r="F452">
        <v>0</v>
      </c>
      <c r="G452">
        <v>0</v>
      </c>
      <c r="H452">
        <v>5</v>
      </c>
      <c r="I452">
        <v>95</v>
      </c>
      <c r="J452">
        <v>37</v>
      </c>
      <c r="K452">
        <v>0</v>
      </c>
      <c r="L452">
        <v>37</v>
      </c>
      <c r="M452">
        <v>7</v>
      </c>
      <c r="N452">
        <v>210</v>
      </c>
      <c r="O452" s="3">
        <f t="shared" si="26"/>
        <v>3.8888888888888888</v>
      </c>
      <c r="P452">
        <f t="shared" si="27"/>
        <v>0</v>
      </c>
      <c r="Q452">
        <f t="shared" si="28"/>
        <v>0</v>
      </c>
      <c r="S452">
        <v>-14.432608695652172</v>
      </c>
      <c r="T452">
        <v>0</v>
      </c>
      <c r="U452">
        <v>-1.0326086956521738</v>
      </c>
      <c r="V452">
        <v>-14.799999999999999</v>
      </c>
      <c r="W452">
        <v>0</v>
      </c>
      <c r="X452">
        <v>1.4000000000000001</v>
      </c>
      <c r="Y452">
        <v>0</v>
      </c>
    </row>
    <row r="453" spans="1:25" x14ac:dyDescent="0.2">
      <c r="A453" t="s">
        <v>25</v>
      </c>
      <c r="B453" t="s">
        <v>397</v>
      </c>
      <c r="C453">
        <v>260</v>
      </c>
      <c r="D453">
        <v>0</v>
      </c>
      <c r="E453">
        <v>0</v>
      </c>
      <c r="F453">
        <v>0</v>
      </c>
      <c r="G453">
        <v>0</v>
      </c>
      <c r="H453">
        <v>5</v>
      </c>
      <c r="I453">
        <v>220</v>
      </c>
      <c r="J453">
        <v>53</v>
      </c>
      <c r="K453">
        <v>0</v>
      </c>
      <c r="L453">
        <v>53</v>
      </c>
      <c r="M453">
        <v>10</v>
      </c>
      <c r="N453">
        <v>303</v>
      </c>
      <c r="O453" s="3">
        <f t="shared" si="26"/>
        <v>3.8461538461538463</v>
      </c>
      <c r="P453">
        <f t="shared" si="27"/>
        <v>0</v>
      </c>
      <c r="Q453">
        <f t="shared" si="28"/>
        <v>0</v>
      </c>
      <c r="S453">
        <v>-21.591304347826089</v>
      </c>
      <c r="T453">
        <v>0</v>
      </c>
      <c r="U453">
        <v>-2.3913043478260869</v>
      </c>
      <c r="V453">
        <v>-21.200000000000003</v>
      </c>
      <c r="W453">
        <v>0</v>
      </c>
      <c r="X453">
        <v>2.0000000000000004</v>
      </c>
      <c r="Y453">
        <v>0</v>
      </c>
    </row>
    <row r="454" spans="1:25" x14ac:dyDescent="0.2">
      <c r="A454" t="s">
        <v>25</v>
      </c>
      <c r="B454" t="s">
        <v>398</v>
      </c>
      <c r="C454">
        <v>260</v>
      </c>
      <c r="D454">
        <v>0</v>
      </c>
      <c r="E454">
        <v>0</v>
      </c>
      <c r="F454">
        <v>0</v>
      </c>
      <c r="G454">
        <v>0</v>
      </c>
      <c r="H454">
        <v>5</v>
      </c>
      <c r="I454">
        <v>135</v>
      </c>
      <c r="J454">
        <v>55</v>
      </c>
      <c r="K454">
        <v>0</v>
      </c>
      <c r="L454">
        <v>55</v>
      </c>
      <c r="M454">
        <v>10</v>
      </c>
      <c r="N454">
        <v>305</v>
      </c>
      <c r="O454" s="3">
        <f t="shared" si="26"/>
        <v>3.8461538461538463</v>
      </c>
      <c r="P454">
        <f t="shared" si="27"/>
        <v>0</v>
      </c>
      <c r="Q454">
        <f t="shared" si="28"/>
        <v>0</v>
      </c>
      <c r="S454">
        <v>-21.467391304347828</v>
      </c>
      <c r="T454">
        <v>0</v>
      </c>
      <c r="U454">
        <v>-1.4673913043478262</v>
      </c>
      <c r="V454">
        <v>-22.000000000000004</v>
      </c>
      <c r="W454">
        <v>0</v>
      </c>
      <c r="X454">
        <v>2.0000000000000004</v>
      </c>
      <c r="Y454">
        <v>0</v>
      </c>
    </row>
    <row r="455" spans="1:25" x14ac:dyDescent="0.2">
      <c r="A455" t="s">
        <v>25</v>
      </c>
      <c r="B455" t="s">
        <v>399</v>
      </c>
      <c r="C455">
        <v>260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135</v>
      </c>
      <c r="J455">
        <v>55</v>
      </c>
      <c r="K455">
        <v>0</v>
      </c>
      <c r="L455">
        <v>55</v>
      </c>
      <c r="M455">
        <v>10</v>
      </c>
      <c r="N455">
        <v>305</v>
      </c>
      <c r="O455" s="3">
        <f t="shared" si="26"/>
        <v>3.8461538461538463</v>
      </c>
      <c r="P455">
        <f t="shared" si="27"/>
        <v>0</v>
      </c>
      <c r="Q455">
        <f t="shared" si="28"/>
        <v>0</v>
      </c>
      <c r="S455">
        <v>-21.467391304347828</v>
      </c>
      <c r="T455">
        <v>0</v>
      </c>
      <c r="U455">
        <v>-1.4673913043478262</v>
      </c>
      <c r="V455">
        <v>-22.000000000000004</v>
      </c>
      <c r="W455">
        <v>0</v>
      </c>
      <c r="X455">
        <v>2.0000000000000004</v>
      </c>
      <c r="Y455">
        <v>0</v>
      </c>
    </row>
    <row r="456" spans="1:25" x14ac:dyDescent="0.2">
      <c r="A456" t="s">
        <v>25</v>
      </c>
      <c r="B456" t="s">
        <v>406</v>
      </c>
      <c r="C456">
        <v>370</v>
      </c>
      <c r="D456">
        <v>200</v>
      </c>
      <c r="E456">
        <v>22</v>
      </c>
      <c r="F456">
        <v>8</v>
      </c>
      <c r="G456">
        <v>0</v>
      </c>
      <c r="H456">
        <v>45</v>
      </c>
      <c r="I456">
        <v>850</v>
      </c>
      <c r="J456">
        <v>29</v>
      </c>
      <c r="K456">
        <v>2</v>
      </c>
      <c r="L456">
        <v>2</v>
      </c>
      <c r="M456">
        <v>14</v>
      </c>
      <c r="N456">
        <v>366</v>
      </c>
      <c r="O456" s="3">
        <f t="shared" si="26"/>
        <v>3.7837837837837842</v>
      </c>
      <c r="P456">
        <f t="shared" si="27"/>
        <v>1</v>
      </c>
      <c r="Q456">
        <f t="shared" si="28"/>
        <v>0</v>
      </c>
      <c r="S456">
        <v>-8.524844720496894</v>
      </c>
      <c r="T456">
        <v>-2</v>
      </c>
      <c r="U456">
        <v>-9.2391304347826075</v>
      </c>
      <c r="V456">
        <v>-0.8</v>
      </c>
      <c r="W456">
        <v>0</v>
      </c>
      <c r="X456">
        <v>2.8000000000000003</v>
      </c>
      <c r="Y456">
        <v>0.7142857142857143</v>
      </c>
    </row>
    <row r="457" spans="1:25" x14ac:dyDescent="0.2">
      <c r="A457" t="s">
        <v>25</v>
      </c>
      <c r="B457" t="s">
        <v>407</v>
      </c>
      <c r="C457">
        <v>740</v>
      </c>
      <c r="D457">
        <v>430</v>
      </c>
      <c r="E457">
        <v>48</v>
      </c>
      <c r="F457">
        <v>17</v>
      </c>
      <c r="G457">
        <v>0</v>
      </c>
      <c r="H457">
        <v>555</v>
      </c>
      <c r="I457">
        <v>1560</v>
      </c>
      <c r="J457">
        <v>51</v>
      </c>
      <c r="K457">
        <v>3</v>
      </c>
      <c r="L457">
        <v>3</v>
      </c>
      <c r="M457">
        <v>28</v>
      </c>
      <c r="N457">
        <v>732</v>
      </c>
      <c r="O457" s="3">
        <f t="shared" si="26"/>
        <v>3.7837837837837842</v>
      </c>
      <c r="P457">
        <f t="shared" si="27"/>
        <v>1</v>
      </c>
      <c r="Q457">
        <f t="shared" si="28"/>
        <v>1</v>
      </c>
      <c r="S457">
        <v>-15.73509316770186</v>
      </c>
      <c r="T457">
        <v>-4.25</v>
      </c>
      <c r="U457">
        <v>-16.956521739130434</v>
      </c>
      <c r="V457">
        <v>-1.2</v>
      </c>
      <c r="W457">
        <v>0</v>
      </c>
      <c r="X457">
        <v>5.6000000000000005</v>
      </c>
      <c r="Y457">
        <v>1.0714285714285714</v>
      </c>
    </row>
    <row r="458" spans="1:25" x14ac:dyDescent="0.2">
      <c r="A458" t="s">
        <v>25</v>
      </c>
      <c r="B458" t="s">
        <v>410</v>
      </c>
      <c r="C458">
        <v>240</v>
      </c>
      <c r="D458">
        <v>60</v>
      </c>
      <c r="E458">
        <v>6</v>
      </c>
      <c r="F458">
        <v>4</v>
      </c>
      <c r="G458">
        <v>0</v>
      </c>
      <c r="H458">
        <v>10</v>
      </c>
      <c r="I458">
        <v>190</v>
      </c>
      <c r="J458">
        <v>37</v>
      </c>
      <c r="K458">
        <v>0</v>
      </c>
      <c r="L458">
        <v>34</v>
      </c>
      <c r="M458">
        <v>9</v>
      </c>
      <c r="N458">
        <v>269</v>
      </c>
      <c r="O458" s="3">
        <f t="shared" si="26"/>
        <v>3.75</v>
      </c>
      <c r="P458">
        <f t="shared" si="27"/>
        <v>0</v>
      </c>
      <c r="Q458">
        <f t="shared" si="28"/>
        <v>0</v>
      </c>
      <c r="S458">
        <v>-14.865217391304348</v>
      </c>
      <c r="T458">
        <v>-1</v>
      </c>
      <c r="U458">
        <v>-2.0652173913043477</v>
      </c>
      <c r="V458">
        <v>-13.600000000000001</v>
      </c>
      <c r="W458">
        <v>0</v>
      </c>
      <c r="X458">
        <v>1.7999999999999998</v>
      </c>
      <c r="Y458">
        <v>0</v>
      </c>
    </row>
    <row r="459" spans="1:25" x14ac:dyDescent="0.2">
      <c r="A459" t="s">
        <v>25</v>
      </c>
      <c r="B459" t="s">
        <v>411</v>
      </c>
      <c r="C459">
        <v>240</v>
      </c>
      <c r="D459">
        <v>35</v>
      </c>
      <c r="E459">
        <v>4</v>
      </c>
      <c r="F459">
        <v>2.5</v>
      </c>
      <c r="G459">
        <v>0</v>
      </c>
      <c r="H459">
        <v>5</v>
      </c>
      <c r="I459">
        <v>200</v>
      </c>
      <c r="J459">
        <v>41</v>
      </c>
      <c r="K459">
        <v>0</v>
      </c>
      <c r="L459">
        <v>38</v>
      </c>
      <c r="M459">
        <v>9</v>
      </c>
      <c r="N459">
        <v>271.5</v>
      </c>
      <c r="O459" s="3">
        <f t="shared" si="26"/>
        <v>3.75</v>
      </c>
      <c r="P459">
        <f t="shared" si="27"/>
        <v>0</v>
      </c>
      <c r="Q459">
        <f t="shared" si="28"/>
        <v>0</v>
      </c>
      <c r="S459">
        <v>-16.198913043478264</v>
      </c>
      <c r="T459">
        <v>-0.625</v>
      </c>
      <c r="U459">
        <v>-2.1739130434782608</v>
      </c>
      <c r="V459">
        <v>-15.200000000000003</v>
      </c>
      <c r="W459">
        <v>0</v>
      </c>
      <c r="X459">
        <v>1.7999999999999998</v>
      </c>
      <c r="Y459">
        <v>0</v>
      </c>
    </row>
    <row r="460" spans="1:25" x14ac:dyDescent="0.2">
      <c r="A460" t="s">
        <v>25</v>
      </c>
      <c r="B460" t="s">
        <v>422</v>
      </c>
      <c r="C460">
        <v>300</v>
      </c>
      <c r="D460">
        <v>60</v>
      </c>
      <c r="E460">
        <v>6</v>
      </c>
      <c r="F460">
        <v>4</v>
      </c>
      <c r="G460">
        <v>0</v>
      </c>
      <c r="H460">
        <v>10</v>
      </c>
      <c r="I460">
        <v>230</v>
      </c>
      <c r="J460">
        <v>49</v>
      </c>
      <c r="K460">
        <v>0</v>
      </c>
      <c r="L460">
        <v>45</v>
      </c>
      <c r="M460">
        <v>11</v>
      </c>
      <c r="N460">
        <v>338</v>
      </c>
      <c r="O460" s="3">
        <f t="shared" si="26"/>
        <v>3.6666666666666665</v>
      </c>
      <c r="P460">
        <f t="shared" si="27"/>
        <v>0</v>
      </c>
      <c r="Q460">
        <f t="shared" si="28"/>
        <v>0</v>
      </c>
      <c r="S460">
        <v>-19.300000000000004</v>
      </c>
      <c r="T460">
        <v>-1</v>
      </c>
      <c r="U460">
        <v>-2.5</v>
      </c>
      <c r="V460">
        <v>-18.000000000000004</v>
      </c>
      <c r="W460">
        <v>0</v>
      </c>
      <c r="X460">
        <v>2.2000000000000002</v>
      </c>
      <c r="Y460">
        <v>0</v>
      </c>
    </row>
    <row r="461" spans="1:25" x14ac:dyDescent="0.2">
      <c r="A461" t="s">
        <v>25</v>
      </c>
      <c r="B461" t="s">
        <v>426</v>
      </c>
      <c r="C461">
        <v>470</v>
      </c>
      <c r="D461">
        <v>220</v>
      </c>
      <c r="E461">
        <v>24</v>
      </c>
      <c r="F461">
        <v>9</v>
      </c>
      <c r="G461">
        <v>0</v>
      </c>
      <c r="H461">
        <v>30</v>
      </c>
      <c r="I461">
        <v>1290</v>
      </c>
      <c r="J461">
        <v>46</v>
      </c>
      <c r="K461">
        <v>3</v>
      </c>
      <c r="L461">
        <v>4</v>
      </c>
      <c r="M461">
        <v>17</v>
      </c>
      <c r="N461">
        <v>466</v>
      </c>
      <c r="O461" s="3">
        <f t="shared" si="26"/>
        <v>3.6170212765957444</v>
      </c>
      <c r="P461">
        <f t="shared" si="27"/>
        <v>1</v>
      </c>
      <c r="Q461">
        <f t="shared" si="28"/>
        <v>0</v>
      </c>
      <c r="S461">
        <v>-13.400310559006211</v>
      </c>
      <c r="T461">
        <v>-2.25</v>
      </c>
      <c r="U461">
        <v>-14.021739130434781</v>
      </c>
      <c r="V461">
        <v>-1.6</v>
      </c>
      <c r="W461">
        <v>0</v>
      </c>
      <c r="X461">
        <v>3.4000000000000004</v>
      </c>
      <c r="Y461">
        <v>1.0714285714285714</v>
      </c>
    </row>
    <row r="462" spans="1:25" x14ac:dyDescent="0.2">
      <c r="A462" t="s">
        <v>25</v>
      </c>
      <c r="B462" t="s">
        <v>430</v>
      </c>
      <c r="C462">
        <v>420</v>
      </c>
      <c r="D462">
        <v>210</v>
      </c>
      <c r="E462">
        <v>23</v>
      </c>
      <c r="F462">
        <v>12</v>
      </c>
      <c r="G462">
        <v>0</v>
      </c>
      <c r="H462">
        <v>235</v>
      </c>
      <c r="I462">
        <v>1160</v>
      </c>
      <c r="J462">
        <v>37</v>
      </c>
      <c r="K462">
        <v>2</v>
      </c>
      <c r="L462">
        <v>3</v>
      </c>
      <c r="M462">
        <v>15</v>
      </c>
      <c r="N462">
        <v>420</v>
      </c>
      <c r="O462" s="3">
        <f t="shared" si="26"/>
        <v>3.5714285714285712</v>
      </c>
      <c r="P462">
        <f t="shared" si="27"/>
        <v>1</v>
      </c>
      <c r="Q462">
        <f t="shared" si="28"/>
        <v>0</v>
      </c>
      <c r="S462">
        <v>-13.0944099378882</v>
      </c>
      <c r="T462">
        <v>-3</v>
      </c>
      <c r="U462">
        <v>-12.608695652173912</v>
      </c>
      <c r="V462">
        <v>-1.2</v>
      </c>
      <c r="W462">
        <v>0</v>
      </c>
      <c r="X462">
        <v>3</v>
      </c>
      <c r="Y462">
        <v>0.7142857142857143</v>
      </c>
    </row>
    <row r="463" spans="1:25" x14ac:dyDescent="0.2">
      <c r="A463" t="s">
        <v>25</v>
      </c>
      <c r="B463" t="s">
        <v>431</v>
      </c>
      <c r="C463">
        <v>420</v>
      </c>
      <c r="D463">
        <v>160</v>
      </c>
      <c r="E463">
        <v>18</v>
      </c>
      <c r="F463">
        <v>8</v>
      </c>
      <c r="G463">
        <v>0</v>
      </c>
      <c r="H463">
        <v>240</v>
      </c>
      <c r="I463">
        <v>1110</v>
      </c>
      <c r="J463">
        <v>48</v>
      </c>
      <c r="K463">
        <v>2</v>
      </c>
      <c r="L463">
        <v>15</v>
      </c>
      <c r="M463">
        <v>15</v>
      </c>
      <c r="N463">
        <v>428</v>
      </c>
      <c r="O463" s="3">
        <f t="shared" si="26"/>
        <v>3.5714285714285712</v>
      </c>
      <c r="P463">
        <f t="shared" si="27"/>
        <v>1</v>
      </c>
      <c r="Q463">
        <f t="shared" si="28"/>
        <v>0</v>
      </c>
      <c r="S463">
        <v>-16.350931677018632</v>
      </c>
      <c r="T463">
        <v>-2</v>
      </c>
      <c r="U463">
        <v>-12.065217391304348</v>
      </c>
      <c r="V463">
        <v>-6</v>
      </c>
      <c r="W463">
        <v>0</v>
      </c>
      <c r="X463">
        <v>3</v>
      </c>
      <c r="Y463">
        <v>0.7142857142857143</v>
      </c>
    </row>
    <row r="464" spans="1:25" x14ac:dyDescent="0.2">
      <c r="A464" t="s">
        <v>25</v>
      </c>
      <c r="B464" t="s">
        <v>432</v>
      </c>
      <c r="C464">
        <v>560</v>
      </c>
      <c r="D464">
        <v>290</v>
      </c>
      <c r="E464">
        <v>32</v>
      </c>
      <c r="F464">
        <v>12</v>
      </c>
      <c r="G464">
        <v>0</v>
      </c>
      <c r="H464">
        <v>265</v>
      </c>
      <c r="I464">
        <v>1360</v>
      </c>
      <c r="J464">
        <v>48</v>
      </c>
      <c r="K464">
        <v>2</v>
      </c>
      <c r="L464">
        <v>15</v>
      </c>
      <c r="M464">
        <v>20</v>
      </c>
      <c r="N464">
        <v>567</v>
      </c>
      <c r="O464" s="3">
        <f t="shared" si="26"/>
        <v>3.5714285714285712</v>
      </c>
      <c r="P464">
        <f t="shared" si="27"/>
        <v>1</v>
      </c>
      <c r="Q464">
        <f t="shared" si="28"/>
        <v>0</v>
      </c>
      <c r="S464">
        <v>-19.068322981366457</v>
      </c>
      <c r="T464">
        <v>-3</v>
      </c>
      <c r="U464">
        <v>-14.782608695652174</v>
      </c>
      <c r="V464">
        <v>-6</v>
      </c>
      <c r="W464">
        <v>0</v>
      </c>
      <c r="X464">
        <v>4.0000000000000009</v>
      </c>
      <c r="Y464">
        <v>0.7142857142857143</v>
      </c>
    </row>
    <row r="465" spans="1:25" x14ac:dyDescent="0.2">
      <c r="A465" t="s">
        <v>25</v>
      </c>
      <c r="B465" t="s">
        <v>436</v>
      </c>
      <c r="C465">
        <v>310</v>
      </c>
      <c r="D465">
        <v>50</v>
      </c>
      <c r="E465">
        <v>6</v>
      </c>
      <c r="F465">
        <v>3.5</v>
      </c>
      <c r="G465">
        <v>0</v>
      </c>
      <c r="H465">
        <v>10</v>
      </c>
      <c r="I465">
        <v>190</v>
      </c>
      <c r="J465">
        <v>55</v>
      </c>
      <c r="K465">
        <v>0</v>
      </c>
      <c r="L465">
        <v>47</v>
      </c>
      <c r="M465">
        <v>11</v>
      </c>
      <c r="N465">
        <v>349.5</v>
      </c>
      <c r="O465" s="3">
        <f t="shared" si="26"/>
        <v>3.5483870967741935</v>
      </c>
      <c r="P465">
        <f t="shared" si="27"/>
        <v>0</v>
      </c>
      <c r="Q465">
        <f t="shared" si="28"/>
        <v>0</v>
      </c>
      <c r="S465">
        <v>-19.540217391304349</v>
      </c>
      <c r="T465">
        <v>-0.875</v>
      </c>
      <c r="U465">
        <v>-2.0652173913043477</v>
      </c>
      <c r="V465">
        <v>-18.8</v>
      </c>
      <c r="W465">
        <v>0</v>
      </c>
      <c r="X465">
        <v>2.2000000000000002</v>
      </c>
      <c r="Y465">
        <v>0</v>
      </c>
    </row>
    <row r="466" spans="1:25" x14ac:dyDescent="0.2">
      <c r="A466" t="s">
        <v>25</v>
      </c>
      <c r="B466" t="s">
        <v>438</v>
      </c>
      <c r="C466">
        <v>510</v>
      </c>
      <c r="D466">
        <v>290</v>
      </c>
      <c r="E466">
        <v>33</v>
      </c>
      <c r="F466">
        <v>14</v>
      </c>
      <c r="G466">
        <v>0</v>
      </c>
      <c r="H466">
        <v>250</v>
      </c>
      <c r="I466">
        <v>1170</v>
      </c>
      <c r="J466">
        <v>36</v>
      </c>
      <c r="K466">
        <v>2</v>
      </c>
      <c r="L466">
        <v>2</v>
      </c>
      <c r="M466">
        <v>18</v>
      </c>
      <c r="N466">
        <v>508</v>
      </c>
      <c r="O466" s="3">
        <f t="shared" si="26"/>
        <v>3.5294117647058822</v>
      </c>
      <c r="P466">
        <f t="shared" si="27"/>
        <v>1</v>
      </c>
      <c r="Q466">
        <f t="shared" si="28"/>
        <v>0</v>
      </c>
      <c r="S466">
        <v>-12.703105590062112</v>
      </c>
      <c r="T466">
        <v>-3.5</v>
      </c>
      <c r="U466">
        <v>-12.717391304347824</v>
      </c>
      <c r="V466">
        <v>-0.8</v>
      </c>
      <c r="W466">
        <v>0</v>
      </c>
      <c r="X466">
        <v>3.5999999999999996</v>
      </c>
      <c r="Y466">
        <v>0.7142857142857143</v>
      </c>
    </row>
    <row r="467" spans="1:25" x14ac:dyDescent="0.2">
      <c r="A467" t="s">
        <v>25</v>
      </c>
      <c r="B467" t="s">
        <v>441</v>
      </c>
      <c r="C467">
        <v>800</v>
      </c>
      <c r="D467">
        <v>470</v>
      </c>
      <c r="E467">
        <v>52</v>
      </c>
      <c r="F467">
        <v>18</v>
      </c>
      <c r="G467">
        <v>0</v>
      </c>
      <c r="H467">
        <v>555</v>
      </c>
      <c r="I467">
        <v>1680</v>
      </c>
      <c r="J467">
        <v>56</v>
      </c>
      <c r="K467">
        <v>4</v>
      </c>
      <c r="L467">
        <v>3</v>
      </c>
      <c r="M467">
        <v>28</v>
      </c>
      <c r="N467">
        <v>793</v>
      </c>
      <c r="O467" s="3">
        <f t="shared" si="26"/>
        <v>3.5000000000000004</v>
      </c>
      <c r="P467">
        <f t="shared" si="27"/>
        <v>1</v>
      </c>
      <c r="Q467">
        <f t="shared" si="28"/>
        <v>1</v>
      </c>
      <c r="S467">
        <v>-16.932298136645962</v>
      </c>
      <c r="T467">
        <v>-4.5</v>
      </c>
      <c r="U467">
        <v>-18.260869565217391</v>
      </c>
      <c r="V467">
        <v>-1.2</v>
      </c>
      <c r="W467">
        <v>0</v>
      </c>
      <c r="X467">
        <v>5.6000000000000005</v>
      </c>
      <c r="Y467">
        <v>1.4285714285714286</v>
      </c>
    </row>
    <row r="468" spans="1:25" x14ac:dyDescent="0.2">
      <c r="A468" t="s">
        <v>25</v>
      </c>
      <c r="B468" t="s">
        <v>448</v>
      </c>
      <c r="C468">
        <v>60</v>
      </c>
      <c r="D468">
        <v>15</v>
      </c>
      <c r="E468">
        <v>1.5</v>
      </c>
      <c r="F468">
        <v>0</v>
      </c>
      <c r="G468">
        <v>0</v>
      </c>
      <c r="H468">
        <v>0</v>
      </c>
      <c r="I468">
        <v>140</v>
      </c>
      <c r="J468">
        <v>10</v>
      </c>
      <c r="K468">
        <v>1</v>
      </c>
      <c r="L468">
        <v>0</v>
      </c>
      <c r="M468">
        <v>2</v>
      </c>
      <c r="N468">
        <v>58</v>
      </c>
      <c r="O468" s="3">
        <f t="shared" si="26"/>
        <v>3.3333333333333335</v>
      </c>
      <c r="P468">
        <f t="shared" si="27"/>
        <v>0</v>
      </c>
      <c r="Q468">
        <f t="shared" si="28"/>
        <v>0</v>
      </c>
      <c r="S468">
        <v>-0.76459627329192559</v>
      </c>
      <c r="T468">
        <v>0</v>
      </c>
      <c r="U468">
        <v>-1.5217391304347827</v>
      </c>
      <c r="V468">
        <v>0</v>
      </c>
      <c r="W468">
        <v>0</v>
      </c>
      <c r="X468">
        <v>0.4</v>
      </c>
      <c r="Y468">
        <v>0.35714285714285715</v>
      </c>
    </row>
    <row r="469" spans="1:25" x14ac:dyDescent="0.2">
      <c r="A469" t="s">
        <v>25</v>
      </c>
      <c r="B469" t="s">
        <v>449</v>
      </c>
      <c r="C469">
        <v>150</v>
      </c>
      <c r="D469">
        <v>0</v>
      </c>
      <c r="E469">
        <v>0</v>
      </c>
      <c r="F469">
        <v>0</v>
      </c>
      <c r="G469">
        <v>0</v>
      </c>
      <c r="H469">
        <v>5</v>
      </c>
      <c r="I469">
        <v>120</v>
      </c>
      <c r="J469">
        <v>33</v>
      </c>
      <c r="K469">
        <v>0</v>
      </c>
      <c r="L469">
        <v>32</v>
      </c>
      <c r="M469">
        <v>5</v>
      </c>
      <c r="N469">
        <v>177</v>
      </c>
      <c r="O469" s="3">
        <f t="shared" si="26"/>
        <v>3.3333333333333335</v>
      </c>
      <c r="P469">
        <f t="shared" si="27"/>
        <v>0</v>
      </c>
      <c r="Q469">
        <f t="shared" si="28"/>
        <v>0</v>
      </c>
      <c r="S469">
        <v>-13.104347826086958</v>
      </c>
      <c r="T469">
        <v>0</v>
      </c>
      <c r="U469">
        <v>-1.3043478260869565</v>
      </c>
      <c r="V469">
        <v>-12.8</v>
      </c>
      <c r="W469">
        <v>0</v>
      </c>
      <c r="X469">
        <v>1.0000000000000002</v>
      </c>
      <c r="Y469">
        <v>0</v>
      </c>
    </row>
    <row r="470" spans="1:25" x14ac:dyDescent="0.2">
      <c r="A470" t="s">
        <v>25</v>
      </c>
      <c r="B470" t="s">
        <v>450</v>
      </c>
      <c r="C470">
        <v>150</v>
      </c>
      <c r="D470">
        <v>0</v>
      </c>
      <c r="E470">
        <v>0</v>
      </c>
      <c r="F470">
        <v>0</v>
      </c>
      <c r="G470">
        <v>0</v>
      </c>
      <c r="H470">
        <v>5</v>
      </c>
      <c r="I470">
        <v>70</v>
      </c>
      <c r="J470">
        <v>34</v>
      </c>
      <c r="K470">
        <v>0</v>
      </c>
      <c r="L470">
        <v>34</v>
      </c>
      <c r="M470">
        <v>5</v>
      </c>
      <c r="N470">
        <v>179</v>
      </c>
      <c r="O470" s="3">
        <f t="shared" si="26"/>
        <v>3.3333333333333335</v>
      </c>
      <c r="P470">
        <f t="shared" si="27"/>
        <v>0</v>
      </c>
      <c r="Q470">
        <f t="shared" si="28"/>
        <v>0</v>
      </c>
      <c r="S470">
        <v>-13.360869565217392</v>
      </c>
      <c r="T470">
        <v>0</v>
      </c>
      <c r="U470">
        <v>-0.76086956521739135</v>
      </c>
      <c r="V470">
        <v>-13.600000000000001</v>
      </c>
      <c r="W470">
        <v>0</v>
      </c>
      <c r="X470">
        <v>1.0000000000000002</v>
      </c>
      <c r="Y470">
        <v>0</v>
      </c>
    </row>
    <row r="471" spans="1:25" x14ac:dyDescent="0.2">
      <c r="A471" t="s">
        <v>25</v>
      </c>
      <c r="B471" t="s">
        <v>451</v>
      </c>
      <c r="C471">
        <v>150</v>
      </c>
      <c r="D471">
        <v>0</v>
      </c>
      <c r="E471">
        <v>0</v>
      </c>
      <c r="F471">
        <v>0</v>
      </c>
      <c r="G471">
        <v>0</v>
      </c>
      <c r="H471">
        <v>5</v>
      </c>
      <c r="I471">
        <v>70</v>
      </c>
      <c r="J471">
        <v>34</v>
      </c>
      <c r="K471">
        <v>0</v>
      </c>
      <c r="L471">
        <v>34</v>
      </c>
      <c r="M471">
        <v>5</v>
      </c>
      <c r="N471">
        <v>179</v>
      </c>
      <c r="O471" s="3">
        <f t="shared" si="26"/>
        <v>3.3333333333333335</v>
      </c>
      <c r="P471">
        <f t="shared" si="27"/>
        <v>0</v>
      </c>
      <c r="Q471">
        <f t="shared" si="28"/>
        <v>0</v>
      </c>
      <c r="S471">
        <v>-13.360869565217392</v>
      </c>
      <c r="T471">
        <v>0</v>
      </c>
      <c r="U471">
        <v>-0.76086956521739135</v>
      </c>
      <c r="V471">
        <v>-13.600000000000001</v>
      </c>
      <c r="W471">
        <v>0</v>
      </c>
      <c r="X471">
        <v>1.0000000000000002</v>
      </c>
      <c r="Y471">
        <v>0</v>
      </c>
    </row>
    <row r="472" spans="1:25" x14ac:dyDescent="0.2">
      <c r="A472" t="s">
        <v>25</v>
      </c>
      <c r="B472" t="s">
        <v>452</v>
      </c>
      <c r="C472">
        <v>150</v>
      </c>
      <c r="D472">
        <v>0</v>
      </c>
      <c r="E472">
        <v>0</v>
      </c>
      <c r="F472">
        <v>0</v>
      </c>
      <c r="G472">
        <v>0</v>
      </c>
      <c r="H472">
        <v>5</v>
      </c>
      <c r="I472">
        <v>120</v>
      </c>
      <c r="J472">
        <v>32</v>
      </c>
      <c r="K472">
        <v>0</v>
      </c>
      <c r="L472">
        <v>32</v>
      </c>
      <c r="M472">
        <v>5</v>
      </c>
      <c r="N472">
        <v>177</v>
      </c>
      <c r="O472" s="3">
        <f t="shared" si="26"/>
        <v>3.3333333333333335</v>
      </c>
      <c r="P472">
        <f t="shared" si="27"/>
        <v>0</v>
      </c>
      <c r="Q472">
        <f t="shared" si="28"/>
        <v>0</v>
      </c>
      <c r="S472">
        <v>-13.104347826086958</v>
      </c>
      <c r="T472">
        <v>0</v>
      </c>
      <c r="U472">
        <v>-1.3043478260869565</v>
      </c>
      <c r="V472">
        <v>-12.8</v>
      </c>
      <c r="W472">
        <v>0</v>
      </c>
      <c r="X472">
        <v>1.0000000000000002</v>
      </c>
      <c r="Y472">
        <v>0</v>
      </c>
    </row>
    <row r="473" spans="1:25" x14ac:dyDescent="0.2">
      <c r="A473" t="s">
        <v>25</v>
      </c>
      <c r="B473" t="s">
        <v>453</v>
      </c>
      <c r="C473">
        <v>150</v>
      </c>
      <c r="D473">
        <v>0</v>
      </c>
      <c r="E473">
        <v>0</v>
      </c>
      <c r="F473">
        <v>0</v>
      </c>
      <c r="G473">
        <v>0</v>
      </c>
      <c r="H473">
        <v>5</v>
      </c>
      <c r="I473">
        <v>70</v>
      </c>
      <c r="J473">
        <v>33</v>
      </c>
      <c r="K473">
        <v>0</v>
      </c>
      <c r="L473">
        <v>33</v>
      </c>
      <c r="M473">
        <v>5</v>
      </c>
      <c r="N473">
        <v>178</v>
      </c>
      <c r="O473" s="3">
        <f t="shared" si="26"/>
        <v>3.3333333333333335</v>
      </c>
      <c r="P473">
        <f t="shared" si="27"/>
        <v>0</v>
      </c>
      <c r="Q473">
        <f t="shared" si="28"/>
        <v>0</v>
      </c>
      <c r="S473">
        <v>-12.960869565217392</v>
      </c>
      <c r="T473">
        <v>0</v>
      </c>
      <c r="U473">
        <v>-0.76086956521739135</v>
      </c>
      <c r="V473">
        <v>-13.200000000000001</v>
      </c>
      <c r="W473">
        <v>0</v>
      </c>
      <c r="X473">
        <v>1.0000000000000002</v>
      </c>
      <c r="Y473">
        <v>0</v>
      </c>
    </row>
    <row r="474" spans="1:25" x14ac:dyDescent="0.2">
      <c r="A474" t="s">
        <v>25</v>
      </c>
      <c r="B474" t="s">
        <v>454</v>
      </c>
      <c r="C474">
        <v>150</v>
      </c>
      <c r="D474">
        <v>0</v>
      </c>
      <c r="E474">
        <v>0</v>
      </c>
      <c r="F474">
        <v>0</v>
      </c>
      <c r="G474">
        <v>0</v>
      </c>
      <c r="H474">
        <v>5</v>
      </c>
      <c r="I474">
        <v>70</v>
      </c>
      <c r="J474">
        <v>33</v>
      </c>
      <c r="K474">
        <v>0</v>
      </c>
      <c r="L474">
        <v>33</v>
      </c>
      <c r="M474">
        <v>5</v>
      </c>
      <c r="N474">
        <v>178</v>
      </c>
      <c r="O474" s="3">
        <f t="shared" si="26"/>
        <v>3.3333333333333335</v>
      </c>
      <c r="P474">
        <f t="shared" si="27"/>
        <v>0</v>
      </c>
      <c r="Q474">
        <f t="shared" si="28"/>
        <v>0</v>
      </c>
      <c r="S474">
        <v>-12.960869565217392</v>
      </c>
      <c r="T474">
        <v>0</v>
      </c>
      <c r="U474">
        <v>-0.76086956521739135</v>
      </c>
      <c r="V474">
        <v>-13.200000000000001</v>
      </c>
      <c r="W474">
        <v>0</v>
      </c>
      <c r="X474">
        <v>1.0000000000000002</v>
      </c>
      <c r="Y474">
        <v>0</v>
      </c>
    </row>
    <row r="475" spans="1:25" x14ac:dyDescent="0.2">
      <c r="A475" t="s">
        <v>25</v>
      </c>
      <c r="B475" t="s">
        <v>458</v>
      </c>
      <c r="C475">
        <v>1090</v>
      </c>
      <c r="D475">
        <v>510</v>
      </c>
      <c r="E475">
        <v>56</v>
      </c>
      <c r="F475">
        <v>19</v>
      </c>
      <c r="G475">
        <v>0</v>
      </c>
      <c r="H475">
        <v>575</v>
      </c>
      <c r="I475">
        <v>2150</v>
      </c>
      <c r="J475">
        <v>111</v>
      </c>
      <c r="K475">
        <v>6</v>
      </c>
      <c r="L475">
        <v>17</v>
      </c>
      <c r="M475">
        <v>36</v>
      </c>
      <c r="N475">
        <v>1090</v>
      </c>
      <c r="O475" s="3">
        <f t="shared" si="26"/>
        <v>3.3027522935779818</v>
      </c>
      <c r="P475">
        <f t="shared" si="27"/>
        <v>1</v>
      </c>
      <c r="Q475">
        <f t="shared" si="28"/>
        <v>1</v>
      </c>
      <c r="S475">
        <v>-25.576708074534167</v>
      </c>
      <c r="T475">
        <v>-4.75</v>
      </c>
      <c r="U475">
        <v>-23.369565217391305</v>
      </c>
      <c r="V475">
        <v>-6.8000000000000007</v>
      </c>
      <c r="W475">
        <v>0</v>
      </c>
      <c r="X475">
        <v>7.1999999999999993</v>
      </c>
      <c r="Y475">
        <v>2.1428571428571428</v>
      </c>
    </row>
    <row r="476" spans="1:25" x14ac:dyDescent="0.2">
      <c r="A476" t="s">
        <v>25</v>
      </c>
      <c r="B476" t="s">
        <v>464</v>
      </c>
      <c r="C476">
        <v>250</v>
      </c>
      <c r="D476">
        <v>45</v>
      </c>
      <c r="E476">
        <v>5</v>
      </c>
      <c r="F476">
        <v>3</v>
      </c>
      <c r="G476">
        <v>0</v>
      </c>
      <c r="H476">
        <v>10</v>
      </c>
      <c r="I476">
        <v>140</v>
      </c>
      <c r="J476">
        <v>43</v>
      </c>
      <c r="K476">
        <v>0</v>
      </c>
      <c r="L476">
        <v>37</v>
      </c>
      <c r="M476">
        <v>8</v>
      </c>
      <c r="N476">
        <v>282</v>
      </c>
      <c r="O476" s="3">
        <f t="shared" si="26"/>
        <v>3.2</v>
      </c>
      <c r="P476">
        <f t="shared" si="27"/>
        <v>0</v>
      </c>
      <c r="Q476">
        <f t="shared" si="28"/>
        <v>0</v>
      </c>
      <c r="S476">
        <v>-15.471739130434782</v>
      </c>
      <c r="T476">
        <v>-0.75</v>
      </c>
      <c r="U476">
        <v>-1.5217391304347827</v>
      </c>
      <c r="V476">
        <v>-14.799999999999999</v>
      </c>
      <c r="W476">
        <v>0</v>
      </c>
      <c r="X476">
        <v>1.6</v>
      </c>
      <c r="Y476">
        <v>0</v>
      </c>
    </row>
    <row r="477" spans="1:25" x14ac:dyDescent="0.2">
      <c r="A477" t="s">
        <v>25</v>
      </c>
      <c r="B477" t="s">
        <v>466</v>
      </c>
      <c r="C477">
        <v>570</v>
      </c>
      <c r="D477">
        <v>330</v>
      </c>
      <c r="E477">
        <v>37</v>
      </c>
      <c r="F477">
        <v>15</v>
      </c>
      <c r="G477">
        <v>0</v>
      </c>
      <c r="H477">
        <v>250</v>
      </c>
      <c r="I477">
        <v>1280</v>
      </c>
      <c r="J477">
        <v>42</v>
      </c>
      <c r="K477">
        <v>3</v>
      </c>
      <c r="L477">
        <v>3</v>
      </c>
      <c r="M477">
        <v>18</v>
      </c>
      <c r="N477">
        <v>570</v>
      </c>
      <c r="O477" s="3">
        <f t="shared" si="26"/>
        <v>3.1578947368421053</v>
      </c>
      <c r="P477">
        <f t="shared" si="27"/>
        <v>1</v>
      </c>
      <c r="Q477">
        <f t="shared" si="28"/>
        <v>0</v>
      </c>
      <c r="S477">
        <v>-14.191614906832296</v>
      </c>
      <c r="T477">
        <v>-3.75</v>
      </c>
      <c r="U477">
        <v>-13.913043478260869</v>
      </c>
      <c r="V477">
        <v>-1.2</v>
      </c>
      <c r="W477">
        <v>0</v>
      </c>
      <c r="X477">
        <v>3.5999999999999996</v>
      </c>
      <c r="Y477">
        <v>1.0714285714285714</v>
      </c>
    </row>
    <row r="478" spans="1:25" x14ac:dyDescent="0.2">
      <c r="A478" t="s">
        <v>25</v>
      </c>
      <c r="B478" t="s">
        <v>467</v>
      </c>
      <c r="C478">
        <v>190</v>
      </c>
      <c r="D478">
        <v>0</v>
      </c>
      <c r="E478">
        <v>0</v>
      </c>
      <c r="F478">
        <v>0</v>
      </c>
      <c r="G478">
        <v>0</v>
      </c>
      <c r="H478">
        <v>5</v>
      </c>
      <c r="I478">
        <v>150</v>
      </c>
      <c r="J478">
        <v>41</v>
      </c>
      <c r="K478">
        <v>0</v>
      </c>
      <c r="L478">
        <v>41</v>
      </c>
      <c r="M478">
        <v>6</v>
      </c>
      <c r="N478">
        <v>225</v>
      </c>
      <c r="O478" s="3">
        <f t="shared" si="26"/>
        <v>3.1578947368421053</v>
      </c>
      <c r="P478">
        <f t="shared" si="27"/>
        <v>0</v>
      </c>
      <c r="Q478">
        <f t="shared" si="28"/>
        <v>0</v>
      </c>
      <c r="S478">
        <v>-16.830434782608698</v>
      </c>
      <c r="T478">
        <v>0</v>
      </c>
      <c r="U478">
        <v>-1.6304347826086956</v>
      </c>
      <c r="V478">
        <v>-16.400000000000002</v>
      </c>
      <c r="W478">
        <v>0</v>
      </c>
      <c r="X478">
        <v>1.2</v>
      </c>
      <c r="Y478">
        <v>0</v>
      </c>
    </row>
    <row r="479" spans="1:25" x14ac:dyDescent="0.2">
      <c r="A479" t="s">
        <v>25</v>
      </c>
      <c r="B479" t="s">
        <v>468</v>
      </c>
      <c r="C479">
        <v>190</v>
      </c>
      <c r="D479">
        <v>0</v>
      </c>
      <c r="E479">
        <v>0</v>
      </c>
      <c r="F479">
        <v>0</v>
      </c>
      <c r="G479">
        <v>0</v>
      </c>
      <c r="H479">
        <v>5</v>
      </c>
      <c r="I479">
        <v>90</v>
      </c>
      <c r="J479">
        <v>43</v>
      </c>
      <c r="K479">
        <v>0</v>
      </c>
      <c r="L479">
        <v>43</v>
      </c>
      <c r="M479">
        <v>6</v>
      </c>
      <c r="N479">
        <v>227</v>
      </c>
      <c r="O479" s="3">
        <f t="shared" si="26"/>
        <v>3.1578947368421053</v>
      </c>
      <c r="P479">
        <f t="shared" si="27"/>
        <v>0</v>
      </c>
      <c r="Q479">
        <f t="shared" si="28"/>
        <v>0</v>
      </c>
      <c r="S479">
        <v>-16.978260869565222</v>
      </c>
      <c r="T479">
        <v>0</v>
      </c>
      <c r="U479">
        <v>-0.97826086956521752</v>
      </c>
      <c r="V479">
        <v>-17.200000000000003</v>
      </c>
      <c r="W479">
        <v>0</v>
      </c>
      <c r="X479">
        <v>1.2</v>
      </c>
      <c r="Y479">
        <v>0</v>
      </c>
    </row>
    <row r="480" spans="1:25" x14ac:dyDescent="0.2">
      <c r="A480" t="s">
        <v>25</v>
      </c>
      <c r="B480" t="s">
        <v>469</v>
      </c>
      <c r="C480">
        <v>190</v>
      </c>
      <c r="D480">
        <v>0</v>
      </c>
      <c r="E480">
        <v>0</v>
      </c>
      <c r="F480">
        <v>0</v>
      </c>
      <c r="G480">
        <v>0</v>
      </c>
      <c r="H480">
        <v>5</v>
      </c>
      <c r="I480">
        <v>90</v>
      </c>
      <c r="J480">
        <v>42</v>
      </c>
      <c r="K480">
        <v>0</v>
      </c>
      <c r="L480">
        <v>42</v>
      </c>
      <c r="M480">
        <v>6</v>
      </c>
      <c r="N480">
        <v>226</v>
      </c>
      <c r="O480" s="3">
        <f t="shared" si="26"/>
        <v>3.1578947368421053</v>
      </c>
      <c r="P480">
        <f t="shared" si="27"/>
        <v>0</v>
      </c>
      <c r="Q480">
        <f t="shared" si="28"/>
        <v>0</v>
      </c>
      <c r="S480">
        <v>-16.57826086956522</v>
      </c>
      <c r="T480">
        <v>0</v>
      </c>
      <c r="U480">
        <v>-0.97826086956521752</v>
      </c>
      <c r="V480">
        <v>-16.8</v>
      </c>
      <c r="W480">
        <v>0</v>
      </c>
      <c r="X480">
        <v>1.2</v>
      </c>
      <c r="Y480">
        <v>0</v>
      </c>
    </row>
    <row r="481" spans="1:25" x14ac:dyDescent="0.2">
      <c r="A481" t="s">
        <v>25</v>
      </c>
      <c r="B481" t="s">
        <v>470</v>
      </c>
      <c r="C481">
        <v>190</v>
      </c>
      <c r="D481">
        <v>0</v>
      </c>
      <c r="E481">
        <v>0</v>
      </c>
      <c r="F481">
        <v>0</v>
      </c>
      <c r="G481">
        <v>0</v>
      </c>
      <c r="H481">
        <v>5</v>
      </c>
      <c r="I481">
        <v>150</v>
      </c>
      <c r="J481">
        <v>40</v>
      </c>
      <c r="K481">
        <v>0</v>
      </c>
      <c r="L481">
        <v>40</v>
      </c>
      <c r="M481">
        <v>6</v>
      </c>
      <c r="N481">
        <v>224</v>
      </c>
      <c r="O481" s="3">
        <f t="shared" si="26"/>
        <v>3.1578947368421053</v>
      </c>
      <c r="P481">
        <f t="shared" si="27"/>
        <v>0</v>
      </c>
      <c r="Q481">
        <f t="shared" si="28"/>
        <v>0</v>
      </c>
      <c r="S481">
        <v>-16.4304347826087</v>
      </c>
      <c r="T481">
        <v>0</v>
      </c>
      <c r="U481">
        <v>-1.6304347826086956</v>
      </c>
      <c r="V481">
        <v>-16.000000000000004</v>
      </c>
      <c r="W481">
        <v>0</v>
      </c>
      <c r="X481">
        <v>1.2</v>
      </c>
      <c r="Y481">
        <v>0</v>
      </c>
    </row>
    <row r="482" spans="1:25" x14ac:dyDescent="0.2">
      <c r="A482" t="s">
        <v>25</v>
      </c>
      <c r="B482" t="s">
        <v>471</v>
      </c>
      <c r="C482">
        <v>190</v>
      </c>
      <c r="D482">
        <v>0</v>
      </c>
      <c r="E482">
        <v>0</v>
      </c>
      <c r="F482">
        <v>0</v>
      </c>
      <c r="G482">
        <v>0</v>
      </c>
      <c r="H482">
        <v>5</v>
      </c>
      <c r="I482">
        <v>80</v>
      </c>
      <c r="J482">
        <v>42</v>
      </c>
      <c r="K482">
        <v>0</v>
      </c>
      <c r="L482">
        <v>42</v>
      </c>
      <c r="M482">
        <v>6</v>
      </c>
      <c r="N482">
        <v>226</v>
      </c>
      <c r="O482" s="3">
        <f t="shared" si="26"/>
        <v>3.1578947368421053</v>
      </c>
      <c r="P482">
        <f t="shared" si="27"/>
        <v>0</v>
      </c>
      <c r="Q482">
        <f t="shared" si="28"/>
        <v>0</v>
      </c>
      <c r="S482">
        <v>-16.469565217391306</v>
      </c>
      <c r="T482">
        <v>0</v>
      </c>
      <c r="U482">
        <v>-0.86956521739130432</v>
      </c>
      <c r="V482">
        <v>-16.8</v>
      </c>
      <c r="W482">
        <v>0</v>
      </c>
      <c r="X482">
        <v>1.2</v>
      </c>
      <c r="Y482">
        <v>0</v>
      </c>
    </row>
    <row r="483" spans="1:25" x14ac:dyDescent="0.2">
      <c r="A483" t="s">
        <v>25</v>
      </c>
      <c r="B483" t="s">
        <v>472</v>
      </c>
      <c r="C483">
        <v>190</v>
      </c>
      <c r="D483">
        <v>0</v>
      </c>
      <c r="E483">
        <v>0</v>
      </c>
      <c r="F483">
        <v>0</v>
      </c>
      <c r="G483">
        <v>0</v>
      </c>
      <c r="H483">
        <v>5</v>
      </c>
      <c r="I483">
        <v>85</v>
      </c>
      <c r="J483">
        <v>41</v>
      </c>
      <c r="K483">
        <v>0</v>
      </c>
      <c r="L483">
        <v>41</v>
      </c>
      <c r="M483">
        <v>6</v>
      </c>
      <c r="N483">
        <v>225</v>
      </c>
      <c r="O483" s="3">
        <f t="shared" si="26"/>
        <v>3.1578947368421053</v>
      </c>
      <c r="P483">
        <f t="shared" si="27"/>
        <v>0</v>
      </c>
      <c r="Q483">
        <f t="shared" si="28"/>
        <v>0</v>
      </c>
      <c r="S483">
        <v>-16.123913043478264</v>
      </c>
      <c r="T483">
        <v>0</v>
      </c>
      <c r="U483">
        <v>-0.92391304347826086</v>
      </c>
      <c r="V483">
        <v>-16.400000000000002</v>
      </c>
      <c r="W483">
        <v>0</v>
      </c>
      <c r="X483">
        <v>1.2</v>
      </c>
      <c r="Y483">
        <v>0</v>
      </c>
    </row>
    <row r="484" spans="1:25" x14ac:dyDescent="0.2">
      <c r="A484" t="s">
        <v>25</v>
      </c>
      <c r="B484" t="s">
        <v>476</v>
      </c>
      <c r="C484">
        <v>1150</v>
      </c>
      <c r="D484">
        <v>540</v>
      </c>
      <c r="E484">
        <v>60</v>
      </c>
      <c r="F484">
        <v>20</v>
      </c>
      <c r="G484">
        <v>0</v>
      </c>
      <c r="H484">
        <v>575</v>
      </c>
      <c r="I484">
        <v>2260</v>
      </c>
      <c r="J484">
        <v>116</v>
      </c>
      <c r="K484">
        <v>7</v>
      </c>
      <c r="L484">
        <v>17</v>
      </c>
      <c r="M484">
        <v>36</v>
      </c>
      <c r="N484">
        <v>1151</v>
      </c>
      <c r="O484" s="3">
        <f t="shared" si="26"/>
        <v>3.1304347826086958</v>
      </c>
      <c r="P484">
        <f t="shared" si="27"/>
        <v>1</v>
      </c>
      <c r="Q484">
        <f t="shared" si="28"/>
        <v>1</v>
      </c>
      <c r="S484">
        <v>-26.665217391304349</v>
      </c>
      <c r="T484">
        <v>-5</v>
      </c>
      <c r="U484">
        <v>-24.565217391304348</v>
      </c>
      <c r="V484">
        <v>-6.8000000000000007</v>
      </c>
      <c r="W484">
        <v>0</v>
      </c>
      <c r="X484">
        <v>7.1999999999999993</v>
      </c>
      <c r="Y484">
        <v>2.5</v>
      </c>
    </row>
    <row r="485" spans="1:25" x14ac:dyDescent="0.2">
      <c r="A485" t="s">
        <v>25</v>
      </c>
      <c r="B485" t="s">
        <v>477</v>
      </c>
      <c r="C485">
        <v>160</v>
      </c>
      <c r="D485">
        <v>30</v>
      </c>
      <c r="E485">
        <v>3</v>
      </c>
      <c r="F485">
        <v>0.5</v>
      </c>
      <c r="G485">
        <v>0</v>
      </c>
      <c r="H485">
        <v>0</v>
      </c>
      <c r="I485">
        <v>280</v>
      </c>
      <c r="J485">
        <v>27</v>
      </c>
      <c r="K485">
        <v>2</v>
      </c>
      <c r="L485">
        <v>2</v>
      </c>
      <c r="M485">
        <v>5</v>
      </c>
      <c r="N485">
        <v>157.5</v>
      </c>
      <c r="O485" s="3">
        <f t="shared" si="26"/>
        <v>3.125</v>
      </c>
      <c r="P485">
        <f t="shared" si="27"/>
        <v>0</v>
      </c>
      <c r="Q485">
        <f t="shared" si="28"/>
        <v>0</v>
      </c>
      <c r="S485">
        <v>-2.2541925465838508</v>
      </c>
      <c r="T485">
        <v>-0.125</v>
      </c>
      <c r="U485">
        <v>-3.0434782608695654</v>
      </c>
      <c r="V485">
        <v>-0.8</v>
      </c>
      <c r="W485">
        <v>0</v>
      </c>
      <c r="X485">
        <v>1.0000000000000002</v>
      </c>
      <c r="Y485">
        <v>0.7142857142857143</v>
      </c>
    </row>
    <row r="486" spans="1:25" x14ac:dyDescent="0.2">
      <c r="A486" t="s">
        <v>25</v>
      </c>
      <c r="B486" t="s">
        <v>478</v>
      </c>
      <c r="C486">
        <v>480</v>
      </c>
      <c r="D486">
        <v>240</v>
      </c>
      <c r="E486">
        <v>27</v>
      </c>
      <c r="F486">
        <v>12</v>
      </c>
      <c r="G486">
        <v>0</v>
      </c>
      <c r="H486">
        <v>235</v>
      </c>
      <c r="I486">
        <v>1270</v>
      </c>
      <c r="J486">
        <v>43</v>
      </c>
      <c r="K486">
        <v>3</v>
      </c>
      <c r="L486">
        <v>4</v>
      </c>
      <c r="M486">
        <v>15</v>
      </c>
      <c r="N486">
        <v>481</v>
      </c>
      <c r="O486" s="3">
        <f t="shared" si="26"/>
        <v>3.125</v>
      </c>
      <c r="P486">
        <f t="shared" si="27"/>
        <v>1</v>
      </c>
      <c r="Q486">
        <f t="shared" si="28"/>
        <v>0</v>
      </c>
      <c r="S486">
        <v>-14.332919254658387</v>
      </c>
      <c r="T486">
        <v>-3</v>
      </c>
      <c r="U486">
        <v>-13.804347826086957</v>
      </c>
      <c r="V486">
        <v>-1.6</v>
      </c>
      <c r="W486">
        <v>0</v>
      </c>
      <c r="X486">
        <v>3</v>
      </c>
      <c r="Y486">
        <v>1.0714285714285714</v>
      </c>
    </row>
    <row r="487" spans="1:25" x14ac:dyDescent="0.2">
      <c r="A487" t="s">
        <v>25</v>
      </c>
      <c r="B487" t="s">
        <v>480</v>
      </c>
      <c r="C487">
        <v>230</v>
      </c>
      <c r="D487">
        <v>0</v>
      </c>
      <c r="E487">
        <v>0</v>
      </c>
      <c r="F487">
        <v>0</v>
      </c>
      <c r="G487">
        <v>0</v>
      </c>
      <c r="H487">
        <v>5</v>
      </c>
      <c r="I487">
        <v>180</v>
      </c>
      <c r="J487">
        <v>49</v>
      </c>
      <c r="K487">
        <v>0</v>
      </c>
      <c r="L487">
        <v>49</v>
      </c>
      <c r="M487">
        <v>7</v>
      </c>
      <c r="N487">
        <v>272</v>
      </c>
      <c r="O487" s="3">
        <f t="shared" si="26"/>
        <v>3.0434782608695654</v>
      </c>
      <c r="P487">
        <f t="shared" si="27"/>
        <v>0</v>
      </c>
      <c r="Q487">
        <f t="shared" si="28"/>
        <v>0</v>
      </c>
      <c r="S487">
        <v>-20.156521739130437</v>
      </c>
      <c r="T487">
        <v>0</v>
      </c>
      <c r="U487">
        <v>-1.956521739130435</v>
      </c>
      <c r="V487">
        <v>-19.600000000000001</v>
      </c>
      <c r="W487">
        <v>0</v>
      </c>
      <c r="X487">
        <v>1.4000000000000001</v>
      </c>
      <c r="Y487">
        <v>0</v>
      </c>
    </row>
    <row r="488" spans="1:25" x14ac:dyDescent="0.2">
      <c r="A488" t="s">
        <v>25</v>
      </c>
      <c r="B488" t="s">
        <v>481</v>
      </c>
      <c r="C488">
        <v>230</v>
      </c>
      <c r="D488">
        <v>0</v>
      </c>
      <c r="E488">
        <v>0</v>
      </c>
      <c r="F488">
        <v>0</v>
      </c>
      <c r="G488">
        <v>0</v>
      </c>
      <c r="H488">
        <v>5</v>
      </c>
      <c r="I488">
        <v>100</v>
      </c>
      <c r="J488">
        <v>51</v>
      </c>
      <c r="K488">
        <v>0</v>
      </c>
      <c r="L488">
        <v>51</v>
      </c>
      <c r="M488">
        <v>7</v>
      </c>
      <c r="N488">
        <v>274</v>
      </c>
      <c r="O488" s="3">
        <f t="shared" si="26"/>
        <v>3.0434782608695654</v>
      </c>
      <c r="P488">
        <f t="shared" si="27"/>
        <v>0</v>
      </c>
      <c r="Q488">
        <f t="shared" si="28"/>
        <v>0</v>
      </c>
      <c r="S488">
        <v>-20.086956521739133</v>
      </c>
      <c r="T488">
        <v>0</v>
      </c>
      <c r="U488">
        <v>-1.0869565217391304</v>
      </c>
      <c r="V488">
        <v>-20.400000000000002</v>
      </c>
      <c r="W488">
        <v>0</v>
      </c>
      <c r="X488">
        <v>1.4000000000000001</v>
      </c>
      <c r="Y488">
        <v>0</v>
      </c>
    </row>
    <row r="489" spans="1:25" x14ac:dyDescent="0.2">
      <c r="A489" t="s">
        <v>25</v>
      </c>
      <c r="B489" t="s">
        <v>482</v>
      </c>
      <c r="C489">
        <v>230</v>
      </c>
      <c r="D489">
        <v>0</v>
      </c>
      <c r="E489">
        <v>0</v>
      </c>
      <c r="F489">
        <v>0</v>
      </c>
      <c r="G489">
        <v>0</v>
      </c>
      <c r="H489">
        <v>5</v>
      </c>
      <c r="I489">
        <v>100</v>
      </c>
      <c r="J489">
        <v>51</v>
      </c>
      <c r="K489">
        <v>0</v>
      </c>
      <c r="L489">
        <v>51</v>
      </c>
      <c r="M489">
        <v>7</v>
      </c>
      <c r="N489">
        <v>274</v>
      </c>
      <c r="O489" s="3">
        <f t="shared" si="26"/>
        <v>3.0434782608695654</v>
      </c>
      <c r="P489">
        <f t="shared" si="27"/>
        <v>0</v>
      </c>
      <c r="Q489">
        <f t="shared" si="28"/>
        <v>0</v>
      </c>
      <c r="S489">
        <v>-20.086956521739133</v>
      </c>
      <c r="T489">
        <v>0</v>
      </c>
      <c r="U489">
        <v>-1.0869565217391304</v>
      </c>
      <c r="V489">
        <v>-20.400000000000002</v>
      </c>
      <c r="W489">
        <v>0</v>
      </c>
      <c r="X489">
        <v>1.4000000000000001</v>
      </c>
      <c r="Y489">
        <v>0</v>
      </c>
    </row>
    <row r="490" spans="1:25" x14ac:dyDescent="0.2">
      <c r="A490" t="s">
        <v>25</v>
      </c>
      <c r="B490" t="s">
        <v>483</v>
      </c>
      <c r="C490">
        <v>230</v>
      </c>
      <c r="D490">
        <v>60</v>
      </c>
      <c r="E490">
        <v>7</v>
      </c>
      <c r="F490">
        <v>4</v>
      </c>
      <c r="G490">
        <v>0</v>
      </c>
      <c r="H490">
        <v>20</v>
      </c>
      <c r="I490">
        <v>140</v>
      </c>
      <c r="J490">
        <v>35</v>
      </c>
      <c r="K490">
        <v>0</v>
      </c>
      <c r="L490">
        <v>35</v>
      </c>
      <c r="M490">
        <v>7</v>
      </c>
      <c r="N490">
        <v>262</v>
      </c>
      <c r="O490" s="3">
        <f t="shared" si="26"/>
        <v>3.0434782608695654</v>
      </c>
      <c r="P490">
        <f t="shared" si="27"/>
        <v>0</v>
      </c>
      <c r="Q490">
        <f t="shared" si="28"/>
        <v>0</v>
      </c>
      <c r="S490">
        <v>-15.121739130434781</v>
      </c>
      <c r="T490">
        <v>-1</v>
      </c>
      <c r="U490">
        <v>-1.5217391304347827</v>
      </c>
      <c r="V490">
        <v>-13.999999999999998</v>
      </c>
      <c r="W490">
        <v>0</v>
      </c>
      <c r="X490">
        <v>1.4000000000000001</v>
      </c>
      <c r="Y490">
        <v>0</v>
      </c>
    </row>
    <row r="491" spans="1:25" x14ac:dyDescent="0.2">
      <c r="A491" t="s">
        <v>25</v>
      </c>
      <c r="B491" t="s">
        <v>484</v>
      </c>
      <c r="C491">
        <v>230</v>
      </c>
      <c r="D491">
        <v>60</v>
      </c>
      <c r="E491">
        <v>7</v>
      </c>
      <c r="F491">
        <v>4</v>
      </c>
      <c r="G491">
        <v>0</v>
      </c>
      <c r="H491">
        <v>20</v>
      </c>
      <c r="I491">
        <v>90</v>
      </c>
      <c r="J491">
        <v>36</v>
      </c>
      <c r="K491">
        <v>0</v>
      </c>
      <c r="L491">
        <v>36</v>
      </c>
      <c r="M491">
        <v>7</v>
      </c>
      <c r="N491">
        <v>263</v>
      </c>
      <c r="O491" s="3">
        <f t="shared" si="26"/>
        <v>3.0434782608695654</v>
      </c>
      <c r="P491">
        <f t="shared" si="27"/>
        <v>0</v>
      </c>
      <c r="Q491">
        <f t="shared" si="28"/>
        <v>0</v>
      </c>
      <c r="S491">
        <v>-14.978260869565217</v>
      </c>
      <c r="T491">
        <v>-1</v>
      </c>
      <c r="U491">
        <v>-0.97826086956521752</v>
      </c>
      <c r="V491">
        <v>-14.399999999999999</v>
      </c>
      <c r="W491">
        <v>0</v>
      </c>
      <c r="X491">
        <v>1.4000000000000001</v>
      </c>
      <c r="Y491">
        <v>0</v>
      </c>
    </row>
    <row r="492" spans="1:25" x14ac:dyDescent="0.2">
      <c r="A492" t="s">
        <v>25</v>
      </c>
      <c r="B492" t="s">
        <v>485</v>
      </c>
      <c r="C492">
        <v>230</v>
      </c>
      <c r="D492">
        <v>60</v>
      </c>
      <c r="E492">
        <v>7</v>
      </c>
      <c r="F492">
        <v>4</v>
      </c>
      <c r="G492">
        <v>0</v>
      </c>
      <c r="H492">
        <v>20</v>
      </c>
      <c r="I492">
        <v>90</v>
      </c>
      <c r="J492">
        <v>36</v>
      </c>
      <c r="K492">
        <v>0</v>
      </c>
      <c r="L492">
        <v>36</v>
      </c>
      <c r="M492">
        <v>7</v>
      </c>
      <c r="N492">
        <v>263</v>
      </c>
      <c r="O492" s="3">
        <f t="shared" si="26"/>
        <v>3.0434782608695654</v>
      </c>
      <c r="P492">
        <f t="shared" si="27"/>
        <v>0</v>
      </c>
      <c r="Q492">
        <f t="shared" si="28"/>
        <v>0</v>
      </c>
      <c r="S492">
        <v>-14.978260869565217</v>
      </c>
      <c r="T492">
        <v>-1</v>
      </c>
      <c r="U492">
        <v>-0.97826086956521752</v>
      </c>
      <c r="V492">
        <v>-14.399999999999999</v>
      </c>
      <c r="W492">
        <v>0</v>
      </c>
      <c r="X492">
        <v>1.4000000000000001</v>
      </c>
      <c r="Y492">
        <v>0</v>
      </c>
    </row>
    <row r="493" spans="1:25" x14ac:dyDescent="0.2">
      <c r="A493" t="s">
        <v>25</v>
      </c>
      <c r="B493" t="s">
        <v>486</v>
      </c>
      <c r="C493">
        <v>330</v>
      </c>
      <c r="D493">
        <v>50</v>
      </c>
      <c r="E493">
        <v>6</v>
      </c>
      <c r="F493">
        <v>3.5</v>
      </c>
      <c r="G493">
        <v>0</v>
      </c>
      <c r="H493">
        <v>10</v>
      </c>
      <c r="I493">
        <v>190</v>
      </c>
      <c r="J493">
        <v>58</v>
      </c>
      <c r="K493">
        <v>0</v>
      </c>
      <c r="L493">
        <v>50</v>
      </c>
      <c r="M493">
        <v>10</v>
      </c>
      <c r="N493">
        <v>373.5</v>
      </c>
      <c r="O493" s="3">
        <f t="shared" si="26"/>
        <v>3.0303030303030303</v>
      </c>
      <c r="P493">
        <f t="shared" si="27"/>
        <v>0</v>
      </c>
      <c r="Q493">
        <f t="shared" si="28"/>
        <v>0</v>
      </c>
      <c r="S493">
        <v>-20.940217391304348</v>
      </c>
      <c r="T493">
        <v>-0.875</v>
      </c>
      <c r="U493">
        <v>-2.0652173913043477</v>
      </c>
      <c r="V493">
        <v>-20</v>
      </c>
      <c r="W493">
        <v>0</v>
      </c>
      <c r="X493">
        <v>2.0000000000000004</v>
      </c>
      <c r="Y493">
        <v>0</v>
      </c>
    </row>
    <row r="494" spans="1:25" x14ac:dyDescent="0.2">
      <c r="A494" t="s">
        <v>25</v>
      </c>
      <c r="B494" t="s">
        <v>495</v>
      </c>
      <c r="C494">
        <v>200</v>
      </c>
      <c r="D494">
        <v>50</v>
      </c>
      <c r="E494">
        <v>6</v>
      </c>
      <c r="F494">
        <v>4</v>
      </c>
      <c r="G494">
        <v>0</v>
      </c>
      <c r="H494">
        <v>10</v>
      </c>
      <c r="I494">
        <v>140</v>
      </c>
      <c r="J494">
        <v>29</v>
      </c>
      <c r="K494">
        <v>0</v>
      </c>
      <c r="L494">
        <v>26</v>
      </c>
      <c r="M494">
        <v>6</v>
      </c>
      <c r="N494">
        <v>224</v>
      </c>
      <c r="O494" s="3">
        <f t="shared" si="26"/>
        <v>3</v>
      </c>
      <c r="P494">
        <f t="shared" si="27"/>
        <v>0</v>
      </c>
      <c r="Q494">
        <f t="shared" si="28"/>
        <v>0</v>
      </c>
      <c r="S494">
        <v>-11.721739130434784</v>
      </c>
      <c r="T494">
        <v>-1</v>
      </c>
      <c r="U494">
        <v>-1.5217391304347827</v>
      </c>
      <c r="V494">
        <v>-10.4</v>
      </c>
      <c r="W494">
        <v>0</v>
      </c>
      <c r="X494">
        <v>1.2</v>
      </c>
      <c r="Y494">
        <v>0</v>
      </c>
    </row>
    <row r="495" spans="1:25" x14ac:dyDescent="0.2">
      <c r="A495" t="s">
        <v>25</v>
      </c>
      <c r="B495" t="s">
        <v>501</v>
      </c>
      <c r="C495">
        <v>240</v>
      </c>
      <c r="D495">
        <v>45</v>
      </c>
      <c r="E495">
        <v>5</v>
      </c>
      <c r="F495">
        <v>3</v>
      </c>
      <c r="G495">
        <v>0</v>
      </c>
      <c r="H495">
        <v>5</v>
      </c>
      <c r="I495">
        <v>130</v>
      </c>
      <c r="J495">
        <v>41</v>
      </c>
      <c r="K495">
        <v>0</v>
      </c>
      <c r="L495">
        <v>34</v>
      </c>
      <c r="M495">
        <v>7</v>
      </c>
      <c r="N495">
        <v>270</v>
      </c>
      <c r="O495" s="3">
        <f t="shared" si="26"/>
        <v>2.9166666666666665</v>
      </c>
      <c r="P495">
        <f t="shared" si="27"/>
        <v>0</v>
      </c>
      <c r="Q495">
        <f t="shared" si="28"/>
        <v>0</v>
      </c>
      <c r="S495">
        <v>-14.36304347826087</v>
      </c>
      <c r="T495">
        <v>-0.75</v>
      </c>
      <c r="U495">
        <v>-1.4130434782608696</v>
      </c>
      <c r="V495">
        <v>-13.600000000000001</v>
      </c>
      <c r="W495">
        <v>0</v>
      </c>
      <c r="X495">
        <v>1.4000000000000001</v>
      </c>
      <c r="Y495">
        <v>0</v>
      </c>
    </row>
    <row r="496" spans="1:25" x14ac:dyDescent="0.2">
      <c r="A496" t="s">
        <v>25</v>
      </c>
      <c r="B496" t="s">
        <v>503</v>
      </c>
      <c r="C496">
        <v>520</v>
      </c>
      <c r="D496">
        <v>210</v>
      </c>
      <c r="E496">
        <v>24</v>
      </c>
      <c r="F496">
        <v>7</v>
      </c>
      <c r="G496">
        <v>0</v>
      </c>
      <c r="H496">
        <v>50</v>
      </c>
      <c r="I496">
        <v>930</v>
      </c>
      <c r="J496">
        <v>61</v>
      </c>
      <c r="K496">
        <v>3</v>
      </c>
      <c r="L496">
        <v>14</v>
      </c>
      <c r="M496">
        <v>15</v>
      </c>
      <c r="N496">
        <v>526</v>
      </c>
      <c r="O496" s="3">
        <f t="shared" si="26"/>
        <v>2.8846153846153846</v>
      </c>
      <c r="P496">
        <f t="shared" si="27"/>
        <v>1</v>
      </c>
      <c r="Q496">
        <f t="shared" si="28"/>
        <v>0</v>
      </c>
      <c r="S496">
        <v>-13.387267080745341</v>
      </c>
      <c r="T496">
        <v>-1.75</v>
      </c>
      <c r="U496">
        <v>-10.108695652173912</v>
      </c>
      <c r="V496">
        <v>-5.6000000000000005</v>
      </c>
      <c r="W496">
        <v>0</v>
      </c>
      <c r="X496">
        <v>3</v>
      </c>
      <c r="Y496">
        <v>1.0714285714285714</v>
      </c>
    </row>
    <row r="497" spans="1:25" x14ac:dyDescent="0.2">
      <c r="A497" t="s">
        <v>25</v>
      </c>
      <c r="B497" t="s">
        <v>505</v>
      </c>
      <c r="C497">
        <v>280</v>
      </c>
      <c r="D497">
        <v>50</v>
      </c>
      <c r="E497">
        <v>6</v>
      </c>
      <c r="F497">
        <v>3.5</v>
      </c>
      <c r="G497">
        <v>0</v>
      </c>
      <c r="H497">
        <v>10</v>
      </c>
      <c r="I497">
        <v>160</v>
      </c>
      <c r="J497">
        <v>50</v>
      </c>
      <c r="K497">
        <v>0</v>
      </c>
      <c r="L497">
        <v>42</v>
      </c>
      <c r="M497">
        <v>8</v>
      </c>
      <c r="N497">
        <v>317.5</v>
      </c>
      <c r="O497" s="3">
        <f t="shared" si="26"/>
        <v>2.8571428571428572</v>
      </c>
      <c r="P497">
        <f t="shared" si="27"/>
        <v>0</v>
      </c>
      <c r="Q497">
        <f t="shared" si="28"/>
        <v>0</v>
      </c>
      <c r="S497">
        <v>-17.814130434782609</v>
      </c>
      <c r="T497">
        <v>-0.875</v>
      </c>
      <c r="U497">
        <v>-1.7391304347826086</v>
      </c>
      <c r="V497">
        <v>-16.8</v>
      </c>
      <c r="W497">
        <v>0</v>
      </c>
      <c r="X497">
        <v>1.6</v>
      </c>
      <c r="Y497">
        <v>0</v>
      </c>
    </row>
    <row r="498" spans="1:25" x14ac:dyDescent="0.2">
      <c r="A498" t="s">
        <v>25</v>
      </c>
      <c r="B498" t="s">
        <v>506</v>
      </c>
      <c r="C498">
        <v>280</v>
      </c>
      <c r="D498">
        <v>70</v>
      </c>
      <c r="E498">
        <v>8</v>
      </c>
      <c r="F498">
        <v>4.5</v>
      </c>
      <c r="G498">
        <v>0</v>
      </c>
      <c r="H498">
        <v>25</v>
      </c>
      <c r="I498">
        <v>170</v>
      </c>
      <c r="J498">
        <v>43</v>
      </c>
      <c r="K498">
        <v>0</v>
      </c>
      <c r="L498">
        <v>43</v>
      </c>
      <c r="M498">
        <v>8</v>
      </c>
      <c r="N498">
        <v>319.5</v>
      </c>
      <c r="O498" s="3">
        <f t="shared" si="26"/>
        <v>2.8571428571428572</v>
      </c>
      <c r="P498">
        <f t="shared" si="27"/>
        <v>0</v>
      </c>
      <c r="Q498">
        <f t="shared" si="28"/>
        <v>0</v>
      </c>
      <c r="S498">
        <v>-18.572826086956525</v>
      </c>
      <c r="T498">
        <v>-1.125</v>
      </c>
      <c r="U498">
        <v>-1.8478260869565217</v>
      </c>
      <c r="V498">
        <v>-17.200000000000003</v>
      </c>
      <c r="W498">
        <v>0</v>
      </c>
      <c r="X498">
        <v>1.6</v>
      </c>
      <c r="Y498">
        <v>0</v>
      </c>
    </row>
    <row r="499" spans="1:25" x14ac:dyDescent="0.2">
      <c r="A499" t="s">
        <v>25</v>
      </c>
      <c r="B499" t="s">
        <v>507</v>
      </c>
      <c r="C499">
        <v>280</v>
      </c>
      <c r="D499">
        <v>70</v>
      </c>
      <c r="E499">
        <v>8</v>
      </c>
      <c r="F499">
        <v>4.5</v>
      </c>
      <c r="G499">
        <v>0</v>
      </c>
      <c r="H499">
        <v>25</v>
      </c>
      <c r="I499">
        <v>110</v>
      </c>
      <c r="J499">
        <v>45</v>
      </c>
      <c r="K499">
        <v>0</v>
      </c>
      <c r="L499">
        <v>45</v>
      </c>
      <c r="M499">
        <v>8</v>
      </c>
      <c r="N499">
        <v>321.5</v>
      </c>
      <c r="O499" s="3">
        <f t="shared" si="26"/>
        <v>2.8571428571428572</v>
      </c>
      <c r="P499">
        <f t="shared" si="27"/>
        <v>0</v>
      </c>
      <c r="Q499">
        <f t="shared" si="28"/>
        <v>0</v>
      </c>
      <c r="S499">
        <v>-18.720652173913045</v>
      </c>
      <c r="T499">
        <v>-1.125</v>
      </c>
      <c r="U499">
        <v>-1.1956521739130435</v>
      </c>
      <c r="V499">
        <v>-18.000000000000004</v>
      </c>
      <c r="W499">
        <v>0</v>
      </c>
      <c r="X499">
        <v>1.6</v>
      </c>
      <c r="Y499">
        <v>0</v>
      </c>
    </row>
    <row r="500" spans="1:25" x14ac:dyDescent="0.2">
      <c r="A500" t="s">
        <v>25</v>
      </c>
      <c r="B500" t="s">
        <v>508</v>
      </c>
      <c r="C500">
        <v>280</v>
      </c>
      <c r="D500">
        <v>70</v>
      </c>
      <c r="E500">
        <v>8</v>
      </c>
      <c r="F500">
        <v>4.5</v>
      </c>
      <c r="G500">
        <v>0</v>
      </c>
      <c r="H500">
        <v>25</v>
      </c>
      <c r="I500">
        <v>110</v>
      </c>
      <c r="J500">
        <v>44</v>
      </c>
      <c r="K500">
        <v>0</v>
      </c>
      <c r="L500">
        <v>44</v>
      </c>
      <c r="M500">
        <v>8</v>
      </c>
      <c r="N500">
        <v>320.5</v>
      </c>
      <c r="O500" s="3">
        <f t="shared" si="26"/>
        <v>2.8571428571428572</v>
      </c>
      <c r="P500">
        <f t="shared" si="27"/>
        <v>0</v>
      </c>
      <c r="Q500">
        <f t="shared" si="28"/>
        <v>0</v>
      </c>
      <c r="S500">
        <v>-18.320652173913043</v>
      </c>
      <c r="T500">
        <v>-1.125</v>
      </c>
      <c r="U500">
        <v>-1.1956521739130435</v>
      </c>
      <c r="V500">
        <v>-17.600000000000001</v>
      </c>
      <c r="W500">
        <v>0</v>
      </c>
      <c r="X500">
        <v>1.6</v>
      </c>
      <c r="Y500">
        <v>0</v>
      </c>
    </row>
    <row r="501" spans="1:25" x14ac:dyDescent="0.2">
      <c r="A501" t="s">
        <v>25</v>
      </c>
      <c r="B501" t="s">
        <v>516</v>
      </c>
      <c r="C501">
        <v>460</v>
      </c>
      <c r="D501">
        <v>160</v>
      </c>
      <c r="E501">
        <v>18</v>
      </c>
      <c r="F501">
        <v>10</v>
      </c>
      <c r="G501">
        <v>0.5</v>
      </c>
      <c r="H501">
        <v>40</v>
      </c>
      <c r="I501">
        <v>220</v>
      </c>
      <c r="J501">
        <v>63</v>
      </c>
      <c r="K501">
        <v>0</v>
      </c>
      <c r="L501">
        <v>54</v>
      </c>
      <c r="M501">
        <v>13</v>
      </c>
      <c r="N501">
        <v>511</v>
      </c>
      <c r="O501" s="3">
        <f t="shared" si="26"/>
        <v>2.8260869565217392</v>
      </c>
      <c r="P501">
        <f t="shared" si="27"/>
        <v>0</v>
      </c>
      <c r="Q501">
        <f t="shared" si="28"/>
        <v>0</v>
      </c>
      <c r="S501">
        <v>-23.891804347826085</v>
      </c>
      <c r="T501">
        <v>-2.5</v>
      </c>
      <c r="U501">
        <v>-2.3913043478260869</v>
      </c>
      <c r="V501">
        <v>-21.6</v>
      </c>
      <c r="W501">
        <v>-5.0000000000000001E-4</v>
      </c>
      <c r="X501">
        <v>2.6</v>
      </c>
      <c r="Y501">
        <v>0</v>
      </c>
    </row>
    <row r="502" spans="1:25" x14ac:dyDescent="0.2">
      <c r="A502" t="s">
        <v>25</v>
      </c>
      <c r="B502" t="s">
        <v>517</v>
      </c>
      <c r="C502">
        <v>250</v>
      </c>
      <c r="D502">
        <v>90</v>
      </c>
      <c r="E502">
        <v>11</v>
      </c>
      <c r="F502">
        <v>6</v>
      </c>
      <c r="G502">
        <v>0</v>
      </c>
      <c r="H502">
        <v>25</v>
      </c>
      <c r="I502">
        <v>150</v>
      </c>
      <c r="J502">
        <v>33</v>
      </c>
      <c r="K502">
        <v>0</v>
      </c>
      <c r="L502">
        <v>31</v>
      </c>
      <c r="M502">
        <v>7</v>
      </c>
      <c r="N502">
        <v>280</v>
      </c>
      <c r="O502" s="3">
        <f t="shared" si="26"/>
        <v>2.8000000000000003</v>
      </c>
      <c r="P502">
        <f t="shared" si="27"/>
        <v>0</v>
      </c>
      <c r="Q502">
        <f t="shared" si="28"/>
        <v>0</v>
      </c>
      <c r="S502">
        <v>-14.130434782608695</v>
      </c>
      <c r="T502">
        <v>-1.5</v>
      </c>
      <c r="U502">
        <v>-1.6304347826086956</v>
      </c>
      <c r="V502">
        <v>-12.4</v>
      </c>
      <c r="W502">
        <v>0</v>
      </c>
      <c r="X502">
        <v>1.4000000000000001</v>
      </c>
      <c r="Y502">
        <v>0</v>
      </c>
    </row>
    <row r="503" spans="1:25" x14ac:dyDescent="0.2">
      <c r="A503" t="s">
        <v>25</v>
      </c>
      <c r="B503" t="s">
        <v>523</v>
      </c>
      <c r="C503">
        <v>360</v>
      </c>
      <c r="D503">
        <v>130</v>
      </c>
      <c r="E503">
        <v>14</v>
      </c>
      <c r="F503">
        <v>8</v>
      </c>
      <c r="G503">
        <v>0.5</v>
      </c>
      <c r="H503">
        <v>35</v>
      </c>
      <c r="I503">
        <v>220</v>
      </c>
      <c r="J503">
        <v>47</v>
      </c>
      <c r="K503">
        <v>0</v>
      </c>
      <c r="L503">
        <v>46</v>
      </c>
      <c r="M503">
        <v>10</v>
      </c>
      <c r="N503">
        <v>404</v>
      </c>
      <c r="O503" s="3">
        <f t="shared" si="26"/>
        <v>2.7777777777777777</v>
      </c>
      <c r="P503">
        <f t="shared" si="27"/>
        <v>0</v>
      </c>
      <c r="Q503">
        <f t="shared" si="28"/>
        <v>0</v>
      </c>
      <c r="S503">
        <v>-20.791804347826087</v>
      </c>
      <c r="T503">
        <v>-2</v>
      </c>
      <c r="U503">
        <v>-2.3913043478260869</v>
      </c>
      <c r="V503">
        <v>-18.400000000000002</v>
      </c>
      <c r="W503">
        <v>-5.0000000000000001E-4</v>
      </c>
      <c r="X503">
        <v>2.0000000000000004</v>
      </c>
      <c r="Y503">
        <v>0</v>
      </c>
    </row>
    <row r="504" spans="1:25" x14ac:dyDescent="0.2">
      <c r="A504" t="s">
        <v>25</v>
      </c>
      <c r="B504" t="s">
        <v>527</v>
      </c>
      <c r="C504">
        <v>290</v>
      </c>
      <c r="D504">
        <v>70</v>
      </c>
      <c r="E504">
        <v>8</v>
      </c>
      <c r="F504">
        <v>4.5</v>
      </c>
      <c r="G504">
        <v>0</v>
      </c>
      <c r="H504">
        <v>25</v>
      </c>
      <c r="I504">
        <v>190</v>
      </c>
      <c r="J504">
        <v>49</v>
      </c>
      <c r="K504">
        <v>0</v>
      </c>
      <c r="L504">
        <v>49</v>
      </c>
      <c r="M504">
        <v>8</v>
      </c>
      <c r="N504">
        <v>335.5</v>
      </c>
      <c r="O504" s="3">
        <f t="shared" si="26"/>
        <v>2.7586206896551726</v>
      </c>
      <c r="P504">
        <f t="shared" si="27"/>
        <v>0</v>
      </c>
      <c r="Q504">
        <f t="shared" si="28"/>
        <v>0</v>
      </c>
      <c r="S504">
        <v>-21.190217391304348</v>
      </c>
      <c r="T504">
        <v>-1.125</v>
      </c>
      <c r="U504">
        <v>-2.0652173913043477</v>
      </c>
      <c r="V504">
        <v>-19.600000000000001</v>
      </c>
      <c r="W504">
        <v>0</v>
      </c>
      <c r="X504">
        <v>1.6</v>
      </c>
      <c r="Y504">
        <v>0</v>
      </c>
    </row>
    <row r="505" spans="1:25" x14ac:dyDescent="0.2">
      <c r="A505" t="s">
        <v>25</v>
      </c>
      <c r="B505" t="s">
        <v>528</v>
      </c>
      <c r="C505">
        <v>290</v>
      </c>
      <c r="D505">
        <v>100</v>
      </c>
      <c r="E505">
        <v>12</v>
      </c>
      <c r="F505">
        <v>7</v>
      </c>
      <c r="G505">
        <v>0</v>
      </c>
      <c r="H505">
        <v>25</v>
      </c>
      <c r="I505">
        <v>180</v>
      </c>
      <c r="J505">
        <v>39</v>
      </c>
      <c r="K505">
        <v>0</v>
      </c>
      <c r="L505">
        <v>38</v>
      </c>
      <c r="M505">
        <v>8</v>
      </c>
      <c r="N505">
        <v>327</v>
      </c>
      <c r="O505" s="3">
        <f t="shared" si="26"/>
        <v>2.7586206896551726</v>
      </c>
      <c r="P505">
        <f t="shared" si="27"/>
        <v>0</v>
      </c>
      <c r="Q505">
        <f t="shared" si="28"/>
        <v>0</v>
      </c>
      <c r="S505">
        <v>-17.306521739130435</v>
      </c>
      <c r="T505">
        <v>-1.75</v>
      </c>
      <c r="U505">
        <v>-1.956521739130435</v>
      </c>
      <c r="V505">
        <v>-15.200000000000003</v>
      </c>
      <c r="W505">
        <v>0</v>
      </c>
      <c r="X505">
        <v>1.6</v>
      </c>
      <c r="Y505">
        <v>0</v>
      </c>
    </row>
    <row r="506" spans="1:25" x14ac:dyDescent="0.2">
      <c r="A506" t="s">
        <v>25</v>
      </c>
      <c r="B506" t="s">
        <v>529</v>
      </c>
      <c r="C506">
        <v>330</v>
      </c>
      <c r="D506">
        <v>80</v>
      </c>
      <c r="E506">
        <v>9</v>
      </c>
      <c r="F506">
        <v>5</v>
      </c>
      <c r="G506">
        <v>0</v>
      </c>
      <c r="H506">
        <v>30</v>
      </c>
      <c r="I506">
        <v>210</v>
      </c>
      <c r="J506">
        <v>52</v>
      </c>
      <c r="K506">
        <v>0</v>
      </c>
      <c r="L506">
        <v>51</v>
      </c>
      <c r="M506">
        <v>9</v>
      </c>
      <c r="N506">
        <v>377</v>
      </c>
      <c r="O506" s="3">
        <f t="shared" si="26"/>
        <v>2.7272727272727271</v>
      </c>
      <c r="P506">
        <f t="shared" si="27"/>
        <v>0</v>
      </c>
      <c r="Q506">
        <f t="shared" si="28"/>
        <v>0</v>
      </c>
      <c r="S506">
        <v>-22.132608695652177</v>
      </c>
      <c r="T506">
        <v>-1.25</v>
      </c>
      <c r="U506">
        <v>-2.2826086956521738</v>
      </c>
      <c r="V506">
        <v>-20.400000000000002</v>
      </c>
      <c r="W506">
        <v>0</v>
      </c>
      <c r="X506">
        <v>1.7999999999999998</v>
      </c>
      <c r="Y506">
        <v>0</v>
      </c>
    </row>
    <row r="507" spans="1:25" x14ac:dyDescent="0.2">
      <c r="A507" t="s">
        <v>25</v>
      </c>
      <c r="B507" t="s">
        <v>530</v>
      </c>
      <c r="C507">
        <v>330</v>
      </c>
      <c r="D507">
        <v>80</v>
      </c>
      <c r="E507">
        <v>9</v>
      </c>
      <c r="F507">
        <v>5</v>
      </c>
      <c r="G507">
        <v>0</v>
      </c>
      <c r="H507">
        <v>30</v>
      </c>
      <c r="I507">
        <v>130</v>
      </c>
      <c r="J507">
        <v>53</v>
      </c>
      <c r="K507">
        <v>0</v>
      </c>
      <c r="L507">
        <v>53</v>
      </c>
      <c r="M507">
        <v>9</v>
      </c>
      <c r="N507">
        <v>379</v>
      </c>
      <c r="O507" s="3">
        <f t="shared" si="26"/>
        <v>2.7272727272727271</v>
      </c>
      <c r="P507">
        <f t="shared" si="27"/>
        <v>0</v>
      </c>
      <c r="Q507">
        <f t="shared" si="28"/>
        <v>0</v>
      </c>
      <c r="S507">
        <v>-22.063043478260873</v>
      </c>
      <c r="T507">
        <v>-1.25</v>
      </c>
      <c r="U507">
        <v>-1.4130434782608696</v>
      </c>
      <c r="V507">
        <v>-21.200000000000003</v>
      </c>
      <c r="W507">
        <v>0</v>
      </c>
      <c r="X507">
        <v>1.7999999999999998</v>
      </c>
      <c r="Y507">
        <v>0</v>
      </c>
    </row>
    <row r="508" spans="1:25" x14ac:dyDescent="0.2">
      <c r="A508" t="s">
        <v>25</v>
      </c>
      <c r="B508" t="s">
        <v>531</v>
      </c>
      <c r="C508">
        <v>330</v>
      </c>
      <c r="D508">
        <v>80</v>
      </c>
      <c r="E508">
        <v>9</v>
      </c>
      <c r="F508">
        <v>5</v>
      </c>
      <c r="G508">
        <v>0</v>
      </c>
      <c r="H508">
        <v>30</v>
      </c>
      <c r="I508">
        <v>130</v>
      </c>
      <c r="J508">
        <v>53</v>
      </c>
      <c r="K508">
        <v>0</v>
      </c>
      <c r="L508">
        <v>53</v>
      </c>
      <c r="M508">
        <v>9</v>
      </c>
      <c r="N508">
        <v>379</v>
      </c>
      <c r="O508" s="3">
        <f t="shared" si="26"/>
        <v>2.7272727272727271</v>
      </c>
      <c r="P508">
        <f t="shared" si="27"/>
        <v>0</v>
      </c>
      <c r="Q508">
        <f t="shared" si="28"/>
        <v>0</v>
      </c>
      <c r="S508">
        <v>-22.063043478260873</v>
      </c>
      <c r="T508">
        <v>-1.25</v>
      </c>
      <c r="U508">
        <v>-1.4130434782608696</v>
      </c>
      <c r="V508">
        <v>-21.200000000000003</v>
      </c>
      <c r="W508">
        <v>0</v>
      </c>
      <c r="X508">
        <v>1.7999999999999998</v>
      </c>
      <c r="Y508">
        <v>0</v>
      </c>
    </row>
    <row r="509" spans="1:25" x14ac:dyDescent="0.2">
      <c r="A509" t="s">
        <v>25</v>
      </c>
      <c r="B509" t="s">
        <v>532</v>
      </c>
      <c r="C509">
        <v>150</v>
      </c>
      <c r="D509">
        <v>35</v>
      </c>
      <c r="E509">
        <v>3.5</v>
      </c>
      <c r="F509">
        <v>2</v>
      </c>
      <c r="G509">
        <v>0</v>
      </c>
      <c r="H509">
        <v>15</v>
      </c>
      <c r="I509">
        <v>60</v>
      </c>
      <c r="J509">
        <v>24</v>
      </c>
      <c r="K509">
        <v>0</v>
      </c>
      <c r="L509">
        <v>18</v>
      </c>
      <c r="M509">
        <v>4</v>
      </c>
      <c r="N509">
        <v>166</v>
      </c>
      <c r="O509" s="3">
        <f t="shared" si="26"/>
        <v>2.666666666666667</v>
      </c>
      <c r="P509">
        <f t="shared" si="27"/>
        <v>0</v>
      </c>
      <c r="Q509">
        <f t="shared" si="28"/>
        <v>0</v>
      </c>
      <c r="S509">
        <v>-7.552173913043478</v>
      </c>
      <c r="T509">
        <v>-0.5</v>
      </c>
      <c r="U509">
        <v>-0.65217391304347827</v>
      </c>
      <c r="V509">
        <v>-7.1999999999999993</v>
      </c>
      <c r="W509">
        <v>0</v>
      </c>
      <c r="X509">
        <v>0.8</v>
      </c>
      <c r="Y509">
        <v>0</v>
      </c>
    </row>
    <row r="510" spans="1:25" x14ac:dyDescent="0.2">
      <c r="A510" t="s">
        <v>25</v>
      </c>
      <c r="B510" t="s">
        <v>533</v>
      </c>
      <c r="C510">
        <v>300</v>
      </c>
      <c r="D510">
        <v>110</v>
      </c>
      <c r="E510">
        <v>12</v>
      </c>
      <c r="F510">
        <v>7</v>
      </c>
      <c r="G510">
        <v>0</v>
      </c>
      <c r="H510">
        <v>25</v>
      </c>
      <c r="I510">
        <v>135</v>
      </c>
      <c r="J510">
        <v>41</v>
      </c>
      <c r="K510">
        <v>0</v>
      </c>
      <c r="L510">
        <v>35</v>
      </c>
      <c r="M510">
        <v>8</v>
      </c>
      <c r="N510">
        <v>334</v>
      </c>
      <c r="O510" s="3">
        <f t="shared" si="26"/>
        <v>2.666666666666667</v>
      </c>
      <c r="P510">
        <f t="shared" si="27"/>
        <v>0</v>
      </c>
      <c r="Q510">
        <f t="shared" si="28"/>
        <v>0</v>
      </c>
      <c r="S510">
        <v>-15.617391304347825</v>
      </c>
      <c r="T510">
        <v>-1.75</v>
      </c>
      <c r="U510">
        <v>-1.4673913043478262</v>
      </c>
      <c r="V510">
        <v>-13.999999999999998</v>
      </c>
      <c r="W510">
        <v>0</v>
      </c>
      <c r="X510">
        <v>1.6</v>
      </c>
      <c r="Y510">
        <v>0</v>
      </c>
    </row>
    <row r="511" spans="1:25" x14ac:dyDescent="0.2">
      <c r="A511" t="s">
        <v>25</v>
      </c>
      <c r="B511" t="s">
        <v>534</v>
      </c>
      <c r="C511">
        <v>300</v>
      </c>
      <c r="D511">
        <v>120</v>
      </c>
      <c r="E511">
        <v>14</v>
      </c>
      <c r="F511">
        <v>8</v>
      </c>
      <c r="G511">
        <v>0</v>
      </c>
      <c r="H511">
        <v>30</v>
      </c>
      <c r="I511">
        <v>160</v>
      </c>
      <c r="J511">
        <v>36</v>
      </c>
      <c r="K511">
        <v>0</v>
      </c>
      <c r="L511">
        <v>33</v>
      </c>
      <c r="M511">
        <v>8</v>
      </c>
      <c r="N511">
        <v>333</v>
      </c>
      <c r="O511" s="3">
        <f t="shared" si="26"/>
        <v>2.666666666666667</v>
      </c>
      <c r="P511">
        <f t="shared" si="27"/>
        <v>0</v>
      </c>
      <c r="Q511">
        <f t="shared" si="28"/>
        <v>0</v>
      </c>
      <c r="S511">
        <v>-15.339130434782609</v>
      </c>
      <c r="T511">
        <v>-2</v>
      </c>
      <c r="U511">
        <v>-1.7391304347826086</v>
      </c>
      <c r="V511">
        <v>-13.200000000000001</v>
      </c>
      <c r="W511">
        <v>0</v>
      </c>
      <c r="X511">
        <v>1.6</v>
      </c>
      <c r="Y511">
        <v>0</v>
      </c>
    </row>
    <row r="512" spans="1:25" x14ac:dyDescent="0.2">
      <c r="A512" t="s">
        <v>25</v>
      </c>
      <c r="B512" t="s">
        <v>540</v>
      </c>
      <c r="C512">
        <v>380</v>
      </c>
      <c r="D512">
        <v>130</v>
      </c>
      <c r="E512">
        <v>15</v>
      </c>
      <c r="F512">
        <v>9</v>
      </c>
      <c r="G512">
        <v>0.5</v>
      </c>
      <c r="H512">
        <v>30</v>
      </c>
      <c r="I512">
        <v>170</v>
      </c>
      <c r="J512">
        <v>53</v>
      </c>
      <c r="K512">
        <v>0</v>
      </c>
      <c r="L512">
        <v>45</v>
      </c>
      <c r="M512">
        <v>10</v>
      </c>
      <c r="N512">
        <v>424</v>
      </c>
      <c r="O512" s="3">
        <f t="shared" si="26"/>
        <v>2.6315789473684208</v>
      </c>
      <c r="P512">
        <f t="shared" si="27"/>
        <v>0</v>
      </c>
      <c r="Q512">
        <f t="shared" si="28"/>
        <v>0</v>
      </c>
      <c r="S512">
        <v>-20.098326086956522</v>
      </c>
      <c r="T512">
        <v>-2.25</v>
      </c>
      <c r="U512">
        <v>-1.8478260869565217</v>
      </c>
      <c r="V512">
        <v>-18.000000000000004</v>
      </c>
      <c r="W512">
        <v>-5.0000000000000001E-4</v>
      </c>
      <c r="X512">
        <v>2.0000000000000004</v>
      </c>
      <c r="Y512">
        <v>0</v>
      </c>
    </row>
    <row r="513" spans="1:25" x14ac:dyDescent="0.2">
      <c r="A513" t="s">
        <v>25</v>
      </c>
      <c r="B513" t="s">
        <v>541</v>
      </c>
      <c r="C513">
        <v>190</v>
      </c>
      <c r="D513">
        <v>40</v>
      </c>
      <c r="E513">
        <v>4.5</v>
      </c>
      <c r="F513">
        <v>2.5</v>
      </c>
      <c r="G513">
        <v>0</v>
      </c>
      <c r="H513">
        <v>15</v>
      </c>
      <c r="I513">
        <v>70</v>
      </c>
      <c r="J513">
        <v>33</v>
      </c>
      <c r="K513">
        <v>0</v>
      </c>
      <c r="L513">
        <v>33</v>
      </c>
      <c r="M513">
        <v>5</v>
      </c>
      <c r="N513">
        <v>220.5</v>
      </c>
      <c r="O513" s="3">
        <f t="shared" si="26"/>
        <v>2.6315789473684208</v>
      </c>
      <c r="P513">
        <f t="shared" si="27"/>
        <v>0</v>
      </c>
      <c r="Q513">
        <f t="shared" si="28"/>
        <v>0</v>
      </c>
      <c r="S513">
        <v>-13.585869565217392</v>
      </c>
      <c r="T513">
        <v>-0.625</v>
      </c>
      <c r="U513">
        <v>-0.76086956521739135</v>
      </c>
      <c r="V513">
        <v>-13.200000000000001</v>
      </c>
      <c r="W513">
        <v>0</v>
      </c>
      <c r="X513">
        <v>1.0000000000000002</v>
      </c>
      <c r="Y513">
        <v>0</v>
      </c>
    </row>
    <row r="514" spans="1:25" x14ac:dyDescent="0.2">
      <c r="A514" t="s">
        <v>25</v>
      </c>
      <c r="B514" t="s">
        <v>542</v>
      </c>
      <c r="C514">
        <v>380</v>
      </c>
      <c r="D514">
        <v>140</v>
      </c>
      <c r="E514">
        <v>16</v>
      </c>
      <c r="F514">
        <v>9</v>
      </c>
      <c r="G514">
        <v>0.5</v>
      </c>
      <c r="H514">
        <v>35</v>
      </c>
      <c r="I514">
        <v>210</v>
      </c>
      <c r="J514">
        <v>48</v>
      </c>
      <c r="K514">
        <v>0</v>
      </c>
      <c r="L514">
        <v>46</v>
      </c>
      <c r="M514">
        <v>10</v>
      </c>
      <c r="N514">
        <v>425</v>
      </c>
      <c r="O514" s="3">
        <f t="shared" ref="O514:O577" si="29">M514/C514*100</f>
        <v>2.6315789473684208</v>
      </c>
      <c r="P514">
        <f t="shared" ref="P514:P577" si="30">IF(I514&gt;2300*0.2,1,0)</f>
        <v>0</v>
      </c>
      <c r="Q514">
        <f t="shared" ref="Q514:Q577" si="31">IF(H514&gt;300,1,0)</f>
        <v>0</v>
      </c>
      <c r="S514">
        <v>-20.933108695652177</v>
      </c>
      <c r="T514">
        <v>-2.25</v>
      </c>
      <c r="U514">
        <v>-2.2826086956521738</v>
      </c>
      <c r="V514">
        <v>-18.400000000000002</v>
      </c>
      <c r="W514">
        <v>-5.0000000000000001E-4</v>
      </c>
      <c r="X514">
        <v>2.0000000000000004</v>
      </c>
      <c r="Y514">
        <v>0</v>
      </c>
    </row>
    <row r="515" spans="1:25" x14ac:dyDescent="0.2">
      <c r="A515" t="s">
        <v>25</v>
      </c>
      <c r="B515" t="s">
        <v>546</v>
      </c>
      <c r="C515">
        <v>420</v>
      </c>
      <c r="D515">
        <v>200</v>
      </c>
      <c r="E515">
        <v>22</v>
      </c>
      <c r="F515">
        <v>8</v>
      </c>
      <c r="G515">
        <v>0</v>
      </c>
      <c r="H515">
        <v>35</v>
      </c>
      <c r="I515">
        <v>1030</v>
      </c>
      <c r="J515">
        <v>44</v>
      </c>
      <c r="K515">
        <v>2</v>
      </c>
      <c r="L515">
        <v>15</v>
      </c>
      <c r="M515">
        <v>11</v>
      </c>
      <c r="N515">
        <v>432</v>
      </c>
      <c r="O515" s="3">
        <f t="shared" si="29"/>
        <v>2.6190476190476191</v>
      </c>
      <c r="P515">
        <f t="shared" si="30"/>
        <v>1</v>
      </c>
      <c r="Q515">
        <f t="shared" si="31"/>
        <v>0</v>
      </c>
      <c r="S515">
        <v>-16.281366459627332</v>
      </c>
      <c r="T515">
        <v>-2</v>
      </c>
      <c r="U515">
        <v>-11.195652173913045</v>
      </c>
      <c r="V515">
        <v>-6</v>
      </c>
      <c r="W515">
        <v>0</v>
      </c>
      <c r="X515">
        <v>2.2000000000000002</v>
      </c>
      <c r="Y515">
        <v>0.7142857142857143</v>
      </c>
    </row>
    <row r="516" spans="1:25" x14ac:dyDescent="0.2">
      <c r="A516" t="s">
        <v>25</v>
      </c>
      <c r="B516" t="s">
        <v>547</v>
      </c>
      <c r="C516">
        <v>230</v>
      </c>
      <c r="D516">
        <v>50</v>
      </c>
      <c r="E516">
        <v>6</v>
      </c>
      <c r="F516">
        <v>3.5</v>
      </c>
      <c r="G516">
        <v>0</v>
      </c>
      <c r="H516">
        <v>15</v>
      </c>
      <c r="I516">
        <v>150</v>
      </c>
      <c r="J516">
        <v>40</v>
      </c>
      <c r="K516">
        <v>0</v>
      </c>
      <c r="L516">
        <v>40</v>
      </c>
      <c r="M516">
        <v>6</v>
      </c>
      <c r="N516">
        <v>267.5</v>
      </c>
      <c r="O516" s="3">
        <f t="shared" si="29"/>
        <v>2.6086956521739131</v>
      </c>
      <c r="P516">
        <f t="shared" si="30"/>
        <v>0</v>
      </c>
      <c r="Q516">
        <f t="shared" si="31"/>
        <v>0</v>
      </c>
      <c r="S516">
        <v>-17.3054347826087</v>
      </c>
      <c r="T516">
        <v>-0.875</v>
      </c>
      <c r="U516">
        <v>-1.6304347826086956</v>
      </c>
      <c r="V516">
        <v>-16.000000000000004</v>
      </c>
      <c r="W516">
        <v>0</v>
      </c>
      <c r="X516">
        <v>1.2</v>
      </c>
      <c r="Y516">
        <v>0</v>
      </c>
    </row>
    <row r="517" spans="1:25" x14ac:dyDescent="0.2">
      <c r="A517" t="s">
        <v>25</v>
      </c>
      <c r="B517" t="s">
        <v>548</v>
      </c>
      <c r="C517">
        <v>230</v>
      </c>
      <c r="D517">
        <v>50</v>
      </c>
      <c r="E517">
        <v>6</v>
      </c>
      <c r="F517">
        <v>3.5</v>
      </c>
      <c r="G517">
        <v>0</v>
      </c>
      <c r="H517">
        <v>15</v>
      </c>
      <c r="I517">
        <v>85</v>
      </c>
      <c r="J517">
        <v>41</v>
      </c>
      <c r="K517">
        <v>0</v>
      </c>
      <c r="L517">
        <v>41</v>
      </c>
      <c r="M517">
        <v>6</v>
      </c>
      <c r="N517">
        <v>268.5</v>
      </c>
      <c r="O517" s="3">
        <f t="shared" si="29"/>
        <v>2.6086956521739131</v>
      </c>
      <c r="P517">
        <f t="shared" si="30"/>
        <v>0</v>
      </c>
      <c r="Q517">
        <f t="shared" si="31"/>
        <v>0</v>
      </c>
      <c r="S517">
        <v>-16.998913043478264</v>
      </c>
      <c r="T517">
        <v>-0.875</v>
      </c>
      <c r="U517">
        <v>-0.92391304347826086</v>
      </c>
      <c r="V517">
        <v>-16.400000000000002</v>
      </c>
      <c r="W517">
        <v>0</v>
      </c>
      <c r="X517">
        <v>1.2</v>
      </c>
      <c r="Y517">
        <v>0</v>
      </c>
    </row>
    <row r="518" spans="1:25" x14ac:dyDescent="0.2">
      <c r="A518" t="s">
        <v>25</v>
      </c>
      <c r="B518" t="s">
        <v>549</v>
      </c>
      <c r="C518">
        <v>230</v>
      </c>
      <c r="D518">
        <v>50</v>
      </c>
      <c r="E518">
        <v>6</v>
      </c>
      <c r="F518">
        <v>3.5</v>
      </c>
      <c r="G518">
        <v>0</v>
      </c>
      <c r="H518">
        <v>15</v>
      </c>
      <c r="I518">
        <v>85</v>
      </c>
      <c r="J518">
        <v>41</v>
      </c>
      <c r="K518">
        <v>0</v>
      </c>
      <c r="L518">
        <v>41</v>
      </c>
      <c r="M518">
        <v>6</v>
      </c>
      <c r="N518">
        <v>268.5</v>
      </c>
      <c r="O518" s="3">
        <f t="shared" si="29"/>
        <v>2.6086956521739131</v>
      </c>
      <c r="P518">
        <f t="shared" si="30"/>
        <v>0</v>
      </c>
      <c r="Q518">
        <f t="shared" si="31"/>
        <v>0</v>
      </c>
      <c r="S518">
        <v>-16.998913043478264</v>
      </c>
      <c r="T518">
        <v>-0.875</v>
      </c>
      <c r="U518">
        <v>-0.92391304347826086</v>
      </c>
      <c r="V518">
        <v>-16.400000000000002</v>
      </c>
      <c r="W518">
        <v>0</v>
      </c>
      <c r="X518">
        <v>1.2</v>
      </c>
      <c r="Y518">
        <v>0</v>
      </c>
    </row>
    <row r="519" spans="1:25" x14ac:dyDescent="0.2">
      <c r="A519" t="s">
        <v>25</v>
      </c>
      <c r="B519" t="s">
        <v>550</v>
      </c>
      <c r="C519">
        <v>270</v>
      </c>
      <c r="D519">
        <v>70</v>
      </c>
      <c r="E519">
        <v>8</v>
      </c>
      <c r="F519">
        <v>4.5</v>
      </c>
      <c r="G519">
        <v>0</v>
      </c>
      <c r="H519">
        <v>10</v>
      </c>
      <c r="I519">
        <v>140</v>
      </c>
      <c r="J519">
        <v>43</v>
      </c>
      <c r="K519">
        <v>0</v>
      </c>
      <c r="L519">
        <v>35</v>
      </c>
      <c r="M519">
        <v>7</v>
      </c>
      <c r="N519">
        <v>302.5</v>
      </c>
      <c r="O519" s="3">
        <f t="shared" si="29"/>
        <v>2.5925925925925926</v>
      </c>
      <c r="P519">
        <f t="shared" si="30"/>
        <v>0</v>
      </c>
      <c r="Q519">
        <f t="shared" si="31"/>
        <v>0</v>
      </c>
      <c r="S519">
        <v>-15.246739130434781</v>
      </c>
      <c r="T519">
        <v>-1.125</v>
      </c>
      <c r="U519">
        <v>-1.5217391304347827</v>
      </c>
      <c r="V519">
        <v>-13.999999999999998</v>
      </c>
      <c r="W519">
        <v>0</v>
      </c>
      <c r="X519">
        <v>1.4000000000000001</v>
      </c>
      <c r="Y519">
        <v>0</v>
      </c>
    </row>
    <row r="520" spans="1:25" x14ac:dyDescent="0.2">
      <c r="A520" t="s">
        <v>25</v>
      </c>
      <c r="B520" t="s">
        <v>554</v>
      </c>
      <c r="C520">
        <v>430</v>
      </c>
      <c r="D520">
        <v>240</v>
      </c>
      <c r="E520">
        <v>27</v>
      </c>
      <c r="F520">
        <v>12</v>
      </c>
      <c r="G520">
        <v>0</v>
      </c>
      <c r="H520">
        <v>30</v>
      </c>
      <c r="I520">
        <v>1080</v>
      </c>
      <c r="J520">
        <v>34</v>
      </c>
      <c r="K520">
        <v>2</v>
      </c>
      <c r="L520">
        <v>2</v>
      </c>
      <c r="M520">
        <v>11</v>
      </c>
      <c r="N520">
        <v>433</v>
      </c>
      <c r="O520" s="3">
        <f t="shared" si="29"/>
        <v>2.558139534883721</v>
      </c>
      <c r="P520">
        <f t="shared" si="30"/>
        <v>1</v>
      </c>
      <c r="Q520">
        <f t="shared" si="31"/>
        <v>0</v>
      </c>
      <c r="S520">
        <v>-12.624844720496897</v>
      </c>
      <c r="T520">
        <v>-3</v>
      </c>
      <c r="U520">
        <v>-11.739130434782609</v>
      </c>
      <c r="V520">
        <v>-0.8</v>
      </c>
      <c r="W520">
        <v>0</v>
      </c>
      <c r="X520">
        <v>2.2000000000000002</v>
      </c>
      <c r="Y520">
        <v>0.7142857142857143</v>
      </c>
    </row>
    <row r="521" spans="1:25" x14ac:dyDescent="0.2">
      <c r="A521" t="s">
        <v>25</v>
      </c>
      <c r="B521" t="s">
        <v>557</v>
      </c>
      <c r="C521">
        <v>160</v>
      </c>
      <c r="D521">
        <v>20</v>
      </c>
      <c r="E521">
        <v>2</v>
      </c>
      <c r="F521">
        <v>1</v>
      </c>
      <c r="G521">
        <v>0</v>
      </c>
      <c r="H521">
        <v>5</v>
      </c>
      <c r="I521">
        <v>85</v>
      </c>
      <c r="J521">
        <v>31</v>
      </c>
      <c r="K521">
        <v>1</v>
      </c>
      <c r="L521">
        <v>21</v>
      </c>
      <c r="M521">
        <v>4</v>
      </c>
      <c r="N521">
        <v>178</v>
      </c>
      <c r="O521" s="3">
        <f t="shared" si="29"/>
        <v>2.5</v>
      </c>
      <c r="P521">
        <f t="shared" si="30"/>
        <v>0</v>
      </c>
      <c r="Q521">
        <f t="shared" si="31"/>
        <v>0</v>
      </c>
      <c r="S521">
        <v>-8.4167701863354019</v>
      </c>
      <c r="T521">
        <v>-0.25</v>
      </c>
      <c r="U521">
        <v>-0.92391304347826086</v>
      </c>
      <c r="V521">
        <v>-8.4</v>
      </c>
      <c r="W521">
        <v>0</v>
      </c>
      <c r="X521">
        <v>0.8</v>
      </c>
      <c r="Y521">
        <v>0.35714285714285715</v>
      </c>
    </row>
    <row r="522" spans="1:25" x14ac:dyDescent="0.2">
      <c r="A522" t="s">
        <v>25</v>
      </c>
      <c r="B522" t="s">
        <v>558</v>
      </c>
      <c r="C522">
        <v>200</v>
      </c>
      <c r="D522">
        <v>45</v>
      </c>
      <c r="E522">
        <v>5</v>
      </c>
      <c r="F522">
        <v>3</v>
      </c>
      <c r="G522">
        <v>0</v>
      </c>
      <c r="H522">
        <v>15</v>
      </c>
      <c r="I522">
        <v>125</v>
      </c>
      <c r="J522">
        <v>32</v>
      </c>
      <c r="K522">
        <v>0</v>
      </c>
      <c r="L522">
        <v>32</v>
      </c>
      <c r="M522">
        <v>5</v>
      </c>
      <c r="N522">
        <v>230</v>
      </c>
      <c r="O522" s="3">
        <f t="shared" si="29"/>
        <v>2.5</v>
      </c>
      <c r="P522">
        <f t="shared" si="30"/>
        <v>0</v>
      </c>
      <c r="Q522">
        <f t="shared" si="31"/>
        <v>0</v>
      </c>
      <c r="S522">
        <v>-13.908695652173915</v>
      </c>
      <c r="T522">
        <v>-0.75</v>
      </c>
      <c r="U522">
        <v>-1.3586956521739131</v>
      </c>
      <c r="V522">
        <v>-12.8</v>
      </c>
      <c r="W522">
        <v>0</v>
      </c>
      <c r="X522">
        <v>1.0000000000000002</v>
      </c>
      <c r="Y522">
        <v>0</v>
      </c>
    </row>
    <row r="523" spans="1:25" x14ac:dyDescent="0.2">
      <c r="A523" t="s">
        <v>25</v>
      </c>
      <c r="B523" t="s">
        <v>559</v>
      </c>
      <c r="C523">
        <v>240</v>
      </c>
      <c r="D523">
        <v>50</v>
      </c>
      <c r="E523">
        <v>6</v>
      </c>
      <c r="F523">
        <v>3.5</v>
      </c>
      <c r="G523">
        <v>0</v>
      </c>
      <c r="H523">
        <v>20</v>
      </c>
      <c r="I523">
        <v>150</v>
      </c>
      <c r="J523">
        <v>41</v>
      </c>
      <c r="K523">
        <v>0</v>
      </c>
      <c r="L523">
        <v>40</v>
      </c>
      <c r="M523">
        <v>6</v>
      </c>
      <c r="N523">
        <v>277.5</v>
      </c>
      <c r="O523" s="3">
        <f t="shared" si="29"/>
        <v>2.5</v>
      </c>
      <c r="P523">
        <f t="shared" si="30"/>
        <v>0</v>
      </c>
      <c r="Q523">
        <f t="shared" si="31"/>
        <v>0</v>
      </c>
      <c r="S523">
        <v>-17.3054347826087</v>
      </c>
      <c r="T523">
        <v>-0.875</v>
      </c>
      <c r="U523">
        <v>-1.6304347826086956</v>
      </c>
      <c r="V523">
        <v>-16.000000000000004</v>
      </c>
      <c r="W523">
        <v>0</v>
      </c>
      <c r="X523">
        <v>1.2</v>
      </c>
      <c r="Y523">
        <v>0</v>
      </c>
    </row>
    <row r="524" spans="1:25" x14ac:dyDescent="0.2">
      <c r="A524" t="s">
        <v>25</v>
      </c>
      <c r="B524" t="s">
        <v>560</v>
      </c>
      <c r="C524">
        <v>200</v>
      </c>
      <c r="D524">
        <v>45</v>
      </c>
      <c r="E524">
        <v>5</v>
      </c>
      <c r="F524">
        <v>3</v>
      </c>
      <c r="G524">
        <v>0</v>
      </c>
      <c r="H524">
        <v>15</v>
      </c>
      <c r="I524">
        <v>70</v>
      </c>
      <c r="J524">
        <v>34</v>
      </c>
      <c r="K524">
        <v>0</v>
      </c>
      <c r="L524">
        <v>34</v>
      </c>
      <c r="M524">
        <v>5</v>
      </c>
      <c r="N524">
        <v>232</v>
      </c>
      <c r="O524" s="3">
        <f t="shared" si="29"/>
        <v>2.5</v>
      </c>
      <c r="P524">
        <f t="shared" si="30"/>
        <v>0</v>
      </c>
      <c r="Q524">
        <f t="shared" si="31"/>
        <v>0</v>
      </c>
      <c r="S524">
        <v>-14.110869565217392</v>
      </c>
      <c r="T524">
        <v>-0.75</v>
      </c>
      <c r="U524">
        <v>-0.76086956521739135</v>
      </c>
      <c r="V524">
        <v>-13.600000000000001</v>
      </c>
      <c r="W524">
        <v>0</v>
      </c>
      <c r="X524">
        <v>1.0000000000000002</v>
      </c>
      <c r="Y524">
        <v>0</v>
      </c>
    </row>
    <row r="525" spans="1:25" x14ac:dyDescent="0.2">
      <c r="A525" t="s">
        <v>25</v>
      </c>
      <c r="B525" t="s">
        <v>561</v>
      </c>
      <c r="C525">
        <v>240</v>
      </c>
      <c r="D525">
        <v>50</v>
      </c>
      <c r="E525">
        <v>6</v>
      </c>
      <c r="F525">
        <v>3.5</v>
      </c>
      <c r="G525">
        <v>0</v>
      </c>
      <c r="H525">
        <v>20</v>
      </c>
      <c r="I525">
        <v>85</v>
      </c>
      <c r="J525">
        <v>42</v>
      </c>
      <c r="K525">
        <v>0</v>
      </c>
      <c r="L525">
        <v>42</v>
      </c>
      <c r="M525">
        <v>6</v>
      </c>
      <c r="N525">
        <v>279.5</v>
      </c>
      <c r="O525" s="3">
        <f t="shared" si="29"/>
        <v>2.5</v>
      </c>
      <c r="P525">
        <f t="shared" si="30"/>
        <v>0</v>
      </c>
      <c r="Q525">
        <f t="shared" si="31"/>
        <v>0</v>
      </c>
      <c r="S525">
        <v>-17.398913043478263</v>
      </c>
      <c r="T525">
        <v>-0.875</v>
      </c>
      <c r="U525">
        <v>-0.92391304347826086</v>
      </c>
      <c r="V525">
        <v>-16.8</v>
      </c>
      <c r="W525">
        <v>0</v>
      </c>
      <c r="X525">
        <v>1.2</v>
      </c>
      <c r="Y525">
        <v>0</v>
      </c>
    </row>
    <row r="526" spans="1:25" x14ac:dyDescent="0.2">
      <c r="A526" t="s">
        <v>25</v>
      </c>
      <c r="B526" t="s">
        <v>562</v>
      </c>
      <c r="C526">
        <v>200</v>
      </c>
      <c r="D526">
        <v>45</v>
      </c>
      <c r="E526">
        <v>5</v>
      </c>
      <c r="F526">
        <v>3</v>
      </c>
      <c r="G526">
        <v>0</v>
      </c>
      <c r="H526">
        <v>15</v>
      </c>
      <c r="I526">
        <v>70</v>
      </c>
      <c r="J526">
        <v>34</v>
      </c>
      <c r="K526">
        <v>0</v>
      </c>
      <c r="L526">
        <v>34</v>
      </c>
      <c r="M526">
        <v>5</v>
      </c>
      <c r="N526">
        <v>232</v>
      </c>
      <c r="O526" s="3">
        <f t="shared" si="29"/>
        <v>2.5</v>
      </c>
      <c r="P526">
        <f t="shared" si="30"/>
        <v>0</v>
      </c>
      <c r="Q526">
        <f t="shared" si="31"/>
        <v>0</v>
      </c>
      <c r="S526">
        <v>-14.110869565217392</v>
      </c>
      <c r="T526">
        <v>-0.75</v>
      </c>
      <c r="U526">
        <v>-0.76086956521739135</v>
      </c>
      <c r="V526">
        <v>-13.600000000000001</v>
      </c>
      <c r="W526">
        <v>0</v>
      </c>
      <c r="X526">
        <v>1.0000000000000002</v>
      </c>
      <c r="Y526">
        <v>0</v>
      </c>
    </row>
    <row r="527" spans="1:25" x14ac:dyDescent="0.2">
      <c r="A527" t="s">
        <v>25</v>
      </c>
      <c r="B527" t="s">
        <v>563</v>
      </c>
      <c r="C527">
        <v>240</v>
      </c>
      <c r="D527">
        <v>50</v>
      </c>
      <c r="E527">
        <v>6</v>
      </c>
      <c r="F527">
        <v>3.5</v>
      </c>
      <c r="G527">
        <v>0</v>
      </c>
      <c r="H527">
        <v>20</v>
      </c>
      <c r="I527">
        <v>85</v>
      </c>
      <c r="J527">
        <v>42</v>
      </c>
      <c r="K527">
        <v>0</v>
      </c>
      <c r="L527">
        <v>42</v>
      </c>
      <c r="M527">
        <v>6</v>
      </c>
      <c r="N527">
        <v>279.5</v>
      </c>
      <c r="O527" s="3">
        <f t="shared" si="29"/>
        <v>2.5</v>
      </c>
      <c r="P527">
        <f t="shared" si="30"/>
        <v>0</v>
      </c>
      <c r="Q527">
        <f t="shared" si="31"/>
        <v>0</v>
      </c>
      <c r="S527">
        <v>-17.398913043478263</v>
      </c>
      <c r="T527">
        <v>-0.875</v>
      </c>
      <c r="U527">
        <v>-0.92391304347826086</v>
      </c>
      <c r="V527">
        <v>-16.8</v>
      </c>
      <c r="W527">
        <v>0</v>
      </c>
      <c r="X527">
        <v>1.2</v>
      </c>
      <c r="Y527">
        <v>0</v>
      </c>
    </row>
    <row r="528" spans="1:25" x14ac:dyDescent="0.2">
      <c r="A528" t="s">
        <v>25</v>
      </c>
      <c r="B528" t="s">
        <v>564</v>
      </c>
      <c r="C528">
        <v>400</v>
      </c>
      <c r="D528">
        <v>130</v>
      </c>
      <c r="E528">
        <v>14</v>
      </c>
      <c r="F528">
        <v>8</v>
      </c>
      <c r="G528">
        <v>0.5</v>
      </c>
      <c r="H528">
        <v>30</v>
      </c>
      <c r="I528">
        <v>190</v>
      </c>
      <c r="J528">
        <v>58</v>
      </c>
      <c r="K528">
        <v>0</v>
      </c>
      <c r="L528">
        <v>49</v>
      </c>
      <c r="M528">
        <v>10</v>
      </c>
      <c r="N528">
        <v>447</v>
      </c>
      <c r="O528" s="3">
        <f t="shared" si="29"/>
        <v>2.5</v>
      </c>
      <c r="P528">
        <f t="shared" si="30"/>
        <v>0</v>
      </c>
      <c r="Q528">
        <f t="shared" si="31"/>
        <v>0</v>
      </c>
      <c r="S528">
        <v>-21.665717391304348</v>
      </c>
      <c r="T528">
        <v>-2</v>
      </c>
      <c r="U528">
        <v>-2.0652173913043477</v>
      </c>
      <c r="V528">
        <v>-19.600000000000001</v>
      </c>
      <c r="W528">
        <v>-5.0000000000000001E-4</v>
      </c>
      <c r="X528">
        <v>2.0000000000000004</v>
      </c>
      <c r="Y528">
        <v>0</v>
      </c>
    </row>
    <row r="529" spans="1:25" x14ac:dyDescent="0.2">
      <c r="A529" t="s">
        <v>25</v>
      </c>
      <c r="B529" t="s">
        <v>565</v>
      </c>
      <c r="C529">
        <v>240</v>
      </c>
      <c r="D529">
        <v>100</v>
      </c>
      <c r="E529">
        <v>12</v>
      </c>
      <c r="F529">
        <v>7</v>
      </c>
      <c r="G529">
        <v>0</v>
      </c>
      <c r="H529">
        <v>25</v>
      </c>
      <c r="I529">
        <v>130</v>
      </c>
      <c r="J529">
        <v>29</v>
      </c>
      <c r="K529">
        <v>0</v>
      </c>
      <c r="L529">
        <v>26</v>
      </c>
      <c r="M529">
        <v>6</v>
      </c>
      <c r="N529">
        <v>267</v>
      </c>
      <c r="O529" s="3">
        <f t="shared" si="29"/>
        <v>2.5</v>
      </c>
      <c r="P529">
        <f t="shared" si="30"/>
        <v>0</v>
      </c>
      <c r="Q529">
        <f t="shared" si="31"/>
        <v>0</v>
      </c>
      <c r="S529">
        <v>-12.36304347826087</v>
      </c>
      <c r="T529">
        <v>-1.75</v>
      </c>
      <c r="U529">
        <v>-1.4130434782608696</v>
      </c>
      <c r="V529">
        <v>-10.4</v>
      </c>
      <c r="W529">
        <v>0</v>
      </c>
      <c r="X529">
        <v>1.2</v>
      </c>
      <c r="Y529">
        <v>0</v>
      </c>
    </row>
    <row r="530" spans="1:25" x14ac:dyDescent="0.2">
      <c r="A530" t="s">
        <v>25</v>
      </c>
      <c r="B530" t="s">
        <v>566</v>
      </c>
      <c r="C530">
        <v>330</v>
      </c>
      <c r="D530">
        <v>90</v>
      </c>
      <c r="E530">
        <v>10</v>
      </c>
      <c r="F530">
        <v>7</v>
      </c>
      <c r="G530">
        <v>0</v>
      </c>
      <c r="H530">
        <v>25</v>
      </c>
      <c r="I530">
        <v>180</v>
      </c>
      <c r="J530">
        <v>54</v>
      </c>
      <c r="K530">
        <v>2</v>
      </c>
      <c r="L530">
        <v>48</v>
      </c>
      <c r="M530">
        <v>8</v>
      </c>
      <c r="N530">
        <v>377</v>
      </c>
      <c r="O530" s="3">
        <f t="shared" si="29"/>
        <v>2.4242424242424243</v>
      </c>
      <c r="P530">
        <f t="shared" si="30"/>
        <v>0</v>
      </c>
      <c r="Q530">
        <f t="shared" si="31"/>
        <v>0</v>
      </c>
      <c r="S530">
        <v>-20.592236024844716</v>
      </c>
      <c r="T530">
        <v>-1.75</v>
      </c>
      <c r="U530">
        <v>-1.956521739130435</v>
      </c>
      <c r="V530">
        <v>-19.2</v>
      </c>
      <c r="W530">
        <v>0</v>
      </c>
      <c r="X530">
        <v>1.6</v>
      </c>
      <c r="Y530">
        <v>0.7142857142857143</v>
      </c>
    </row>
    <row r="531" spans="1:25" x14ac:dyDescent="0.2">
      <c r="A531" t="s">
        <v>25</v>
      </c>
      <c r="B531" t="s">
        <v>567</v>
      </c>
      <c r="C531">
        <v>290</v>
      </c>
      <c r="D531">
        <v>70</v>
      </c>
      <c r="E531">
        <v>8</v>
      </c>
      <c r="F531">
        <v>4.5</v>
      </c>
      <c r="G531">
        <v>0</v>
      </c>
      <c r="H531">
        <v>25</v>
      </c>
      <c r="I531">
        <v>105</v>
      </c>
      <c r="J531">
        <v>51</v>
      </c>
      <c r="K531">
        <v>0</v>
      </c>
      <c r="L531">
        <v>51</v>
      </c>
      <c r="M531">
        <v>7</v>
      </c>
      <c r="N531">
        <v>338.5</v>
      </c>
      <c r="O531" s="3">
        <f t="shared" si="29"/>
        <v>2.4137931034482758</v>
      </c>
      <c r="P531">
        <f t="shared" si="30"/>
        <v>0</v>
      </c>
      <c r="Q531">
        <f t="shared" si="31"/>
        <v>0</v>
      </c>
      <c r="S531">
        <v>-21.26630434782609</v>
      </c>
      <c r="T531">
        <v>-1.125</v>
      </c>
      <c r="U531">
        <v>-1.1413043478260869</v>
      </c>
      <c r="V531">
        <v>-20.400000000000002</v>
      </c>
      <c r="W531">
        <v>0</v>
      </c>
      <c r="X531">
        <v>1.4000000000000001</v>
      </c>
      <c r="Y531">
        <v>0</v>
      </c>
    </row>
    <row r="532" spans="1:25" x14ac:dyDescent="0.2">
      <c r="A532" t="s">
        <v>25</v>
      </c>
      <c r="B532" t="s">
        <v>568</v>
      </c>
      <c r="C532">
        <v>290</v>
      </c>
      <c r="D532">
        <v>70</v>
      </c>
      <c r="E532">
        <v>8</v>
      </c>
      <c r="F532">
        <v>4.5</v>
      </c>
      <c r="G532">
        <v>0</v>
      </c>
      <c r="H532">
        <v>25</v>
      </c>
      <c r="I532">
        <v>105</v>
      </c>
      <c r="J532">
        <v>51</v>
      </c>
      <c r="K532">
        <v>0</v>
      </c>
      <c r="L532">
        <v>51</v>
      </c>
      <c r="M532">
        <v>7</v>
      </c>
      <c r="N532">
        <v>338.5</v>
      </c>
      <c r="O532" s="3">
        <f t="shared" si="29"/>
        <v>2.4137931034482758</v>
      </c>
      <c r="P532">
        <f t="shared" si="30"/>
        <v>0</v>
      </c>
      <c r="Q532">
        <f t="shared" si="31"/>
        <v>0</v>
      </c>
      <c r="S532">
        <v>-21.26630434782609</v>
      </c>
      <c r="T532">
        <v>-1.125</v>
      </c>
      <c r="U532">
        <v>-1.1413043478260869</v>
      </c>
      <c r="V532">
        <v>-20.400000000000002</v>
      </c>
      <c r="W532">
        <v>0</v>
      </c>
      <c r="X532">
        <v>1.4000000000000001</v>
      </c>
      <c r="Y532">
        <v>0</v>
      </c>
    </row>
    <row r="533" spans="1:25" x14ac:dyDescent="0.2">
      <c r="A533" t="s">
        <v>25</v>
      </c>
      <c r="B533" t="s">
        <v>571</v>
      </c>
      <c r="C533">
        <v>420</v>
      </c>
      <c r="D533">
        <v>90</v>
      </c>
      <c r="E533">
        <v>10</v>
      </c>
      <c r="F533">
        <v>6</v>
      </c>
      <c r="G533">
        <v>0.5</v>
      </c>
      <c r="H533">
        <v>40</v>
      </c>
      <c r="I533">
        <v>130</v>
      </c>
      <c r="J533">
        <v>73</v>
      </c>
      <c r="K533">
        <v>0</v>
      </c>
      <c r="L533">
        <v>63</v>
      </c>
      <c r="M533">
        <v>10</v>
      </c>
      <c r="N533">
        <v>479</v>
      </c>
      <c r="O533" s="3">
        <f t="shared" si="29"/>
        <v>2.3809523809523809</v>
      </c>
      <c r="P533">
        <f t="shared" si="30"/>
        <v>0</v>
      </c>
      <c r="Q533">
        <f t="shared" si="31"/>
        <v>0</v>
      </c>
      <c r="S533">
        <v>-26.113543478260869</v>
      </c>
      <c r="T533">
        <v>-1.5</v>
      </c>
      <c r="U533">
        <v>-1.4130434782608696</v>
      </c>
      <c r="V533">
        <v>-25.2</v>
      </c>
      <c r="W533">
        <v>-5.0000000000000001E-4</v>
      </c>
      <c r="X533">
        <v>2.0000000000000004</v>
      </c>
      <c r="Y533">
        <v>0</v>
      </c>
    </row>
    <row r="534" spans="1:25" x14ac:dyDescent="0.2">
      <c r="A534" t="s">
        <v>25</v>
      </c>
      <c r="B534" t="s">
        <v>574</v>
      </c>
      <c r="C534">
        <v>550</v>
      </c>
      <c r="D534">
        <v>120</v>
      </c>
      <c r="E534">
        <v>13</v>
      </c>
      <c r="F534">
        <v>8</v>
      </c>
      <c r="G534">
        <v>1</v>
      </c>
      <c r="H534">
        <v>50</v>
      </c>
      <c r="I534">
        <v>190</v>
      </c>
      <c r="J534">
        <v>96</v>
      </c>
      <c r="K534">
        <v>0</v>
      </c>
      <c r="L534">
        <v>72</v>
      </c>
      <c r="M534">
        <v>13</v>
      </c>
      <c r="N534">
        <v>617</v>
      </c>
      <c r="O534" s="3">
        <f t="shared" si="29"/>
        <v>2.3636363636363638</v>
      </c>
      <c r="P534">
        <f t="shared" si="30"/>
        <v>0</v>
      </c>
      <c r="Q534">
        <f t="shared" si="31"/>
        <v>0</v>
      </c>
      <c r="S534">
        <v>-30.266217391304338</v>
      </c>
      <c r="T534">
        <v>-2</v>
      </c>
      <c r="U534">
        <v>-2.0652173913043477</v>
      </c>
      <c r="V534">
        <v>-28.799999999999997</v>
      </c>
      <c r="W534">
        <v>-1E-3</v>
      </c>
      <c r="X534">
        <v>2.6</v>
      </c>
      <c r="Y534">
        <v>0</v>
      </c>
    </row>
    <row r="535" spans="1:25" x14ac:dyDescent="0.2">
      <c r="A535" t="s">
        <v>25</v>
      </c>
      <c r="B535" t="s">
        <v>575</v>
      </c>
      <c r="C535">
        <v>340</v>
      </c>
      <c r="D535">
        <v>100</v>
      </c>
      <c r="E535">
        <v>12</v>
      </c>
      <c r="F535">
        <v>6</v>
      </c>
      <c r="G535">
        <v>0</v>
      </c>
      <c r="H535">
        <v>30</v>
      </c>
      <c r="I535">
        <v>200</v>
      </c>
      <c r="J535">
        <v>53</v>
      </c>
      <c r="K535">
        <v>2</v>
      </c>
      <c r="L535">
        <v>43</v>
      </c>
      <c r="M535">
        <v>8</v>
      </c>
      <c r="N535">
        <v>381</v>
      </c>
      <c r="O535" s="3">
        <f t="shared" si="29"/>
        <v>2.3529411764705883</v>
      </c>
      <c r="P535">
        <f t="shared" si="30"/>
        <v>0</v>
      </c>
      <c r="Q535">
        <f t="shared" si="31"/>
        <v>0</v>
      </c>
      <c r="S535">
        <v>-18.559627329192548</v>
      </c>
      <c r="T535">
        <v>-1.5</v>
      </c>
      <c r="U535">
        <v>-2.1739130434782608</v>
      </c>
      <c r="V535">
        <v>-17.200000000000003</v>
      </c>
      <c r="W535">
        <v>0</v>
      </c>
      <c r="X535">
        <v>1.6</v>
      </c>
      <c r="Y535">
        <v>0.7142857142857143</v>
      </c>
    </row>
    <row r="536" spans="1:25" x14ac:dyDescent="0.2">
      <c r="A536" t="s">
        <v>25</v>
      </c>
      <c r="B536" t="s">
        <v>580</v>
      </c>
      <c r="C536">
        <v>770</v>
      </c>
      <c r="D536">
        <v>160</v>
      </c>
      <c r="E536">
        <v>18</v>
      </c>
      <c r="F536">
        <v>11</v>
      </c>
      <c r="G536">
        <v>1</v>
      </c>
      <c r="H536">
        <v>70</v>
      </c>
      <c r="I536">
        <v>330</v>
      </c>
      <c r="J536">
        <v>134</v>
      </c>
      <c r="K536">
        <v>1</v>
      </c>
      <c r="L536">
        <v>111</v>
      </c>
      <c r="M536">
        <v>18</v>
      </c>
      <c r="N536">
        <v>874</v>
      </c>
      <c r="O536" s="3">
        <f t="shared" si="29"/>
        <v>2.3376623376623376</v>
      </c>
      <c r="P536">
        <f t="shared" si="30"/>
        <v>0</v>
      </c>
      <c r="Q536">
        <f t="shared" si="31"/>
        <v>0</v>
      </c>
      <c r="S536">
        <v>-46.78081366459628</v>
      </c>
      <c r="T536">
        <v>-2.75</v>
      </c>
      <c r="U536">
        <v>-3.5869565217391304</v>
      </c>
      <c r="V536">
        <v>-44.400000000000006</v>
      </c>
      <c r="W536">
        <v>-1E-3</v>
      </c>
      <c r="X536">
        <v>3.5999999999999996</v>
      </c>
      <c r="Y536">
        <v>0.35714285714285715</v>
      </c>
    </row>
    <row r="537" spans="1:25" x14ac:dyDescent="0.2">
      <c r="A537" t="s">
        <v>25</v>
      </c>
      <c r="B537" t="s">
        <v>583</v>
      </c>
      <c r="C537">
        <v>1160</v>
      </c>
      <c r="D537">
        <v>240</v>
      </c>
      <c r="E537">
        <v>27</v>
      </c>
      <c r="F537">
        <v>16</v>
      </c>
      <c r="G537">
        <v>2</v>
      </c>
      <c r="H537">
        <v>100</v>
      </c>
      <c r="I537">
        <v>510</v>
      </c>
      <c r="J537">
        <v>203</v>
      </c>
      <c r="K537">
        <v>2</v>
      </c>
      <c r="L537">
        <v>168</v>
      </c>
      <c r="M537">
        <v>27</v>
      </c>
      <c r="N537">
        <v>1317</v>
      </c>
      <c r="O537" s="3">
        <f t="shared" si="29"/>
        <v>2.327586206896552</v>
      </c>
      <c r="P537">
        <f t="shared" si="30"/>
        <v>1</v>
      </c>
      <c r="Q537">
        <f t="shared" si="31"/>
        <v>0</v>
      </c>
      <c r="S537">
        <v>-70.631192546583847</v>
      </c>
      <c r="T537">
        <v>-4</v>
      </c>
      <c r="U537">
        <v>-5.5434782608695654</v>
      </c>
      <c r="V537">
        <v>-67.2</v>
      </c>
      <c r="W537">
        <v>-2E-3</v>
      </c>
      <c r="X537">
        <v>5.4</v>
      </c>
      <c r="Y537">
        <v>0.7142857142857143</v>
      </c>
    </row>
    <row r="538" spans="1:25" x14ac:dyDescent="0.2">
      <c r="A538" t="s">
        <v>25</v>
      </c>
      <c r="B538" t="s">
        <v>584</v>
      </c>
      <c r="C538">
        <v>560</v>
      </c>
      <c r="D538">
        <v>120</v>
      </c>
      <c r="E538">
        <v>13</v>
      </c>
      <c r="F538">
        <v>8</v>
      </c>
      <c r="G538">
        <v>1</v>
      </c>
      <c r="H538">
        <v>50</v>
      </c>
      <c r="I538">
        <v>170</v>
      </c>
      <c r="J538">
        <v>97</v>
      </c>
      <c r="K538">
        <v>0</v>
      </c>
      <c r="L538">
        <v>84</v>
      </c>
      <c r="M538">
        <v>13</v>
      </c>
      <c r="N538">
        <v>639</v>
      </c>
      <c r="O538" s="3">
        <f t="shared" si="29"/>
        <v>2.3214285714285716</v>
      </c>
      <c r="P538">
        <f t="shared" si="30"/>
        <v>0</v>
      </c>
      <c r="Q538">
        <f t="shared" si="31"/>
        <v>0</v>
      </c>
      <c r="S538">
        <v>-34.848826086956521</v>
      </c>
      <c r="T538">
        <v>-2</v>
      </c>
      <c r="U538">
        <v>-1.8478260869565217</v>
      </c>
      <c r="V538">
        <v>-33.6</v>
      </c>
      <c r="W538">
        <v>-1E-3</v>
      </c>
      <c r="X538">
        <v>2.6</v>
      </c>
      <c r="Y538">
        <v>0</v>
      </c>
    </row>
    <row r="539" spans="1:25" x14ac:dyDescent="0.2">
      <c r="A539" t="s">
        <v>25</v>
      </c>
      <c r="B539" t="s">
        <v>586</v>
      </c>
      <c r="C539">
        <v>740</v>
      </c>
      <c r="D539">
        <v>160</v>
      </c>
      <c r="E539">
        <v>18</v>
      </c>
      <c r="F539">
        <v>11</v>
      </c>
      <c r="G539">
        <v>1</v>
      </c>
      <c r="H539">
        <v>70</v>
      </c>
      <c r="I539">
        <v>230</v>
      </c>
      <c r="J539">
        <v>128</v>
      </c>
      <c r="K539">
        <v>0</v>
      </c>
      <c r="L539">
        <v>111</v>
      </c>
      <c r="M539">
        <v>17</v>
      </c>
      <c r="N539">
        <v>845</v>
      </c>
      <c r="O539" s="3">
        <f t="shared" si="29"/>
        <v>2.2972972972972974</v>
      </c>
      <c r="P539">
        <f t="shared" si="30"/>
        <v>0</v>
      </c>
      <c r="Q539">
        <f t="shared" si="31"/>
        <v>0</v>
      </c>
      <c r="S539">
        <v>-46.251000000000005</v>
      </c>
      <c r="T539">
        <v>-2.75</v>
      </c>
      <c r="U539">
        <v>-2.5</v>
      </c>
      <c r="V539">
        <v>-44.400000000000006</v>
      </c>
      <c r="W539">
        <v>-1E-3</v>
      </c>
      <c r="X539">
        <v>3.4000000000000004</v>
      </c>
      <c r="Y539">
        <v>0</v>
      </c>
    </row>
    <row r="540" spans="1:25" x14ac:dyDescent="0.2">
      <c r="A540" t="s">
        <v>25</v>
      </c>
      <c r="B540" t="s">
        <v>587</v>
      </c>
      <c r="C540">
        <v>740</v>
      </c>
      <c r="D540">
        <v>160</v>
      </c>
      <c r="E540">
        <v>18</v>
      </c>
      <c r="F540">
        <v>11</v>
      </c>
      <c r="G540">
        <v>1</v>
      </c>
      <c r="H540">
        <v>70</v>
      </c>
      <c r="I540">
        <v>250</v>
      </c>
      <c r="J540">
        <v>128</v>
      </c>
      <c r="K540">
        <v>0</v>
      </c>
      <c r="L540">
        <v>96</v>
      </c>
      <c r="M540">
        <v>17</v>
      </c>
      <c r="N540">
        <v>830</v>
      </c>
      <c r="O540" s="3">
        <f t="shared" si="29"/>
        <v>2.2972972972972974</v>
      </c>
      <c r="P540">
        <f t="shared" si="30"/>
        <v>0</v>
      </c>
      <c r="Q540">
        <f t="shared" si="31"/>
        <v>0</v>
      </c>
      <c r="S540">
        <v>-40.468391304347826</v>
      </c>
      <c r="T540">
        <v>-2.75</v>
      </c>
      <c r="U540">
        <v>-2.7173913043478262</v>
      </c>
      <c r="V540">
        <v>-38.4</v>
      </c>
      <c r="W540">
        <v>-1E-3</v>
      </c>
      <c r="X540">
        <v>3.4000000000000004</v>
      </c>
      <c r="Y540">
        <v>0</v>
      </c>
    </row>
    <row r="541" spans="1:25" x14ac:dyDescent="0.2">
      <c r="A541" t="s">
        <v>25</v>
      </c>
      <c r="B541" t="s">
        <v>590</v>
      </c>
      <c r="C541">
        <v>480</v>
      </c>
      <c r="D541">
        <v>280</v>
      </c>
      <c r="E541">
        <v>31</v>
      </c>
      <c r="F541">
        <v>13</v>
      </c>
      <c r="G541">
        <v>0</v>
      </c>
      <c r="H541">
        <v>30</v>
      </c>
      <c r="I541">
        <v>1190</v>
      </c>
      <c r="J541">
        <v>39</v>
      </c>
      <c r="K541">
        <v>3</v>
      </c>
      <c r="L541">
        <v>3</v>
      </c>
      <c r="M541">
        <v>11</v>
      </c>
      <c r="N541">
        <v>485</v>
      </c>
      <c r="O541" s="3">
        <f t="shared" si="29"/>
        <v>2.2916666666666665</v>
      </c>
      <c r="P541">
        <f t="shared" si="30"/>
        <v>1</v>
      </c>
      <c r="Q541">
        <f t="shared" si="31"/>
        <v>0</v>
      </c>
      <c r="S541">
        <v>-14.113354037267081</v>
      </c>
      <c r="T541">
        <v>-3.25</v>
      </c>
      <c r="U541">
        <v>-12.934782608695652</v>
      </c>
      <c r="V541">
        <v>-1.2</v>
      </c>
      <c r="W541">
        <v>0</v>
      </c>
      <c r="X541">
        <v>2.2000000000000002</v>
      </c>
      <c r="Y541">
        <v>1.0714285714285714</v>
      </c>
    </row>
    <row r="542" spans="1:25" x14ac:dyDescent="0.2">
      <c r="A542" t="s">
        <v>25</v>
      </c>
      <c r="B542" t="s">
        <v>591</v>
      </c>
      <c r="C542">
        <v>350</v>
      </c>
      <c r="D542">
        <v>80</v>
      </c>
      <c r="E542">
        <v>9</v>
      </c>
      <c r="F542">
        <v>2</v>
      </c>
      <c r="G542">
        <v>0</v>
      </c>
      <c r="H542">
        <v>20</v>
      </c>
      <c r="I542">
        <v>590</v>
      </c>
      <c r="J542">
        <v>60</v>
      </c>
      <c r="K542">
        <v>3</v>
      </c>
      <c r="L542">
        <v>14</v>
      </c>
      <c r="M542">
        <v>8</v>
      </c>
      <c r="N542">
        <v>358</v>
      </c>
      <c r="O542" s="3">
        <f t="shared" si="29"/>
        <v>2.2857142857142856</v>
      </c>
      <c r="P542">
        <f t="shared" si="30"/>
        <v>1</v>
      </c>
      <c r="Q542">
        <f t="shared" si="31"/>
        <v>0</v>
      </c>
      <c r="S542">
        <v>-9.8416149068322998</v>
      </c>
      <c r="T542">
        <v>-0.5</v>
      </c>
      <c r="U542">
        <v>-6.4130434782608701</v>
      </c>
      <c r="V542">
        <v>-5.6000000000000005</v>
      </c>
      <c r="W542">
        <v>0</v>
      </c>
      <c r="X542">
        <v>1.6</v>
      </c>
      <c r="Y542">
        <v>1.0714285714285714</v>
      </c>
    </row>
    <row r="543" spans="1:25" x14ac:dyDescent="0.2">
      <c r="A543" t="s">
        <v>25</v>
      </c>
      <c r="B543" t="s">
        <v>592</v>
      </c>
      <c r="C543">
        <v>440</v>
      </c>
      <c r="D543">
        <v>90</v>
      </c>
      <c r="E543">
        <v>10</v>
      </c>
      <c r="F543">
        <v>6</v>
      </c>
      <c r="G543">
        <v>0.5</v>
      </c>
      <c r="H543">
        <v>40</v>
      </c>
      <c r="I543">
        <v>190</v>
      </c>
      <c r="J543">
        <v>76</v>
      </c>
      <c r="K543">
        <v>1</v>
      </c>
      <c r="L543">
        <v>63</v>
      </c>
      <c r="M543">
        <v>10</v>
      </c>
      <c r="N543">
        <v>499</v>
      </c>
      <c r="O543" s="3">
        <f t="shared" si="29"/>
        <v>2.2727272727272729</v>
      </c>
      <c r="P543">
        <f t="shared" si="30"/>
        <v>0</v>
      </c>
      <c r="Q543">
        <f t="shared" si="31"/>
        <v>0</v>
      </c>
      <c r="S543">
        <v>-26.408574534161488</v>
      </c>
      <c r="T543">
        <v>-1.5</v>
      </c>
      <c r="U543">
        <v>-2.0652173913043477</v>
      </c>
      <c r="V543">
        <v>-25.2</v>
      </c>
      <c r="W543">
        <v>-5.0000000000000001E-4</v>
      </c>
      <c r="X543">
        <v>2.0000000000000004</v>
      </c>
      <c r="Y543">
        <v>0.35714285714285715</v>
      </c>
    </row>
    <row r="544" spans="1:25" x14ac:dyDescent="0.2">
      <c r="A544" t="s">
        <v>25</v>
      </c>
      <c r="B544" t="s">
        <v>593</v>
      </c>
      <c r="C544">
        <v>310</v>
      </c>
      <c r="D544">
        <v>120</v>
      </c>
      <c r="E544">
        <v>13</v>
      </c>
      <c r="F544">
        <v>8</v>
      </c>
      <c r="G544">
        <v>0</v>
      </c>
      <c r="H544">
        <v>25</v>
      </c>
      <c r="I544">
        <v>140</v>
      </c>
      <c r="J544">
        <v>42</v>
      </c>
      <c r="K544">
        <v>0</v>
      </c>
      <c r="L544">
        <v>35</v>
      </c>
      <c r="M544">
        <v>7</v>
      </c>
      <c r="N544">
        <v>346</v>
      </c>
      <c r="O544" s="3">
        <f t="shared" si="29"/>
        <v>2.258064516129032</v>
      </c>
      <c r="P544">
        <f t="shared" si="30"/>
        <v>0</v>
      </c>
      <c r="Q544">
        <f t="shared" si="31"/>
        <v>0</v>
      </c>
      <c r="S544">
        <v>-16.121739130434783</v>
      </c>
      <c r="T544">
        <v>-2</v>
      </c>
      <c r="U544">
        <v>-1.5217391304347827</v>
      </c>
      <c r="V544">
        <v>-13.999999999999998</v>
      </c>
      <c r="W544">
        <v>0</v>
      </c>
      <c r="X544">
        <v>1.4000000000000001</v>
      </c>
      <c r="Y544">
        <v>0</v>
      </c>
    </row>
    <row r="545" spans="1:25" x14ac:dyDescent="0.2">
      <c r="A545" t="s">
        <v>25</v>
      </c>
      <c r="B545" t="s">
        <v>594</v>
      </c>
      <c r="C545">
        <v>1110</v>
      </c>
      <c r="D545">
        <v>240</v>
      </c>
      <c r="E545">
        <v>26</v>
      </c>
      <c r="F545">
        <v>16</v>
      </c>
      <c r="G545">
        <v>2</v>
      </c>
      <c r="H545">
        <v>100</v>
      </c>
      <c r="I545">
        <v>350</v>
      </c>
      <c r="J545">
        <v>194</v>
      </c>
      <c r="K545">
        <v>0</v>
      </c>
      <c r="L545">
        <v>168</v>
      </c>
      <c r="M545">
        <v>25</v>
      </c>
      <c r="N545">
        <v>1269</v>
      </c>
      <c r="O545" s="3">
        <f t="shared" si="29"/>
        <v>2.2522522522522523</v>
      </c>
      <c r="P545">
        <f t="shared" si="30"/>
        <v>0</v>
      </c>
      <c r="Q545">
        <f t="shared" si="31"/>
        <v>0</v>
      </c>
      <c r="S545">
        <v>-70.006347826086952</v>
      </c>
      <c r="T545">
        <v>-4</v>
      </c>
      <c r="U545">
        <v>-3.804347826086957</v>
      </c>
      <c r="V545">
        <v>-67.2</v>
      </c>
      <c r="W545">
        <v>-2E-3</v>
      </c>
      <c r="X545">
        <v>5</v>
      </c>
      <c r="Y545">
        <v>0</v>
      </c>
    </row>
    <row r="546" spans="1:25" x14ac:dyDescent="0.2">
      <c r="A546" t="s">
        <v>25</v>
      </c>
      <c r="B546" t="s">
        <v>595</v>
      </c>
      <c r="C546">
        <v>1110</v>
      </c>
      <c r="D546">
        <v>240</v>
      </c>
      <c r="E546">
        <v>26</v>
      </c>
      <c r="F546">
        <v>16</v>
      </c>
      <c r="G546">
        <v>2</v>
      </c>
      <c r="H546">
        <v>100</v>
      </c>
      <c r="I546">
        <v>370</v>
      </c>
      <c r="J546">
        <v>193</v>
      </c>
      <c r="K546">
        <v>0</v>
      </c>
      <c r="L546">
        <v>145</v>
      </c>
      <c r="M546">
        <v>25</v>
      </c>
      <c r="N546">
        <v>1246</v>
      </c>
      <c r="O546" s="3">
        <f t="shared" si="29"/>
        <v>2.2522522522522523</v>
      </c>
      <c r="P546">
        <f t="shared" si="30"/>
        <v>0</v>
      </c>
      <c r="Q546">
        <f t="shared" si="31"/>
        <v>0</v>
      </c>
      <c r="S546">
        <v>-61.023739130434777</v>
      </c>
      <c r="T546">
        <v>-4</v>
      </c>
      <c r="U546">
        <v>-4.0217391304347823</v>
      </c>
      <c r="V546">
        <v>-57.999999999999993</v>
      </c>
      <c r="W546">
        <v>-2E-3</v>
      </c>
      <c r="X546">
        <v>5</v>
      </c>
      <c r="Y546">
        <v>0</v>
      </c>
    </row>
    <row r="547" spans="1:25" x14ac:dyDescent="0.2">
      <c r="A547" t="s">
        <v>25</v>
      </c>
      <c r="B547" t="s">
        <v>598</v>
      </c>
      <c r="C547">
        <v>580</v>
      </c>
      <c r="D547">
        <v>170</v>
      </c>
      <c r="E547">
        <v>19</v>
      </c>
      <c r="F547">
        <v>10</v>
      </c>
      <c r="G547">
        <v>1</v>
      </c>
      <c r="H547">
        <v>50</v>
      </c>
      <c r="I547">
        <v>320</v>
      </c>
      <c r="J547">
        <v>89</v>
      </c>
      <c r="K547">
        <v>3</v>
      </c>
      <c r="L547">
        <v>73</v>
      </c>
      <c r="M547">
        <v>13</v>
      </c>
      <c r="N547">
        <v>650</v>
      </c>
      <c r="O547" s="3">
        <f t="shared" si="29"/>
        <v>2.2413793103448274</v>
      </c>
      <c r="P547">
        <f t="shared" si="30"/>
        <v>0</v>
      </c>
      <c r="Q547">
        <f t="shared" si="31"/>
        <v>0</v>
      </c>
      <c r="S547">
        <v>-31.507832298136638</v>
      </c>
      <c r="T547">
        <v>-2.5</v>
      </c>
      <c r="U547">
        <v>-3.4782608695652173</v>
      </c>
      <c r="V547">
        <v>-29.2</v>
      </c>
      <c r="W547">
        <v>-1E-3</v>
      </c>
      <c r="X547">
        <v>2.6</v>
      </c>
      <c r="Y547">
        <v>1.0714285714285714</v>
      </c>
    </row>
    <row r="548" spans="1:25" x14ac:dyDescent="0.2">
      <c r="A548" t="s">
        <v>25</v>
      </c>
      <c r="B548" t="s">
        <v>599</v>
      </c>
      <c r="C548">
        <v>580</v>
      </c>
      <c r="D548">
        <v>120</v>
      </c>
      <c r="E548">
        <v>14</v>
      </c>
      <c r="F548">
        <v>8</v>
      </c>
      <c r="G548">
        <v>1</v>
      </c>
      <c r="H548">
        <v>50</v>
      </c>
      <c r="I548">
        <v>250</v>
      </c>
      <c r="J548">
        <v>102</v>
      </c>
      <c r="K548">
        <v>1</v>
      </c>
      <c r="L548">
        <v>84</v>
      </c>
      <c r="M548">
        <v>13</v>
      </c>
      <c r="N548">
        <v>659</v>
      </c>
      <c r="O548" s="3">
        <f t="shared" si="29"/>
        <v>2.2413793103448274</v>
      </c>
      <c r="P548">
        <f t="shared" si="30"/>
        <v>0</v>
      </c>
      <c r="Q548">
        <f t="shared" si="31"/>
        <v>0</v>
      </c>
      <c r="S548">
        <v>-35.361248447204972</v>
      </c>
      <c r="T548">
        <v>-2</v>
      </c>
      <c r="U548">
        <v>-2.7173913043478262</v>
      </c>
      <c r="V548">
        <v>-33.6</v>
      </c>
      <c r="W548">
        <v>-1E-3</v>
      </c>
      <c r="X548">
        <v>2.6</v>
      </c>
      <c r="Y548">
        <v>0.35714285714285715</v>
      </c>
    </row>
    <row r="549" spans="1:25" x14ac:dyDescent="0.2">
      <c r="A549" t="s">
        <v>25</v>
      </c>
      <c r="B549" t="s">
        <v>600</v>
      </c>
      <c r="C549">
        <v>45</v>
      </c>
      <c r="D549">
        <v>10</v>
      </c>
      <c r="E549">
        <v>1</v>
      </c>
      <c r="F549">
        <v>0.5</v>
      </c>
      <c r="G549">
        <v>0</v>
      </c>
      <c r="H549">
        <v>5</v>
      </c>
      <c r="I549">
        <v>20</v>
      </c>
      <c r="J549">
        <v>8</v>
      </c>
      <c r="K549">
        <v>0</v>
      </c>
      <c r="L549">
        <v>6</v>
      </c>
      <c r="M549">
        <v>1</v>
      </c>
      <c r="N549">
        <v>50.5</v>
      </c>
      <c r="O549" s="3">
        <f t="shared" si="29"/>
        <v>2.2222222222222223</v>
      </c>
      <c r="P549">
        <f t="shared" si="30"/>
        <v>0</v>
      </c>
      <c r="Q549">
        <f t="shared" si="31"/>
        <v>0</v>
      </c>
      <c r="S549">
        <v>-2.5423913043478259</v>
      </c>
      <c r="T549">
        <v>-0.125</v>
      </c>
      <c r="U549">
        <v>-0.21739130434782608</v>
      </c>
      <c r="V549">
        <v>-2.4</v>
      </c>
      <c r="W549">
        <v>0</v>
      </c>
      <c r="X549">
        <v>0.2</v>
      </c>
      <c r="Y549">
        <v>0</v>
      </c>
    </row>
    <row r="550" spans="1:25" x14ac:dyDescent="0.2">
      <c r="A550" t="s">
        <v>25</v>
      </c>
      <c r="B550" t="s">
        <v>601</v>
      </c>
      <c r="C550">
        <v>90</v>
      </c>
      <c r="D550">
        <v>70</v>
      </c>
      <c r="E550">
        <v>8</v>
      </c>
      <c r="F550">
        <v>5</v>
      </c>
      <c r="G550">
        <v>0</v>
      </c>
      <c r="H550">
        <v>30</v>
      </c>
      <c r="I550">
        <v>100</v>
      </c>
      <c r="J550">
        <v>11</v>
      </c>
      <c r="K550">
        <v>0</v>
      </c>
      <c r="L550">
        <v>2</v>
      </c>
      <c r="M550">
        <v>2</v>
      </c>
      <c r="N550">
        <v>95</v>
      </c>
      <c r="O550" s="3">
        <f t="shared" si="29"/>
        <v>2.2222222222222223</v>
      </c>
      <c r="P550">
        <f t="shared" si="30"/>
        <v>0</v>
      </c>
      <c r="Q550">
        <f t="shared" si="31"/>
        <v>0</v>
      </c>
      <c r="S550">
        <v>-2.7369565217391307</v>
      </c>
      <c r="T550">
        <v>-1.25</v>
      </c>
      <c r="U550">
        <v>-1.0869565217391304</v>
      </c>
      <c r="V550">
        <v>-0.8</v>
      </c>
      <c r="W550">
        <v>0</v>
      </c>
      <c r="X550">
        <v>0.4</v>
      </c>
      <c r="Y550">
        <v>0</v>
      </c>
    </row>
    <row r="551" spans="1:25" x14ac:dyDescent="0.2">
      <c r="A551" t="s">
        <v>25</v>
      </c>
      <c r="B551" t="s">
        <v>602</v>
      </c>
      <c r="C551">
        <v>180</v>
      </c>
      <c r="D551">
        <v>40</v>
      </c>
      <c r="E551">
        <v>4.5</v>
      </c>
      <c r="F551">
        <v>2.5</v>
      </c>
      <c r="G551">
        <v>0</v>
      </c>
      <c r="H551">
        <v>15</v>
      </c>
      <c r="I551">
        <v>120</v>
      </c>
      <c r="J551">
        <v>31</v>
      </c>
      <c r="K551">
        <v>0</v>
      </c>
      <c r="L551">
        <v>31</v>
      </c>
      <c r="M551">
        <v>4</v>
      </c>
      <c r="N551">
        <v>209.5</v>
      </c>
      <c r="O551" s="3">
        <f t="shared" si="29"/>
        <v>2.2222222222222223</v>
      </c>
      <c r="P551">
        <f t="shared" si="30"/>
        <v>0</v>
      </c>
      <c r="Q551">
        <f t="shared" si="31"/>
        <v>0</v>
      </c>
      <c r="S551">
        <v>-13.529347826086957</v>
      </c>
      <c r="T551">
        <v>-0.625</v>
      </c>
      <c r="U551">
        <v>-1.3043478260869565</v>
      </c>
      <c r="V551">
        <v>-12.4</v>
      </c>
      <c r="W551">
        <v>0</v>
      </c>
      <c r="X551">
        <v>0.8</v>
      </c>
      <c r="Y551">
        <v>0</v>
      </c>
    </row>
    <row r="552" spans="1:25" x14ac:dyDescent="0.2">
      <c r="A552" t="s">
        <v>25</v>
      </c>
      <c r="B552" t="s">
        <v>603</v>
      </c>
      <c r="C552">
        <v>180</v>
      </c>
      <c r="D552">
        <v>40</v>
      </c>
      <c r="E552">
        <v>4.5</v>
      </c>
      <c r="F552">
        <v>2.5</v>
      </c>
      <c r="G552">
        <v>0</v>
      </c>
      <c r="H552">
        <v>15</v>
      </c>
      <c r="I552">
        <v>65</v>
      </c>
      <c r="J552">
        <v>33</v>
      </c>
      <c r="K552">
        <v>0</v>
      </c>
      <c r="L552">
        <v>33</v>
      </c>
      <c r="M552">
        <v>4</v>
      </c>
      <c r="N552">
        <v>211.5</v>
      </c>
      <c r="O552" s="3">
        <f t="shared" si="29"/>
        <v>2.2222222222222223</v>
      </c>
      <c r="P552">
        <f t="shared" si="30"/>
        <v>0</v>
      </c>
      <c r="Q552">
        <f t="shared" si="31"/>
        <v>0</v>
      </c>
      <c r="S552">
        <v>-13.731521739130436</v>
      </c>
      <c r="T552">
        <v>-0.625</v>
      </c>
      <c r="U552">
        <v>-0.70652173913043481</v>
      </c>
      <c r="V552">
        <v>-13.200000000000001</v>
      </c>
      <c r="W552">
        <v>0</v>
      </c>
      <c r="X552">
        <v>0.8</v>
      </c>
      <c r="Y552">
        <v>0</v>
      </c>
    </row>
    <row r="553" spans="1:25" x14ac:dyDescent="0.2">
      <c r="A553" t="s">
        <v>25</v>
      </c>
      <c r="B553" t="s">
        <v>610</v>
      </c>
      <c r="C553">
        <v>280</v>
      </c>
      <c r="D553">
        <v>60</v>
      </c>
      <c r="E553">
        <v>6</v>
      </c>
      <c r="F553">
        <v>4</v>
      </c>
      <c r="G553">
        <v>0</v>
      </c>
      <c r="H553">
        <v>25</v>
      </c>
      <c r="I553">
        <v>95</v>
      </c>
      <c r="J553">
        <v>49</v>
      </c>
      <c r="K553">
        <v>1</v>
      </c>
      <c r="L553">
        <v>45</v>
      </c>
      <c r="M553">
        <v>6</v>
      </c>
      <c r="N553">
        <v>323</v>
      </c>
      <c r="O553" s="3">
        <f t="shared" si="29"/>
        <v>2.1428571428571428</v>
      </c>
      <c r="P553">
        <f t="shared" si="30"/>
        <v>0</v>
      </c>
      <c r="Q553">
        <f t="shared" si="31"/>
        <v>0</v>
      </c>
      <c r="S553">
        <v>-18.475465838509322</v>
      </c>
      <c r="T553">
        <v>-1</v>
      </c>
      <c r="U553">
        <v>-1.0326086956521738</v>
      </c>
      <c r="V553">
        <v>-18.000000000000004</v>
      </c>
      <c r="W553">
        <v>0</v>
      </c>
      <c r="X553">
        <v>1.2</v>
      </c>
      <c r="Y553">
        <v>0.35714285714285715</v>
      </c>
    </row>
    <row r="554" spans="1:25" x14ac:dyDescent="0.2">
      <c r="A554" t="s">
        <v>25</v>
      </c>
      <c r="B554" t="s">
        <v>611</v>
      </c>
      <c r="C554">
        <v>420</v>
      </c>
      <c r="D554">
        <v>90</v>
      </c>
      <c r="E554">
        <v>10</v>
      </c>
      <c r="F554">
        <v>6</v>
      </c>
      <c r="G554">
        <v>0.5</v>
      </c>
      <c r="H554">
        <v>40</v>
      </c>
      <c r="I554">
        <v>140</v>
      </c>
      <c r="J554">
        <v>72</v>
      </c>
      <c r="K554">
        <v>0</v>
      </c>
      <c r="L554">
        <v>54</v>
      </c>
      <c r="M554">
        <v>9</v>
      </c>
      <c r="N554">
        <v>471</v>
      </c>
      <c r="O554" s="3">
        <f t="shared" si="29"/>
        <v>2.1428571428571428</v>
      </c>
      <c r="P554">
        <f t="shared" si="30"/>
        <v>0</v>
      </c>
      <c r="Q554">
        <f t="shared" si="31"/>
        <v>0</v>
      </c>
      <c r="S554">
        <v>-22.822239130434781</v>
      </c>
      <c r="T554">
        <v>-1.5</v>
      </c>
      <c r="U554">
        <v>-1.5217391304347827</v>
      </c>
      <c r="V554">
        <v>-21.6</v>
      </c>
      <c r="W554">
        <v>-5.0000000000000001E-4</v>
      </c>
      <c r="X554">
        <v>1.7999999999999998</v>
      </c>
      <c r="Y554">
        <v>0</v>
      </c>
    </row>
    <row r="555" spans="1:25" x14ac:dyDescent="0.2">
      <c r="A555" t="s">
        <v>25</v>
      </c>
      <c r="B555" t="s">
        <v>612</v>
      </c>
      <c r="C555">
        <v>140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105</v>
      </c>
      <c r="J555">
        <v>30</v>
      </c>
      <c r="K555">
        <v>0</v>
      </c>
      <c r="L555">
        <v>30</v>
      </c>
      <c r="M555">
        <v>3</v>
      </c>
      <c r="N555">
        <v>167</v>
      </c>
      <c r="O555" s="3">
        <f t="shared" si="29"/>
        <v>2.1428571428571428</v>
      </c>
      <c r="P555">
        <f t="shared" si="30"/>
        <v>0</v>
      </c>
      <c r="Q555">
        <f t="shared" si="31"/>
        <v>0</v>
      </c>
      <c r="S555">
        <v>-12.541304347826086</v>
      </c>
      <c r="T555">
        <v>0</v>
      </c>
      <c r="U555">
        <v>-1.1413043478260869</v>
      </c>
      <c r="V555">
        <v>-12</v>
      </c>
      <c r="W555">
        <v>0</v>
      </c>
      <c r="X555">
        <v>0.6</v>
      </c>
      <c r="Y555">
        <v>0</v>
      </c>
    </row>
    <row r="556" spans="1:25" x14ac:dyDescent="0.2">
      <c r="A556" t="s">
        <v>25</v>
      </c>
      <c r="B556" t="s">
        <v>613</v>
      </c>
      <c r="C556">
        <v>140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50</v>
      </c>
      <c r="J556">
        <v>32</v>
      </c>
      <c r="K556">
        <v>0</v>
      </c>
      <c r="L556">
        <v>32</v>
      </c>
      <c r="M556">
        <v>3</v>
      </c>
      <c r="N556">
        <v>169</v>
      </c>
      <c r="O556" s="3">
        <f t="shared" si="29"/>
        <v>2.1428571428571428</v>
      </c>
      <c r="P556">
        <f t="shared" si="30"/>
        <v>0</v>
      </c>
      <c r="Q556">
        <f t="shared" si="31"/>
        <v>0</v>
      </c>
      <c r="S556">
        <v>-12.743478260869566</v>
      </c>
      <c r="T556">
        <v>0</v>
      </c>
      <c r="U556">
        <v>-0.54347826086956519</v>
      </c>
      <c r="V556">
        <v>-12.8</v>
      </c>
      <c r="W556">
        <v>0</v>
      </c>
      <c r="X556">
        <v>0.6</v>
      </c>
      <c r="Y556">
        <v>0</v>
      </c>
    </row>
    <row r="557" spans="1:25" x14ac:dyDescent="0.2">
      <c r="A557" t="s">
        <v>25</v>
      </c>
      <c r="B557" t="s">
        <v>614</v>
      </c>
      <c r="C557">
        <v>140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50</v>
      </c>
      <c r="J557">
        <v>31</v>
      </c>
      <c r="K557">
        <v>0</v>
      </c>
      <c r="L557">
        <v>31</v>
      </c>
      <c r="M557">
        <v>3</v>
      </c>
      <c r="N557">
        <v>168</v>
      </c>
      <c r="O557" s="3">
        <f t="shared" si="29"/>
        <v>2.1428571428571428</v>
      </c>
      <c r="P557">
        <f t="shared" si="30"/>
        <v>0</v>
      </c>
      <c r="Q557">
        <f t="shared" si="31"/>
        <v>0</v>
      </c>
      <c r="S557">
        <v>-12.343478260869565</v>
      </c>
      <c r="T557">
        <v>0</v>
      </c>
      <c r="U557">
        <v>-0.54347826086956519</v>
      </c>
      <c r="V557">
        <v>-12.4</v>
      </c>
      <c r="W557">
        <v>0</v>
      </c>
      <c r="X557">
        <v>0.6</v>
      </c>
      <c r="Y557">
        <v>0</v>
      </c>
    </row>
    <row r="558" spans="1:25" x14ac:dyDescent="0.2">
      <c r="A558" t="s">
        <v>25</v>
      </c>
      <c r="B558" t="s">
        <v>615</v>
      </c>
      <c r="C558">
        <v>280</v>
      </c>
      <c r="D558">
        <v>100</v>
      </c>
      <c r="E558">
        <v>11</v>
      </c>
      <c r="F558">
        <v>6</v>
      </c>
      <c r="G558">
        <v>0</v>
      </c>
      <c r="H558">
        <v>20</v>
      </c>
      <c r="I558">
        <v>125</v>
      </c>
      <c r="J558">
        <v>40</v>
      </c>
      <c r="K558">
        <v>0</v>
      </c>
      <c r="L558">
        <v>33</v>
      </c>
      <c r="M558">
        <v>6</v>
      </c>
      <c r="N558">
        <v>313</v>
      </c>
      <c r="O558" s="3">
        <f t="shared" si="29"/>
        <v>2.1428571428571428</v>
      </c>
      <c r="P558">
        <f t="shared" si="30"/>
        <v>0</v>
      </c>
      <c r="Q558">
        <f t="shared" si="31"/>
        <v>0</v>
      </c>
      <c r="S558">
        <v>-14.858695652173914</v>
      </c>
      <c r="T558">
        <v>-1.5</v>
      </c>
      <c r="U558">
        <v>-1.3586956521739131</v>
      </c>
      <c r="V558">
        <v>-13.200000000000001</v>
      </c>
      <c r="W558">
        <v>0</v>
      </c>
      <c r="X558">
        <v>1.2</v>
      </c>
      <c r="Y558">
        <v>0</v>
      </c>
    </row>
    <row r="559" spans="1:25" x14ac:dyDescent="0.2">
      <c r="A559" t="s">
        <v>25</v>
      </c>
      <c r="B559" t="s">
        <v>616</v>
      </c>
      <c r="C559">
        <v>330</v>
      </c>
      <c r="D559">
        <v>110</v>
      </c>
      <c r="E559">
        <v>12</v>
      </c>
      <c r="F559">
        <v>7</v>
      </c>
      <c r="G559">
        <v>0</v>
      </c>
      <c r="H559">
        <v>25</v>
      </c>
      <c r="I559">
        <v>150</v>
      </c>
      <c r="J559">
        <v>48</v>
      </c>
      <c r="K559">
        <v>0</v>
      </c>
      <c r="L559">
        <v>41</v>
      </c>
      <c r="M559">
        <v>7</v>
      </c>
      <c r="N559">
        <v>371</v>
      </c>
      <c r="O559" s="3">
        <f t="shared" si="29"/>
        <v>2.1212121212121215</v>
      </c>
      <c r="P559">
        <f t="shared" si="30"/>
        <v>0</v>
      </c>
      <c r="Q559">
        <f t="shared" si="31"/>
        <v>0</v>
      </c>
      <c r="S559">
        <v>-18.380434782608699</v>
      </c>
      <c r="T559">
        <v>-1.75</v>
      </c>
      <c r="U559">
        <v>-1.6304347826086956</v>
      </c>
      <c r="V559">
        <v>-16.400000000000002</v>
      </c>
      <c r="W559">
        <v>0</v>
      </c>
      <c r="X559">
        <v>1.4000000000000001</v>
      </c>
      <c r="Y559">
        <v>0</v>
      </c>
    </row>
    <row r="560" spans="1:25" x14ac:dyDescent="0.2">
      <c r="A560" t="s">
        <v>25</v>
      </c>
      <c r="B560" t="s">
        <v>617</v>
      </c>
      <c r="C560">
        <v>710</v>
      </c>
      <c r="D560">
        <v>230</v>
      </c>
      <c r="E560">
        <v>25</v>
      </c>
      <c r="F560">
        <v>16</v>
      </c>
      <c r="G560">
        <v>1</v>
      </c>
      <c r="H560">
        <v>60</v>
      </c>
      <c r="I560">
        <v>220</v>
      </c>
      <c r="J560">
        <v>105</v>
      </c>
      <c r="K560">
        <v>4</v>
      </c>
      <c r="L560">
        <v>97</v>
      </c>
      <c r="M560">
        <v>15</v>
      </c>
      <c r="N560">
        <v>808</v>
      </c>
      <c r="O560" s="3">
        <f t="shared" si="29"/>
        <v>2.112676056338028</v>
      </c>
      <c r="P560">
        <f t="shared" si="30"/>
        <v>0</v>
      </c>
      <c r="Q560">
        <f t="shared" si="31"/>
        <v>0</v>
      </c>
      <c r="S560">
        <v>-40.763732919254657</v>
      </c>
      <c r="T560">
        <v>-4</v>
      </c>
      <c r="U560">
        <v>-2.3913043478260869</v>
      </c>
      <c r="V560">
        <v>-38.800000000000004</v>
      </c>
      <c r="W560">
        <v>-1E-3</v>
      </c>
      <c r="X560">
        <v>3</v>
      </c>
      <c r="Y560">
        <v>1.4285714285714286</v>
      </c>
    </row>
    <row r="561" spans="1:25" x14ac:dyDescent="0.2">
      <c r="A561" t="s">
        <v>25</v>
      </c>
      <c r="B561" t="s">
        <v>618</v>
      </c>
      <c r="C561">
        <v>430</v>
      </c>
      <c r="D561">
        <v>140</v>
      </c>
      <c r="E561">
        <v>16</v>
      </c>
      <c r="F561">
        <v>10</v>
      </c>
      <c r="G561">
        <v>0.5</v>
      </c>
      <c r="H561">
        <v>35</v>
      </c>
      <c r="I561">
        <v>130</v>
      </c>
      <c r="J561">
        <v>64</v>
      </c>
      <c r="K561">
        <v>2</v>
      </c>
      <c r="L561">
        <v>59</v>
      </c>
      <c r="M561">
        <v>9</v>
      </c>
      <c r="N561">
        <v>490</v>
      </c>
      <c r="O561" s="3">
        <f t="shared" si="29"/>
        <v>2.0930232558139537</v>
      </c>
      <c r="P561">
        <f t="shared" si="30"/>
        <v>0</v>
      </c>
      <c r="Q561">
        <f t="shared" si="31"/>
        <v>0</v>
      </c>
      <c r="S561">
        <v>-24.999257763975152</v>
      </c>
      <c r="T561">
        <v>-2.5</v>
      </c>
      <c r="U561">
        <v>-1.4130434782608696</v>
      </c>
      <c r="V561">
        <v>-23.599999999999998</v>
      </c>
      <c r="W561">
        <v>-5.0000000000000001E-4</v>
      </c>
      <c r="X561">
        <v>1.7999999999999998</v>
      </c>
      <c r="Y561">
        <v>0.7142857142857143</v>
      </c>
    </row>
    <row r="562" spans="1:25" x14ac:dyDescent="0.2">
      <c r="A562" t="s">
        <v>25</v>
      </c>
      <c r="B562" t="s">
        <v>619</v>
      </c>
      <c r="C562">
        <v>860</v>
      </c>
      <c r="D562">
        <v>220</v>
      </c>
      <c r="E562">
        <v>24</v>
      </c>
      <c r="F562">
        <v>15</v>
      </c>
      <c r="G562">
        <v>1.5</v>
      </c>
      <c r="H562">
        <v>75</v>
      </c>
      <c r="I562">
        <v>260</v>
      </c>
      <c r="J562">
        <v>144</v>
      </c>
      <c r="K562">
        <v>0</v>
      </c>
      <c r="L562">
        <v>124</v>
      </c>
      <c r="M562">
        <v>18</v>
      </c>
      <c r="N562">
        <v>981</v>
      </c>
      <c r="O562" s="3">
        <f t="shared" si="29"/>
        <v>2.0930232558139537</v>
      </c>
      <c r="P562">
        <f t="shared" si="30"/>
        <v>0</v>
      </c>
      <c r="Q562">
        <f t="shared" si="31"/>
        <v>0</v>
      </c>
      <c r="S562">
        <v>-52.577586956521742</v>
      </c>
      <c r="T562">
        <v>-3.75</v>
      </c>
      <c r="U562">
        <v>-2.8260869565217392</v>
      </c>
      <c r="V562">
        <v>-49.6</v>
      </c>
      <c r="W562">
        <v>-1.5E-3</v>
      </c>
      <c r="X562">
        <v>3.5999999999999996</v>
      </c>
      <c r="Y562">
        <v>0</v>
      </c>
    </row>
    <row r="563" spans="1:25" x14ac:dyDescent="0.2">
      <c r="A563" t="s">
        <v>25</v>
      </c>
      <c r="B563" t="s">
        <v>620</v>
      </c>
      <c r="C563">
        <v>720</v>
      </c>
      <c r="D563">
        <v>180</v>
      </c>
      <c r="E563">
        <v>20</v>
      </c>
      <c r="F563">
        <v>12</v>
      </c>
      <c r="G563">
        <v>1</v>
      </c>
      <c r="H563">
        <v>60</v>
      </c>
      <c r="I563">
        <v>300</v>
      </c>
      <c r="J563">
        <v>119</v>
      </c>
      <c r="K563">
        <v>1</v>
      </c>
      <c r="L563">
        <v>98</v>
      </c>
      <c r="M563">
        <v>15</v>
      </c>
      <c r="N563">
        <v>815</v>
      </c>
      <c r="O563" s="3">
        <f t="shared" si="29"/>
        <v>2.083333333333333</v>
      </c>
      <c r="P563">
        <f t="shared" si="30"/>
        <v>0</v>
      </c>
      <c r="Q563">
        <f t="shared" si="31"/>
        <v>0</v>
      </c>
      <c r="S563">
        <v>-42.104726708074537</v>
      </c>
      <c r="T563">
        <v>-3</v>
      </c>
      <c r="U563">
        <v>-3.2608695652173911</v>
      </c>
      <c r="V563">
        <v>-39.200000000000003</v>
      </c>
      <c r="W563">
        <v>-1E-3</v>
      </c>
      <c r="X563">
        <v>3</v>
      </c>
      <c r="Y563">
        <v>0.35714285714285715</v>
      </c>
    </row>
    <row r="564" spans="1:25" x14ac:dyDescent="0.2">
      <c r="A564" t="s">
        <v>25</v>
      </c>
      <c r="B564" t="s">
        <v>622</v>
      </c>
      <c r="C564">
        <v>340</v>
      </c>
      <c r="D564">
        <v>70</v>
      </c>
      <c r="E564">
        <v>8</v>
      </c>
      <c r="F564">
        <v>5</v>
      </c>
      <c r="G564">
        <v>0</v>
      </c>
      <c r="H564">
        <v>30</v>
      </c>
      <c r="I564">
        <v>160</v>
      </c>
      <c r="J564">
        <v>60</v>
      </c>
      <c r="K564">
        <v>1</v>
      </c>
      <c r="L564">
        <v>44</v>
      </c>
      <c r="M564">
        <v>7</v>
      </c>
      <c r="N564">
        <v>382</v>
      </c>
      <c r="O564" s="3">
        <f t="shared" si="29"/>
        <v>2.0588235294117645</v>
      </c>
      <c r="P564">
        <f t="shared" si="30"/>
        <v>0</v>
      </c>
      <c r="Q564">
        <f t="shared" si="31"/>
        <v>0</v>
      </c>
      <c r="S564">
        <v>-18.831987577639755</v>
      </c>
      <c r="T564">
        <v>-1.25</v>
      </c>
      <c r="U564">
        <v>-1.7391304347826086</v>
      </c>
      <c r="V564">
        <v>-17.600000000000001</v>
      </c>
      <c r="W564">
        <v>0</v>
      </c>
      <c r="X564">
        <v>1.4000000000000001</v>
      </c>
      <c r="Y564">
        <v>0.35714285714285715</v>
      </c>
    </row>
    <row r="565" spans="1:25" x14ac:dyDescent="0.2">
      <c r="A565" t="s">
        <v>25</v>
      </c>
      <c r="B565" t="s">
        <v>623</v>
      </c>
      <c r="C565">
        <v>680</v>
      </c>
      <c r="D565">
        <v>180</v>
      </c>
      <c r="E565">
        <v>20</v>
      </c>
      <c r="F565">
        <v>12</v>
      </c>
      <c r="G565">
        <v>1</v>
      </c>
      <c r="H565">
        <v>60</v>
      </c>
      <c r="I565">
        <v>220</v>
      </c>
      <c r="J565">
        <v>111</v>
      </c>
      <c r="K565">
        <v>0</v>
      </c>
      <c r="L565">
        <v>82</v>
      </c>
      <c r="M565">
        <v>14</v>
      </c>
      <c r="N565">
        <v>760</v>
      </c>
      <c r="O565" s="3">
        <f t="shared" si="29"/>
        <v>2.0588235294117645</v>
      </c>
      <c r="P565">
        <f t="shared" si="30"/>
        <v>0</v>
      </c>
      <c r="Q565">
        <f t="shared" si="31"/>
        <v>0</v>
      </c>
      <c r="S565">
        <v>-35.392304347826091</v>
      </c>
      <c r="T565">
        <v>-3</v>
      </c>
      <c r="U565">
        <v>-2.3913043478260869</v>
      </c>
      <c r="V565">
        <v>-32.800000000000004</v>
      </c>
      <c r="W565">
        <v>-1E-3</v>
      </c>
      <c r="X565">
        <v>2.8000000000000003</v>
      </c>
      <c r="Y565">
        <v>0</v>
      </c>
    </row>
    <row r="566" spans="1:25" x14ac:dyDescent="0.2">
      <c r="A566" t="s">
        <v>25</v>
      </c>
      <c r="B566" t="s">
        <v>624</v>
      </c>
      <c r="C566">
        <v>830</v>
      </c>
      <c r="D566">
        <v>210</v>
      </c>
      <c r="E566">
        <v>24</v>
      </c>
      <c r="F566">
        <v>14</v>
      </c>
      <c r="G566">
        <v>1.5</v>
      </c>
      <c r="H566">
        <v>75</v>
      </c>
      <c r="I566">
        <v>270</v>
      </c>
      <c r="J566">
        <v>138</v>
      </c>
      <c r="K566">
        <v>0</v>
      </c>
      <c r="L566">
        <v>103</v>
      </c>
      <c r="M566">
        <v>17</v>
      </c>
      <c r="N566">
        <v>930</v>
      </c>
      <c r="O566" s="3">
        <f t="shared" si="29"/>
        <v>2.0481927710843375</v>
      </c>
      <c r="P566">
        <f t="shared" si="30"/>
        <v>0</v>
      </c>
      <c r="Q566">
        <f t="shared" si="31"/>
        <v>0</v>
      </c>
      <c r="S566">
        <v>-44.23628260869566</v>
      </c>
      <c r="T566">
        <v>-3.5</v>
      </c>
      <c r="U566">
        <v>-2.9347826086956523</v>
      </c>
      <c r="V566">
        <v>-41.2</v>
      </c>
      <c r="W566">
        <v>-1.5E-3</v>
      </c>
      <c r="X566">
        <v>3.4000000000000004</v>
      </c>
      <c r="Y566">
        <v>0</v>
      </c>
    </row>
    <row r="567" spans="1:25" x14ac:dyDescent="0.2">
      <c r="A567" t="s">
        <v>25</v>
      </c>
      <c r="B567" t="s">
        <v>625</v>
      </c>
      <c r="C567">
        <v>880</v>
      </c>
      <c r="D567">
        <v>220</v>
      </c>
      <c r="E567">
        <v>24</v>
      </c>
      <c r="F567">
        <v>15</v>
      </c>
      <c r="G567">
        <v>1.5</v>
      </c>
      <c r="H567">
        <v>75</v>
      </c>
      <c r="I567">
        <v>370</v>
      </c>
      <c r="J567">
        <v>147</v>
      </c>
      <c r="K567">
        <v>1</v>
      </c>
      <c r="L567">
        <v>121</v>
      </c>
      <c r="M567">
        <v>18</v>
      </c>
      <c r="N567">
        <v>998</v>
      </c>
      <c r="O567" s="3">
        <f t="shared" si="29"/>
        <v>2.0454545454545454</v>
      </c>
      <c r="P567">
        <f t="shared" si="30"/>
        <v>0</v>
      </c>
      <c r="Q567">
        <f t="shared" si="31"/>
        <v>0</v>
      </c>
      <c r="S567">
        <v>-52.216096273291924</v>
      </c>
      <c r="T567">
        <v>-3.75</v>
      </c>
      <c r="U567">
        <v>-4.0217391304347823</v>
      </c>
      <c r="V567">
        <v>-48.4</v>
      </c>
      <c r="W567">
        <v>-1.5E-3</v>
      </c>
      <c r="X567">
        <v>3.5999999999999996</v>
      </c>
      <c r="Y567">
        <v>0.35714285714285715</v>
      </c>
    </row>
    <row r="568" spans="1:25" x14ac:dyDescent="0.2">
      <c r="A568" t="s">
        <v>25</v>
      </c>
      <c r="B568" t="s">
        <v>627</v>
      </c>
      <c r="C568">
        <v>710</v>
      </c>
      <c r="D568">
        <v>180</v>
      </c>
      <c r="E568">
        <v>20</v>
      </c>
      <c r="F568">
        <v>12</v>
      </c>
      <c r="G568">
        <v>1</v>
      </c>
      <c r="H568">
        <v>65</v>
      </c>
      <c r="I568">
        <v>210</v>
      </c>
      <c r="J568">
        <v>116</v>
      </c>
      <c r="K568">
        <v>0</v>
      </c>
      <c r="L568">
        <v>100</v>
      </c>
      <c r="M568">
        <v>14</v>
      </c>
      <c r="N568">
        <v>808</v>
      </c>
      <c r="O568" s="3">
        <f t="shared" si="29"/>
        <v>1.971830985915493</v>
      </c>
      <c r="P568">
        <f t="shared" si="30"/>
        <v>0</v>
      </c>
      <c r="Q568">
        <f t="shared" si="31"/>
        <v>0</v>
      </c>
      <c r="S568">
        <v>-42.483608695652173</v>
      </c>
      <c r="T568">
        <v>-3</v>
      </c>
      <c r="U568">
        <v>-2.2826086956521738</v>
      </c>
      <c r="V568">
        <v>-40</v>
      </c>
      <c r="W568">
        <v>-1E-3</v>
      </c>
      <c r="X568">
        <v>2.8000000000000003</v>
      </c>
      <c r="Y568">
        <v>0</v>
      </c>
    </row>
    <row r="569" spans="1:25" x14ac:dyDescent="0.2">
      <c r="A569" t="s">
        <v>25</v>
      </c>
      <c r="B569" t="s">
        <v>630</v>
      </c>
      <c r="C569">
        <v>570</v>
      </c>
      <c r="D569">
        <v>150</v>
      </c>
      <c r="E569">
        <v>17</v>
      </c>
      <c r="F569">
        <v>10</v>
      </c>
      <c r="G569">
        <v>1</v>
      </c>
      <c r="H569">
        <v>50</v>
      </c>
      <c r="I569">
        <v>170</v>
      </c>
      <c r="J569">
        <v>92</v>
      </c>
      <c r="K569">
        <v>0</v>
      </c>
      <c r="L569">
        <v>79</v>
      </c>
      <c r="M569">
        <v>11</v>
      </c>
      <c r="N569">
        <v>648</v>
      </c>
      <c r="O569" s="3">
        <f t="shared" si="29"/>
        <v>1.9298245614035088</v>
      </c>
      <c r="P569">
        <f t="shared" si="30"/>
        <v>0</v>
      </c>
      <c r="Q569">
        <f t="shared" si="31"/>
        <v>0</v>
      </c>
      <c r="S569">
        <v>-33.74882608695652</v>
      </c>
      <c r="T569">
        <v>-2.5</v>
      </c>
      <c r="U569">
        <v>-1.8478260869565217</v>
      </c>
      <c r="V569">
        <v>-31.600000000000005</v>
      </c>
      <c r="W569">
        <v>-1E-3</v>
      </c>
      <c r="X569">
        <v>2.2000000000000002</v>
      </c>
      <c r="Y569">
        <v>0</v>
      </c>
    </row>
    <row r="570" spans="1:25" x14ac:dyDescent="0.2">
      <c r="A570" t="s">
        <v>25</v>
      </c>
      <c r="B570" t="s">
        <v>631</v>
      </c>
      <c r="C570">
        <v>260</v>
      </c>
      <c r="D570">
        <v>40</v>
      </c>
      <c r="E570">
        <v>4.5</v>
      </c>
      <c r="F570">
        <v>2</v>
      </c>
      <c r="G570">
        <v>0</v>
      </c>
      <c r="H570">
        <v>10</v>
      </c>
      <c r="I570">
        <v>115</v>
      </c>
      <c r="J570">
        <v>48</v>
      </c>
      <c r="K570">
        <v>5</v>
      </c>
      <c r="L570">
        <v>18</v>
      </c>
      <c r="M570">
        <v>5</v>
      </c>
      <c r="N570">
        <v>275</v>
      </c>
      <c r="O570" s="3">
        <f t="shared" si="29"/>
        <v>1.9230769230769231</v>
      </c>
      <c r="P570">
        <f t="shared" si="30"/>
        <v>0</v>
      </c>
      <c r="Q570">
        <f t="shared" si="31"/>
        <v>0</v>
      </c>
      <c r="S570">
        <v>-6.1642857142857128</v>
      </c>
      <c r="T570">
        <v>-0.5</v>
      </c>
      <c r="U570">
        <v>-1.25</v>
      </c>
      <c r="V570">
        <v>-7.1999999999999993</v>
      </c>
      <c r="W570">
        <v>0</v>
      </c>
      <c r="X570">
        <v>1.0000000000000002</v>
      </c>
      <c r="Y570">
        <v>1.785714285714286</v>
      </c>
    </row>
    <row r="571" spans="1:25" x14ac:dyDescent="0.2">
      <c r="A571" t="s">
        <v>25</v>
      </c>
      <c r="B571" t="s">
        <v>633</v>
      </c>
      <c r="C571">
        <v>210</v>
      </c>
      <c r="D571">
        <v>70</v>
      </c>
      <c r="E571">
        <v>8</v>
      </c>
      <c r="F571">
        <v>1.5</v>
      </c>
      <c r="G571">
        <v>0</v>
      </c>
      <c r="H571">
        <v>5</v>
      </c>
      <c r="I571">
        <v>60</v>
      </c>
      <c r="J571">
        <v>31</v>
      </c>
      <c r="K571">
        <v>2</v>
      </c>
      <c r="L571">
        <v>25</v>
      </c>
      <c r="M571">
        <v>4</v>
      </c>
      <c r="N571">
        <v>232.5</v>
      </c>
      <c r="O571" s="3">
        <f t="shared" si="29"/>
        <v>1.9047619047619049</v>
      </c>
      <c r="P571">
        <f t="shared" si="30"/>
        <v>0</v>
      </c>
      <c r="Q571">
        <f t="shared" si="31"/>
        <v>0</v>
      </c>
      <c r="S571">
        <v>-9.5128881987577643</v>
      </c>
      <c r="T571">
        <v>-0.375</v>
      </c>
      <c r="U571">
        <v>-0.65217391304347827</v>
      </c>
      <c r="V571">
        <v>-10</v>
      </c>
      <c r="W571">
        <v>0</v>
      </c>
      <c r="X571">
        <v>0.8</v>
      </c>
      <c r="Y571">
        <v>0.7142857142857143</v>
      </c>
    </row>
    <row r="572" spans="1:25" x14ac:dyDescent="0.2">
      <c r="A572" t="s">
        <v>25</v>
      </c>
      <c r="B572" t="s">
        <v>634</v>
      </c>
      <c r="C572">
        <v>580</v>
      </c>
      <c r="D572">
        <v>150</v>
      </c>
      <c r="E572">
        <v>17</v>
      </c>
      <c r="F572">
        <v>10</v>
      </c>
      <c r="G572">
        <v>1</v>
      </c>
      <c r="H572">
        <v>50</v>
      </c>
      <c r="I572">
        <v>240</v>
      </c>
      <c r="J572">
        <v>94</v>
      </c>
      <c r="K572">
        <v>1</v>
      </c>
      <c r="L572">
        <v>77</v>
      </c>
      <c r="M572">
        <v>11</v>
      </c>
      <c r="N572">
        <v>656</v>
      </c>
      <c r="O572" s="3">
        <f t="shared" si="29"/>
        <v>1.896551724137931</v>
      </c>
      <c r="P572">
        <f t="shared" si="30"/>
        <v>0</v>
      </c>
      <c r="Q572">
        <f t="shared" si="31"/>
        <v>0</v>
      </c>
      <c r="S572">
        <v>-33.352552795031059</v>
      </c>
      <c r="T572">
        <v>-2.5</v>
      </c>
      <c r="U572">
        <v>-2.6086956521739131</v>
      </c>
      <c r="V572">
        <v>-30.800000000000004</v>
      </c>
      <c r="W572">
        <v>-1E-3</v>
      </c>
      <c r="X572">
        <v>2.2000000000000002</v>
      </c>
      <c r="Y572">
        <v>0.35714285714285715</v>
      </c>
    </row>
    <row r="573" spans="1:25" x14ac:dyDescent="0.2">
      <c r="A573" t="s">
        <v>25</v>
      </c>
      <c r="B573" t="s">
        <v>635</v>
      </c>
      <c r="C573">
        <v>160</v>
      </c>
      <c r="D573">
        <v>25</v>
      </c>
      <c r="E573">
        <v>3</v>
      </c>
      <c r="F573">
        <v>1.5</v>
      </c>
      <c r="G573">
        <v>0</v>
      </c>
      <c r="H573">
        <v>10</v>
      </c>
      <c r="I573">
        <v>100</v>
      </c>
      <c r="J573">
        <v>29</v>
      </c>
      <c r="K573">
        <v>0</v>
      </c>
      <c r="L573">
        <v>29</v>
      </c>
      <c r="M573">
        <v>3</v>
      </c>
      <c r="N573">
        <v>187.5</v>
      </c>
      <c r="O573" s="3">
        <f t="shared" si="29"/>
        <v>1.875</v>
      </c>
      <c r="P573">
        <f t="shared" si="30"/>
        <v>0</v>
      </c>
      <c r="Q573">
        <f t="shared" si="31"/>
        <v>0</v>
      </c>
      <c r="S573">
        <v>-12.461956521739131</v>
      </c>
      <c r="T573">
        <v>-0.375</v>
      </c>
      <c r="U573">
        <v>-1.0869565217391304</v>
      </c>
      <c r="V573">
        <v>-11.6</v>
      </c>
      <c r="W573">
        <v>0</v>
      </c>
      <c r="X573">
        <v>0.6</v>
      </c>
      <c r="Y573">
        <v>0</v>
      </c>
    </row>
    <row r="574" spans="1:25" x14ac:dyDescent="0.2">
      <c r="A574" t="s">
        <v>25</v>
      </c>
      <c r="B574" t="s">
        <v>636</v>
      </c>
      <c r="C574">
        <v>160</v>
      </c>
      <c r="D574">
        <v>25</v>
      </c>
      <c r="E574">
        <v>3</v>
      </c>
      <c r="F574">
        <v>1.5</v>
      </c>
      <c r="G574">
        <v>0</v>
      </c>
      <c r="H574">
        <v>10</v>
      </c>
      <c r="I574">
        <v>45</v>
      </c>
      <c r="J574">
        <v>31</v>
      </c>
      <c r="K574">
        <v>0</v>
      </c>
      <c r="L574">
        <v>31</v>
      </c>
      <c r="M574">
        <v>3</v>
      </c>
      <c r="N574">
        <v>189.5</v>
      </c>
      <c r="O574" s="3">
        <f t="shared" si="29"/>
        <v>1.875</v>
      </c>
      <c r="P574">
        <f t="shared" si="30"/>
        <v>0</v>
      </c>
      <c r="Q574">
        <f t="shared" si="31"/>
        <v>0</v>
      </c>
      <c r="S574">
        <v>-12.66413043478261</v>
      </c>
      <c r="T574">
        <v>-0.375</v>
      </c>
      <c r="U574">
        <v>-0.48913043478260876</v>
      </c>
      <c r="V574">
        <v>-12.4</v>
      </c>
      <c r="W574">
        <v>0</v>
      </c>
      <c r="X574">
        <v>0.6</v>
      </c>
      <c r="Y574">
        <v>0</v>
      </c>
    </row>
    <row r="575" spans="1:25" x14ac:dyDescent="0.2">
      <c r="A575" t="s">
        <v>25</v>
      </c>
      <c r="B575" t="s">
        <v>637</v>
      </c>
      <c r="C575">
        <v>160</v>
      </c>
      <c r="D575">
        <v>25</v>
      </c>
      <c r="E575">
        <v>3</v>
      </c>
      <c r="F575">
        <v>1.5</v>
      </c>
      <c r="G575">
        <v>0</v>
      </c>
      <c r="H575">
        <v>10</v>
      </c>
      <c r="I575">
        <v>45</v>
      </c>
      <c r="J575">
        <v>31</v>
      </c>
      <c r="K575">
        <v>0</v>
      </c>
      <c r="L575">
        <v>31</v>
      </c>
      <c r="M575">
        <v>3</v>
      </c>
      <c r="N575">
        <v>189.5</v>
      </c>
      <c r="O575" s="3">
        <f t="shared" si="29"/>
        <v>1.875</v>
      </c>
      <c r="P575">
        <f t="shared" si="30"/>
        <v>0</v>
      </c>
      <c r="Q575">
        <f t="shared" si="31"/>
        <v>0</v>
      </c>
      <c r="S575">
        <v>-12.66413043478261</v>
      </c>
      <c r="T575">
        <v>-0.375</v>
      </c>
      <c r="U575">
        <v>-0.48913043478260876</v>
      </c>
      <c r="V575">
        <v>-12.4</v>
      </c>
      <c r="W575">
        <v>0</v>
      </c>
      <c r="X575">
        <v>0.6</v>
      </c>
      <c r="Y575">
        <v>0</v>
      </c>
    </row>
    <row r="576" spans="1:25" x14ac:dyDescent="0.2">
      <c r="A576" t="s">
        <v>25</v>
      </c>
      <c r="B576" t="s">
        <v>638</v>
      </c>
      <c r="C576">
        <v>540</v>
      </c>
      <c r="D576">
        <v>150</v>
      </c>
      <c r="E576">
        <v>16</v>
      </c>
      <c r="F576">
        <v>10</v>
      </c>
      <c r="G576">
        <v>1</v>
      </c>
      <c r="H576">
        <v>45</v>
      </c>
      <c r="I576">
        <v>170</v>
      </c>
      <c r="J576">
        <v>88</v>
      </c>
      <c r="K576">
        <v>0</v>
      </c>
      <c r="L576">
        <v>64</v>
      </c>
      <c r="M576">
        <v>10</v>
      </c>
      <c r="N576">
        <v>604</v>
      </c>
      <c r="O576" s="3">
        <f t="shared" si="29"/>
        <v>1.8518518518518516</v>
      </c>
      <c r="P576">
        <f t="shared" si="30"/>
        <v>0</v>
      </c>
      <c r="Q576">
        <f t="shared" si="31"/>
        <v>0</v>
      </c>
      <c r="S576">
        <v>-27.948826086956526</v>
      </c>
      <c r="T576">
        <v>-2.5</v>
      </c>
      <c r="U576">
        <v>-1.8478260869565217</v>
      </c>
      <c r="V576">
        <v>-25.6</v>
      </c>
      <c r="W576">
        <v>-1E-3</v>
      </c>
      <c r="X576">
        <v>2.0000000000000004</v>
      </c>
      <c r="Y576">
        <v>0</v>
      </c>
    </row>
    <row r="577" spans="1:25" x14ac:dyDescent="0.2">
      <c r="A577" t="s">
        <v>25</v>
      </c>
      <c r="B577" t="s">
        <v>642</v>
      </c>
      <c r="C577">
        <v>290</v>
      </c>
      <c r="D577">
        <v>40</v>
      </c>
      <c r="E577">
        <v>4.5</v>
      </c>
      <c r="F577">
        <v>2</v>
      </c>
      <c r="G577">
        <v>0</v>
      </c>
      <c r="H577">
        <v>10</v>
      </c>
      <c r="I577">
        <v>160</v>
      </c>
      <c r="J577">
        <v>57</v>
      </c>
      <c r="K577">
        <v>5</v>
      </c>
      <c r="L577">
        <v>32</v>
      </c>
      <c r="M577">
        <v>5</v>
      </c>
      <c r="N577">
        <v>319</v>
      </c>
      <c r="O577" s="3">
        <f t="shared" si="29"/>
        <v>1.7241379310344827</v>
      </c>
      <c r="P577">
        <f t="shared" si="30"/>
        <v>0</v>
      </c>
      <c r="Q577">
        <f t="shared" si="31"/>
        <v>0</v>
      </c>
      <c r="S577">
        <v>-12.253416149068324</v>
      </c>
      <c r="T577">
        <v>-0.5</v>
      </c>
      <c r="U577">
        <v>-1.7391304347826086</v>
      </c>
      <c r="V577">
        <v>-12.8</v>
      </c>
      <c r="W577">
        <v>0</v>
      </c>
      <c r="X577">
        <v>1.0000000000000002</v>
      </c>
      <c r="Y577">
        <v>1.785714285714286</v>
      </c>
    </row>
    <row r="578" spans="1:25" x14ac:dyDescent="0.2">
      <c r="A578" t="s">
        <v>25</v>
      </c>
      <c r="B578" t="s">
        <v>644</v>
      </c>
      <c r="C578">
        <v>60</v>
      </c>
      <c r="D578">
        <v>20</v>
      </c>
      <c r="E578">
        <v>2.5</v>
      </c>
      <c r="F578">
        <v>0</v>
      </c>
      <c r="G578">
        <v>0</v>
      </c>
      <c r="H578">
        <v>5</v>
      </c>
      <c r="I578">
        <v>250</v>
      </c>
      <c r="J578">
        <v>9</v>
      </c>
      <c r="K578">
        <v>2</v>
      </c>
      <c r="L578">
        <v>6</v>
      </c>
      <c r="M578">
        <v>1</v>
      </c>
      <c r="N578">
        <v>65</v>
      </c>
      <c r="O578" s="3">
        <f t="shared" ref="O578:O625" si="32">M578/C578*100</f>
        <v>1.6666666666666667</v>
      </c>
      <c r="P578">
        <f t="shared" ref="P578:P641" si="33">IF(I578&gt;2300*0.2,1,0)</f>
        <v>0</v>
      </c>
      <c r="Q578">
        <f t="shared" ref="Q578:Q641" si="34">IF(H578&gt;300,1,0)</f>
        <v>0</v>
      </c>
      <c r="S578">
        <v>-4.2031055900621119</v>
      </c>
      <c r="T578">
        <v>0</v>
      </c>
      <c r="U578">
        <v>-2.7173913043478262</v>
      </c>
      <c r="V578">
        <v>-2.4</v>
      </c>
      <c r="W578">
        <v>0</v>
      </c>
      <c r="X578">
        <v>0.2</v>
      </c>
      <c r="Y578">
        <v>0.7142857142857143</v>
      </c>
    </row>
    <row r="579" spans="1:25" x14ac:dyDescent="0.2">
      <c r="A579" t="s">
        <v>25</v>
      </c>
      <c r="B579" t="s">
        <v>645</v>
      </c>
      <c r="C579">
        <v>60</v>
      </c>
      <c r="D579">
        <v>20</v>
      </c>
      <c r="E579">
        <v>2.5</v>
      </c>
      <c r="F579">
        <v>0</v>
      </c>
      <c r="G579">
        <v>0</v>
      </c>
      <c r="H579">
        <v>0</v>
      </c>
      <c r="I579">
        <v>730</v>
      </c>
      <c r="J579">
        <v>8</v>
      </c>
      <c r="K579">
        <v>0</v>
      </c>
      <c r="L579">
        <v>1</v>
      </c>
      <c r="M579">
        <v>1</v>
      </c>
      <c r="N579">
        <v>60</v>
      </c>
      <c r="O579" s="3">
        <f t="shared" si="32"/>
        <v>1.6666666666666667</v>
      </c>
      <c r="P579">
        <f t="shared" si="33"/>
        <v>1</v>
      </c>
      <c r="Q579">
        <f t="shared" si="34"/>
        <v>0</v>
      </c>
      <c r="S579">
        <v>-8.1347826086956534</v>
      </c>
      <c r="T579">
        <v>0</v>
      </c>
      <c r="U579">
        <v>-7.9347826086956523</v>
      </c>
      <c r="V579">
        <v>-0.4</v>
      </c>
      <c r="W579">
        <v>0</v>
      </c>
      <c r="X579">
        <v>0.2</v>
      </c>
      <c r="Y579">
        <v>0</v>
      </c>
    </row>
    <row r="580" spans="1:25" x14ac:dyDescent="0.2">
      <c r="A580" t="s">
        <v>25</v>
      </c>
      <c r="B580" t="s">
        <v>646</v>
      </c>
      <c r="C580">
        <v>60</v>
      </c>
      <c r="D580">
        <v>50</v>
      </c>
      <c r="E580">
        <v>5</v>
      </c>
      <c r="F580">
        <v>3.5</v>
      </c>
      <c r="G580">
        <v>0</v>
      </c>
      <c r="H580">
        <v>20</v>
      </c>
      <c r="I580">
        <v>70</v>
      </c>
      <c r="J580">
        <v>8</v>
      </c>
      <c r="K580">
        <v>0</v>
      </c>
      <c r="L580">
        <v>1</v>
      </c>
      <c r="M580">
        <v>1</v>
      </c>
      <c r="N580">
        <v>63.5</v>
      </c>
      <c r="O580" s="3">
        <f t="shared" si="32"/>
        <v>1.6666666666666667</v>
      </c>
      <c r="P580">
        <f t="shared" si="33"/>
        <v>0</v>
      </c>
      <c r="Q580">
        <f t="shared" si="34"/>
        <v>0</v>
      </c>
      <c r="S580">
        <v>-1.8358695652173915</v>
      </c>
      <c r="T580">
        <v>-0.875</v>
      </c>
      <c r="U580">
        <v>-0.76086956521739135</v>
      </c>
      <c r="V580">
        <v>-0.4</v>
      </c>
      <c r="W580">
        <v>0</v>
      </c>
      <c r="X580">
        <v>0.2</v>
      </c>
      <c r="Y580">
        <v>0</v>
      </c>
    </row>
    <row r="581" spans="1:25" x14ac:dyDescent="0.2">
      <c r="A581" t="s">
        <v>25</v>
      </c>
      <c r="B581" t="s">
        <v>647</v>
      </c>
      <c r="C581">
        <v>120</v>
      </c>
      <c r="D581">
        <v>100</v>
      </c>
      <c r="E581">
        <v>11</v>
      </c>
      <c r="F581">
        <v>7</v>
      </c>
      <c r="G581">
        <v>0</v>
      </c>
      <c r="H581">
        <v>40</v>
      </c>
      <c r="I581">
        <v>140</v>
      </c>
      <c r="J581">
        <v>16</v>
      </c>
      <c r="K581">
        <v>0</v>
      </c>
      <c r="L581">
        <v>2</v>
      </c>
      <c r="M581">
        <v>2</v>
      </c>
      <c r="N581">
        <v>127</v>
      </c>
      <c r="O581" s="3">
        <f t="shared" si="32"/>
        <v>1.6666666666666667</v>
      </c>
      <c r="P581">
        <f t="shared" si="33"/>
        <v>0</v>
      </c>
      <c r="Q581">
        <f t="shared" si="34"/>
        <v>0</v>
      </c>
      <c r="S581">
        <v>-3.6717391304347831</v>
      </c>
      <c r="T581">
        <v>-1.75</v>
      </c>
      <c r="U581">
        <v>-1.5217391304347827</v>
      </c>
      <c r="V581">
        <v>-0.8</v>
      </c>
      <c r="W581">
        <v>0</v>
      </c>
      <c r="X581">
        <v>0.4</v>
      </c>
      <c r="Y581">
        <v>0</v>
      </c>
    </row>
    <row r="582" spans="1:25" x14ac:dyDescent="0.2">
      <c r="A582" t="s">
        <v>25</v>
      </c>
      <c r="B582" t="s">
        <v>652</v>
      </c>
      <c r="C582">
        <v>190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39</v>
      </c>
      <c r="K582">
        <v>0</v>
      </c>
      <c r="L582">
        <v>39</v>
      </c>
      <c r="M582">
        <v>3</v>
      </c>
      <c r="N582">
        <v>226</v>
      </c>
      <c r="O582" s="3">
        <f t="shared" si="32"/>
        <v>1.5789473684210527</v>
      </c>
      <c r="P582">
        <f t="shared" si="33"/>
        <v>0</v>
      </c>
      <c r="Q582">
        <f t="shared" si="34"/>
        <v>0</v>
      </c>
      <c r="S582">
        <v>-15.000000000000004</v>
      </c>
      <c r="T582">
        <v>0</v>
      </c>
      <c r="U582">
        <v>0</v>
      </c>
      <c r="V582">
        <v>-15.600000000000003</v>
      </c>
      <c r="W582">
        <v>0</v>
      </c>
      <c r="X582">
        <v>0.6</v>
      </c>
      <c r="Y582">
        <v>0</v>
      </c>
    </row>
    <row r="583" spans="1:25" x14ac:dyDescent="0.2">
      <c r="A583" t="s">
        <v>25</v>
      </c>
      <c r="B583" t="s">
        <v>655</v>
      </c>
      <c r="C583">
        <v>450</v>
      </c>
      <c r="D583">
        <v>180</v>
      </c>
      <c r="E583">
        <v>20</v>
      </c>
      <c r="F583">
        <v>13</v>
      </c>
      <c r="G583">
        <v>1</v>
      </c>
      <c r="H583">
        <v>55</v>
      </c>
      <c r="I583">
        <v>130</v>
      </c>
      <c r="J583">
        <v>62</v>
      </c>
      <c r="K583">
        <v>1</v>
      </c>
      <c r="L583">
        <v>56</v>
      </c>
      <c r="M583">
        <v>7</v>
      </c>
      <c r="N583">
        <v>512</v>
      </c>
      <c r="O583" s="3">
        <f t="shared" si="32"/>
        <v>1.5555555555555556</v>
      </c>
      <c r="P583">
        <f t="shared" si="33"/>
        <v>0</v>
      </c>
      <c r="Q583">
        <f t="shared" si="34"/>
        <v>0</v>
      </c>
      <c r="S583">
        <v>-25.306900621118018</v>
      </c>
      <c r="T583">
        <v>-3.25</v>
      </c>
      <c r="U583">
        <v>-1.4130434782608696</v>
      </c>
      <c r="V583">
        <v>-22.400000000000002</v>
      </c>
      <c r="W583">
        <v>-1E-3</v>
      </c>
      <c r="X583">
        <v>1.4000000000000001</v>
      </c>
      <c r="Y583">
        <v>0.35714285714285715</v>
      </c>
    </row>
    <row r="584" spans="1:25" x14ac:dyDescent="0.2">
      <c r="A584" t="s">
        <v>25</v>
      </c>
      <c r="B584" t="s">
        <v>657</v>
      </c>
      <c r="C584">
        <v>260</v>
      </c>
      <c r="D584">
        <v>70</v>
      </c>
      <c r="E584">
        <v>8</v>
      </c>
      <c r="F584">
        <v>2.5</v>
      </c>
      <c r="G584">
        <v>0</v>
      </c>
      <c r="H584">
        <v>0</v>
      </c>
      <c r="I584">
        <v>300</v>
      </c>
      <c r="J584">
        <v>43</v>
      </c>
      <c r="K584">
        <v>1</v>
      </c>
      <c r="L584">
        <v>13</v>
      </c>
      <c r="M584">
        <v>4</v>
      </c>
      <c r="N584">
        <v>271.5</v>
      </c>
      <c r="O584" s="3">
        <f t="shared" si="32"/>
        <v>1.5384615384615385</v>
      </c>
      <c r="P584">
        <f t="shared" si="33"/>
        <v>0</v>
      </c>
      <c r="Q584">
        <f t="shared" si="34"/>
        <v>0</v>
      </c>
      <c r="S584">
        <v>-7.9287267080745343</v>
      </c>
      <c r="T584">
        <v>-0.625</v>
      </c>
      <c r="U584">
        <v>-3.2608695652173911</v>
      </c>
      <c r="V584">
        <v>-5.2</v>
      </c>
      <c r="W584">
        <v>0</v>
      </c>
      <c r="X584">
        <v>0.8</v>
      </c>
      <c r="Y584">
        <v>0.35714285714285715</v>
      </c>
    </row>
    <row r="585" spans="1:25" x14ac:dyDescent="0.2">
      <c r="A585" t="s">
        <v>25</v>
      </c>
      <c r="B585" t="s">
        <v>658</v>
      </c>
      <c r="C585">
        <v>680</v>
      </c>
      <c r="D585">
        <v>260</v>
      </c>
      <c r="E585">
        <v>29</v>
      </c>
      <c r="F585">
        <v>18</v>
      </c>
      <c r="G585">
        <v>1.5</v>
      </c>
      <c r="H585">
        <v>85</v>
      </c>
      <c r="I585">
        <v>200</v>
      </c>
      <c r="J585">
        <v>94</v>
      </c>
      <c r="K585">
        <v>0</v>
      </c>
      <c r="L585">
        <v>88</v>
      </c>
      <c r="M585">
        <v>10</v>
      </c>
      <c r="N585">
        <v>776</v>
      </c>
      <c r="O585" s="3">
        <f t="shared" si="32"/>
        <v>1.4705882352941175</v>
      </c>
      <c r="P585">
        <f t="shared" si="33"/>
        <v>0</v>
      </c>
      <c r="Q585">
        <f t="shared" si="34"/>
        <v>0</v>
      </c>
      <c r="S585">
        <v>-39.875413043478261</v>
      </c>
      <c r="T585">
        <v>-4.5</v>
      </c>
      <c r="U585">
        <v>-2.1739130434782608</v>
      </c>
      <c r="V585">
        <v>-35.200000000000003</v>
      </c>
      <c r="W585">
        <v>-1.5E-3</v>
      </c>
      <c r="X585">
        <v>2.0000000000000004</v>
      </c>
      <c r="Y585">
        <v>0</v>
      </c>
    </row>
    <row r="586" spans="1:25" x14ac:dyDescent="0.2">
      <c r="A586" t="s">
        <v>25</v>
      </c>
      <c r="B586" t="s">
        <v>659</v>
      </c>
      <c r="C586">
        <v>680</v>
      </c>
      <c r="D586">
        <v>250</v>
      </c>
      <c r="E586">
        <v>28</v>
      </c>
      <c r="F586">
        <v>18</v>
      </c>
      <c r="G586">
        <v>1</v>
      </c>
      <c r="H586">
        <v>80</v>
      </c>
      <c r="I586">
        <v>200</v>
      </c>
      <c r="J586">
        <v>96</v>
      </c>
      <c r="K586">
        <v>1</v>
      </c>
      <c r="L586">
        <v>87</v>
      </c>
      <c r="M586">
        <v>10</v>
      </c>
      <c r="N586">
        <v>775</v>
      </c>
      <c r="O586" s="3">
        <f t="shared" si="32"/>
        <v>1.4705882352941175</v>
      </c>
      <c r="P586">
        <f t="shared" si="33"/>
        <v>0</v>
      </c>
      <c r="Q586">
        <f t="shared" si="34"/>
        <v>0</v>
      </c>
      <c r="S586">
        <v>-39.117770186335406</v>
      </c>
      <c r="T586">
        <v>-4.5</v>
      </c>
      <c r="U586">
        <v>-2.1739130434782608</v>
      </c>
      <c r="V586">
        <v>-34.800000000000004</v>
      </c>
      <c r="W586">
        <v>-1E-3</v>
      </c>
      <c r="X586">
        <v>2.0000000000000004</v>
      </c>
      <c r="Y586">
        <v>0.35714285714285715</v>
      </c>
    </row>
    <row r="587" spans="1:25" x14ac:dyDescent="0.2">
      <c r="A587" t="s">
        <v>25</v>
      </c>
      <c r="B587" t="s">
        <v>660</v>
      </c>
      <c r="C587">
        <v>550</v>
      </c>
      <c r="D587">
        <v>220</v>
      </c>
      <c r="E587">
        <v>24</v>
      </c>
      <c r="F587">
        <v>15</v>
      </c>
      <c r="G587">
        <v>1</v>
      </c>
      <c r="H587">
        <v>70</v>
      </c>
      <c r="I587">
        <v>160</v>
      </c>
      <c r="J587">
        <v>76</v>
      </c>
      <c r="K587">
        <v>0</v>
      </c>
      <c r="L587">
        <v>71</v>
      </c>
      <c r="M587">
        <v>8</v>
      </c>
      <c r="N587">
        <v>628</v>
      </c>
      <c r="O587" s="3">
        <f t="shared" si="32"/>
        <v>1.4545454545454546</v>
      </c>
      <c r="P587">
        <f t="shared" si="33"/>
        <v>0</v>
      </c>
      <c r="Q587">
        <f t="shared" si="34"/>
        <v>0</v>
      </c>
      <c r="S587">
        <v>-32.290130434782604</v>
      </c>
      <c r="T587">
        <v>-3.75</v>
      </c>
      <c r="U587">
        <v>-1.7391304347826086</v>
      </c>
      <c r="V587">
        <v>-28.4</v>
      </c>
      <c r="W587">
        <v>-1E-3</v>
      </c>
      <c r="X587">
        <v>1.6</v>
      </c>
      <c r="Y587">
        <v>0</v>
      </c>
    </row>
    <row r="588" spans="1:25" x14ac:dyDescent="0.2">
      <c r="A588" t="s">
        <v>25</v>
      </c>
      <c r="B588" t="s">
        <v>661</v>
      </c>
      <c r="C588">
        <v>280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5</v>
      </c>
      <c r="J588">
        <v>58</v>
      </c>
      <c r="K588">
        <v>0</v>
      </c>
      <c r="L588">
        <v>58</v>
      </c>
      <c r="M588">
        <v>4</v>
      </c>
      <c r="N588">
        <v>334</v>
      </c>
      <c r="O588" s="3">
        <f t="shared" si="32"/>
        <v>1.4285714285714286</v>
      </c>
      <c r="P588">
        <f t="shared" si="33"/>
        <v>0</v>
      </c>
      <c r="Q588">
        <f t="shared" si="34"/>
        <v>0</v>
      </c>
      <c r="S588">
        <v>-22.454347826086956</v>
      </c>
      <c r="T588">
        <v>0</v>
      </c>
      <c r="U588">
        <v>-5.434782608695652E-2</v>
      </c>
      <c r="V588">
        <v>-23.2</v>
      </c>
      <c r="W588">
        <v>0</v>
      </c>
      <c r="X588">
        <v>0.8</v>
      </c>
      <c r="Y588">
        <v>0</v>
      </c>
    </row>
    <row r="589" spans="1:25" x14ac:dyDescent="0.2">
      <c r="A589" t="s">
        <v>25</v>
      </c>
      <c r="B589" t="s">
        <v>662</v>
      </c>
      <c r="C589">
        <v>560</v>
      </c>
      <c r="D589">
        <v>210</v>
      </c>
      <c r="E589">
        <v>24</v>
      </c>
      <c r="F589">
        <v>15</v>
      </c>
      <c r="G589">
        <v>1</v>
      </c>
      <c r="H589">
        <v>65</v>
      </c>
      <c r="I589">
        <v>160</v>
      </c>
      <c r="J589">
        <v>78</v>
      </c>
      <c r="K589">
        <v>1</v>
      </c>
      <c r="L589">
        <v>70</v>
      </c>
      <c r="M589">
        <v>8</v>
      </c>
      <c r="N589">
        <v>637</v>
      </c>
      <c r="O589" s="3">
        <f t="shared" si="32"/>
        <v>1.4285714285714286</v>
      </c>
      <c r="P589">
        <f t="shared" si="33"/>
        <v>0</v>
      </c>
      <c r="Q589">
        <f t="shared" si="34"/>
        <v>0</v>
      </c>
      <c r="S589">
        <v>-31.532987577639741</v>
      </c>
      <c r="T589">
        <v>-3.75</v>
      </c>
      <c r="U589">
        <v>-1.7391304347826086</v>
      </c>
      <c r="V589">
        <v>-27.999999999999996</v>
      </c>
      <c r="W589">
        <v>-1E-3</v>
      </c>
      <c r="X589">
        <v>1.6</v>
      </c>
      <c r="Y589">
        <v>0.35714285714285715</v>
      </c>
    </row>
    <row r="590" spans="1:25" x14ac:dyDescent="0.2">
      <c r="A590" t="s">
        <v>25</v>
      </c>
      <c r="B590" t="s">
        <v>671</v>
      </c>
      <c r="C590">
        <v>150</v>
      </c>
      <c r="D590">
        <v>50</v>
      </c>
      <c r="E590">
        <v>6</v>
      </c>
      <c r="F590">
        <v>2.5</v>
      </c>
      <c r="G590">
        <v>0</v>
      </c>
      <c r="H590">
        <v>10</v>
      </c>
      <c r="I590">
        <v>135</v>
      </c>
      <c r="J590">
        <v>22</v>
      </c>
      <c r="K590">
        <v>1</v>
      </c>
      <c r="L590">
        <v>13</v>
      </c>
      <c r="M590">
        <v>2</v>
      </c>
      <c r="N590">
        <v>163.5</v>
      </c>
      <c r="O590" s="3">
        <f t="shared" si="32"/>
        <v>1.3333333333333335</v>
      </c>
      <c r="P590">
        <f t="shared" si="33"/>
        <v>0</v>
      </c>
      <c r="Q590">
        <f t="shared" si="34"/>
        <v>0</v>
      </c>
      <c r="S590">
        <v>-6.5352484472049692</v>
      </c>
      <c r="T590">
        <v>-0.625</v>
      </c>
      <c r="U590">
        <v>-1.4673913043478262</v>
      </c>
      <c r="V590">
        <v>-5.2</v>
      </c>
      <c r="W590">
        <v>0</v>
      </c>
      <c r="X590">
        <v>0.4</v>
      </c>
      <c r="Y590">
        <v>0.35714285714285715</v>
      </c>
    </row>
    <row r="591" spans="1:25" x14ac:dyDescent="0.2">
      <c r="A591" t="s">
        <v>25</v>
      </c>
      <c r="B591" t="s">
        <v>672</v>
      </c>
      <c r="C591">
        <v>150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30</v>
      </c>
      <c r="K591">
        <v>0</v>
      </c>
      <c r="L591">
        <v>30</v>
      </c>
      <c r="M591">
        <v>2</v>
      </c>
      <c r="N591">
        <v>178</v>
      </c>
      <c r="O591" s="3">
        <f t="shared" si="32"/>
        <v>1.3333333333333335</v>
      </c>
      <c r="P591">
        <f t="shared" si="33"/>
        <v>0</v>
      </c>
      <c r="Q591">
        <f t="shared" si="34"/>
        <v>0</v>
      </c>
      <c r="S591">
        <v>-11.6</v>
      </c>
      <c r="T591">
        <v>0</v>
      </c>
      <c r="U591">
        <v>0</v>
      </c>
      <c r="V591">
        <v>-12</v>
      </c>
      <c r="W591">
        <v>0</v>
      </c>
      <c r="X591">
        <v>0.4</v>
      </c>
      <c r="Y591">
        <v>0</v>
      </c>
    </row>
    <row r="592" spans="1:25" x14ac:dyDescent="0.2">
      <c r="A592" t="s">
        <v>25</v>
      </c>
      <c r="B592" t="s">
        <v>673</v>
      </c>
      <c r="C592">
        <v>450</v>
      </c>
      <c r="D592">
        <v>180</v>
      </c>
      <c r="E592">
        <v>20</v>
      </c>
      <c r="F592">
        <v>13</v>
      </c>
      <c r="G592">
        <v>1</v>
      </c>
      <c r="H592">
        <v>55</v>
      </c>
      <c r="I592">
        <v>135</v>
      </c>
      <c r="J592">
        <v>61</v>
      </c>
      <c r="K592">
        <v>0</v>
      </c>
      <c r="L592">
        <v>57</v>
      </c>
      <c r="M592">
        <v>6</v>
      </c>
      <c r="N592">
        <v>514</v>
      </c>
      <c r="O592" s="3">
        <f t="shared" si="32"/>
        <v>1.3333333333333335</v>
      </c>
      <c r="P592">
        <f t="shared" si="33"/>
        <v>0</v>
      </c>
      <c r="Q592">
        <f t="shared" si="34"/>
        <v>0</v>
      </c>
      <c r="S592">
        <v>-26.318391304347827</v>
      </c>
      <c r="T592">
        <v>-3.25</v>
      </c>
      <c r="U592">
        <v>-1.4673913043478262</v>
      </c>
      <c r="V592">
        <v>-22.799999999999997</v>
      </c>
      <c r="W592">
        <v>-1E-3</v>
      </c>
      <c r="X592">
        <v>1.2</v>
      </c>
      <c r="Y592">
        <v>0</v>
      </c>
    </row>
    <row r="593" spans="1:25" x14ac:dyDescent="0.2">
      <c r="A593" t="s">
        <v>25</v>
      </c>
      <c r="B593" t="s">
        <v>677</v>
      </c>
      <c r="C593">
        <v>230</v>
      </c>
      <c r="D593">
        <v>100</v>
      </c>
      <c r="E593">
        <v>11</v>
      </c>
      <c r="F593">
        <v>1.5</v>
      </c>
      <c r="G593">
        <v>0</v>
      </c>
      <c r="H593">
        <v>0</v>
      </c>
      <c r="I593">
        <v>160</v>
      </c>
      <c r="J593">
        <v>29</v>
      </c>
      <c r="K593">
        <v>3</v>
      </c>
      <c r="L593">
        <v>0</v>
      </c>
      <c r="M593">
        <v>3</v>
      </c>
      <c r="N593">
        <v>228.5</v>
      </c>
      <c r="O593" s="3">
        <f t="shared" si="32"/>
        <v>1.3043478260869565</v>
      </c>
      <c r="P593">
        <f t="shared" si="33"/>
        <v>0</v>
      </c>
      <c r="Q593">
        <f t="shared" si="34"/>
        <v>0</v>
      </c>
      <c r="S593">
        <v>-0.44270186335403694</v>
      </c>
      <c r="T593">
        <v>-0.375</v>
      </c>
      <c r="U593">
        <v>-1.7391304347826086</v>
      </c>
      <c r="V593">
        <v>0</v>
      </c>
      <c r="W593">
        <v>0</v>
      </c>
      <c r="X593">
        <v>0.6</v>
      </c>
      <c r="Y593">
        <v>1.0714285714285714</v>
      </c>
    </row>
    <row r="594" spans="1:25" x14ac:dyDescent="0.2">
      <c r="A594" t="s">
        <v>25</v>
      </c>
      <c r="B594" t="s">
        <v>678</v>
      </c>
      <c r="C594">
        <v>460</v>
      </c>
      <c r="D594">
        <v>170</v>
      </c>
      <c r="E594">
        <v>19</v>
      </c>
      <c r="F594">
        <v>9</v>
      </c>
      <c r="G594">
        <v>0</v>
      </c>
      <c r="H594">
        <v>15</v>
      </c>
      <c r="I594">
        <v>370</v>
      </c>
      <c r="J594">
        <v>66</v>
      </c>
      <c r="K594">
        <v>3</v>
      </c>
      <c r="L594">
        <v>32</v>
      </c>
      <c r="M594">
        <v>6</v>
      </c>
      <c r="N594">
        <v>495</v>
      </c>
      <c r="O594" s="3">
        <f t="shared" si="32"/>
        <v>1.3043478260869565</v>
      </c>
      <c r="P594">
        <f t="shared" si="33"/>
        <v>0</v>
      </c>
      <c r="Q594">
        <f t="shared" si="34"/>
        <v>0</v>
      </c>
      <c r="S594">
        <v>-16.80031055900621</v>
      </c>
      <c r="T594">
        <v>-2.25</v>
      </c>
      <c r="U594">
        <v>-4.0217391304347823</v>
      </c>
      <c r="V594">
        <v>-12.8</v>
      </c>
      <c r="W594">
        <v>0</v>
      </c>
      <c r="X594">
        <v>1.2</v>
      </c>
      <c r="Y594">
        <v>1.0714285714285714</v>
      </c>
    </row>
    <row r="595" spans="1:25" x14ac:dyDescent="0.2">
      <c r="A595" t="s">
        <v>25</v>
      </c>
      <c r="B595" t="s">
        <v>683</v>
      </c>
      <c r="C595">
        <v>160</v>
      </c>
      <c r="D595">
        <v>70</v>
      </c>
      <c r="E595">
        <v>8</v>
      </c>
      <c r="F595">
        <v>3.5</v>
      </c>
      <c r="G595">
        <v>0</v>
      </c>
      <c r="H595">
        <v>10</v>
      </c>
      <c r="I595">
        <v>90</v>
      </c>
      <c r="J595">
        <v>21</v>
      </c>
      <c r="K595">
        <v>1</v>
      </c>
      <c r="L595">
        <v>15</v>
      </c>
      <c r="M595">
        <v>2</v>
      </c>
      <c r="N595">
        <v>176.5</v>
      </c>
      <c r="O595" s="3">
        <f t="shared" si="32"/>
        <v>1.25</v>
      </c>
      <c r="P595">
        <f t="shared" si="33"/>
        <v>0</v>
      </c>
      <c r="Q595">
        <f t="shared" si="34"/>
        <v>0</v>
      </c>
      <c r="S595">
        <v>-7.0961180124223606</v>
      </c>
      <c r="T595">
        <v>-0.875</v>
      </c>
      <c r="U595">
        <v>-0.97826086956521752</v>
      </c>
      <c r="V595">
        <v>-6</v>
      </c>
      <c r="W595">
        <v>0</v>
      </c>
      <c r="X595">
        <v>0.4</v>
      </c>
      <c r="Y595">
        <v>0.35714285714285715</v>
      </c>
    </row>
    <row r="596" spans="1:25" x14ac:dyDescent="0.2">
      <c r="A596" t="s">
        <v>25</v>
      </c>
      <c r="B596" t="s">
        <v>684</v>
      </c>
      <c r="C596">
        <v>160</v>
      </c>
      <c r="D596">
        <v>60</v>
      </c>
      <c r="E596">
        <v>7</v>
      </c>
      <c r="F596">
        <v>3</v>
      </c>
      <c r="G596">
        <v>0</v>
      </c>
      <c r="H596">
        <v>5</v>
      </c>
      <c r="I596">
        <v>120</v>
      </c>
      <c r="J596">
        <v>21</v>
      </c>
      <c r="K596">
        <v>0</v>
      </c>
      <c r="L596">
        <v>11</v>
      </c>
      <c r="M596">
        <v>2</v>
      </c>
      <c r="N596">
        <v>172</v>
      </c>
      <c r="O596" s="3">
        <f t="shared" si="32"/>
        <v>1.25</v>
      </c>
      <c r="P596">
        <f t="shared" si="33"/>
        <v>0</v>
      </c>
      <c r="Q596">
        <f t="shared" si="34"/>
        <v>0</v>
      </c>
      <c r="S596">
        <v>-6.054347826086957</v>
      </c>
      <c r="T596">
        <v>-0.75</v>
      </c>
      <c r="U596">
        <v>-1.3043478260869565</v>
      </c>
      <c r="V596">
        <v>-4.4000000000000004</v>
      </c>
      <c r="W596">
        <v>0</v>
      </c>
      <c r="X596">
        <v>0.4</v>
      </c>
      <c r="Y596">
        <v>0</v>
      </c>
    </row>
    <row r="597" spans="1:25" x14ac:dyDescent="0.2">
      <c r="A597" t="s">
        <v>25</v>
      </c>
      <c r="B597" t="s">
        <v>694</v>
      </c>
      <c r="C597">
        <v>500</v>
      </c>
      <c r="D597">
        <v>220</v>
      </c>
      <c r="E597">
        <v>25</v>
      </c>
      <c r="F597">
        <v>3.5</v>
      </c>
      <c r="G597">
        <v>0</v>
      </c>
      <c r="H597">
        <v>0</v>
      </c>
      <c r="I597">
        <v>350</v>
      </c>
      <c r="J597">
        <v>63</v>
      </c>
      <c r="K597">
        <v>6</v>
      </c>
      <c r="L597">
        <v>0</v>
      </c>
      <c r="M597">
        <v>6</v>
      </c>
      <c r="N597">
        <v>497.5</v>
      </c>
      <c r="O597" s="3">
        <f t="shared" si="32"/>
        <v>1.2</v>
      </c>
      <c r="P597">
        <f t="shared" si="33"/>
        <v>0</v>
      </c>
      <c r="Q597">
        <f t="shared" si="34"/>
        <v>0</v>
      </c>
      <c r="S597">
        <v>-1.336490683229814</v>
      </c>
      <c r="T597">
        <v>-0.875</v>
      </c>
      <c r="U597">
        <v>-3.804347826086957</v>
      </c>
      <c r="V597">
        <v>0</v>
      </c>
      <c r="W597">
        <v>0</v>
      </c>
      <c r="X597">
        <v>1.2</v>
      </c>
      <c r="Y597">
        <v>2.1428571428571428</v>
      </c>
    </row>
    <row r="598" spans="1:25" x14ac:dyDescent="0.2">
      <c r="A598" t="s">
        <v>25</v>
      </c>
      <c r="B598" t="s">
        <v>699</v>
      </c>
      <c r="C598">
        <v>260</v>
      </c>
      <c r="D598">
        <v>5</v>
      </c>
      <c r="E598">
        <v>1</v>
      </c>
      <c r="F598">
        <v>0</v>
      </c>
      <c r="G598">
        <v>0</v>
      </c>
      <c r="H598">
        <v>5</v>
      </c>
      <c r="I598">
        <v>35</v>
      </c>
      <c r="J598">
        <v>60</v>
      </c>
      <c r="K598">
        <v>4</v>
      </c>
      <c r="L598">
        <v>55</v>
      </c>
      <c r="M598">
        <v>3</v>
      </c>
      <c r="N598">
        <v>312</v>
      </c>
      <c r="O598" s="3">
        <f t="shared" si="32"/>
        <v>1.153846153846154</v>
      </c>
      <c r="P598">
        <f t="shared" si="33"/>
        <v>0</v>
      </c>
      <c r="Q598">
        <f t="shared" si="34"/>
        <v>0</v>
      </c>
      <c r="S598">
        <v>-20.35186335403727</v>
      </c>
      <c r="T598">
        <v>0</v>
      </c>
      <c r="U598">
        <v>-0.38043478260869568</v>
      </c>
      <c r="V598">
        <v>-22.000000000000004</v>
      </c>
      <c r="W598">
        <v>0</v>
      </c>
      <c r="X598">
        <v>0.6</v>
      </c>
      <c r="Y598">
        <v>1.4285714285714286</v>
      </c>
    </row>
    <row r="599" spans="1:25" x14ac:dyDescent="0.2">
      <c r="A599" t="s">
        <v>25</v>
      </c>
      <c r="B599" t="s">
        <v>703</v>
      </c>
      <c r="C599">
        <v>380</v>
      </c>
      <c r="D599">
        <v>170</v>
      </c>
      <c r="E599">
        <v>19</v>
      </c>
      <c r="F599">
        <v>2.5</v>
      </c>
      <c r="G599">
        <v>0</v>
      </c>
      <c r="H599">
        <v>0</v>
      </c>
      <c r="I599">
        <v>270</v>
      </c>
      <c r="J599">
        <v>48</v>
      </c>
      <c r="K599">
        <v>5</v>
      </c>
      <c r="L599">
        <v>0</v>
      </c>
      <c r="M599">
        <v>4</v>
      </c>
      <c r="N599">
        <v>378.5</v>
      </c>
      <c r="O599" s="3">
        <f t="shared" si="32"/>
        <v>1.0526315789473684</v>
      </c>
      <c r="P599">
        <f t="shared" si="33"/>
        <v>0</v>
      </c>
      <c r="Q599">
        <f t="shared" si="34"/>
        <v>0</v>
      </c>
      <c r="S599">
        <v>-0.97406832298136647</v>
      </c>
      <c r="T599">
        <v>-0.625</v>
      </c>
      <c r="U599">
        <v>-2.9347826086956523</v>
      </c>
      <c r="V599">
        <v>0</v>
      </c>
      <c r="W599">
        <v>0</v>
      </c>
      <c r="X599">
        <v>0.8</v>
      </c>
      <c r="Y599">
        <v>1.785714285714286</v>
      </c>
    </row>
    <row r="600" spans="1:25" x14ac:dyDescent="0.2">
      <c r="A600" t="s">
        <v>25</v>
      </c>
      <c r="B600" t="s">
        <v>704</v>
      </c>
      <c r="C600">
        <v>190</v>
      </c>
      <c r="D600">
        <v>170</v>
      </c>
      <c r="E600">
        <v>18</v>
      </c>
      <c r="F600">
        <v>3.5</v>
      </c>
      <c r="G600">
        <v>0</v>
      </c>
      <c r="H600">
        <v>20</v>
      </c>
      <c r="I600">
        <v>500</v>
      </c>
      <c r="J600">
        <v>4</v>
      </c>
      <c r="K600">
        <v>0</v>
      </c>
      <c r="L600">
        <v>2</v>
      </c>
      <c r="M600">
        <v>2</v>
      </c>
      <c r="N600">
        <v>193.5</v>
      </c>
      <c r="O600" s="3">
        <f t="shared" si="32"/>
        <v>1.0526315789473684</v>
      </c>
      <c r="P600">
        <f t="shared" si="33"/>
        <v>1</v>
      </c>
      <c r="Q600">
        <f t="shared" si="34"/>
        <v>0</v>
      </c>
      <c r="S600">
        <v>-6.7097826086956518</v>
      </c>
      <c r="T600">
        <v>-0.875</v>
      </c>
      <c r="U600">
        <v>-5.4347826086956523</v>
      </c>
      <c r="V600">
        <v>-0.8</v>
      </c>
      <c r="W600">
        <v>0</v>
      </c>
      <c r="X600">
        <v>0.4</v>
      </c>
      <c r="Y600">
        <v>0</v>
      </c>
    </row>
    <row r="601" spans="1:25" x14ac:dyDescent="0.2">
      <c r="A601" t="s">
        <v>25</v>
      </c>
      <c r="B601" t="s">
        <v>705</v>
      </c>
      <c r="C601">
        <v>190</v>
      </c>
      <c r="D601">
        <v>70</v>
      </c>
      <c r="E601">
        <v>8</v>
      </c>
      <c r="F601">
        <v>5</v>
      </c>
      <c r="G601">
        <v>0</v>
      </c>
      <c r="H601">
        <v>30</v>
      </c>
      <c r="I601">
        <v>115</v>
      </c>
      <c r="J601">
        <v>27</v>
      </c>
      <c r="K601">
        <v>0</v>
      </c>
      <c r="L601">
        <v>27</v>
      </c>
      <c r="M601">
        <v>2</v>
      </c>
      <c r="N601">
        <v>220</v>
      </c>
      <c r="O601" s="3">
        <f t="shared" si="32"/>
        <v>1.0526315789473684</v>
      </c>
      <c r="P601">
        <f t="shared" si="33"/>
        <v>0</v>
      </c>
      <c r="Q601">
        <f t="shared" si="34"/>
        <v>0</v>
      </c>
      <c r="S601">
        <v>-12.9</v>
      </c>
      <c r="T601">
        <v>-1.25</v>
      </c>
      <c r="U601">
        <v>-1.25</v>
      </c>
      <c r="V601">
        <v>-10.8</v>
      </c>
      <c r="W601">
        <v>0</v>
      </c>
      <c r="X601">
        <v>0.4</v>
      </c>
      <c r="Y601">
        <v>0</v>
      </c>
    </row>
    <row r="602" spans="1:25" x14ac:dyDescent="0.2">
      <c r="A602" t="s">
        <v>25</v>
      </c>
      <c r="B602" t="s">
        <v>706</v>
      </c>
      <c r="C602">
        <v>190</v>
      </c>
      <c r="D602">
        <v>70</v>
      </c>
      <c r="E602">
        <v>8</v>
      </c>
      <c r="F602">
        <v>5</v>
      </c>
      <c r="G602">
        <v>0</v>
      </c>
      <c r="H602">
        <v>30</v>
      </c>
      <c r="I602">
        <v>60</v>
      </c>
      <c r="J602">
        <v>29</v>
      </c>
      <c r="K602">
        <v>0</v>
      </c>
      <c r="L602">
        <v>29</v>
      </c>
      <c r="M602">
        <v>2</v>
      </c>
      <c r="N602">
        <v>222</v>
      </c>
      <c r="O602" s="3">
        <f t="shared" si="32"/>
        <v>1.0526315789473684</v>
      </c>
      <c r="P602">
        <f t="shared" si="33"/>
        <v>0</v>
      </c>
      <c r="Q602">
        <f t="shared" si="34"/>
        <v>0</v>
      </c>
      <c r="S602">
        <v>-13.102173913043478</v>
      </c>
      <c r="T602">
        <v>-1.25</v>
      </c>
      <c r="U602">
        <v>-0.65217391304347827</v>
      </c>
      <c r="V602">
        <v>-11.6</v>
      </c>
      <c r="W602">
        <v>0</v>
      </c>
      <c r="X602">
        <v>0.4</v>
      </c>
      <c r="Y602">
        <v>0</v>
      </c>
    </row>
    <row r="603" spans="1:25" x14ac:dyDescent="0.2">
      <c r="A603" t="s">
        <v>25</v>
      </c>
      <c r="B603" t="s">
        <v>707</v>
      </c>
      <c r="C603">
        <v>190</v>
      </c>
      <c r="D603">
        <v>70</v>
      </c>
      <c r="E603">
        <v>8</v>
      </c>
      <c r="F603">
        <v>5</v>
      </c>
      <c r="G603">
        <v>0</v>
      </c>
      <c r="H603">
        <v>30</v>
      </c>
      <c r="I603">
        <v>60</v>
      </c>
      <c r="J603">
        <v>29</v>
      </c>
      <c r="K603">
        <v>0</v>
      </c>
      <c r="L603">
        <v>28</v>
      </c>
      <c r="M603">
        <v>2</v>
      </c>
      <c r="N603">
        <v>221</v>
      </c>
      <c r="O603" s="3">
        <f t="shared" si="32"/>
        <v>1.0526315789473684</v>
      </c>
      <c r="P603">
        <f t="shared" si="33"/>
        <v>0</v>
      </c>
      <c r="Q603">
        <f t="shared" si="34"/>
        <v>0</v>
      </c>
      <c r="S603">
        <v>-12.702173913043479</v>
      </c>
      <c r="T603">
        <v>-1.25</v>
      </c>
      <c r="U603">
        <v>-0.65217391304347827</v>
      </c>
      <c r="V603">
        <v>-11.200000000000001</v>
      </c>
      <c r="W603">
        <v>0</v>
      </c>
      <c r="X603">
        <v>0.4</v>
      </c>
      <c r="Y603">
        <v>0</v>
      </c>
    </row>
    <row r="604" spans="1:25" x14ac:dyDescent="0.2">
      <c r="A604" t="s">
        <v>25</v>
      </c>
      <c r="B604" t="s">
        <v>709</v>
      </c>
      <c r="C604">
        <v>100</v>
      </c>
      <c r="D604">
        <v>50</v>
      </c>
      <c r="E604">
        <v>6</v>
      </c>
      <c r="F604">
        <v>1</v>
      </c>
      <c r="G604">
        <v>0</v>
      </c>
      <c r="H604">
        <v>20</v>
      </c>
      <c r="I604">
        <v>340</v>
      </c>
      <c r="J604">
        <v>11</v>
      </c>
      <c r="K604">
        <v>0</v>
      </c>
      <c r="L604">
        <v>3</v>
      </c>
      <c r="M604">
        <v>1</v>
      </c>
      <c r="N604">
        <v>103</v>
      </c>
      <c r="O604" s="3">
        <f t="shared" si="32"/>
        <v>1</v>
      </c>
      <c r="P604">
        <f t="shared" si="33"/>
        <v>0</v>
      </c>
      <c r="Q604">
        <f t="shared" si="34"/>
        <v>0</v>
      </c>
      <c r="S604">
        <v>-4.945652173913043</v>
      </c>
      <c r="T604">
        <v>-0.25</v>
      </c>
      <c r="U604">
        <v>-3.6956521739130435</v>
      </c>
      <c r="V604">
        <v>-1.2</v>
      </c>
      <c r="W604">
        <v>0</v>
      </c>
      <c r="X604">
        <v>0.2</v>
      </c>
      <c r="Y604">
        <v>0</v>
      </c>
    </row>
    <row r="605" spans="1:25" x14ac:dyDescent="0.2">
      <c r="A605" t="s">
        <v>25</v>
      </c>
      <c r="B605" t="s">
        <v>710</v>
      </c>
      <c r="C605">
        <v>200</v>
      </c>
      <c r="D605">
        <v>70</v>
      </c>
      <c r="E605">
        <v>8</v>
      </c>
      <c r="F605">
        <v>5</v>
      </c>
      <c r="G605">
        <v>0</v>
      </c>
      <c r="H605">
        <v>30</v>
      </c>
      <c r="I605">
        <v>60</v>
      </c>
      <c r="J605">
        <v>30</v>
      </c>
      <c r="K605">
        <v>0</v>
      </c>
      <c r="L605">
        <v>30</v>
      </c>
      <c r="M605">
        <v>2</v>
      </c>
      <c r="N605">
        <v>233</v>
      </c>
      <c r="O605" s="3">
        <f t="shared" si="32"/>
        <v>1</v>
      </c>
      <c r="P605">
        <f t="shared" si="33"/>
        <v>0</v>
      </c>
      <c r="Q605">
        <f t="shared" si="34"/>
        <v>0</v>
      </c>
      <c r="S605">
        <v>-13.502173913043478</v>
      </c>
      <c r="T605">
        <v>-1.25</v>
      </c>
      <c r="U605">
        <v>-0.65217391304347827</v>
      </c>
      <c r="V605">
        <v>-12</v>
      </c>
      <c r="W605">
        <v>0</v>
      </c>
      <c r="X605">
        <v>0.4</v>
      </c>
      <c r="Y605">
        <v>0</v>
      </c>
    </row>
    <row r="606" spans="1:25" x14ac:dyDescent="0.2">
      <c r="A606" t="s">
        <v>25</v>
      </c>
      <c r="B606" t="s">
        <v>722</v>
      </c>
      <c r="C606">
        <v>210</v>
      </c>
      <c r="D606">
        <v>5</v>
      </c>
      <c r="E606">
        <v>0.5</v>
      </c>
      <c r="F606">
        <v>0</v>
      </c>
      <c r="G606">
        <v>0</v>
      </c>
      <c r="H606">
        <v>5</v>
      </c>
      <c r="I606">
        <v>35</v>
      </c>
      <c r="J606">
        <v>49</v>
      </c>
      <c r="K606">
        <v>2</v>
      </c>
      <c r="L606">
        <v>44</v>
      </c>
      <c r="M606">
        <v>2</v>
      </c>
      <c r="N606">
        <v>252</v>
      </c>
      <c r="O606" s="3">
        <f t="shared" si="32"/>
        <v>0.95238095238095244</v>
      </c>
      <c r="P606">
        <f t="shared" si="33"/>
        <v>0</v>
      </c>
      <c r="Q606">
        <f t="shared" si="34"/>
        <v>0</v>
      </c>
      <c r="S606">
        <v>-16.866149068322983</v>
      </c>
      <c r="T606">
        <v>0</v>
      </c>
      <c r="U606">
        <v>-0.38043478260869568</v>
      </c>
      <c r="V606">
        <v>-17.600000000000001</v>
      </c>
      <c r="W606">
        <v>0</v>
      </c>
      <c r="X606">
        <v>0.4</v>
      </c>
      <c r="Y606">
        <v>0.7142857142857143</v>
      </c>
    </row>
    <row r="607" spans="1:25" x14ac:dyDescent="0.2">
      <c r="A607" t="s">
        <v>25</v>
      </c>
      <c r="B607" t="s">
        <v>723</v>
      </c>
      <c r="C607">
        <v>210</v>
      </c>
      <c r="D607">
        <v>5</v>
      </c>
      <c r="E607">
        <v>0.5</v>
      </c>
      <c r="F607">
        <v>0</v>
      </c>
      <c r="G607">
        <v>0</v>
      </c>
      <c r="H607">
        <v>5</v>
      </c>
      <c r="I607">
        <v>30</v>
      </c>
      <c r="J607">
        <v>48</v>
      </c>
      <c r="K607">
        <v>3</v>
      </c>
      <c r="L607">
        <v>44</v>
      </c>
      <c r="M607">
        <v>2</v>
      </c>
      <c r="N607">
        <v>252</v>
      </c>
      <c r="O607" s="3">
        <f t="shared" si="32"/>
        <v>0.95238095238095244</v>
      </c>
      <c r="P607">
        <f t="shared" si="33"/>
        <v>0</v>
      </c>
      <c r="Q607">
        <f t="shared" si="34"/>
        <v>0</v>
      </c>
      <c r="S607">
        <v>-16.454658385093168</v>
      </c>
      <c r="T607">
        <v>0</v>
      </c>
      <c r="U607">
        <v>-0.32608695652173914</v>
      </c>
      <c r="V607">
        <v>-17.600000000000001</v>
      </c>
      <c r="W607">
        <v>0</v>
      </c>
      <c r="X607">
        <v>0.4</v>
      </c>
      <c r="Y607">
        <v>1.0714285714285714</v>
      </c>
    </row>
    <row r="608" spans="1:25" x14ac:dyDescent="0.2">
      <c r="A608" t="s">
        <v>25</v>
      </c>
      <c r="B608" t="s">
        <v>724</v>
      </c>
      <c r="C608">
        <v>320</v>
      </c>
      <c r="D608">
        <v>10</v>
      </c>
      <c r="E608">
        <v>1</v>
      </c>
      <c r="F608">
        <v>0.5</v>
      </c>
      <c r="G608">
        <v>0</v>
      </c>
      <c r="H608">
        <v>5</v>
      </c>
      <c r="I608">
        <v>45</v>
      </c>
      <c r="J608">
        <v>75</v>
      </c>
      <c r="K608">
        <v>4</v>
      </c>
      <c r="L608">
        <v>69</v>
      </c>
      <c r="M608">
        <v>3</v>
      </c>
      <c r="N608">
        <v>386.5</v>
      </c>
      <c r="O608" s="3">
        <f t="shared" si="32"/>
        <v>0.9375</v>
      </c>
      <c r="P608">
        <f t="shared" si="33"/>
        <v>0</v>
      </c>
      <c r="Q608">
        <f t="shared" si="34"/>
        <v>0</v>
      </c>
      <c r="S608">
        <v>-26.185559006211179</v>
      </c>
      <c r="T608">
        <v>-0.125</v>
      </c>
      <c r="U608">
        <v>-0.48913043478260876</v>
      </c>
      <c r="V608">
        <v>-27.599999999999998</v>
      </c>
      <c r="W608">
        <v>0</v>
      </c>
      <c r="X608">
        <v>0.6</v>
      </c>
      <c r="Y608">
        <v>1.4285714285714286</v>
      </c>
    </row>
    <row r="609" spans="1:25" x14ac:dyDescent="0.2">
      <c r="A609" t="s">
        <v>25</v>
      </c>
      <c r="B609" t="s">
        <v>726</v>
      </c>
      <c r="C609">
        <v>330</v>
      </c>
      <c r="D609">
        <v>10</v>
      </c>
      <c r="E609">
        <v>1</v>
      </c>
      <c r="F609">
        <v>0.5</v>
      </c>
      <c r="G609">
        <v>0</v>
      </c>
      <c r="H609">
        <v>5</v>
      </c>
      <c r="I609">
        <v>55</v>
      </c>
      <c r="J609">
        <v>77</v>
      </c>
      <c r="K609">
        <v>4</v>
      </c>
      <c r="L609">
        <v>70</v>
      </c>
      <c r="M609">
        <v>3</v>
      </c>
      <c r="N609">
        <v>397.5</v>
      </c>
      <c r="O609" s="3">
        <f t="shared" si="32"/>
        <v>0.90909090909090906</v>
      </c>
      <c r="P609">
        <f t="shared" si="33"/>
        <v>0</v>
      </c>
      <c r="Q609">
        <f t="shared" si="34"/>
        <v>0</v>
      </c>
      <c r="S609">
        <v>-26.694254658385091</v>
      </c>
      <c r="T609">
        <v>-0.125</v>
      </c>
      <c r="U609">
        <v>-0.59782608695652173</v>
      </c>
      <c r="V609">
        <v>-27.999999999999996</v>
      </c>
      <c r="W609">
        <v>0</v>
      </c>
      <c r="X609">
        <v>0.6</v>
      </c>
      <c r="Y609">
        <v>1.4285714285714286</v>
      </c>
    </row>
    <row r="610" spans="1:25" x14ac:dyDescent="0.2">
      <c r="A610" t="s">
        <v>25</v>
      </c>
      <c r="B610" t="s">
        <v>736</v>
      </c>
      <c r="C610">
        <v>250</v>
      </c>
      <c r="D610">
        <v>110</v>
      </c>
      <c r="E610">
        <v>13</v>
      </c>
      <c r="F610">
        <v>7</v>
      </c>
      <c r="G610">
        <v>0</v>
      </c>
      <c r="H610">
        <v>0</v>
      </c>
      <c r="I610">
        <v>170</v>
      </c>
      <c r="J610">
        <v>32</v>
      </c>
      <c r="K610">
        <v>4</v>
      </c>
      <c r="L610">
        <v>13</v>
      </c>
      <c r="M610">
        <v>2</v>
      </c>
      <c r="N610">
        <v>268</v>
      </c>
      <c r="O610" s="3">
        <f t="shared" si="32"/>
        <v>0.8</v>
      </c>
      <c r="P610">
        <f t="shared" si="33"/>
        <v>0</v>
      </c>
      <c r="Q610">
        <f t="shared" si="34"/>
        <v>0</v>
      </c>
      <c r="S610">
        <v>-6.9692546583850934</v>
      </c>
      <c r="T610">
        <v>-1.75</v>
      </c>
      <c r="U610">
        <v>-1.8478260869565217</v>
      </c>
      <c r="V610">
        <v>-5.2</v>
      </c>
      <c r="W610">
        <v>0</v>
      </c>
      <c r="X610">
        <v>0.4</v>
      </c>
      <c r="Y610">
        <v>1.4285714285714286</v>
      </c>
    </row>
    <row r="611" spans="1:25" x14ac:dyDescent="0.2">
      <c r="A611" t="s">
        <v>25</v>
      </c>
      <c r="B611" t="s">
        <v>739</v>
      </c>
      <c r="C611">
        <v>130</v>
      </c>
      <c r="D611">
        <v>50</v>
      </c>
      <c r="E611">
        <v>5</v>
      </c>
      <c r="F611">
        <v>3.5</v>
      </c>
      <c r="G611">
        <v>0</v>
      </c>
      <c r="H611">
        <v>20</v>
      </c>
      <c r="I611">
        <v>80</v>
      </c>
      <c r="J611">
        <v>21</v>
      </c>
      <c r="K611">
        <v>0</v>
      </c>
      <c r="L611">
        <v>20</v>
      </c>
      <c r="M611">
        <v>1</v>
      </c>
      <c r="N611">
        <v>152.5</v>
      </c>
      <c r="O611" s="3">
        <f t="shared" si="32"/>
        <v>0.76923076923076927</v>
      </c>
      <c r="P611">
        <f t="shared" si="33"/>
        <v>0</v>
      </c>
      <c r="Q611">
        <f t="shared" si="34"/>
        <v>0</v>
      </c>
      <c r="S611">
        <v>-9.5445652173913071</v>
      </c>
      <c r="T611">
        <v>-0.875</v>
      </c>
      <c r="U611">
        <v>-0.86956521739130432</v>
      </c>
      <c r="V611">
        <v>-8.0000000000000018</v>
      </c>
      <c r="W611">
        <v>0</v>
      </c>
      <c r="X611">
        <v>0.2</v>
      </c>
      <c r="Y611">
        <v>0</v>
      </c>
    </row>
    <row r="612" spans="1:25" x14ac:dyDescent="0.2">
      <c r="A612" t="s">
        <v>25</v>
      </c>
      <c r="B612" t="s">
        <v>740</v>
      </c>
      <c r="C612">
        <v>130</v>
      </c>
      <c r="D612">
        <v>50</v>
      </c>
      <c r="E612">
        <v>5</v>
      </c>
      <c r="F612">
        <v>3.5</v>
      </c>
      <c r="G612">
        <v>0</v>
      </c>
      <c r="H612">
        <v>20</v>
      </c>
      <c r="I612">
        <v>40</v>
      </c>
      <c r="J612">
        <v>21</v>
      </c>
      <c r="K612">
        <v>0</v>
      </c>
      <c r="L612">
        <v>21</v>
      </c>
      <c r="M612">
        <v>1</v>
      </c>
      <c r="N612">
        <v>153.5</v>
      </c>
      <c r="O612" s="3">
        <f t="shared" si="32"/>
        <v>0.76923076923076927</v>
      </c>
      <c r="P612">
        <f t="shared" si="33"/>
        <v>0</v>
      </c>
      <c r="Q612">
        <f t="shared" si="34"/>
        <v>0</v>
      </c>
      <c r="S612">
        <v>-9.5097826086956534</v>
      </c>
      <c r="T612">
        <v>-0.875</v>
      </c>
      <c r="U612">
        <v>-0.43478260869565216</v>
      </c>
      <c r="V612">
        <v>-8.4</v>
      </c>
      <c r="W612">
        <v>0</v>
      </c>
      <c r="X612">
        <v>0.2</v>
      </c>
      <c r="Y612">
        <v>0</v>
      </c>
    </row>
    <row r="613" spans="1:25" x14ac:dyDescent="0.2">
      <c r="A613" t="s">
        <v>25</v>
      </c>
      <c r="B613" t="s">
        <v>741</v>
      </c>
      <c r="C613">
        <v>130</v>
      </c>
      <c r="D613">
        <v>50</v>
      </c>
      <c r="E613">
        <v>5</v>
      </c>
      <c r="F613">
        <v>3.5</v>
      </c>
      <c r="G613">
        <v>0</v>
      </c>
      <c r="H613">
        <v>20</v>
      </c>
      <c r="I613">
        <v>40</v>
      </c>
      <c r="J613">
        <v>21</v>
      </c>
      <c r="K613">
        <v>0</v>
      </c>
      <c r="L613">
        <v>21</v>
      </c>
      <c r="M613">
        <v>1</v>
      </c>
      <c r="N613">
        <v>153.5</v>
      </c>
      <c r="O613" s="3">
        <f t="shared" si="32"/>
        <v>0.76923076923076927</v>
      </c>
      <c r="P613">
        <f t="shared" si="33"/>
        <v>0</v>
      </c>
      <c r="Q613">
        <f t="shared" si="34"/>
        <v>0</v>
      </c>
      <c r="S613">
        <v>-9.5097826086956534</v>
      </c>
      <c r="T613">
        <v>-0.875</v>
      </c>
      <c r="U613">
        <v>-0.43478260869565216</v>
      </c>
      <c r="V613">
        <v>-8.4</v>
      </c>
      <c r="W613">
        <v>0</v>
      </c>
      <c r="X613">
        <v>0.2</v>
      </c>
      <c r="Y613">
        <v>0</v>
      </c>
    </row>
    <row r="614" spans="1:25" x14ac:dyDescent="0.2">
      <c r="A614" t="s">
        <v>25</v>
      </c>
      <c r="B614" t="s">
        <v>742</v>
      </c>
      <c r="C614">
        <v>260</v>
      </c>
      <c r="D614">
        <v>5</v>
      </c>
      <c r="E614">
        <v>1</v>
      </c>
      <c r="F614">
        <v>0</v>
      </c>
      <c r="G614">
        <v>0</v>
      </c>
      <c r="H614">
        <v>5</v>
      </c>
      <c r="I614">
        <v>40</v>
      </c>
      <c r="J614">
        <v>60</v>
      </c>
      <c r="K614">
        <v>3</v>
      </c>
      <c r="L614">
        <v>54</v>
      </c>
      <c r="M614">
        <v>2</v>
      </c>
      <c r="N614">
        <v>312</v>
      </c>
      <c r="O614" s="3">
        <f t="shared" si="32"/>
        <v>0.76923076923076927</v>
      </c>
      <c r="P614">
        <f t="shared" si="33"/>
        <v>0</v>
      </c>
      <c r="Q614">
        <f t="shared" si="34"/>
        <v>0</v>
      </c>
      <c r="S614">
        <v>-20.563354037267082</v>
      </c>
      <c r="T614">
        <v>0</v>
      </c>
      <c r="U614">
        <v>-0.43478260869565216</v>
      </c>
      <c r="V614">
        <v>-21.6</v>
      </c>
      <c r="W614">
        <v>0</v>
      </c>
      <c r="X614">
        <v>0.4</v>
      </c>
      <c r="Y614">
        <v>1.0714285714285714</v>
      </c>
    </row>
    <row r="615" spans="1:25" x14ac:dyDescent="0.2">
      <c r="A615" t="s">
        <v>25</v>
      </c>
      <c r="B615" t="s">
        <v>746</v>
      </c>
      <c r="C615">
        <v>270</v>
      </c>
      <c r="D615">
        <v>100</v>
      </c>
      <c r="E615">
        <v>11</v>
      </c>
      <c r="F615">
        <v>7</v>
      </c>
      <c r="G615">
        <v>0</v>
      </c>
      <c r="H615">
        <v>40</v>
      </c>
      <c r="I615">
        <v>160</v>
      </c>
      <c r="J615">
        <v>41</v>
      </c>
      <c r="K615">
        <v>0</v>
      </c>
      <c r="L615">
        <v>41</v>
      </c>
      <c r="M615">
        <v>2</v>
      </c>
      <c r="N615">
        <v>316</v>
      </c>
      <c r="O615" s="3">
        <f t="shared" si="32"/>
        <v>0.74074074074074081</v>
      </c>
      <c r="P615">
        <f t="shared" si="33"/>
        <v>0</v>
      </c>
      <c r="Q615">
        <f t="shared" si="34"/>
        <v>0</v>
      </c>
      <c r="S615">
        <v>-19.489130434782613</v>
      </c>
      <c r="T615">
        <v>-1.75</v>
      </c>
      <c r="U615">
        <v>-1.7391304347826086</v>
      </c>
      <c r="V615">
        <v>-16.400000000000002</v>
      </c>
      <c r="W615">
        <v>0</v>
      </c>
      <c r="X615">
        <v>0.4</v>
      </c>
      <c r="Y615">
        <v>0</v>
      </c>
    </row>
    <row r="616" spans="1:25" x14ac:dyDescent="0.2">
      <c r="A616" t="s">
        <v>25</v>
      </c>
      <c r="B616" t="s">
        <v>747</v>
      </c>
      <c r="C616">
        <v>270</v>
      </c>
      <c r="D616">
        <v>100</v>
      </c>
      <c r="E616">
        <v>11</v>
      </c>
      <c r="F616">
        <v>7</v>
      </c>
      <c r="G616">
        <v>0</v>
      </c>
      <c r="H616">
        <v>40</v>
      </c>
      <c r="I616">
        <v>85</v>
      </c>
      <c r="J616">
        <v>43</v>
      </c>
      <c r="K616">
        <v>0</v>
      </c>
      <c r="L616">
        <v>43</v>
      </c>
      <c r="M616">
        <v>2</v>
      </c>
      <c r="N616">
        <v>318</v>
      </c>
      <c r="O616" s="3">
        <f t="shared" si="32"/>
        <v>0.74074074074074081</v>
      </c>
      <c r="P616">
        <f t="shared" si="33"/>
        <v>0</v>
      </c>
      <c r="Q616">
        <f t="shared" si="34"/>
        <v>0</v>
      </c>
      <c r="S616">
        <v>-19.473913043478266</v>
      </c>
      <c r="T616">
        <v>-1.75</v>
      </c>
      <c r="U616">
        <v>-0.92391304347826086</v>
      </c>
      <c r="V616">
        <v>-17.200000000000003</v>
      </c>
      <c r="W616">
        <v>0</v>
      </c>
      <c r="X616">
        <v>0.4</v>
      </c>
      <c r="Y616">
        <v>0</v>
      </c>
    </row>
    <row r="617" spans="1:25" x14ac:dyDescent="0.2">
      <c r="A617" t="s">
        <v>25</v>
      </c>
      <c r="B617" t="s">
        <v>748</v>
      </c>
      <c r="C617">
        <v>270</v>
      </c>
      <c r="D617">
        <v>100</v>
      </c>
      <c r="E617">
        <v>11</v>
      </c>
      <c r="F617">
        <v>7</v>
      </c>
      <c r="G617">
        <v>0</v>
      </c>
      <c r="H617">
        <v>40</v>
      </c>
      <c r="I617">
        <v>80</v>
      </c>
      <c r="J617">
        <v>43</v>
      </c>
      <c r="K617">
        <v>0</v>
      </c>
      <c r="L617">
        <v>43</v>
      </c>
      <c r="M617">
        <v>2</v>
      </c>
      <c r="N617">
        <v>318</v>
      </c>
      <c r="O617" s="3">
        <f t="shared" si="32"/>
        <v>0.74074074074074081</v>
      </c>
      <c r="P617">
        <f t="shared" si="33"/>
        <v>0</v>
      </c>
      <c r="Q617">
        <f t="shared" si="34"/>
        <v>0</v>
      </c>
      <c r="S617">
        <v>-19.419565217391309</v>
      </c>
      <c r="T617">
        <v>-1.75</v>
      </c>
      <c r="U617">
        <v>-0.86956521739130432</v>
      </c>
      <c r="V617">
        <v>-17.200000000000003</v>
      </c>
      <c r="W617">
        <v>0</v>
      </c>
      <c r="X617">
        <v>0.4</v>
      </c>
      <c r="Y617">
        <v>0</v>
      </c>
    </row>
    <row r="618" spans="1:25" x14ac:dyDescent="0.2">
      <c r="A618" t="s">
        <v>25</v>
      </c>
      <c r="B618" t="s">
        <v>749</v>
      </c>
      <c r="C618">
        <v>140</v>
      </c>
      <c r="D618">
        <v>50</v>
      </c>
      <c r="E618">
        <v>5</v>
      </c>
      <c r="F618">
        <v>3.5</v>
      </c>
      <c r="G618">
        <v>0</v>
      </c>
      <c r="H618">
        <v>20</v>
      </c>
      <c r="I618">
        <v>40</v>
      </c>
      <c r="J618">
        <v>22</v>
      </c>
      <c r="K618">
        <v>0</v>
      </c>
      <c r="L618">
        <v>22</v>
      </c>
      <c r="M618">
        <v>1</v>
      </c>
      <c r="N618">
        <v>164.5</v>
      </c>
      <c r="O618" s="3">
        <f t="shared" si="32"/>
        <v>0.7142857142857143</v>
      </c>
      <c r="P618">
        <f t="shared" si="33"/>
        <v>0</v>
      </c>
      <c r="Q618">
        <f t="shared" si="34"/>
        <v>0</v>
      </c>
      <c r="S618">
        <v>-9.9097826086956537</v>
      </c>
      <c r="T618">
        <v>-0.875</v>
      </c>
      <c r="U618">
        <v>-0.43478260869565216</v>
      </c>
      <c r="V618">
        <v>-8.8000000000000007</v>
      </c>
      <c r="W618">
        <v>0</v>
      </c>
      <c r="X618">
        <v>0.2</v>
      </c>
      <c r="Y618">
        <v>0</v>
      </c>
    </row>
    <row r="619" spans="1:25" x14ac:dyDescent="0.2">
      <c r="A619" t="s">
        <v>25</v>
      </c>
      <c r="B619" t="s">
        <v>750</v>
      </c>
      <c r="C619">
        <v>280</v>
      </c>
      <c r="D619">
        <v>100</v>
      </c>
      <c r="E619">
        <v>11</v>
      </c>
      <c r="F619">
        <v>7</v>
      </c>
      <c r="G619">
        <v>0</v>
      </c>
      <c r="H619">
        <v>40</v>
      </c>
      <c r="I619">
        <v>85</v>
      </c>
      <c r="J619">
        <v>45</v>
      </c>
      <c r="K619">
        <v>0</v>
      </c>
      <c r="L619">
        <v>45</v>
      </c>
      <c r="M619">
        <v>2</v>
      </c>
      <c r="N619">
        <v>330</v>
      </c>
      <c r="O619" s="3">
        <f t="shared" si="32"/>
        <v>0.7142857142857143</v>
      </c>
      <c r="P619">
        <f t="shared" si="33"/>
        <v>0</v>
      </c>
      <c r="Q619">
        <f t="shared" si="34"/>
        <v>0</v>
      </c>
      <c r="S619">
        <v>-20.273913043478267</v>
      </c>
      <c r="T619">
        <v>-1.75</v>
      </c>
      <c r="U619">
        <v>-0.92391304347826086</v>
      </c>
      <c r="V619">
        <v>-18.000000000000004</v>
      </c>
      <c r="W619">
        <v>0</v>
      </c>
      <c r="X619">
        <v>0.4</v>
      </c>
      <c r="Y619">
        <v>0</v>
      </c>
    </row>
    <row r="620" spans="1:25" x14ac:dyDescent="0.2">
      <c r="A620" t="s">
        <v>25</v>
      </c>
      <c r="B620" t="s">
        <v>753</v>
      </c>
      <c r="C620">
        <v>150</v>
      </c>
      <c r="D620">
        <v>80</v>
      </c>
      <c r="E620">
        <v>9</v>
      </c>
      <c r="F620">
        <v>1.5</v>
      </c>
      <c r="G620">
        <v>0</v>
      </c>
      <c r="H620">
        <v>0</v>
      </c>
      <c r="I620">
        <v>310</v>
      </c>
      <c r="J620">
        <v>15</v>
      </c>
      <c r="K620">
        <v>2</v>
      </c>
      <c r="L620">
        <v>0</v>
      </c>
      <c r="M620">
        <v>1</v>
      </c>
      <c r="N620">
        <v>150.5</v>
      </c>
      <c r="O620" s="3">
        <f t="shared" si="32"/>
        <v>0.66666666666666674</v>
      </c>
      <c r="P620">
        <f t="shared" si="33"/>
        <v>0</v>
      </c>
      <c r="Q620">
        <f t="shared" si="34"/>
        <v>0</v>
      </c>
      <c r="S620">
        <v>-2.8302795031055896</v>
      </c>
      <c r="T620">
        <v>-0.375</v>
      </c>
      <c r="U620">
        <v>-3.3695652173913042</v>
      </c>
      <c r="V620">
        <v>0</v>
      </c>
      <c r="W620">
        <v>0</v>
      </c>
      <c r="X620">
        <v>0.2</v>
      </c>
      <c r="Y620">
        <v>0.7142857142857143</v>
      </c>
    </row>
    <row r="621" spans="1:25" x14ac:dyDescent="0.2">
      <c r="A621" t="s">
        <v>25</v>
      </c>
      <c r="B621" t="s">
        <v>754</v>
      </c>
      <c r="C621">
        <v>150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10</v>
      </c>
      <c r="J621">
        <v>36</v>
      </c>
      <c r="K621">
        <v>0</v>
      </c>
      <c r="L621">
        <v>36</v>
      </c>
      <c r="M621">
        <v>1</v>
      </c>
      <c r="N621">
        <v>185</v>
      </c>
      <c r="O621" s="3">
        <f t="shared" si="32"/>
        <v>0.66666666666666674</v>
      </c>
      <c r="P621">
        <f t="shared" si="33"/>
        <v>0</v>
      </c>
      <c r="Q621">
        <f t="shared" si="34"/>
        <v>0</v>
      </c>
      <c r="S621">
        <v>-14.308695652173911</v>
      </c>
      <c r="T621">
        <v>0</v>
      </c>
      <c r="U621">
        <v>-0.10869565217391304</v>
      </c>
      <c r="V621">
        <v>-14.399999999999999</v>
      </c>
      <c r="W621">
        <v>0</v>
      </c>
      <c r="X621">
        <v>0.2</v>
      </c>
      <c r="Y621">
        <v>0</v>
      </c>
    </row>
    <row r="622" spans="1:25" x14ac:dyDescent="0.2">
      <c r="A622" t="s">
        <v>25</v>
      </c>
      <c r="B622" t="s">
        <v>761</v>
      </c>
      <c r="C622">
        <v>170</v>
      </c>
      <c r="D622">
        <v>130</v>
      </c>
      <c r="E622">
        <v>15</v>
      </c>
      <c r="F622">
        <v>2.5</v>
      </c>
      <c r="G622">
        <v>0</v>
      </c>
      <c r="H622">
        <v>20</v>
      </c>
      <c r="I622">
        <v>530</v>
      </c>
      <c r="J622">
        <v>9</v>
      </c>
      <c r="K622">
        <v>0</v>
      </c>
      <c r="L622">
        <v>4</v>
      </c>
      <c r="M622">
        <v>1</v>
      </c>
      <c r="N622">
        <v>175.5</v>
      </c>
      <c r="O622" s="3">
        <f t="shared" si="32"/>
        <v>0.58823529411764708</v>
      </c>
      <c r="P622">
        <f t="shared" si="33"/>
        <v>1</v>
      </c>
      <c r="Q622">
        <f t="shared" si="34"/>
        <v>0</v>
      </c>
      <c r="S622">
        <v>-7.7858695652173919</v>
      </c>
      <c r="T622">
        <v>-0.625</v>
      </c>
      <c r="U622">
        <v>-5.7608695652173916</v>
      </c>
      <c r="V622">
        <v>-1.6</v>
      </c>
      <c r="W622">
        <v>0</v>
      </c>
      <c r="X622">
        <v>0.2</v>
      </c>
      <c r="Y622">
        <v>0</v>
      </c>
    </row>
    <row r="623" spans="1:25" x14ac:dyDescent="0.2">
      <c r="A623" t="s">
        <v>25</v>
      </c>
      <c r="B623" t="s">
        <v>767</v>
      </c>
      <c r="C623">
        <v>180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10</v>
      </c>
      <c r="J623">
        <v>45</v>
      </c>
      <c r="K623">
        <v>0</v>
      </c>
      <c r="L623">
        <v>45</v>
      </c>
      <c r="M623">
        <v>1</v>
      </c>
      <c r="N623">
        <v>224</v>
      </c>
      <c r="O623" s="3">
        <f t="shared" si="32"/>
        <v>0.55555555555555558</v>
      </c>
      <c r="P623">
        <f t="shared" si="33"/>
        <v>0</v>
      </c>
      <c r="Q623">
        <f t="shared" si="34"/>
        <v>0</v>
      </c>
      <c r="S623">
        <v>-17.908695652173918</v>
      </c>
      <c r="T623">
        <v>0</v>
      </c>
      <c r="U623">
        <v>-0.10869565217391304</v>
      </c>
      <c r="V623">
        <v>-18.000000000000004</v>
      </c>
      <c r="W623">
        <v>0</v>
      </c>
      <c r="X623">
        <v>0.2</v>
      </c>
      <c r="Y623">
        <v>0</v>
      </c>
    </row>
    <row r="624" spans="1:25" x14ac:dyDescent="0.2">
      <c r="A624" t="s">
        <v>25</v>
      </c>
      <c r="B624" t="s">
        <v>769</v>
      </c>
      <c r="C624">
        <v>280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15</v>
      </c>
      <c r="J624">
        <v>69</v>
      </c>
      <c r="K624">
        <v>0</v>
      </c>
      <c r="L624">
        <v>69</v>
      </c>
      <c r="M624">
        <v>1</v>
      </c>
      <c r="N624">
        <v>348</v>
      </c>
      <c r="O624" s="3">
        <f t="shared" si="32"/>
        <v>0.35714285714285715</v>
      </c>
      <c r="P624">
        <f t="shared" si="33"/>
        <v>0</v>
      </c>
      <c r="Q624">
        <f t="shared" si="34"/>
        <v>0</v>
      </c>
      <c r="S624">
        <v>-27.56304347826087</v>
      </c>
      <c r="T624">
        <v>0</v>
      </c>
      <c r="U624">
        <v>-0.16304347826086957</v>
      </c>
      <c r="V624">
        <v>-27.599999999999998</v>
      </c>
      <c r="W624">
        <v>0</v>
      </c>
      <c r="X624">
        <v>0.2</v>
      </c>
      <c r="Y624">
        <v>0</v>
      </c>
    </row>
    <row r="625" spans="1:25" x14ac:dyDescent="0.2">
      <c r="A625" t="s">
        <v>25</v>
      </c>
      <c r="B625" t="s">
        <v>770</v>
      </c>
      <c r="C625">
        <v>15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110</v>
      </c>
      <c r="J625">
        <v>3</v>
      </c>
      <c r="K625">
        <v>0</v>
      </c>
      <c r="L625">
        <v>2</v>
      </c>
      <c r="M625">
        <v>0</v>
      </c>
      <c r="N625">
        <v>17</v>
      </c>
      <c r="O625" s="3">
        <f t="shared" si="32"/>
        <v>0</v>
      </c>
      <c r="P625">
        <f t="shared" si="33"/>
        <v>0</v>
      </c>
      <c r="Q625">
        <f t="shared" si="34"/>
        <v>0</v>
      </c>
      <c r="S625">
        <v>-1.9956521739130435</v>
      </c>
      <c r="T625">
        <v>0</v>
      </c>
      <c r="U625">
        <v>-1.1956521739130435</v>
      </c>
      <c r="V625">
        <v>-0.8</v>
      </c>
      <c r="W625">
        <v>0</v>
      </c>
      <c r="X625">
        <v>0</v>
      </c>
      <c r="Y625">
        <v>0</v>
      </c>
    </row>
    <row r="626" spans="1:25" x14ac:dyDescent="0.2">
      <c r="A626" t="s">
        <v>25</v>
      </c>
      <c r="B626" t="s">
        <v>771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270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f t="shared" si="33"/>
        <v>0</v>
      </c>
      <c r="Q626">
        <f t="shared" si="34"/>
        <v>0</v>
      </c>
      <c r="S626">
        <v>-2.9347826086956523</v>
      </c>
      <c r="T626">
        <v>0</v>
      </c>
      <c r="U626">
        <v>-2.9347826086956523</v>
      </c>
      <c r="V626">
        <v>0</v>
      </c>
      <c r="W626">
        <v>0</v>
      </c>
      <c r="X626">
        <v>0</v>
      </c>
      <c r="Y626">
        <v>0</v>
      </c>
    </row>
    <row r="627" spans="1:25" x14ac:dyDescent="0.2">
      <c r="A627" t="s">
        <v>25</v>
      </c>
      <c r="B627" t="s">
        <v>772</v>
      </c>
      <c r="C627">
        <v>50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260</v>
      </c>
      <c r="J627">
        <v>12</v>
      </c>
      <c r="K627">
        <v>0</v>
      </c>
      <c r="L627">
        <v>10</v>
      </c>
      <c r="M627">
        <v>0</v>
      </c>
      <c r="N627">
        <v>60</v>
      </c>
      <c r="O627" s="3">
        <f t="shared" ref="O627:O657" si="35">M627/C627*100</f>
        <v>0</v>
      </c>
      <c r="P627">
        <f t="shared" si="33"/>
        <v>0</v>
      </c>
      <c r="Q627">
        <f t="shared" si="34"/>
        <v>0</v>
      </c>
      <c r="S627">
        <v>-6.8260869565217401</v>
      </c>
      <c r="T627">
        <v>0</v>
      </c>
      <c r="U627">
        <v>-2.8260869565217392</v>
      </c>
      <c r="V627">
        <v>-4.0000000000000009</v>
      </c>
      <c r="W627">
        <v>0</v>
      </c>
      <c r="X627">
        <v>0</v>
      </c>
      <c r="Y627">
        <v>0</v>
      </c>
    </row>
    <row r="628" spans="1:25" x14ac:dyDescent="0.2">
      <c r="A628" t="s">
        <v>25</v>
      </c>
      <c r="B628" t="s">
        <v>773</v>
      </c>
      <c r="C628">
        <v>50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12</v>
      </c>
      <c r="K628">
        <v>0</v>
      </c>
      <c r="L628">
        <v>11</v>
      </c>
      <c r="M628">
        <v>0</v>
      </c>
      <c r="N628">
        <v>61</v>
      </c>
      <c r="O628" s="3">
        <f t="shared" si="35"/>
        <v>0</v>
      </c>
      <c r="P628">
        <f t="shared" si="33"/>
        <v>0</v>
      </c>
      <c r="Q628">
        <f t="shared" si="34"/>
        <v>0</v>
      </c>
      <c r="S628">
        <v>-4.4000000000000004</v>
      </c>
      <c r="T628">
        <v>0</v>
      </c>
      <c r="U628">
        <v>0</v>
      </c>
      <c r="V628">
        <v>-4.4000000000000004</v>
      </c>
      <c r="W628">
        <v>0</v>
      </c>
      <c r="X628">
        <v>0</v>
      </c>
      <c r="Y628">
        <v>0</v>
      </c>
    </row>
    <row r="629" spans="1:25" x14ac:dyDescent="0.2">
      <c r="A629" t="s">
        <v>25</v>
      </c>
      <c r="B629" t="s">
        <v>774</v>
      </c>
      <c r="C629">
        <v>50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150</v>
      </c>
      <c r="J629">
        <v>12</v>
      </c>
      <c r="K629">
        <v>0</v>
      </c>
      <c r="L629">
        <v>10</v>
      </c>
      <c r="M629">
        <v>0</v>
      </c>
      <c r="N629">
        <v>60</v>
      </c>
      <c r="O629" s="3">
        <f t="shared" si="35"/>
        <v>0</v>
      </c>
      <c r="P629">
        <f t="shared" si="33"/>
        <v>0</v>
      </c>
      <c r="Q629">
        <f t="shared" si="34"/>
        <v>0</v>
      </c>
      <c r="S629">
        <v>-5.6304347826086962</v>
      </c>
      <c r="T629">
        <v>0</v>
      </c>
      <c r="U629">
        <v>-1.6304347826086956</v>
      </c>
      <c r="V629">
        <v>-4.0000000000000009</v>
      </c>
      <c r="W629">
        <v>0</v>
      </c>
      <c r="X629">
        <v>0</v>
      </c>
      <c r="Y629">
        <v>0</v>
      </c>
    </row>
    <row r="630" spans="1:25" x14ac:dyDescent="0.2">
      <c r="A630" t="s">
        <v>25</v>
      </c>
      <c r="B630" t="s">
        <v>775</v>
      </c>
      <c r="C630">
        <v>60</v>
      </c>
      <c r="D630">
        <v>50</v>
      </c>
      <c r="E630">
        <v>6</v>
      </c>
      <c r="F630">
        <v>1</v>
      </c>
      <c r="G630">
        <v>0</v>
      </c>
      <c r="H630">
        <v>0</v>
      </c>
      <c r="I630">
        <v>800</v>
      </c>
      <c r="J630">
        <v>1</v>
      </c>
      <c r="K630">
        <v>1</v>
      </c>
      <c r="L630">
        <v>0</v>
      </c>
      <c r="M630">
        <v>0</v>
      </c>
      <c r="N630">
        <v>61</v>
      </c>
      <c r="O630" s="3">
        <f t="shared" si="35"/>
        <v>0</v>
      </c>
      <c r="P630">
        <f t="shared" si="33"/>
        <v>1</v>
      </c>
      <c r="Q630">
        <f t="shared" si="34"/>
        <v>0</v>
      </c>
      <c r="S630">
        <v>-8.5885093167701854</v>
      </c>
      <c r="T630">
        <v>-0.25</v>
      </c>
      <c r="U630">
        <v>-8.695652173913043</v>
      </c>
      <c r="V630">
        <v>0</v>
      </c>
      <c r="W630">
        <v>0</v>
      </c>
      <c r="X630">
        <v>0</v>
      </c>
      <c r="Y630">
        <v>0.35714285714285715</v>
      </c>
    </row>
    <row r="631" spans="1:25" x14ac:dyDescent="0.2">
      <c r="A631" t="s">
        <v>25</v>
      </c>
      <c r="B631" t="s">
        <v>776</v>
      </c>
      <c r="C631">
        <v>170</v>
      </c>
      <c r="D631">
        <v>160</v>
      </c>
      <c r="E631">
        <v>18</v>
      </c>
      <c r="F631">
        <v>3</v>
      </c>
      <c r="G631">
        <v>0</v>
      </c>
      <c r="H631">
        <v>10</v>
      </c>
      <c r="I631">
        <v>270</v>
      </c>
      <c r="J631">
        <v>2</v>
      </c>
      <c r="K631">
        <v>0</v>
      </c>
      <c r="L631">
        <v>1</v>
      </c>
      <c r="M631">
        <v>0</v>
      </c>
      <c r="N631">
        <v>174</v>
      </c>
      <c r="O631" s="3">
        <f t="shared" si="35"/>
        <v>0</v>
      </c>
      <c r="P631">
        <f t="shared" si="33"/>
        <v>0</v>
      </c>
      <c r="Q631">
        <f t="shared" si="34"/>
        <v>0</v>
      </c>
      <c r="S631">
        <v>-4.0847826086956527</v>
      </c>
      <c r="T631">
        <v>-0.75</v>
      </c>
      <c r="U631">
        <v>-2.9347826086956523</v>
      </c>
      <c r="V631">
        <v>-0.4</v>
      </c>
      <c r="W631">
        <v>0</v>
      </c>
      <c r="X631">
        <v>0</v>
      </c>
      <c r="Y631">
        <v>0</v>
      </c>
    </row>
    <row r="632" spans="1:25" x14ac:dyDescent="0.2">
      <c r="A632" t="s">
        <v>25</v>
      </c>
      <c r="B632" t="s">
        <v>777</v>
      </c>
      <c r="C632">
        <v>60</v>
      </c>
      <c r="D632">
        <v>20</v>
      </c>
      <c r="E632">
        <v>2</v>
      </c>
      <c r="F632">
        <v>0</v>
      </c>
      <c r="G632">
        <v>0</v>
      </c>
      <c r="H632">
        <v>5</v>
      </c>
      <c r="I632">
        <v>140</v>
      </c>
      <c r="J632">
        <v>10</v>
      </c>
      <c r="K632">
        <v>0</v>
      </c>
      <c r="L632">
        <v>8</v>
      </c>
      <c r="M632">
        <v>0</v>
      </c>
      <c r="N632">
        <v>68</v>
      </c>
      <c r="O632" s="3">
        <f t="shared" si="35"/>
        <v>0</v>
      </c>
      <c r="P632">
        <f t="shared" si="33"/>
        <v>0</v>
      </c>
      <c r="Q632">
        <f t="shared" si="34"/>
        <v>0</v>
      </c>
      <c r="S632">
        <v>-4.7217391304347824</v>
      </c>
      <c r="T632">
        <v>0</v>
      </c>
      <c r="U632">
        <v>-1.5217391304347827</v>
      </c>
      <c r="V632">
        <v>-3.2</v>
      </c>
      <c r="W632">
        <v>0</v>
      </c>
      <c r="X632">
        <v>0</v>
      </c>
      <c r="Y632">
        <v>0</v>
      </c>
    </row>
    <row r="633" spans="1:25" x14ac:dyDescent="0.2">
      <c r="A633" t="s">
        <v>25</v>
      </c>
      <c r="B633" t="s">
        <v>778</v>
      </c>
      <c r="C633">
        <v>60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210</v>
      </c>
      <c r="J633">
        <v>15</v>
      </c>
      <c r="K633">
        <v>1</v>
      </c>
      <c r="L633">
        <v>11</v>
      </c>
      <c r="M633">
        <v>0</v>
      </c>
      <c r="N633">
        <v>71</v>
      </c>
      <c r="O633" s="3">
        <f t="shared" si="35"/>
        <v>0</v>
      </c>
      <c r="P633">
        <f t="shared" si="33"/>
        <v>0</v>
      </c>
      <c r="Q633">
        <f t="shared" si="34"/>
        <v>0</v>
      </c>
      <c r="S633">
        <v>-6.3254658385093174</v>
      </c>
      <c r="T633">
        <v>0</v>
      </c>
      <c r="U633">
        <v>-2.2826086956521738</v>
      </c>
      <c r="V633">
        <v>-4.4000000000000004</v>
      </c>
      <c r="W633">
        <v>0</v>
      </c>
      <c r="X633">
        <v>0</v>
      </c>
      <c r="Y633">
        <v>0.35714285714285715</v>
      </c>
    </row>
    <row r="634" spans="1:25" x14ac:dyDescent="0.2">
      <c r="A634" t="s">
        <v>25</v>
      </c>
      <c r="B634" t="s">
        <v>779</v>
      </c>
      <c r="C634">
        <v>40</v>
      </c>
      <c r="D634">
        <v>25</v>
      </c>
      <c r="E634">
        <v>3</v>
      </c>
      <c r="F634">
        <v>0</v>
      </c>
      <c r="G634">
        <v>0</v>
      </c>
      <c r="H634">
        <v>0</v>
      </c>
      <c r="I634">
        <v>730</v>
      </c>
      <c r="J634">
        <v>4</v>
      </c>
      <c r="K634">
        <v>0</v>
      </c>
      <c r="L634">
        <v>3</v>
      </c>
      <c r="M634">
        <v>0</v>
      </c>
      <c r="N634">
        <v>43</v>
      </c>
      <c r="O634" s="3">
        <f t="shared" si="35"/>
        <v>0</v>
      </c>
      <c r="P634">
        <f t="shared" si="33"/>
        <v>1</v>
      </c>
      <c r="Q634">
        <f t="shared" si="34"/>
        <v>0</v>
      </c>
      <c r="S634">
        <v>-9.1347826086956516</v>
      </c>
      <c r="T634">
        <v>0</v>
      </c>
      <c r="U634">
        <v>-7.9347826086956523</v>
      </c>
      <c r="V634">
        <v>-1.2</v>
      </c>
      <c r="W634">
        <v>0</v>
      </c>
      <c r="X634">
        <v>0</v>
      </c>
      <c r="Y634">
        <v>0</v>
      </c>
    </row>
    <row r="635" spans="1:25" x14ac:dyDescent="0.2">
      <c r="A635" t="s">
        <v>25</v>
      </c>
      <c r="B635" t="s">
        <v>780</v>
      </c>
      <c r="C635">
        <v>180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20</v>
      </c>
      <c r="J635">
        <v>45</v>
      </c>
      <c r="K635">
        <v>0</v>
      </c>
      <c r="L635">
        <v>32</v>
      </c>
      <c r="M635">
        <v>0</v>
      </c>
      <c r="N635">
        <v>212</v>
      </c>
      <c r="O635" s="3">
        <f t="shared" si="35"/>
        <v>0</v>
      </c>
      <c r="P635">
        <f t="shared" si="33"/>
        <v>0</v>
      </c>
      <c r="Q635">
        <f t="shared" si="34"/>
        <v>0</v>
      </c>
      <c r="S635">
        <v>-13.017391304347827</v>
      </c>
      <c r="T635">
        <v>0</v>
      </c>
      <c r="U635">
        <v>-0.21739130434782608</v>
      </c>
      <c r="V635">
        <v>-12.8</v>
      </c>
      <c r="W635">
        <v>0</v>
      </c>
      <c r="X635">
        <v>0</v>
      </c>
      <c r="Y635">
        <v>0</v>
      </c>
    </row>
    <row r="636" spans="1:25" x14ac:dyDescent="0.2">
      <c r="A636" t="s">
        <v>25</v>
      </c>
      <c r="B636" t="s">
        <v>781</v>
      </c>
      <c r="C636">
        <v>40</v>
      </c>
      <c r="D636">
        <v>40</v>
      </c>
      <c r="E636">
        <v>4.5</v>
      </c>
      <c r="F636">
        <v>1.5</v>
      </c>
      <c r="G636">
        <v>0</v>
      </c>
      <c r="H636">
        <v>0</v>
      </c>
      <c r="I636">
        <v>55</v>
      </c>
      <c r="J636">
        <v>0</v>
      </c>
      <c r="K636">
        <v>0</v>
      </c>
      <c r="L636">
        <v>0</v>
      </c>
      <c r="M636">
        <v>0</v>
      </c>
      <c r="N636">
        <v>41.5</v>
      </c>
      <c r="O636" s="3">
        <f t="shared" si="35"/>
        <v>0</v>
      </c>
      <c r="P636">
        <f t="shared" si="33"/>
        <v>0</v>
      </c>
      <c r="Q636">
        <f t="shared" si="34"/>
        <v>0</v>
      </c>
      <c r="S636">
        <v>-0.97282608695652173</v>
      </c>
      <c r="T636">
        <v>-0.375</v>
      </c>
      <c r="U636">
        <v>-0.59782608695652173</v>
      </c>
      <c r="V636">
        <v>0</v>
      </c>
      <c r="W636">
        <v>0</v>
      </c>
      <c r="X636">
        <v>0</v>
      </c>
      <c r="Y636">
        <v>0</v>
      </c>
    </row>
    <row r="637" spans="1:25" x14ac:dyDescent="0.2">
      <c r="A637" t="s">
        <v>25</v>
      </c>
      <c r="B637" t="s">
        <v>782</v>
      </c>
      <c r="C637">
        <v>35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9</v>
      </c>
      <c r="K637">
        <v>0</v>
      </c>
      <c r="L637">
        <v>9</v>
      </c>
      <c r="M637">
        <v>0</v>
      </c>
      <c r="N637">
        <v>44</v>
      </c>
      <c r="O637" s="3">
        <f t="shared" si="35"/>
        <v>0</v>
      </c>
      <c r="P637">
        <f t="shared" si="33"/>
        <v>0</v>
      </c>
      <c r="Q637">
        <f t="shared" si="34"/>
        <v>0</v>
      </c>
      <c r="S637">
        <v>-3.5999999999999996</v>
      </c>
      <c r="T637">
        <v>0</v>
      </c>
      <c r="U637">
        <v>0</v>
      </c>
      <c r="V637">
        <v>-3.5999999999999996</v>
      </c>
      <c r="W637">
        <v>0</v>
      </c>
      <c r="X637">
        <v>0</v>
      </c>
      <c r="Y637">
        <v>0</v>
      </c>
    </row>
    <row r="638" spans="1:25" x14ac:dyDescent="0.2">
      <c r="A638" t="s">
        <v>25</v>
      </c>
      <c r="B638" t="s">
        <v>783</v>
      </c>
      <c r="C638">
        <v>35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9</v>
      </c>
      <c r="K638">
        <v>0</v>
      </c>
      <c r="L638">
        <v>9</v>
      </c>
      <c r="M638">
        <v>0</v>
      </c>
      <c r="N638">
        <v>44</v>
      </c>
      <c r="O638" s="3">
        <f t="shared" si="35"/>
        <v>0</v>
      </c>
      <c r="P638">
        <f t="shared" si="33"/>
        <v>0</v>
      </c>
      <c r="Q638">
        <f t="shared" si="34"/>
        <v>0</v>
      </c>
      <c r="S638">
        <v>-3.5999999999999996</v>
      </c>
      <c r="T638">
        <v>0</v>
      </c>
      <c r="U638">
        <v>0</v>
      </c>
      <c r="V638">
        <v>-3.5999999999999996</v>
      </c>
      <c r="W638">
        <v>0</v>
      </c>
      <c r="X638">
        <v>0</v>
      </c>
      <c r="Y638">
        <v>0</v>
      </c>
    </row>
    <row r="639" spans="1:25" x14ac:dyDescent="0.2">
      <c r="A639" t="s">
        <v>25</v>
      </c>
      <c r="B639" t="s">
        <v>784</v>
      </c>
      <c r="C639">
        <v>70</v>
      </c>
      <c r="D639">
        <v>5</v>
      </c>
      <c r="E639">
        <v>0.5</v>
      </c>
      <c r="F639">
        <v>0</v>
      </c>
      <c r="G639">
        <v>0</v>
      </c>
      <c r="H639">
        <v>5</v>
      </c>
      <c r="I639">
        <v>35</v>
      </c>
      <c r="J639">
        <v>15</v>
      </c>
      <c r="K639">
        <v>0</v>
      </c>
      <c r="L639">
        <v>9</v>
      </c>
      <c r="M639">
        <v>0</v>
      </c>
      <c r="N639">
        <v>79</v>
      </c>
      <c r="O639" s="3">
        <f t="shared" si="35"/>
        <v>0</v>
      </c>
      <c r="P639">
        <f t="shared" si="33"/>
        <v>0</v>
      </c>
      <c r="Q639">
        <f t="shared" si="34"/>
        <v>0</v>
      </c>
      <c r="S639">
        <v>-3.9804347826086954</v>
      </c>
      <c r="T639">
        <v>0</v>
      </c>
      <c r="U639">
        <v>-0.38043478260869568</v>
      </c>
      <c r="V639">
        <v>-3.5999999999999996</v>
      </c>
      <c r="W639">
        <v>0</v>
      </c>
      <c r="X639">
        <v>0</v>
      </c>
      <c r="Y639">
        <v>0</v>
      </c>
    </row>
    <row r="640" spans="1:25" x14ac:dyDescent="0.2">
      <c r="A640" t="s">
        <v>25</v>
      </c>
      <c r="B640" t="s">
        <v>785</v>
      </c>
      <c r="C640">
        <v>100</v>
      </c>
      <c r="D640">
        <v>5</v>
      </c>
      <c r="E640">
        <v>0.5</v>
      </c>
      <c r="F640">
        <v>0</v>
      </c>
      <c r="G640">
        <v>0</v>
      </c>
      <c r="H640">
        <v>5</v>
      </c>
      <c r="I640">
        <v>35</v>
      </c>
      <c r="J640">
        <v>23</v>
      </c>
      <c r="K640">
        <v>0</v>
      </c>
      <c r="L640">
        <v>15</v>
      </c>
      <c r="M640">
        <v>0</v>
      </c>
      <c r="N640">
        <v>115</v>
      </c>
      <c r="O640" s="3">
        <f t="shared" si="35"/>
        <v>0</v>
      </c>
      <c r="P640">
        <f t="shared" si="33"/>
        <v>0</v>
      </c>
      <c r="Q640">
        <f t="shared" si="34"/>
        <v>0</v>
      </c>
      <c r="S640">
        <v>-6.3804347826086953</v>
      </c>
      <c r="T640">
        <v>0</v>
      </c>
      <c r="U640">
        <v>-0.38043478260869568</v>
      </c>
      <c r="V640">
        <v>-6</v>
      </c>
      <c r="W640">
        <v>0</v>
      </c>
      <c r="X640">
        <v>0</v>
      </c>
      <c r="Y640">
        <v>0</v>
      </c>
    </row>
    <row r="641" spans="1:25" x14ac:dyDescent="0.2">
      <c r="A641" t="s">
        <v>25</v>
      </c>
      <c r="B641" t="s">
        <v>786</v>
      </c>
      <c r="C641">
        <v>100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15</v>
      </c>
      <c r="J641">
        <v>23</v>
      </c>
      <c r="K641">
        <v>0</v>
      </c>
      <c r="L641">
        <v>22</v>
      </c>
      <c r="M641">
        <v>0</v>
      </c>
      <c r="N641">
        <v>122</v>
      </c>
      <c r="O641" s="3">
        <f t="shared" si="35"/>
        <v>0</v>
      </c>
      <c r="P641">
        <f t="shared" si="33"/>
        <v>0</v>
      </c>
      <c r="Q641">
        <f t="shared" si="34"/>
        <v>0</v>
      </c>
      <c r="S641">
        <v>-8.9630434782608699</v>
      </c>
      <c r="T641">
        <v>0</v>
      </c>
      <c r="U641">
        <v>-0.16304347826086957</v>
      </c>
      <c r="V641">
        <v>-8.8000000000000007</v>
      </c>
      <c r="W641">
        <v>0</v>
      </c>
      <c r="X641">
        <v>0</v>
      </c>
      <c r="Y641">
        <v>0</v>
      </c>
    </row>
    <row r="642" spans="1:25" x14ac:dyDescent="0.2">
      <c r="A642" t="s">
        <v>25</v>
      </c>
      <c r="B642" t="s">
        <v>788</v>
      </c>
      <c r="C642">
        <v>110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5</v>
      </c>
      <c r="J642">
        <v>29</v>
      </c>
      <c r="K642">
        <v>0</v>
      </c>
      <c r="L642">
        <v>29</v>
      </c>
      <c r="M642">
        <v>0</v>
      </c>
      <c r="N642">
        <v>139</v>
      </c>
      <c r="O642" s="3">
        <f t="shared" si="35"/>
        <v>0</v>
      </c>
      <c r="P642">
        <f t="shared" ref="P642:P705" si="36">IF(I642&gt;2300*0.2,1,0)</f>
        <v>0</v>
      </c>
      <c r="Q642">
        <f t="shared" ref="Q642:Q705" si="37">IF(H642&gt;300,1,0)</f>
        <v>0</v>
      </c>
      <c r="S642">
        <v>-11.654347826086957</v>
      </c>
      <c r="T642">
        <v>0</v>
      </c>
      <c r="U642">
        <v>-5.434782608695652E-2</v>
      </c>
      <c r="V642">
        <v>-11.6</v>
      </c>
      <c r="W642">
        <v>0</v>
      </c>
      <c r="X642">
        <v>0</v>
      </c>
      <c r="Y642">
        <v>0</v>
      </c>
    </row>
    <row r="643" spans="1:25" x14ac:dyDescent="0.2">
      <c r="A643" t="s">
        <v>25</v>
      </c>
      <c r="B643" t="s">
        <v>789</v>
      </c>
      <c r="C643">
        <v>150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10</v>
      </c>
      <c r="J643">
        <v>40</v>
      </c>
      <c r="K643">
        <v>0</v>
      </c>
      <c r="L643">
        <v>40</v>
      </c>
      <c r="M643">
        <v>0</v>
      </c>
      <c r="N643">
        <v>190</v>
      </c>
      <c r="O643" s="3">
        <f t="shared" si="35"/>
        <v>0</v>
      </c>
      <c r="P643">
        <f t="shared" si="36"/>
        <v>0</v>
      </c>
      <c r="Q643">
        <f t="shared" si="37"/>
        <v>0</v>
      </c>
      <c r="S643">
        <v>-16.108695652173918</v>
      </c>
      <c r="T643">
        <v>0</v>
      </c>
      <c r="U643">
        <v>-0.10869565217391304</v>
      </c>
      <c r="V643">
        <v>-16.000000000000004</v>
      </c>
      <c r="W643">
        <v>0</v>
      </c>
      <c r="X643">
        <v>0</v>
      </c>
      <c r="Y643">
        <v>0</v>
      </c>
    </row>
    <row r="644" spans="1:25" x14ac:dyDescent="0.2">
      <c r="A644" t="s">
        <v>25</v>
      </c>
      <c r="B644" t="s">
        <v>790</v>
      </c>
      <c r="C644">
        <v>210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15</v>
      </c>
      <c r="J644">
        <v>58</v>
      </c>
      <c r="K644">
        <v>0</v>
      </c>
      <c r="L644">
        <v>58</v>
      </c>
      <c r="M644">
        <v>0</v>
      </c>
      <c r="N644">
        <v>268</v>
      </c>
      <c r="O644" s="3">
        <f t="shared" si="35"/>
        <v>0</v>
      </c>
      <c r="P644">
        <f t="shared" si="36"/>
        <v>0</v>
      </c>
      <c r="Q644">
        <f t="shared" si="37"/>
        <v>0</v>
      </c>
      <c r="S644">
        <v>-23.36304347826087</v>
      </c>
      <c r="T644">
        <v>0</v>
      </c>
      <c r="U644">
        <v>-0.16304347826086957</v>
      </c>
      <c r="V644">
        <v>-23.2</v>
      </c>
      <c r="W644">
        <v>0</v>
      </c>
      <c r="X644">
        <v>0</v>
      </c>
      <c r="Y644">
        <v>0</v>
      </c>
    </row>
    <row r="645" spans="1:25" x14ac:dyDescent="0.2">
      <c r="A645" t="s">
        <v>25</v>
      </c>
      <c r="B645" t="s">
        <v>791</v>
      </c>
      <c r="C645">
        <v>310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20</v>
      </c>
      <c r="J645">
        <v>86</v>
      </c>
      <c r="K645">
        <v>0</v>
      </c>
      <c r="L645">
        <v>86</v>
      </c>
      <c r="M645">
        <v>0</v>
      </c>
      <c r="N645">
        <v>396</v>
      </c>
      <c r="O645" s="3">
        <f t="shared" si="35"/>
        <v>0</v>
      </c>
      <c r="P645">
        <f t="shared" si="36"/>
        <v>0</v>
      </c>
      <c r="Q645">
        <f t="shared" si="37"/>
        <v>0</v>
      </c>
      <c r="S645">
        <v>-34.617391304347834</v>
      </c>
      <c r="T645">
        <v>0</v>
      </c>
      <c r="U645">
        <v>-0.21739130434782608</v>
      </c>
      <c r="V645">
        <v>-34.400000000000006</v>
      </c>
      <c r="W645">
        <v>0</v>
      </c>
      <c r="X645">
        <v>0</v>
      </c>
      <c r="Y645">
        <v>0</v>
      </c>
    </row>
    <row r="646" spans="1:25" x14ac:dyDescent="0.2">
      <c r="A646" t="s">
        <v>25</v>
      </c>
      <c r="B646" t="s">
        <v>796</v>
      </c>
      <c r="C646">
        <v>110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30</v>
      </c>
      <c r="J646">
        <v>28</v>
      </c>
      <c r="K646">
        <v>0</v>
      </c>
      <c r="L646">
        <v>28</v>
      </c>
      <c r="M646">
        <v>0</v>
      </c>
      <c r="N646">
        <v>138</v>
      </c>
      <c r="O646" s="3">
        <f t="shared" si="35"/>
        <v>0</v>
      </c>
      <c r="P646">
        <f t="shared" si="36"/>
        <v>0</v>
      </c>
      <c r="Q646">
        <f t="shared" si="37"/>
        <v>0</v>
      </c>
      <c r="S646">
        <v>-11.526086956521739</v>
      </c>
      <c r="T646">
        <v>0</v>
      </c>
      <c r="U646">
        <v>-0.32608695652173914</v>
      </c>
      <c r="V646">
        <v>-11.200000000000001</v>
      </c>
      <c r="W646">
        <v>0</v>
      </c>
      <c r="X646">
        <v>0</v>
      </c>
      <c r="Y646">
        <v>0</v>
      </c>
    </row>
    <row r="647" spans="1:25" x14ac:dyDescent="0.2">
      <c r="A647" t="s">
        <v>25</v>
      </c>
      <c r="B647" t="s">
        <v>797</v>
      </c>
      <c r="C647">
        <v>150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40</v>
      </c>
      <c r="J647">
        <v>39</v>
      </c>
      <c r="K647">
        <v>0</v>
      </c>
      <c r="L647">
        <v>39</v>
      </c>
      <c r="M647">
        <v>0</v>
      </c>
      <c r="N647">
        <v>189</v>
      </c>
      <c r="O647" s="3">
        <f t="shared" si="35"/>
        <v>0</v>
      </c>
      <c r="P647">
        <f t="shared" si="36"/>
        <v>0</v>
      </c>
      <c r="Q647">
        <f t="shared" si="37"/>
        <v>0</v>
      </c>
      <c r="S647">
        <v>-16.034782608695654</v>
      </c>
      <c r="T647">
        <v>0</v>
      </c>
      <c r="U647">
        <v>-0.43478260869565216</v>
      </c>
      <c r="V647">
        <v>-15.600000000000003</v>
      </c>
      <c r="W647">
        <v>0</v>
      </c>
      <c r="X647">
        <v>0</v>
      </c>
      <c r="Y647">
        <v>0</v>
      </c>
    </row>
    <row r="648" spans="1:25" x14ac:dyDescent="0.2">
      <c r="A648" t="s">
        <v>25</v>
      </c>
      <c r="B648" t="s">
        <v>798</v>
      </c>
      <c r="C648">
        <v>210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55</v>
      </c>
      <c r="J648">
        <v>56</v>
      </c>
      <c r="K648">
        <v>0</v>
      </c>
      <c r="L648">
        <v>56</v>
      </c>
      <c r="M648">
        <v>0</v>
      </c>
      <c r="N648">
        <v>266</v>
      </c>
      <c r="O648" s="3">
        <f t="shared" si="35"/>
        <v>0</v>
      </c>
      <c r="P648">
        <f t="shared" si="36"/>
        <v>0</v>
      </c>
      <c r="Q648">
        <f t="shared" si="37"/>
        <v>0</v>
      </c>
      <c r="S648">
        <v>-22.997826086956525</v>
      </c>
      <c r="T648">
        <v>0</v>
      </c>
      <c r="U648">
        <v>-0.59782608695652173</v>
      </c>
      <c r="V648">
        <v>-22.400000000000002</v>
      </c>
      <c r="W648">
        <v>0</v>
      </c>
      <c r="X648">
        <v>0</v>
      </c>
      <c r="Y648">
        <v>0</v>
      </c>
    </row>
    <row r="649" spans="1:25" x14ac:dyDescent="0.2">
      <c r="A649" t="s">
        <v>25</v>
      </c>
      <c r="B649" t="s">
        <v>799</v>
      </c>
      <c r="C649">
        <v>310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80</v>
      </c>
      <c r="J649">
        <v>83</v>
      </c>
      <c r="K649">
        <v>0</v>
      </c>
      <c r="L649">
        <v>83</v>
      </c>
      <c r="M649">
        <v>0</v>
      </c>
      <c r="N649">
        <v>393</v>
      </c>
      <c r="O649" s="3">
        <f t="shared" si="35"/>
        <v>0</v>
      </c>
      <c r="P649">
        <f t="shared" si="36"/>
        <v>0</v>
      </c>
      <c r="Q649">
        <f t="shared" si="37"/>
        <v>0</v>
      </c>
      <c r="S649">
        <v>-34.069565217391307</v>
      </c>
      <c r="T649">
        <v>0</v>
      </c>
      <c r="U649">
        <v>-0.86956521739130432</v>
      </c>
      <c r="V649">
        <v>-33.200000000000003</v>
      </c>
      <c r="W649">
        <v>0</v>
      </c>
      <c r="X649">
        <v>0</v>
      </c>
      <c r="Y649">
        <v>0</v>
      </c>
    </row>
    <row r="650" spans="1:25" x14ac:dyDescent="0.2">
      <c r="A650" t="s">
        <v>25</v>
      </c>
      <c r="B650" t="s">
        <v>800</v>
      </c>
      <c r="C650">
        <v>120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32</v>
      </c>
      <c r="K650">
        <v>0</v>
      </c>
      <c r="L650">
        <v>32</v>
      </c>
      <c r="M650">
        <v>0</v>
      </c>
      <c r="N650">
        <v>152</v>
      </c>
      <c r="O650" s="3">
        <f t="shared" si="35"/>
        <v>0</v>
      </c>
      <c r="P650">
        <f t="shared" si="36"/>
        <v>0</v>
      </c>
      <c r="Q650">
        <f t="shared" si="37"/>
        <v>0</v>
      </c>
      <c r="S650">
        <v>-12.8</v>
      </c>
      <c r="T650">
        <v>0</v>
      </c>
      <c r="U650">
        <v>0</v>
      </c>
      <c r="V650">
        <v>-12.8</v>
      </c>
      <c r="W650">
        <v>0</v>
      </c>
      <c r="X650">
        <v>0</v>
      </c>
      <c r="Y650">
        <v>0</v>
      </c>
    </row>
    <row r="651" spans="1:25" x14ac:dyDescent="0.2">
      <c r="A651" t="s">
        <v>25</v>
      </c>
      <c r="B651" t="s">
        <v>801</v>
      </c>
      <c r="C651">
        <v>160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</v>
      </c>
      <c r="J651">
        <v>44</v>
      </c>
      <c r="K651">
        <v>0</v>
      </c>
      <c r="L651">
        <v>44</v>
      </c>
      <c r="M651">
        <v>0</v>
      </c>
      <c r="N651">
        <v>204</v>
      </c>
      <c r="O651" s="3">
        <f t="shared" si="35"/>
        <v>0</v>
      </c>
      <c r="P651">
        <f t="shared" si="36"/>
        <v>0</v>
      </c>
      <c r="Q651">
        <f t="shared" si="37"/>
        <v>0</v>
      </c>
      <c r="S651">
        <v>-17.654347826086958</v>
      </c>
      <c r="T651">
        <v>0</v>
      </c>
      <c r="U651">
        <v>-5.434782608695652E-2</v>
      </c>
      <c r="V651">
        <v>-17.600000000000001</v>
      </c>
      <c r="W651">
        <v>0</v>
      </c>
      <c r="X651">
        <v>0</v>
      </c>
      <c r="Y651">
        <v>0</v>
      </c>
    </row>
    <row r="652" spans="1:25" x14ac:dyDescent="0.2">
      <c r="A652" t="s">
        <v>25</v>
      </c>
      <c r="B652" t="s">
        <v>802</v>
      </c>
      <c r="C652">
        <v>240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10</v>
      </c>
      <c r="J652">
        <v>64</v>
      </c>
      <c r="K652">
        <v>0</v>
      </c>
      <c r="L652">
        <v>64</v>
      </c>
      <c r="M652">
        <v>0</v>
      </c>
      <c r="N652">
        <v>304</v>
      </c>
      <c r="O652" s="3">
        <f t="shared" si="35"/>
        <v>0</v>
      </c>
      <c r="P652">
        <f t="shared" si="36"/>
        <v>0</v>
      </c>
      <c r="Q652">
        <f t="shared" si="37"/>
        <v>0</v>
      </c>
      <c r="S652">
        <v>-25.708695652173915</v>
      </c>
      <c r="T652">
        <v>0</v>
      </c>
      <c r="U652">
        <v>-0.10869565217391304</v>
      </c>
      <c r="V652">
        <v>-25.6</v>
      </c>
      <c r="W652">
        <v>0</v>
      </c>
      <c r="X652">
        <v>0</v>
      </c>
      <c r="Y652">
        <v>0</v>
      </c>
    </row>
    <row r="653" spans="1:25" x14ac:dyDescent="0.2">
      <c r="A653" t="s">
        <v>25</v>
      </c>
      <c r="B653" t="s">
        <v>803</v>
      </c>
      <c r="C653">
        <v>350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10</v>
      </c>
      <c r="J653">
        <v>94</v>
      </c>
      <c r="K653">
        <v>0</v>
      </c>
      <c r="L653">
        <v>94</v>
      </c>
      <c r="M653">
        <v>0</v>
      </c>
      <c r="N653">
        <v>444</v>
      </c>
      <c r="O653" s="3">
        <f t="shared" si="35"/>
        <v>0</v>
      </c>
      <c r="P653">
        <f t="shared" si="36"/>
        <v>0</v>
      </c>
      <c r="Q653">
        <f t="shared" si="37"/>
        <v>0</v>
      </c>
      <c r="S653">
        <v>-37.708695652173915</v>
      </c>
      <c r="T653">
        <v>0</v>
      </c>
      <c r="U653">
        <v>-0.10869565217391304</v>
      </c>
      <c r="V653">
        <v>-37.6</v>
      </c>
      <c r="W653">
        <v>0</v>
      </c>
      <c r="X653">
        <v>0</v>
      </c>
      <c r="Y653">
        <v>0</v>
      </c>
    </row>
    <row r="654" spans="1:25" x14ac:dyDescent="0.2">
      <c r="A654" t="s">
        <v>25</v>
      </c>
      <c r="B654" t="s">
        <v>804</v>
      </c>
      <c r="C654">
        <v>70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65</v>
      </c>
      <c r="J654">
        <v>20</v>
      </c>
      <c r="K654">
        <v>0</v>
      </c>
      <c r="L654">
        <v>16</v>
      </c>
      <c r="M654">
        <v>0</v>
      </c>
      <c r="N654">
        <v>86</v>
      </c>
      <c r="O654" s="3">
        <f t="shared" si="35"/>
        <v>0</v>
      </c>
      <c r="P654">
        <f t="shared" si="36"/>
        <v>0</v>
      </c>
      <c r="Q654">
        <f t="shared" si="37"/>
        <v>0</v>
      </c>
      <c r="S654">
        <v>-7.1065217391304349</v>
      </c>
      <c r="T654">
        <v>0</v>
      </c>
      <c r="U654">
        <v>-0.70652173913043481</v>
      </c>
      <c r="V654">
        <v>-6.4</v>
      </c>
      <c r="W654">
        <v>0</v>
      </c>
      <c r="X654">
        <v>0</v>
      </c>
      <c r="Y654">
        <v>0</v>
      </c>
    </row>
    <row r="655" spans="1:25" x14ac:dyDescent="0.2">
      <c r="A655" t="s">
        <v>25</v>
      </c>
      <c r="B655" t="s">
        <v>805</v>
      </c>
      <c r="C655">
        <v>100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85</v>
      </c>
      <c r="J655">
        <v>27</v>
      </c>
      <c r="K655">
        <v>0</v>
      </c>
      <c r="L655">
        <v>21</v>
      </c>
      <c r="M655">
        <v>0</v>
      </c>
      <c r="N655">
        <v>121</v>
      </c>
      <c r="O655" s="3">
        <f t="shared" si="35"/>
        <v>0</v>
      </c>
      <c r="P655">
        <f t="shared" si="36"/>
        <v>0</v>
      </c>
      <c r="Q655">
        <f t="shared" si="37"/>
        <v>0</v>
      </c>
      <c r="S655">
        <v>-9.323913043478262</v>
      </c>
      <c r="T655">
        <v>0</v>
      </c>
      <c r="U655">
        <v>-0.92391304347826086</v>
      </c>
      <c r="V655">
        <v>-8.4</v>
      </c>
      <c r="W655">
        <v>0</v>
      </c>
      <c r="X655">
        <v>0</v>
      </c>
      <c r="Y655">
        <v>0</v>
      </c>
    </row>
    <row r="656" spans="1:25" x14ac:dyDescent="0.2">
      <c r="A656" t="s">
        <v>25</v>
      </c>
      <c r="B656" t="s">
        <v>806</v>
      </c>
      <c r="C656">
        <v>150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130</v>
      </c>
      <c r="J656">
        <v>39</v>
      </c>
      <c r="K656">
        <v>0</v>
      </c>
      <c r="L656">
        <v>31</v>
      </c>
      <c r="M656">
        <v>0</v>
      </c>
      <c r="N656">
        <v>181</v>
      </c>
      <c r="O656" s="3">
        <f t="shared" si="35"/>
        <v>0</v>
      </c>
      <c r="P656">
        <f t="shared" si="36"/>
        <v>0</v>
      </c>
      <c r="Q656">
        <f t="shared" si="37"/>
        <v>0</v>
      </c>
      <c r="S656">
        <v>-13.81304347826087</v>
      </c>
      <c r="T656">
        <v>0</v>
      </c>
      <c r="U656">
        <v>-1.4130434782608696</v>
      </c>
      <c r="V656">
        <v>-12.4</v>
      </c>
      <c r="W656">
        <v>0</v>
      </c>
      <c r="X656">
        <v>0</v>
      </c>
      <c r="Y656">
        <v>0</v>
      </c>
    </row>
    <row r="657" spans="1:25" x14ac:dyDescent="0.2">
      <c r="A657" t="s">
        <v>25</v>
      </c>
      <c r="B657" t="s">
        <v>807</v>
      </c>
      <c r="C657">
        <v>220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190</v>
      </c>
      <c r="J657">
        <v>58</v>
      </c>
      <c r="K657">
        <v>0</v>
      </c>
      <c r="L657">
        <v>46</v>
      </c>
      <c r="M657">
        <v>0</v>
      </c>
      <c r="N657">
        <v>266</v>
      </c>
      <c r="O657" s="3">
        <f t="shared" si="35"/>
        <v>0</v>
      </c>
      <c r="P657">
        <f t="shared" si="36"/>
        <v>0</v>
      </c>
      <c r="Q657">
        <f t="shared" si="37"/>
        <v>0</v>
      </c>
      <c r="S657">
        <v>-20.46521739130435</v>
      </c>
      <c r="T657">
        <v>0</v>
      </c>
      <c r="U657">
        <v>-2.0652173913043477</v>
      </c>
      <c r="V657">
        <v>-18.400000000000002</v>
      </c>
      <c r="W657">
        <v>0</v>
      </c>
      <c r="X657">
        <v>0</v>
      </c>
      <c r="Y657">
        <v>0</v>
      </c>
    </row>
    <row r="658" spans="1:25" x14ac:dyDescent="0.2">
      <c r="A658" t="s">
        <v>25</v>
      </c>
      <c r="B658" t="s">
        <v>811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20</v>
      </c>
      <c r="J658">
        <v>1</v>
      </c>
      <c r="K658">
        <v>0</v>
      </c>
      <c r="L658">
        <v>0</v>
      </c>
      <c r="M658">
        <v>0</v>
      </c>
      <c r="N658">
        <v>0</v>
      </c>
      <c r="O658" s="3">
        <v>0</v>
      </c>
      <c r="P658">
        <f t="shared" si="36"/>
        <v>0</v>
      </c>
      <c r="Q658">
        <f t="shared" si="37"/>
        <v>0</v>
      </c>
      <c r="S658">
        <v>-0.21739130434782608</v>
      </c>
      <c r="T658">
        <v>0</v>
      </c>
      <c r="U658">
        <v>-0.21739130434782608</v>
      </c>
      <c r="V658">
        <v>0</v>
      </c>
      <c r="W658">
        <v>0</v>
      </c>
      <c r="X658">
        <v>0</v>
      </c>
      <c r="Y658">
        <v>0</v>
      </c>
    </row>
    <row r="659" spans="1:25" x14ac:dyDescent="0.2">
      <c r="A659" t="s">
        <v>25</v>
      </c>
      <c r="B659" t="s">
        <v>814</v>
      </c>
      <c r="C659">
        <v>20</v>
      </c>
      <c r="D659">
        <v>20</v>
      </c>
      <c r="E659">
        <v>2</v>
      </c>
      <c r="F659">
        <v>1.5</v>
      </c>
      <c r="G659">
        <v>0</v>
      </c>
      <c r="H659">
        <v>10</v>
      </c>
      <c r="I659">
        <v>15</v>
      </c>
      <c r="J659">
        <v>0</v>
      </c>
      <c r="K659">
        <v>0</v>
      </c>
      <c r="L659">
        <v>0</v>
      </c>
      <c r="M659">
        <v>0</v>
      </c>
      <c r="N659">
        <v>21.5</v>
      </c>
      <c r="O659" s="3">
        <f>M659/C659*100</f>
        <v>0</v>
      </c>
      <c r="P659">
        <f t="shared" si="36"/>
        <v>0</v>
      </c>
      <c r="Q659">
        <f t="shared" si="37"/>
        <v>0</v>
      </c>
      <c r="S659">
        <v>-0.53804347826086962</v>
      </c>
      <c r="T659">
        <v>-0.375</v>
      </c>
      <c r="U659">
        <v>-0.16304347826086957</v>
      </c>
      <c r="V659">
        <v>0</v>
      </c>
      <c r="W659">
        <v>0</v>
      </c>
      <c r="X659">
        <v>0</v>
      </c>
      <c r="Y659">
        <v>0</v>
      </c>
    </row>
    <row r="660" spans="1:25" x14ac:dyDescent="0.2">
      <c r="A660" t="s">
        <v>25</v>
      </c>
      <c r="B660" t="s">
        <v>815</v>
      </c>
      <c r="C660">
        <v>15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4</v>
      </c>
      <c r="K660">
        <v>0</v>
      </c>
      <c r="L660">
        <v>4</v>
      </c>
      <c r="M660">
        <v>0</v>
      </c>
      <c r="N660">
        <v>19</v>
      </c>
      <c r="O660" s="3">
        <f>M660/C660*100</f>
        <v>0</v>
      </c>
      <c r="P660">
        <f t="shared" si="36"/>
        <v>0</v>
      </c>
      <c r="Q660">
        <f t="shared" si="37"/>
        <v>0</v>
      </c>
      <c r="S660">
        <v>-1.6</v>
      </c>
      <c r="T660">
        <v>0</v>
      </c>
      <c r="U660">
        <v>0</v>
      </c>
      <c r="V660">
        <v>-1.6</v>
      </c>
      <c r="W660">
        <v>0</v>
      </c>
      <c r="X660">
        <v>0</v>
      </c>
      <c r="Y660">
        <v>0</v>
      </c>
    </row>
    <row r="661" spans="1:25" ht="34" x14ac:dyDescent="0.2">
      <c r="A661" t="s">
        <v>25</v>
      </c>
      <c r="B661" s="1" t="s">
        <v>816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1</v>
      </c>
      <c r="O661" s="3">
        <v>0</v>
      </c>
      <c r="P661">
        <f t="shared" si="36"/>
        <v>0</v>
      </c>
      <c r="Q661">
        <f t="shared" si="37"/>
        <v>0</v>
      </c>
      <c r="S661">
        <v>-0.4</v>
      </c>
      <c r="T661">
        <v>0</v>
      </c>
      <c r="U661">
        <v>0</v>
      </c>
      <c r="V661">
        <v>-0.4</v>
      </c>
      <c r="W661">
        <v>0</v>
      </c>
      <c r="X661">
        <v>0</v>
      </c>
      <c r="Y661">
        <v>0</v>
      </c>
    </row>
    <row r="662" spans="1:25" ht="34" x14ac:dyDescent="0.2">
      <c r="A662" t="s">
        <v>25</v>
      </c>
      <c r="B662" s="1" t="s">
        <v>817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  <c r="O662" s="3">
        <v>0</v>
      </c>
      <c r="P662">
        <f t="shared" si="36"/>
        <v>0</v>
      </c>
      <c r="Q662">
        <f t="shared" si="37"/>
        <v>0</v>
      </c>
      <c r="S662">
        <v>-0.4</v>
      </c>
      <c r="T662">
        <v>0</v>
      </c>
      <c r="U662">
        <v>0</v>
      </c>
      <c r="V662">
        <v>-0.4</v>
      </c>
      <c r="W662">
        <v>0</v>
      </c>
      <c r="X662">
        <v>0</v>
      </c>
      <c r="Y662">
        <v>0</v>
      </c>
    </row>
    <row r="663" spans="1:25" x14ac:dyDescent="0.2">
      <c r="A663" t="s">
        <v>25</v>
      </c>
      <c r="B663" t="s">
        <v>818</v>
      </c>
      <c r="C663">
        <v>110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5</v>
      </c>
      <c r="J663">
        <v>27</v>
      </c>
      <c r="K663">
        <v>0</v>
      </c>
      <c r="L663">
        <v>27</v>
      </c>
      <c r="M663">
        <v>0</v>
      </c>
      <c r="N663">
        <v>137</v>
      </c>
      <c r="O663" s="3">
        <f t="shared" ref="O663:O726" si="38">M663/C663*100</f>
        <v>0</v>
      </c>
      <c r="P663">
        <f t="shared" si="36"/>
        <v>0</v>
      </c>
      <c r="Q663">
        <f t="shared" si="37"/>
        <v>0</v>
      </c>
      <c r="S663">
        <v>-10.854347826086958</v>
      </c>
      <c r="T663">
        <v>0</v>
      </c>
      <c r="U663">
        <v>-5.434782608695652E-2</v>
      </c>
      <c r="V663">
        <v>-10.8</v>
      </c>
      <c r="W663">
        <v>0</v>
      </c>
      <c r="X663">
        <v>0</v>
      </c>
      <c r="Y663">
        <v>0</v>
      </c>
    </row>
    <row r="664" spans="1:25" x14ac:dyDescent="0.2">
      <c r="A664" t="s">
        <v>159</v>
      </c>
      <c r="B664" t="s">
        <v>160</v>
      </c>
      <c r="C664">
        <v>130</v>
      </c>
      <c r="D664" s="2">
        <v>0</v>
      </c>
      <c r="E664">
        <v>4</v>
      </c>
      <c r="F664">
        <v>1.5</v>
      </c>
      <c r="G664">
        <v>0</v>
      </c>
      <c r="H664">
        <v>10</v>
      </c>
      <c r="I664">
        <v>270</v>
      </c>
      <c r="J664">
        <v>17</v>
      </c>
      <c r="K664">
        <v>1</v>
      </c>
      <c r="L664">
        <v>1</v>
      </c>
      <c r="M664">
        <v>7</v>
      </c>
      <c r="O664" s="3">
        <f t="shared" si="38"/>
        <v>5.384615384615385</v>
      </c>
      <c r="P664">
        <f t="shared" si="36"/>
        <v>0</v>
      </c>
      <c r="Q664">
        <f t="shared" si="37"/>
        <v>0</v>
      </c>
      <c r="S664">
        <v>-1.9526397515527951</v>
      </c>
      <c r="T664">
        <v>-0.375</v>
      </c>
      <c r="U664">
        <v>-2.9347826086956523</v>
      </c>
      <c r="V664">
        <v>-0.4</v>
      </c>
      <c r="W664">
        <v>0</v>
      </c>
      <c r="X664">
        <v>1.4000000000000001</v>
      </c>
      <c r="Y664">
        <v>0.35714285714285715</v>
      </c>
    </row>
    <row r="665" spans="1:25" x14ac:dyDescent="0.2">
      <c r="A665" t="s">
        <v>159</v>
      </c>
      <c r="B665" t="s">
        <v>164</v>
      </c>
      <c r="C665">
        <v>280</v>
      </c>
      <c r="D665" s="2">
        <v>0</v>
      </c>
      <c r="E665">
        <v>9</v>
      </c>
      <c r="F665">
        <v>4</v>
      </c>
      <c r="G665">
        <v>0</v>
      </c>
      <c r="H665">
        <v>30</v>
      </c>
      <c r="I665">
        <v>580</v>
      </c>
      <c r="J665">
        <v>36</v>
      </c>
      <c r="K665">
        <v>3</v>
      </c>
      <c r="L665">
        <v>3</v>
      </c>
      <c r="M665">
        <v>15</v>
      </c>
      <c r="O665" s="3">
        <f t="shared" si="38"/>
        <v>5.3571428571428568</v>
      </c>
      <c r="P665">
        <f t="shared" si="36"/>
        <v>1</v>
      </c>
      <c r="Q665">
        <f t="shared" si="37"/>
        <v>0</v>
      </c>
      <c r="S665">
        <v>-4.4329192546583851</v>
      </c>
      <c r="T665">
        <v>-1</v>
      </c>
      <c r="U665">
        <v>-6.3043478260869561</v>
      </c>
      <c r="V665">
        <v>-1.2</v>
      </c>
      <c r="W665">
        <v>0</v>
      </c>
      <c r="X665">
        <v>3</v>
      </c>
      <c r="Y665">
        <v>1.0714285714285714</v>
      </c>
    </row>
    <row r="666" spans="1:25" x14ac:dyDescent="0.2">
      <c r="A666" t="s">
        <v>159</v>
      </c>
      <c r="B666" t="s">
        <v>169</v>
      </c>
      <c r="C666">
        <v>150</v>
      </c>
      <c r="D666" s="2">
        <v>0</v>
      </c>
      <c r="E666">
        <v>5</v>
      </c>
      <c r="F666">
        <v>2</v>
      </c>
      <c r="G666">
        <v>0</v>
      </c>
      <c r="H666">
        <v>15</v>
      </c>
      <c r="I666">
        <v>330</v>
      </c>
      <c r="J666">
        <v>18</v>
      </c>
      <c r="K666">
        <v>1</v>
      </c>
      <c r="L666">
        <v>3</v>
      </c>
      <c r="M666">
        <v>8</v>
      </c>
      <c r="O666" s="3">
        <f t="shared" si="38"/>
        <v>5.3333333333333339</v>
      </c>
      <c r="P666">
        <f t="shared" si="36"/>
        <v>0</v>
      </c>
      <c r="Q666">
        <f t="shared" si="37"/>
        <v>0</v>
      </c>
      <c r="S666">
        <v>-3.3298136645962737</v>
      </c>
      <c r="T666">
        <v>-0.5</v>
      </c>
      <c r="U666">
        <v>-3.5869565217391304</v>
      </c>
      <c r="V666">
        <v>-1.2</v>
      </c>
      <c r="W666">
        <v>0</v>
      </c>
      <c r="X666">
        <v>1.6</v>
      </c>
      <c r="Y666">
        <v>0.35714285714285715</v>
      </c>
    </row>
    <row r="667" spans="1:25" x14ac:dyDescent="0.2">
      <c r="A667" t="s">
        <v>159</v>
      </c>
      <c r="B667" t="s">
        <v>188</v>
      </c>
      <c r="C667">
        <v>310</v>
      </c>
      <c r="D667" s="2">
        <v>0</v>
      </c>
      <c r="E667">
        <v>13</v>
      </c>
      <c r="F667">
        <v>5</v>
      </c>
      <c r="G667">
        <v>0</v>
      </c>
      <c r="H667">
        <v>35</v>
      </c>
      <c r="I667">
        <v>560</v>
      </c>
      <c r="J667">
        <v>33</v>
      </c>
      <c r="K667">
        <v>2</v>
      </c>
      <c r="L667">
        <v>1</v>
      </c>
      <c r="M667">
        <v>16</v>
      </c>
      <c r="O667" s="3">
        <f t="shared" si="38"/>
        <v>5.161290322580645</v>
      </c>
      <c r="P667">
        <f t="shared" si="36"/>
        <v>1</v>
      </c>
      <c r="Q667">
        <f t="shared" si="37"/>
        <v>0</v>
      </c>
      <c r="S667">
        <v>-3.8226708074534166</v>
      </c>
      <c r="T667">
        <v>-1.25</v>
      </c>
      <c r="U667">
        <v>-6.0869565217391308</v>
      </c>
      <c r="V667">
        <v>-0.4</v>
      </c>
      <c r="W667">
        <v>0</v>
      </c>
      <c r="X667">
        <v>3.2</v>
      </c>
      <c r="Y667">
        <v>0.7142857142857143</v>
      </c>
    </row>
    <row r="668" spans="1:25" x14ac:dyDescent="0.2">
      <c r="A668" t="s">
        <v>159</v>
      </c>
      <c r="B668" t="s">
        <v>217</v>
      </c>
      <c r="C668">
        <v>180</v>
      </c>
      <c r="D668" s="2">
        <v>0</v>
      </c>
      <c r="E668">
        <v>8</v>
      </c>
      <c r="F668">
        <v>3</v>
      </c>
      <c r="G668">
        <v>0</v>
      </c>
      <c r="H668">
        <v>20</v>
      </c>
      <c r="I668">
        <v>350</v>
      </c>
      <c r="J668">
        <v>17</v>
      </c>
      <c r="K668">
        <v>1</v>
      </c>
      <c r="L668">
        <v>2</v>
      </c>
      <c r="M668">
        <v>9</v>
      </c>
      <c r="O668" s="3">
        <f t="shared" si="38"/>
        <v>5</v>
      </c>
      <c r="P668">
        <f t="shared" si="36"/>
        <v>0</v>
      </c>
      <c r="Q668">
        <f t="shared" si="37"/>
        <v>0</v>
      </c>
      <c r="S668">
        <v>-3.1972049689440998</v>
      </c>
      <c r="T668">
        <v>-0.75</v>
      </c>
      <c r="U668">
        <v>-3.804347826086957</v>
      </c>
      <c r="V668">
        <v>-0.8</v>
      </c>
      <c r="W668">
        <v>0</v>
      </c>
      <c r="X668">
        <v>1.7999999999999998</v>
      </c>
      <c r="Y668">
        <v>0.35714285714285715</v>
      </c>
    </row>
    <row r="669" spans="1:25" x14ac:dyDescent="0.2">
      <c r="A669" t="s">
        <v>159</v>
      </c>
      <c r="B669" t="s">
        <v>218</v>
      </c>
      <c r="C669">
        <v>240</v>
      </c>
      <c r="D669" s="2">
        <v>0</v>
      </c>
      <c r="E669">
        <v>9</v>
      </c>
      <c r="F669">
        <v>3.5</v>
      </c>
      <c r="G669">
        <v>0</v>
      </c>
      <c r="H669">
        <v>20</v>
      </c>
      <c r="I669">
        <v>480</v>
      </c>
      <c r="J669">
        <v>29</v>
      </c>
      <c r="K669">
        <v>2</v>
      </c>
      <c r="L669">
        <v>2</v>
      </c>
      <c r="M669">
        <v>12</v>
      </c>
      <c r="O669" s="3">
        <f t="shared" si="38"/>
        <v>5</v>
      </c>
      <c r="P669">
        <f t="shared" si="36"/>
        <v>1</v>
      </c>
      <c r="Q669">
        <f t="shared" si="37"/>
        <v>0</v>
      </c>
      <c r="S669">
        <v>-3.7781055900621121</v>
      </c>
      <c r="T669">
        <v>-0.875</v>
      </c>
      <c r="U669">
        <v>-5.2173913043478262</v>
      </c>
      <c r="V669">
        <v>-0.8</v>
      </c>
      <c r="W669">
        <v>0</v>
      </c>
      <c r="X669">
        <v>2.4</v>
      </c>
      <c r="Y669">
        <v>0.7142857142857143</v>
      </c>
    </row>
    <row r="670" spans="1:25" x14ac:dyDescent="0.2">
      <c r="A670" t="s">
        <v>159</v>
      </c>
      <c r="B670" t="s">
        <v>222</v>
      </c>
      <c r="C670">
        <v>350</v>
      </c>
      <c r="D670" s="2">
        <v>0</v>
      </c>
      <c r="E670">
        <v>15</v>
      </c>
      <c r="F670">
        <v>5</v>
      </c>
      <c r="G670">
        <v>0</v>
      </c>
      <c r="H670">
        <v>30</v>
      </c>
      <c r="I670">
        <v>690</v>
      </c>
      <c r="J670">
        <v>38</v>
      </c>
      <c r="K670">
        <v>2</v>
      </c>
      <c r="L670">
        <v>3</v>
      </c>
      <c r="M670">
        <v>17</v>
      </c>
      <c r="O670" s="3">
        <f t="shared" si="38"/>
        <v>4.8571428571428568</v>
      </c>
      <c r="P670">
        <f t="shared" si="36"/>
        <v>1</v>
      </c>
      <c r="Q670">
        <f t="shared" si="37"/>
        <v>0</v>
      </c>
      <c r="S670">
        <v>-5.8357142857142845</v>
      </c>
      <c r="T670">
        <v>-1.25</v>
      </c>
      <c r="U670">
        <v>-7.5</v>
      </c>
      <c r="V670">
        <v>-1.2</v>
      </c>
      <c r="W670">
        <v>0</v>
      </c>
      <c r="X670">
        <v>3.4000000000000004</v>
      </c>
      <c r="Y670">
        <v>0.7142857142857143</v>
      </c>
    </row>
    <row r="671" spans="1:25" x14ac:dyDescent="0.2">
      <c r="A671" t="s">
        <v>159</v>
      </c>
      <c r="B671" t="s">
        <v>225</v>
      </c>
      <c r="C671">
        <v>310</v>
      </c>
      <c r="D671" s="2">
        <v>0</v>
      </c>
      <c r="E671">
        <v>13</v>
      </c>
      <c r="F671">
        <v>6</v>
      </c>
      <c r="G671">
        <v>0</v>
      </c>
      <c r="H671">
        <v>35</v>
      </c>
      <c r="I671">
        <v>540</v>
      </c>
      <c r="J671">
        <v>33</v>
      </c>
      <c r="K671">
        <v>2</v>
      </c>
      <c r="L671">
        <v>1</v>
      </c>
      <c r="M671">
        <v>15</v>
      </c>
      <c r="O671" s="3">
        <f t="shared" si="38"/>
        <v>4.838709677419355</v>
      </c>
      <c r="P671">
        <f t="shared" si="36"/>
        <v>1</v>
      </c>
      <c r="Q671">
        <f t="shared" si="37"/>
        <v>0</v>
      </c>
      <c r="S671">
        <v>-4.0552795031055906</v>
      </c>
      <c r="T671">
        <v>-1.5</v>
      </c>
      <c r="U671">
        <v>-5.8695652173913047</v>
      </c>
      <c r="V671">
        <v>-0.4</v>
      </c>
      <c r="W671">
        <v>0</v>
      </c>
      <c r="X671">
        <v>3</v>
      </c>
      <c r="Y671">
        <v>0.7142857142857143</v>
      </c>
    </row>
    <row r="672" spans="1:25" x14ac:dyDescent="0.2">
      <c r="A672" t="s">
        <v>159</v>
      </c>
      <c r="B672" t="s">
        <v>228</v>
      </c>
      <c r="C672">
        <v>270</v>
      </c>
      <c r="D672" s="2">
        <v>0</v>
      </c>
      <c r="E672">
        <v>8</v>
      </c>
      <c r="F672">
        <v>4</v>
      </c>
      <c r="G672">
        <v>0</v>
      </c>
      <c r="H672">
        <v>30</v>
      </c>
      <c r="I672">
        <v>740</v>
      </c>
      <c r="J672">
        <v>37</v>
      </c>
      <c r="K672">
        <v>2</v>
      </c>
      <c r="L672">
        <v>2</v>
      </c>
      <c r="M672">
        <v>13</v>
      </c>
      <c r="O672" s="3">
        <f t="shared" si="38"/>
        <v>4.8148148148148149</v>
      </c>
      <c r="P672">
        <f t="shared" si="36"/>
        <v>1</v>
      </c>
      <c r="Q672">
        <f t="shared" si="37"/>
        <v>0</v>
      </c>
      <c r="S672">
        <v>-6.5291925465838512</v>
      </c>
      <c r="T672">
        <v>-1</v>
      </c>
      <c r="U672">
        <v>-8.0434782608695645</v>
      </c>
      <c r="V672">
        <v>-0.8</v>
      </c>
      <c r="W672">
        <v>0</v>
      </c>
      <c r="X672">
        <v>2.6</v>
      </c>
      <c r="Y672">
        <v>0.7142857142857143</v>
      </c>
    </row>
    <row r="673" spans="1:25" x14ac:dyDescent="0.2">
      <c r="A673" t="s">
        <v>159</v>
      </c>
      <c r="B673" t="s">
        <v>231</v>
      </c>
      <c r="C673">
        <v>230</v>
      </c>
      <c r="D673" s="2">
        <v>0</v>
      </c>
      <c r="E673">
        <v>9</v>
      </c>
      <c r="F673">
        <v>4</v>
      </c>
      <c r="G673">
        <v>0</v>
      </c>
      <c r="H673">
        <v>25</v>
      </c>
      <c r="I673">
        <v>410</v>
      </c>
      <c r="J673">
        <v>25</v>
      </c>
      <c r="K673">
        <v>2</v>
      </c>
      <c r="L673">
        <v>1</v>
      </c>
      <c r="M673">
        <v>11</v>
      </c>
      <c r="O673" s="3">
        <f t="shared" si="38"/>
        <v>4.7826086956521738</v>
      </c>
      <c r="P673">
        <f t="shared" si="36"/>
        <v>0</v>
      </c>
      <c r="Q673">
        <f t="shared" si="37"/>
        <v>0</v>
      </c>
      <c r="S673">
        <v>-2.9422360248447204</v>
      </c>
      <c r="T673">
        <v>-1</v>
      </c>
      <c r="U673">
        <v>-4.4565217391304346</v>
      </c>
      <c r="V673">
        <v>-0.4</v>
      </c>
      <c r="W673">
        <v>0</v>
      </c>
      <c r="X673">
        <v>2.2000000000000002</v>
      </c>
      <c r="Y673">
        <v>0.7142857142857143</v>
      </c>
    </row>
    <row r="674" spans="1:25" x14ac:dyDescent="0.2">
      <c r="A674" t="s">
        <v>159</v>
      </c>
      <c r="B674" t="s">
        <v>232</v>
      </c>
      <c r="C674">
        <v>230</v>
      </c>
      <c r="D674" s="2">
        <v>0</v>
      </c>
      <c r="E674">
        <v>10</v>
      </c>
      <c r="F674">
        <v>4.5</v>
      </c>
      <c r="G674">
        <v>0</v>
      </c>
      <c r="H674">
        <v>25</v>
      </c>
      <c r="I674">
        <v>390</v>
      </c>
      <c r="J674">
        <v>25</v>
      </c>
      <c r="K674">
        <v>2</v>
      </c>
      <c r="L674">
        <v>1</v>
      </c>
      <c r="M674">
        <v>11</v>
      </c>
      <c r="O674" s="3">
        <f t="shared" si="38"/>
        <v>4.7826086956521738</v>
      </c>
      <c r="P674">
        <f t="shared" si="36"/>
        <v>0</v>
      </c>
      <c r="Q674">
        <f t="shared" si="37"/>
        <v>0</v>
      </c>
      <c r="S674">
        <v>-2.8498447204968942</v>
      </c>
      <c r="T674">
        <v>-1.125</v>
      </c>
      <c r="U674">
        <v>-4.2391304347826084</v>
      </c>
      <c r="V674">
        <v>-0.4</v>
      </c>
      <c r="W674">
        <v>0</v>
      </c>
      <c r="X674">
        <v>2.2000000000000002</v>
      </c>
      <c r="Y674">
        <v>0.7142857142857143</v>
      </c>
    </row>
    <row r="675" spans="1:25" x14ac:dyDescent="0.2">
      <c r="A675" t="s">
        <v>159</v>
      </c>
      <c r="B675" t="s">
        <v>235</v>
      </c>
      <c r="C675">
        <v>210</v>
      </c>
      <c r="D675" s="2">
        <v>0</v>
      </c>
      <c r="E675">
        <v>8</v>
      </c>
      <c r="F675">
        <v>3.5</v>
      </c>
      <c r="G675">
        <v>0</v>
      </c>
      <c r="H675">
        <v>20</v>
      </c>
      <c r="I675">
        <v>390</v>
      </c>
      <c r="J675">
        <v>26</v>
      </c>
      <c r="K675">
        <v>2</v>
      </c>
      <c r="L675">
        <v>1</v>
      </c>
      <c r="M675">
        <v>10</v>
      </c>
      <c r="O675" s="3">
        <f t="shared" si="38"/>
        <v>4.7619047619047619</v>
      </c>
      <c r="P675">
        <f t="shared" si="36"/>
        <v>0</v>
      </c>
      <c r="Q675">
        <f t="shared" si="37"/>
        <v>0</v>
      </c>
      <c r="S675">
        <v>-2.7998447204968939</v>
      </c>
      <c r="T675">
        <v>-0.875</v>
      </c>
      <c r="U675">
        <v>-4.2391304347826084</v>
      </c>
      <c r="V675">
        <v>-0.4</v>
      </c>
      <c r="W675">
        <v>0</v>
      </c>
      <c r="X675">
        <v>2.0000000000000004</v>
      </c>
      <c r="Y675">
        <v>0.7142857142857143</v>
      </c>
    </row>
    <row r="676" spans="1:25" x14ac:dyDescent="0.2">
      <c r="A676" t="s">
        <v>159</v>
      </c>
      <c r="B676" t="s">
        <v>236</v>
      </c>
      <c r="C676">
        <v>210</v>
      </c>
      <c r="D676" s="2">
        <v>0</v>
      </c>
      <c r="E676">
        <v>6</v>
      </c>
      <c r="F676">
        <v>3</v>
      </c>
      <c r="G676">
        <v>0</v>
      </c>
      <c r="H676">
        <v>20</v>
      </c>
      <c r="I676">
        <v>420</v>
      </c>
      <c r="J676">
        <v>27</v>
      </c>
      <c r="K676">
        <v>2</v>
      </c>
      <c r="L676">
        <v>2</v>
      </c>
      <c r="M676">
        <v>10</v>
      </c>
      <c r="O676" s="3">
        <f t="shared" si="38"/>
        <v>4.7619047619047619</v>
      </c>
      <c r="P676">
        <f t="shared" si="36"/>
        <v>0</v>
      </c>
      <c r="Q676">
        <f t="shared" si="37"/>
        <v>0</v>
      </c>
      <c r="S676">
        <v>-3.4009316770186322</v>
      </c>
      <c r="T676">
        <v>-0.75</v>
      </c>
      <c r="U676">
        <v>-4.5652173913043477</v>
      </c>
      <c r="V676">
        <v>-0.8</v>
      </c>
      <c r="W676">
        <v>0</v>
      </c>
      <c r="X676">
        <v>2.0000000000000004</v>
      </c>
      <c r="Y676">
        <v>0.7142857142857143</v>
      </c>
    </row>
    <row r="677" spans="1:25" x14ac:dyDescent="0.2">
      <c r="A677" t="s">
        <v>159</v>
      </c>
      <c r="B677" t="s">
        <v>248</v>
      </c>
      <c r="C677">
        <v>170</v>
      </c>
      <c r="D677" s="2">
        <v>0</v>
      </c>
      <c r="E677">
        <v>8</v>
      </c>
      <c r="F677">
        <v>3.5</v>
      </c>
      <c r="G677">
        <v>0</v>
      </c>
      <c r="H677">
        <v>15</v>
      </c>
      <c r="I677">
        <v>330</v>
      </c>
      <c r="J677">
        <v>17</v>
      </c>
      <c r="K677">
        <v>1</v>
      </c>
      <c r="L677">
        <v>2</v>
      </c>
      <c r="M677">
        <v>8</v>
      </c>
      <c r="O677" s="3">
        <f t="shared" si="38"/>
        <v>4.7058823529411766</v>
      </c>
      <c r="P677">
        <f t="shared" si="36"/>
        <v>0</v>
      </c>
      <c r="Q677">
        <f t="shared" si="37"/>
        <v>0</v>
      </c>
      <c r="S677">
        <v>-3.3048136645962733</v>
      </c>
      <c r="T677">
        <v>-0.875</v>
      </c>
      <c r="U677">
        <v>-3.5869565217391304</v>
      </c>
      <c r="V677">
        <v>-0.8</v>
      </c>
      <c r="W677">
        <v>0</v>
      </c>
      <c r="X677">
        <v>1.6</v>
      </c>
      <c r="Y677">
        <v>0.35714285714285715</v>
      </c>
    </row>
    <row r="678" spans="1:25" x14ac:dyDescent="0.2">
      <c r="A678" t="s">
        <v>159</v>
      </c>
      <c r="B678" t="s">
        <v>254</v>
      </c>
      <c r="C678">
        <v>150</v>
      </c>
      <c r="D678" s="2">
        <v>0</v>
      </c>
      <c r="E678">
        <v>6</v>
      </c>
      <c r="F678">
        <v>2.5</v>
      </c>
      <c r="G678">
        <v>0</v>
      </c>
      <c r="H678">
        <v>15</v>
      </c>
      <c r="I678">
        <v>310</v>
      </c>
      <c r="J678">
        <v>17</v>
      </c>
      <c r="K678">
        <v>1</v>
      </c>
      <c r="L678">
        <v>2</v>
      </c>
      <c r="M678">
        <v>7</v>
      </c>
      <c r="O678" s="3">
        <f t="shared" si="38"/>
        <v>4.666666666666667</v>
      </c>
      <c r="P678">
        <f t="shared" si="36"/>
        <v>0</v>
      </c>
      <c r="Q678">
        <f t="shared" si="37"/>
        <v>0</v>
      </c>
      <c r="S678">
        <v>-3.0374223602484469</v>
      </c>
      <c r="T678">
        <v>-0.625</v>
      </c>
      <c r="U678">
        <v>-3.3695652173913042</v>
      </c>
      <c r="V678">
        <v>-0.8</v>
      </c>
      <c r="W678">
        <v>0</v>
      </c>
      <c r="X678">
        <v>1.4000000000000001</v>
      </c>
      <c r="Y678">
        <v>0.35714285714285715</v>
      </c>
    </row>
    <row r="679" spans="1:25" x14ac:dyDescent="0.2">
      <c r="A679" t="s">
        <v>159</v>
      </c>
      <c r="B679" t="s">
        <v>255</v>
      </c>
      <c r="C679">
        <v>300</v>
      </c>
      <c r="D679" s="2">
        <v>0</v>
      </c>
      <c r="E679">
        <v>10</v>
      </c>
      <c r="F679">
        <v>4.5</v>
      </c>
      <c r="G679">
        <v>0</v>
      </c>
      <c r="H679">
        <v>30</v>
      </c>
      <c r="I679">
        <v>530</v>
      </c>
      <c r="J679">
        <v>40</v>
      </c>
      <c r="K679">
        <v>2</v>
      </c>
      <c r="L679">
        <v>7</v>
      </c>
      <c r="M679">
        <v>14</v>
      </c>
      <c r="O679" s="3">
        <f t="shared" si="38"/>
        <v>4.666666666666667</v>
      </c>
      <c r="P679">
        <f t="shared" si="36"/>
        <v>1</v>
      </c>
      <c r="Q679">
        <f t="shared" si="37"/>
        <v>0</v>
      </c>
      <c r="S679">
        <v>-6.1715838509316763</v>
      </c>
      <c r="T679">
        <v>-1.125</v>
      </c>
      <c r="U679">
        <v>-5.7608695652173916</v>
      </c>
      <c r="V679">
        <v>-2.8000000000000003</v>
      </c>
      <c r="W679">
        <v>0</v>
      </c>
      <c r="X679">
        <v>2.8000000000000003</v>
      </c>
      <c r="Y679">
        <v>0.7142857142857143</v>
      </c>
    </row>
    <row r="680" spans="1:25" x14ac:dyDescent="0.2">
      <c r="A680" t="s">
        <v>159</v>
      </c>
      <c r="B680" t="s">
        <v>256</v>
      </c>
      <c r="C680">
        <v>150</v>
      </c>
      <c r="D680" s="2">
        <v>0</v>
      </c>
      <c r="E680">
        <v>6</v>
      </c>
      <c r="F680">
        <v>2.5</v>
      </c>
      <c r="G680">
        <v>0</v>
      </c>
      <c r="H680">
        <v>15</v>
      </c>
      <c r="I680">
        <v>270</v>
      </c>
      <c r="J680">
        <v>16</v>
      </c>
      <c r="K680">
        <v>1</v>
      </c>
      <c r="L680">
        <v>0</v>
      </c>
      <c r="M680">
        <v>7</v>
      </c>
      <c r="O680" s="3">
        <f t="shared" si="38"/>
        <v>4.666666666666667</v>
      </c>
      <c r="P680">
        <f t="shared" si="36"/>
        <v>0</v>
      </c>
      <c r="Q680">
        <f t="shared" si="37"/>
        <v>0</v>
      </c>
      <c r="S680">
        <v>-1.8026397515527948</v>
      </c>
      <c r="T680">
        <v>-0.625</v>
      </c>
      <c r="U680">
        <v>-2.9347826086956523</v>
      </c>
      <c r="V680">
        <v>0</v>
      </c>
      <c r="W680">
        <v>0</v>
      </c>
      <c r="X680">
        <v>1.4000000000000001</v>
      </c>
      <c r="Y680">
        <v>0.35714285714285715</v>
      </c>
    </row>
    <row r="681" spans="1:25" x14ac:dyDescent="0.2">
      <c r="A681" t="s">
        <v>159</v>
      </c>
      <c r="B681" t="s">
        <v>261</v>
      </c>
      <c r="C681">
        <v>280</v>
      </c>
      <c r="D681" s="2">
        <v>0</v>
      </c>
      <c r="E681">
        <v>12</v>
      </c>
      <c r="F681">
        <v>6</v>
      </c>
      <c r="G681">
        <v>0</v>
      </c>
      <c r="H681">
        <v>30</v>
      </c>
      <c r="I681">
        <v>560</v>
      </c>
      <c r="J681">
        <v>31</v>
      </c>
      <c r="K681">
        <v>2</v>
      </c>
      <c r="L681">
        <v>2</v>
      </c>
      <c r="M681">
        <v>13</v>
      </c>
      <c r="O681" s="3">
        <f t="shared" si="38"/>
        <v>4.6428571428571432</v>
      </c>
      <c r="P681">
        <f t="shared" si="36"/>
        <v>1</v>
      </c>
      <c r="Q681">
        <f t="shared" si="37"/>
        <v>0</v>
      </c>
      <c r="S681">
        <v>-5.0726708074534175</v>
      </c>
      <c r="T681">
        <v>-1.5</v>
      </c>
      <c r="U681">
        <v>-6.0869565217391308</v>
      </c>
      <c r="V681">
        <v>-0.8</v>
      </c>
      <c r="W681">
        <v>0</v>
      </c>
      <c r="X681">
        <v>2.6</v>
      </c>
      <c r="Y681">
        <v>0.7142857142857143</v>
      </c>
    </row>
    <row r="682" spans="1:25" x14ac:dyDescent="0.2">
      <c r="A682" t="s">
        <v>159</v>
      </c>
      <c r="B682" t="s">
        <v>266</v>
      </c>
      <c r="C682">
        <v>390</v>
      </c>
      <c r="D682" s="2">
        <v>0</v>
      </c>
      <c r="E682">
        <v>20</v>
      </c>
      <c r="F682">
        <v>7</v>
      </c>
      <c r="G682">
        <v>0</v>
      </c>
      <c r="H682">
        <v>40</v>
      </c>
      <c r="I682">
        <v>680</v>
      </c>
      <c r="J682">
        <v>35</v>
      </c>
      <c r="K682">
        <v>2</v>
      </c>
      <c r="L682">
        <v>2</v>
      </c>
      <c r="M682">
        <v>18</v>
      </c>
      <c r="O682" s="3">
        <f t="shared" si="38"/>
        <v>4.6153846153846159</v>
      </c>
      <c r="P682">
        <f t="shared" si="36"/>
        <v>1</v>
      </c>
      <c r="Q682">
        <f t="shared" si="37"/>
        <v>0</v>
      </c>
      <c r="S682">
        <v>-5.6270186335403727</v>
      </c>
      <c r="T682">
        <v>-1.75</v>
      </c>
      <c r="U682">
        <v>-7.3913043478260869</v>
      </c>
      <c r="V682">
        <v>-0.8</v>
      </c>
      <c r="W682">
        <v>0</v>
      </c>
      <c r="X682">
        <v>3.5999999999999996</v>
      </c>
      <c r="Y682">
        <v>0.7142857142857143</v>
      </c>
    </row>
    <row r="683" spans="1:25" x14ac:dyDescent="0.2">
      <c r="A683" t="s">
        <v>159</v>
      </c>
      <c r="B683" t="s">
        <v>267</v>
      </c>
      <c r="C683">
        <v>130</v>
      </c>
      <c r="D683" s="2">
        <v>0</v>
      </c>
      <c r="E683">
        <v>3.5</v>
      </c>
      <c r="F683">
        <v>1.5</v>
      </c>
      <c r="G683">
        <v>0</v>
      </c>
      <c r="H683">
        <v>10</v>
      </c>
      <c r="I683">
        <v>380</v>
      </c>
      <c r="J683">
        <v>19</v>
      </c>
      <c r="K683">
        <v>0</v>
      </c>
      <c r="L683">
        <v>0</v>
      </c>
      <c r="M683">
        <v>6</v>
      </c>
      <c r="O683" s="3">
        <f t="shared" si="38"/>
        <v>4.6153846153846159</v>
      </c>
      <c r="P683">
        <f t="shared" si="36"/>
        <v>0</v>
      </c>
      <c r="Q683">
        <f t="shared" si="37"/>
        <v>0</v>
      </c>
      <c r="S683">
        <v>-3.3054347826086952</v>
      </c>
      <c r="T683">
        <v>-0.375</v>
      </c>
      <c r="U683">
        <v>-4.1304347826086953</v>
      </c>
      <c r="V683">
        <v>0</v>
      </c>
      <c r="W683">
        <v>0</v>
      </c>
      <c r="X683">
        <v>1.2</v>
      </c>
      <c r="Y683">
        <v>0</v>
      </c>
    </row>
    <row r="684" spans="1:25" x14ac:dyDescent="0.2">
      <c r="A684" t="s">
        <v>159</v>
      </c>
      <c r="B684" t="s">
        <v>268</v>
      </c>
      <c r="C684">
        <v>130</v>
      </c>
      <c r="D684" s="2">
        <v>0</v>
      </c>
      <c r="E684">
        <v>4.5</v>
      </c>
      <c r="F684">
        <v>2</v>
      </c>
      <c r="G684">
        <v>0</v>
      </c>
      <c r="H684">
        <v>10</v>
      </c>
      <c r="I684">
        <v>250</v>
      </c>
      <c r="J684">
        <v>17</v>
      </c>
      <c r="K684">
        <v>1</v>
      </c>
      <c r="L684">
        <v>0</v>
      </c>
      <c r="M684">
        <v>6</v>
      </c>
      <c r="O684" s="3">
        <f t="shared" si="38"/>
        <v>4.6153846153846159</v>
      </c>
      <c r="P684">
        <f t="shared" si="36"/>
        <v>0</v>
      </c>
      <c r="Q684">
        <f t="shared" si="37"/>
        <v>0</v>
      </c>
      <c r="S684">
        <v>-1.6602484472049688</v>
      </c>
      <c r="T684">
        <v>-0.5</v>
      </c>
      <c r="U684">
        <v>-2.7173913043478262</v>
      </c>
      <c r="V684">
        <v>0</v>
      </c>
      <c r="W684">
        <v>0</v>
      </c>
      <c r="X684">
        <v>1.2</v>
      </c>
      <c r="Y684">
        <v>0.35714285714285715</v>
      </c>
    </row>
    <row r="685" spans="1:25" x14ac:dyDescent="0.2">
      <c r="A685" t="s">
        <v>159</v>
      </c>
      <c r="B685" t="s">
        <v>269</v>
      </c>
      <c r="C685">
        <v>130</v>
      </c>
      <c r="D685" s="2">
        <v>0</v>
      </c>
      <c r="E685">
        <v>5</v>
      </c>
      <c r="F685">
        <v>2</v>
      </c>
      <c r="G685">
        <v>0</v>
      </c>
      <c r="H685">
        <v>10</v>
      </c>
      <c r="I685">
        <v>260</v>
      </c>
      <c r="J685">
        <v>16</v>
      </c>
      <c r="K685">
        <v>1</v>
      </c>
      <c r="L685">
        <v>0</v>
      </c>
      <c r="M685">
        <v>6</v>
      </c>
      <c r="O685" s="3">
        <f t="shared" si="38"/>
        <v>4.6153846153846159</v>
      </c>
      <c r="P685">
        <f t="shared" si="36"/>
        <v>0</v>
      </c>
      <c r="Q685">
        <f t="shared" si="37"/>
        <v>0</v>
      </c>
      <c r="S685">
        <v>-1.7689440993788819</v>
      </c>
      <c r="T685">
        <v>-0.5</v>
      </c>
      <c r="U685">
        <v>-2.8260869565217392</v>
      </c>
      <c r="V685">
        <v>0</v>
      </c>
      <c r="W685">
        <v>0</v>
      </c>
      <c r="X685">
        <v>1.2</v>
      </c>
      <c r="Y685">
        <v>0.35714285714285715</v>
      </c>
    </row>
    <row r="686" spans="1:25" x14ac:dyDescent="0.2">
      <c r="A686" t="s">
        <v>159</v>
      </c>
      <c r="B686" t="s">
        <v>272</v>
      </c>
      <c r="C686">
        <v>370</v>
      </c>
      <c r="D686" s="2">
        <v>0</v>
      </c>
      <c r="E686">
        <v>18</v>
      </c>
      <c r="F686">
        <v>8</v>
      </c>
      <c r="G686">
        <v>0</v>
      </c>
      <c r="H686">
        <v>50</v>
      </c>
      <c r="I686">
        <v>740</v>
      </c>
      <c r="J686">
        <v>35</v>
      </c>
      <c r="K686">
        <v>3</v>
      </c>
      <c r="L686">
        <v>2</v>
      </c>
      <c r="M686">
        <v>17</v>
      </c>
      <c r="O686" s="3">
        <f t="shared" si="38"/>
        <v>4.5945945945945947</v>
      </c>
      <c r="P686">
        <f t="shared" si="36"/>
        <v>1</v>
      </c>
      <c r="Q686">
        <f t="shared" si="37"/>
        <v>0</v>
      </c>
      <c r="S686">
        <v>-6.3720496894409937</v>
      </c>
      <c r="T686">
        <v>-2</v>
      </c>
      <c r="U686">
        <v>-8.0434782608695645</v>
      </c>
      <c r="V686">
        <v>-0.8</v>
      </c>
      <c r="W686">
        <v>0</v>
      </c>
      <c r="X686">
        <v>3.4000000000000004</v>
      </c>
      <c r="Y686">
        <v>1.0714285714285714</v>
      </c>
    </row>
    <row r="687" spans="1:25" x14ac:dyDescent="0.2">
      <c r="A687" t="s">
        <v>159</v>
      </c>
      <c r="B687" t="s">
        <v>274</v>
      </c>
      <c r="C687">
        <v>240</v>
      </c>
      <c r="D687" s="2">
        <v>0</v>
      </c>
      <c r="E687">
        <v>9</v>
      </c>
      <c r="F687">
        <v>3.5</v>
      </c>
      <c r="G687">
        <v>0</v>
      </c>
      <c r="H687">
        <v>20</v>
      </c>
      <c r="I687">
        <v>680</v>
      </c>
      <c r="J687">
        <v>31</v>
      </c>
      <c r="K687">
        <v>2</v>
      </c>
      <c r="L687">
        <v>2</v>
      </c>
      <c r="M687">
        <v>11</v>
      </c>
      <c r="O687" s="3">
        <f t="shared" si="38"/>
        <v>4.583333333333333</v>
      </c>
      <c r="P687">
        <f t="shared" si="36"/>
        <v>1</v>
      </c>
      <c r="Q687">
        <f t="shared" si="37"/>
        <v>0</v>
      </c>
      <c r="S687">
        <v>-6.1520186335403722</v>
      </c>
      <c r="T687">
        <v>-0.875</v>
      </c>
      <c r="U687">
        <v>-7.3913043478260869</v>
      </c>
      <c r="V687">
        <v>-0.8</v>
      </c>
      <c r="W687">
        <v>0</v>
      </c>
      <c r="X687">
        <v>2.2000000000000002</v>
      </c>
      <c r="Y687">
        <v>0.7142857142857143</v>
      </c>
    </row>
    <row r="688" spans="1:25" x14ac:dyDescent="0.2">
      <c r="A688" t="s">
        <v>159</v>
      </c>
      <c r="B688" t="s">
        <v>280</v>
      </c>
      <c r="C688">
        <v>220</v>
      </c>
      <c r="D688" s="2">
        <v>0</v>
      </c>
      <c r="E688">
        <v>7</v>
      </c>
      <c r="F688">
        <v>3</v>
      </c>
      <c r="G688">
        <v>0</v>
      </c>
      <c r="H688">
        <v>20</v>
      </c>
      <c r="I688">
        <v>390</v>
      </c>
      <c r="J688">
        <v>31</v>
      </c>
      <c r="K688">
        <v>2</v>
      </c>
      <c r="L688">
        <v>6</v>
      </c>
      <c r="M688">
        <v>10</v>
      </c>
      <c r="O688" s="3">
        <f t="shared" si="38"/>
        <v>4.5454545454545459</v>
      </c>
      <c r="P688">
        <f t="shared" si="36"/>
        <v>0</v>
      </c>
      <c r="Q688">
        <f t="shared" si="37"/>
        <v>0</v>
      </c>
      <c r="S688">
        <v>-4.6748447204968935</v>
      </c>
      <c r="T688">
        <v>-0.75</v>
      </c>
      <c r="U688">
        <v>-4.2391304347826084</v>
      </c>
      <c r="V688">
        <v>-2.4</v>
      </c>
      <c r="W688">
        <v>0</v>
      </c>
      <c r="X688">
        <v>2.0000000000000004</v>
      </c>
      <c r="Y688">
        <v>0.7142857142857143</v>
      </c>
    </row>
    <row r="689" spans="1:25" x14ac:dyDescent="0.2">
      <c r="A689" t="s">
        <v>159</v>
      </c>
      <c r="B689" t="s">
        <v>283</v>
      </c>
      <c r="C689">
        <v>200</v>
      </c>
      <c r="D689" s="2">
        <v>0</v>
      </c>
      <c r="E689">
        <v>7</v>
      </c>
      <c r="F689">
        <v>3.5</v>
      </c>
      <c r="G689">
        <v>0</v>
      </c>
      <c r="H689">
        <v>15</v>
      </c>
      <c r="I689">
        <v>410</v>
      </c>
      <c r="J689">
        <v>26</v>
      </c>
      <c r="K689">
        <v>2</v>
      </c>
      <c r="L689">
        <v>1</v>
      </c>
      <c r="M689">
        <v>9</v>
      </c>
      <c r="O689" s="3">
        <f t="shared" si="38"/>
        <v>4.5</v>
      </c>
      <c r="P689">
        <f t="shared" si="36"/>
        <v>0</v>
      </c>
      <c r="Q689">
        <f t="shared" si="37"/>
        <v>0</v>
      </c>
      <c r="S689">
        <v>-3.2172360248447207</v>
      </c>
      <c r="T689">
        <v>-0.875</v>
      </c>
      <c r="U689">
        <v>-4.4565217391304346</v>
      </c>
      <c r="V689">
        <v>-0.4</v>
      </c>
      <c r="W689">
        <v>0</v>
      </c>
      <c r="X689">
        <v>1.7999999999999998</v>
      </c>
      <c r="Y689">
        <v>0.7142857142857143</v>
      </c>
    </row>
    <row r="690" spans="1:25" x14ac:dyDescent="0.2">
      <c r="A690" t="s">
        <v>159</v>
      </c>
      <c r="B690" t="s">
        <v>284</v>
      </c>
      <c r="C690">
        <v>200</v>
      </c>
      <c r="D690" s="2">
        <v>0</v>
      </c>
      <c r="E690">
        <v>5</v>
      </c>
      <c r="F690">
        <v>2.5</v>
      </c>
      <c r="G690">
        <v>0</v>
      </c>
      <c r="H690">
        <v>20</v>
      </c>
      <c r="I690">
        <v>560</v>
      </c>
      <c r="J690">
        <v>28</v>
      </c>
      <c r="K690">
        <v>2</v>
      </c>
      <c r="L690">
        <v>1</v>
      </c>
      <c r="M690">
        <v>9</v>
      </c>
      <c r="O690" s="3">
        <f t="shared" si="38"/>
        <v>4.5</v>
      </c>
      <c r="P690">
        <f t="shared" si="36"/>
        <v>1</v>
      </c>
      <c r="Q690">
        <f t="shared" si="37"/>
        <v>0</v>
      </c>
      <c r="S690">
        <v>-4.5976708074534169</v>
      </c>
      <c r="T690">
        <v>-0.625</v>
      </c>
      <c r="U690">
        <v>-6.0869565217391308</v>
      </c>
      <c r="V690">
        <v>-0.4</v>
      </c>
      <c r="W690">
        <v>0</v>
      </c>
      <c r="X690">
        <v>1.7999999999999998</v>
      </c>
      <c r="Y690">
        <v>0.7142857142857143</v>
      </c>
    </row>
    <row r="691" spans="1:25" x14ac:dyDescent="0.2">
      <c r="A691" t="s">
        <v>159</v>
      </c>
      <c r="B691" t="s">
        <v>286</v>
      </c>
      <c r="C691">
        <v>290</v>
      </c>
      <c r="D691" s="2">
        <v>0</v>
      </c>
      <c r="E691">
        <v>13</v>
      </c>
      <c r="F691">
        <v>6</v>
      </c>
      <c r="G691">
        <v>0</v>
      </c>
      <c r="H691">
        <v>30</v>
      </c>
      <c r="I691">
        <v>570</v>
      </c>
      <c r="J691">
        <v>31</v>
      </c>
      <c r="K691">
        <v>2</v>
      </c>
      <c r="L691">
        <v>2</v>
      </c>
      <c r="M691">
        <v>13</v>
      </c>
      <c r="O691" s="3">
        <f t="shared" si="38"/>
        <v>4.4827586206896548</v>
      </c>
      <c r="P691">
        <f t="shared" si="36"/>
        <v>1</v>
      </c>
      <c r="Q691">
        <f t="shared" si="37"/>
        <v>0</v>
      </c>
      <c r="S691">
        <v>-5.1813664596273297</v>
      </c>
      <c r="T691">
        <v>-1.5</v>
      </c>
      <c r="U691">
        <v>-6.1956521739130439</v>
      </c>
      <c r="V691">
        <v>-0.8</v>
      </c>
      <c r="W691">
        <v>0</v>
      </c>
      <c r="X691">
        <v>2.6</v>
      </c>
      <c r="Y691">
        <v>0.7142857142857143</v>
      </c>
    </row>
    <row r="692" spans="1:25" x14ac:dyDescent="0.2">
      <c r="A692" t="s">
        <v>159</v>
      </c>
      <c r="B692" t="s">
        <v>287</v>
      </c>
      <c r="C692">
        <v>290</v>
      </c>
      <c r="D692" s="2">
        <v>0</v>
      </c>
      <c r="E692">
        <v>10</v>
      </c>
      <c r="F692">
        <v>5</v>
      </c>
      <c r="G692">
        <v>0</v>
      </c>
      <c r="H692">
        <v>30</v>
      </c>
      <c r="I692">
        <v>540</v>
      </c>
      <c r="J692">
        <v>34</v>
      </c>
      <c r="K692">
        <v>3</v>
      </c>
      <c r="L692">
        <v>2</v>
      </c>
      <c r="M692">
        <v>13</v>
      </c>
      <c r="O692" s="3">
        <f t="shared" si="38"/>
        <v>4.4827586206896548</v>
      </c>
      <c r="P692">
        <f t="shared" si="36"/>
        <v>1</v>
      </c>
      <c r="Q692">
        <f t="shared" si="37"/>
        <v>0</v>
      </c>
      <c r="S692">
        <v>-4.2481366459627328</v>
      </c>
      <c r="T692">
        <v>-1.25</v>
      </c>
      <c r="U692">
        <v>-5.8695652173913047</v>
      </c>
      <c r="V692">
        <v>-0.8</v>
      </c>
      <c r="W692">
        <v>0</v>
      </c>
      <c r="X692">
        <v>2.6</v>
      </c>
      <c r="Y692">
        <v>1.0714285714285714</v>
      </c>
    </row>
    <row r="693" spans="1:25" x14ac:dyDescent="0.2">
      <c r="A693" t="s">
        <v>159</v>
      </c>
      <c r="B693" t="s">
        <v>291</v>
      </c>
      <c r="C693">
        <v>180</v>
      </c>
      <c r="D693" s="2">
        <v>0</v>
      </c>
      <c r="E693">
        <v>6</v>
      </c>
      <c r="F693">
        <v>2</v>
      </c>
      <c r="G693">
        <v>0</v>
      </c>
      <c r="H693">
        <v>15</v>
      </c>
      <c r="I693">
        <v>370</v>
      </c>
      <c r="J693">
        <v>25</v>
      </c>
      <c r="K693">
        <v>1</v>
      </c>
      <c r="L693">
        <v>8</v>
      </c>
      <c r="M693">
        <v>8</v>
      </c>
      <c r="O693" s="3">
        <f t="shared" si="38"/>
        <v>4.4444444444444446</v>
      </c>
      <c r="P693">
        <f t="shared" si="36"/>
        <v>0</v>
      </c>
      <c r="Q693">
        <f t="shared" si="37"/>
        <v>0</v>
      </c>
      <c r="S693">
        <v>-5.764596273291926</v>
      </c>
      <c r="T693">
        <v>-0.5</v>
      </c>
      <c r="U693">
        <v>-4.0217391304347823</v>
      </c>
      <c r="V693">
        <v>-3.2</v>
      </c>
      <c r="W693">
        <v>0</v>
      </c>
      <c r="X693">
        <v>1.6</v>
      </c>
      <c r="Y693">
        <v>0.35714285714285715</v>
      </c>
    </row>
    <row r="694" spans="1:25" x14ac:dyDescent="0.2">
      <c r="A694" t="s">
        <v>159</v>
      </c>
      <c r="B694" t="s">
        <v>292</v>
      </c>
      <c r="C694">
        <v>360</v>
      </c>
      <c r="D694" s="2">
        <v>0</v>
      </c>
      <c r="E694">
        <v>17</v>
      </c>
      <c r="F694">
        <v>7</v>
      </c>
      <c r="G694">
        <v>0</v>
      </c>
      <c r="H694">
        <v>35</v>
      </c>
      <c r="I694">
        <v>660</v>
      </c>
      <c r="J694">
        <v>37</v>
      </c>
      <c r="K694">
        <v>2</v>
      </c>
      <c r="L694">
        <v>2</v>
      </c>
      <c r="M694">
        <v>16</v>
      </c>
      <c r="O694" s="3">
        <f t="shared" si="38"/>
        <v>4.4444444444444446</v>
      </c>
      <c r="P694">
        <f t="shared" si="36"/>
        <v>1</v>
      </c>
      <c r="Q694">
        <f t="shared" si="37"/>
        <v>0</v>
      </c>
      <c r="S694">
        <v>-5.8096273291925478</v>
      </c>
      <c r="T694">
        <v>-1.75</v>
      </c>
      <c r="U694">
        <v>-7.1739130434782608</v>
      </c>
      <c r="V694">
        <v>-0.8</v>
      </c>
      <c r="W694">
        <v>0</v>
      </c>
      <c r="X694">
        <v>3.2</v>
      </c>
      <c r="Y694">
        <v>0.7142857142857143</v>
      </c>
    </row>
    <row r="695" spans="1:25" x14ac:dyDescent="0.2">
      <c r="A695" t="s">
        <v>159</v>
      </c>
      <c r="B695" t="s">
        <v>293</v>
      </c>
      <c r="C695">
        <v>270</v>
      </c>
      <c r="D695" s="2">
        <v>0</v>
      </c>
      <c r="E695">
        <v>13</v>
      </c>
      <c r="F695">
        <v>4.5</v>
      </c>
      <c r="G695">
        <v>0</v>
      </c>
      <c r="H695">
        <v>30</v>
      </c>
      <c r="I695">
        <v>470</v>
      </c>
      <c r="J695">
        <v>27</v>
      </c>
      <c r="K695">
        <v>2</v>
      </c>
      <c r="L695">
        <v>1</v>
      </c>
      <c r="M695">
        <v>12</v>
      </c>
      <c r="O695" s="3">
        <f t="shared" si="38"/>
        <v>4.4444444444444446</v>
      </c>
      <c r="P695">
        <f t="shared" si="36"/>
        <v>1</v>
      </c>
      <c r="Q695">
        <f t="shared" si="37"/>
        <v>0</v>
      </c>
      <c r="S695">
        <v>-3.5194099378881996</v>
      </c>
      <c r="T695">
        <v>-1.125</v>
      </c>
      <c r="U695">
        <v>-5.1086956521739131</v>
      </c>
      <c r="V695">
        <v>-0.4</v>
      </c>
      <c r="W695">
        <v>0</v>
      </c>
      <c r="X695">
        <v>2.4</v>
      </c>
      <c r="Y695">
        <v>0.7142857142857143</v>
      </c>
    </row>
    <row r="696" spans="1:25" x14ac:dyDescent="0.2">
      <c r="A696" t="s">
        <v>159</v>
      </c>
      <c r="B696" t="s">
        <v>294</v>
      </c>
      <c r="C696">
        <v>180</v>
      </c>
      <c r="D696" s="2">
        <v>0</v>
      </c>
      <c r="E696">
        <v>9</v>
      </c>
      <c r="F696">
        <v>3.5</v>
      </c>
      <c r="G696">
        <v>0</v>
      </c>
      <c r="H696">
        <v>20</v>
      </c>
      <c r="I696">
        <v>370</v>
      </c>
      <c r="J696">
        <v>17</v>
      </c>
      <c r="K696">
        <v>1</v>
      </c>
      <c r="L696">
        <v>2</v>
      </c>
      <c r="M696">
        <v>8</v>
      </c>
      <c r="O696" s="3">
        <f t="shared" si="38"/>
        <v>4.4444444444444446</v>
      </c>
      <c r="P696">
        <f t="shared" si="36"/>
        <v>0</v>
      </c>
      <c r="Q696">
        <f t="shared" si="37"/>
        <v>0</v>
      </c>
      <c r="S696">
        <v>-3.7395962732919252</v>
      </c>
      <c r="T696">
        <v>-0.875</v>
      </c>
      <c r="U696">
        <v>-4.0217391304347823</v>
      </c>
      <c r="V696">
        <v>-0.8</v>
      </c>
      <c r="W696">
        <v>0</v>
      </c>
      <c r="X696">
        <v>1.6</v>
      </c>
      <c r="Y696">
        <v>0.35714285714285715</v>
      </c>
    </row>
    <row r="697" spans="1:25" x14ac:dyDescent="0.2">
      <c r="A697" t="s">
        <v>159</v>
      </c>
      <c r="B697" t="s">
        <v>295</v>
      </c>
      <c r="C697">
        <v>270</v>
      </c>
      <c r="D697" s="2">
        <v>0</v>
      </c>
      <c r="E697">
        <v>13</v>
      </c>
      <c r="F697">
        <v>5</v>
      </c>
      <c r="G697">
        <v>0</v>
      </c>
      <c r="H697">
        <v>25</v>
      </c>
      <c r="I697">
        <v>470</v>
      </c>
      <c r="J697">
        <v>27</v>
      </c>
      <c r="K697">
        <v>2</v>
      </c>
      <c r="L697">
        <v>1</v>
      </c>
      <c r="M697">
        <v>12</v>
      </c>
      <c r="O697" s="3">
        <f t="shared" si="38"/>
        <v>4.4444444444444446</v>
      </c>
      <c r="P697">
        <f t="shared" si="36"/>
        <v>1</v>
      </c>
      <c r="Q697">
        <f t="shared" si="37"/>
        <v>0</v>
      </c>
      <c r="S697">
        <v>-3.6444099378881996</v>
      </c>
      <c r="T697">
        <v>-1.25</v>
      </c>
      <c r="U697">
        <v>-5.1086956521739131</v>
      </c>
      <c r="V697">
        <v>-0.4</v>
      </c>
      <c r="W697">
        <v>0</v>
      </c>
      <c r="X697">
        <v>2.4</v>
      </c>
      <c r="Y697">
        <v>0.7142857142857143</v>
      </c>
    </row>
    <row r="698" spans="1:25" x14ac:dyDescent="0.2">
      <c r="A698" t="s">
        <v>159</v>
      </c>
      <c r="B698" t="s">
        <v>296</v>
      </c>
      <c r="C698">
        <v>270</v>
      </c>
      <c r="D698" s="2">
        <v>0</v>
      </c>
      <c r="E698">
        <v>13</v>
      </c>
      <c r="F698">
        <v>6</v>
      </c>
      <c r="G698">
        <v>0</v>
      </c>
      <c r="H698">
        <v>35</v>
      </c>
      <c r="I698">
        <v>530</v>
      </c>
      <c r="J698">
        <v>26</v>
      </c>
      <c r="K698">
        <v>2</v>
      </c>
      <c r="L698">
        <v>1</v>
      </c>
      <c r="M698">
        <v>12</v>
      </c>
      <c r="O698" s="3">
        <f t="shared" si="38"/>
        <v>4.4444444444444446</v>
      </c>
      <c r="P698">
        <f t="shared" si="36"/>
        <v>1</v>
      </c>
      <c r="Q698">
        <f t="shared" si="37"/>
        <v>0</v>
      </c>
      <c r="S698">
        <v>-4.5465838509316781</v>
      </c>
      <c r="T698">
        <v>-1.5</v>
      </c>
      <c r="U698">
        <v>-5.7608695652173916</v>
      </c>
      <c r="V698">
        <v>-0.4</v>
      </c>
      <c r="W698">
        <v>0</v>
      </c>
      <c r="X698">
        <v>2.4</v>
      </c>
      <c r="Y698">
        <v>0.7142857142857143</v>
      </c>
    </row>
    <row r="699" spans="1:25" x14ac:dyDescent="0.2">
      <c r="A699" t="s">
        <v>159</v>
      </c>
      <c r="B699" t="s">
        <v>303</v>
      </c>
      <c r="C699">
        <v>250</v>
      </c>
      <c r="D699" s="2">
        <v>0</v>
      </c>
      <c r="E699">
        <v>10</v>
      </c>
      <c r="F699">
        <v>4.5</v>
      </c>
      <c r="G699">
        <v>0</v>
      </c>
      <c r="H699">
        <v>25</v>
      </c>
      <c r="I699">
        <v>450</v>
      </c>
      <c r="J699">
        <v>28</v>
      </c>
      <c r="K699">
        <v>2</v>
      </c>
      <c r="L699">
        <v>1</v>
      </c>
      <c r="M699">
        <v>11</v>
      </c>
      <c r="O699" s="3">
        <f t="shared" si="38"/>
        <v>4.3999999999999995</v>
      </c>
      <c r="P699">
        <f t="shared" si="36"/>
        <v>0</v>
      </c>
      <c r="Q699">
        <f t="shared" si="37"/>
        <v>0</v>
      </c>
      <c r="S699">
        <v>-3.5020186335403727</v>
      </c>
      <c r="T699">
        <v>-1.125</v>
      </c>
      <c r="U699">
        <v>-4.8913043478260869</v>
      </c>
      <c r="V699">
        <v>-0.4</v>
      </c>
      <c r="W699">
        <v>0</v>
      </c>
      <c r="X699">
        <v>2.2000000000000002</v>
      </c>
      <c r="Y699">
        <v>0.7142857142857143</v>
      </c>
    </row>
    <row r="700" spans="1:25" x14ac:dyDescent="0.2">
      <c r="A700" t="s">
        <v>159</v>
      </c>
      <c r="B700" t="s">
        <v>307</v>
      </c>
      <c r="C700">
        <v>320</v>
      </c>
      <c r="D700" s="2">
        <v>0</v>
      </c>
      <c r="E700">
        <v>16</v>
      </c>
      <c r="F700">
        <v>6</v>
      </c>
      <c r="G700">
        <v>0</v>
      </c>
      <c r="H700">
        <v>35</v>
      </c>
      <c r="I700">
        <v>640</v>
      </c>
      <c r="J700">
        <v>31</v>
      </c>
      <c r="K700">
        <v>2</v>
      </c>
      <c r="L700">
        <v>2</v>
      </c>
      <c r="M700">
        <v>14</v>
      </c>
      <c r="O700" s="3">
        <f t="shared" si="38"/>
        <v>4.375</v>
      </c>
      <c r="P700">
        <f t="shared" si="36"/>
        <v>1</v>
      </c>
      <c r="Q700">
        <f t="shared" si="37"/>
        <v>0</v>
      </c>
      <c r="S700">
        <v>-5.7422360248447193</v>
      </c>
      <c r="T700">
        <v>-1.5</v>
      </c>
      <c r="U700">
        <v>-6.9565217391304346</v>
      </c>
      <c r="V700">
        <v>-0.8</v>
      </c>
      <c r="W700">
        <v>0</v>
      </c>
      <c r="X700">
        <v>2.8000000000000003</v>
      </c>
      <c r="Y700">
        <v>0.7142857142857143</v>
      </c>
    </row>
    <row r="701" spans="1:25" x14ac:dyDescent="0.2">
      <c r="A701" t="s">
        <v>159</v>
      </c>
      <c r="B701" t="s">
        <v>308</v>
      </c>
      <c r="C701">
        <v>160</v>
      </c>
      <c r="D701" s="2">
        <v>0</v>
      </c>
      <c r="E701">
        <v>5</v>
      </c>
      <c r="F701">
        <v>2</v>
      </c>
      <c r="G701">
        <v>0</v>
      </c>
      <c r="H701">
        <v>15</v>
      </c>
      <c r="I701">
        <v>570</v>
      </c>
      <c r="J701">
        <v>22</v>
      </c>
      <c r="K701">
        <v>1</v>
      </c>
      <c r="L701">
        <v>2</v>
      </c>
      <c r="M701">
        <v>7</v>
      </c>
      <c r="O701" s="3">
        <f t="shared" si="38"/>
        <v>4.375</v>
      </c>
      <c r="P701">
        <f t="shared" si="36"/>
        <v>1</v>
      </c>
      <c r="Q701">
        <f t="shared" si="37"/>
        <v>0</v>
      </c>
      <c r="S701">
        <v>-5.7385093167701866</v>
      </c>
      <c r="T701">
        <v>-0.5</v>
      </c>
      <c r="U701">
        <v>-6.1956521739130439</v>
      </c>
      <c r="V701">
        <v>-0.8</v>
      </c>
      <c r="W701">
        <v>0</v>
      </c>
      <c r="X701">
        <v>1.4000000000000001</v>
      </c>
      <c r="Y701">
        <v>0.35714285714285715</v>
      </c>
    </row>
    <row r="702" spans="1:25" x14ac:dyDescent="0.2">
      <c r="A702" t="s">
        <v>159</v>
      </c>
      <c r="B702" t="s">
        <v>309</v>
      </c>
      <c r="C702">
        <v>160</v>
      </c>
      <c r="D702" s="2">
        <v>0</v>
      </c>
      <c r="E702">
        <v>7</v>
      </c>
      <c r="F702">
        <v>3</v>
      </c>
      <c r="G702">
        <v>0</v>
      </c>
      <c r="H702">
        <v>20</v>
      </c>
      <c r="I702">
        <v>310</v>
      </c>
      <c r="J702">
        <v>17</v>
      </c>
      <c r="K702">
        <v>1</v>
      </c>
      <c r="L702">
        <v>0</v>
      </c>
      <c r="M702">
        <v>7</v>
      </c>
      <c r="O702" s="3">
        <f t="shared" si="38"/>
        <v>4.375</v>
      </c>
      <c r="P702">
        <f t="shared" si="36"/>
        <v>0</v>
      </c>
      <c r="Q702">
        <f t="shared" si="37"/>
        <v>0</v>
      </c>
      <c r="S702">
        <v>-2.3624223602484471</v>
      </c>
      <c r="T702">
        <v>-0.75</v>
      </c>
      <c r="U702">
        <v>-3.3695652173913042</v>
      </c>
      <c r="V702">
        <v>0</v>
      </c>
      <c r="W702">
        <v>0</v>
      </c>
      <c r="X702">
        <v>1.4000000000000001</v>
      </c>
      <c r="Y702">
        <v>0.35714285714285715</v>
      </c>
    </row>
    <row r="703" spans="1:25" x14ac:dyDescent="0.2">
      <c r="A703" t="s">
        <v>159</v>
      </c>
      <c r="B703" t="s">
        <v>310</v>
      </c>
      <c r="C703">
        <v>320</v>
      </c>
      <c r="D703" s="2">
        <v>0</v>
      </c>
      <c r="E703">
        <v>14</v>
      </c>
      <c r="F703">
        <v>6</v>
      </c>
      <c r="G703">
        <v>0</v>
      </c>
      <c r="H703">
        <v>35</v>
      </c>
      <c r="I703">
        <v>630</v>
      </c>
      <c r="J703">
        <v>35</v>
      </c>
      <c r="K703">
        <v>3</v>
      </c>
      <c r="L703">
        <v>2</v>
      </c>
      <c r="M703">
        <v>14</v>
      </c>
      <c r="O703" s="3">
        <f t="shared" si="38"/>
        <v>4.375</v>
      </c>
      <c r="P703">
        <f t="shared" si="36"/>
        <v>1</v>
      </c>
      <c r="Q703">
        <f t="shared" si="37"/>
        <v>0</v>
      </c>
      <c r="S703">
        <v>-5.2763975155279503</v>
      </c>
      <c r="T703">
        <v>-1.5</v>
      </c>
      <c r="U703">
        <v>-6.8478260869565215</v>
      </c>
      <c r="V703">
        <v>-0.8</v>
      </c>
      <c r="W703">
        <v>0</v>
      </c>
      <c r="X703">
        <v>2.8000000000000003</v>
      </c>
      <c r="Y703">
        <v>1.0714285714285714</v>
      </c>
    </row>
    <row r="704" spans="1:25" x14ac:dyDescent="0.2">
      <c r="A704" t="s">
        <v>159</v>
      </c>
      <c r="B704" t="s">
        <v>311</v>
      </c>
      <c r="C704">
        <v>390</v>
      </c>
      <c r="D704" s="2">
        <v>0</v>
      </c>
      <c r="E704">
        <v>20</v>
      </c>
      <c r="F704">
        <v>8</v>
      </c>
      <c r="G704">
        <v>0</v>
      </c>
      <c r="H704">
        <v>40</v>
      </c>
      <c r="I704">
        <v>670</v>
      </c>
      <c r="J704">
        <v>36</v>
      </c>
      <c r="K704">
        <v>2</v>
      </c>
      <c r="L704">
        <v>2</v>
      </c>
      <c r="M704">
        <v>17</v>
      </c>
      <c r="O704" s="3">
        <f t="shared" si="38"/>
        <v>4.3589743589743586</v>
      </c>
      <c r="P704">
        <f t="shared" si="36"/>
        <v>1</v>
      </c>
      <c r="Q704">
        <f t="shared" si="37"/>
        <v>0</v>
      </c>
      <c r="S704">
        <v>-5.9683229813664598</v>
      </c>
      <c r="T704">
        <v>-2</v>
      </c>
      <c r="U704">
        <v>-7.2826086956521738</v>
      </c>
      <c r="V704">
        <v>-0.8</v>
      </c>
      <c r="W704">
        <v>0</v>
      </c>
      <c r="X704">
        <v>3.4000000000000004</v>
      </c>
      <c r="Y704">
        <v>0.7142857142857143</v>
      </c>
    </row>
    <row r="705" spans="1:25" x14ac:dyDescent="0.2">
      <c r="A705" t="s">
        <v>159</v>
      </c>
      <c r="B705" t="s">
        <v>312</v>
      </c>
      <c r="C705">
        <v>390</v>
      </c>
      <c r="D705" s="2">
        <v>0</v>
      </c>
      <c r="E705">
        <v>21</v>
      </c>
      <c r="F705">
        <v>8</v>
      </c>
      <c r="G705">
        <v>0</v>
      </c>
      <c r="H705">
        <v>45</v>
      </c>
      <c r="I705">
        <v>830</v>
      </c>
      <c r="J705">
        <v>34</v>
      </c>
      <c r="K705">
        <v>3</v>
      </c>
      <c r="L705">
        <v>2</v>
      </c>
      <c r="M705">
        <v>17</v>
      </c>
      <c r="O705" s="3">
        <f t="shared" si="38"/>
        <v>4.3589743589743586</v>
      </c>
      <c r="P705">
        <f t="shared" si="36"/>
        <v>1</v>
      </c>
      <c r="Q705">
        <f t="shared" si="37"/>
        <v>0</v>
      </c>
      <c r="S705">
        <v>-7.3503105590062123</v>
      </c>
      <c r="T705">
        <v>-2</v>
      </c>
      <c r="U705">
        <v>-9.0217391304347831</v>
      </c>
      <c r="V705">
        <v>-0.8</v>
      </c>
      <c r="W705">
        <v>0</v>
      </c>
      <c r="X705">
        <v>3.4000000000000004</v>
      </c>
      <c r="Y705">
        <v>1.0714285714285714</v>
      </c>
    </row>
    <row r="706" spans="1:25" x14ac:dyDescent="0.2">
      <c r="A706" t="s">
        <v>159</v>
      </c>
      <c r="B706" t="s">
        <v>314</v>
      </c>
      <c r="C706">
        <v>300</v>
      </c>
      <c r="D706" s="2">
        <v>0</v>
      </c>
      <c r="E706">
        <v>15</v>
      </c>
      <c r="F706">
        <v>6</v>
      </c>
      <c r="G706">
        <v>0</v>
      </c>
      <c r="H706">
        <v>35</v>
      </c>
      <c r="I706">
        <v>580</v>
      </c>
      <c r="J706">
        <v>28</v>
      </c>
      <c r="K706">
        <v>2</v>
      </c>
      <c r="L706">
        <v>1</v>
      </c>
      <c r="M706">
        <v>13</v>
      </c>
      <c r="O706" s="3">
        <f t="shared" si="38"/>
        <v>4.3333333333333339</v>
      </c>
      <c r="P706">
        <f t="shared" ref="P706:P769" si="39">IF(I706&gt;2300*0.2,1,0)</f>
        <v>1</v>
      </c>
      <c r="Q706">
        <f t="shared" ref="Q706:Q769" si="40">IF(H706&gt;300,1,0)</f>
        <v>0</v>
      </c>
      <c r="S706">
        <v>-4.8900621118012415</v>
      </c>
      <c r="T706">
        <v>-1.5</v>
      </c>
      <c r="U706">
        <v>-6.3043478260869561</v>
      </c>
      <c r="V706">
        <v>-0.4</v>
      </c>
      <c r="W706">
        <v>0</v>
      </c>
      <c r="X706">
        <v>2.6</v>
      </c>
      <c r="Y706">
        <v>0.7142857142857143</v>
      </c>
    </row>
    <row r="707" spans="1:25" x14ac:dyDescent="0.2">
      <c r="A707" t="s">
        <v>159</v>
      </c>
      <c r="B707" t="s">
        <v>315</v>
      </c>
      <c r="C707">
        <v>300</v>
      </c>
      <c r="D707" s="2">
        <v>0</v>
      </c>
      <c r="E707">
        <v>13</v>
      </c>
      <c r="F707">
        <v>6</v>
      </c>
      <c r="G707">
        <v>0</v>
      </c>
      <c r="H707">
        <v>30</v>
      </c>
      <c r="I707">
        <v>590</v>
      </c>
      <c r="J707">
        <v>34</v>
      </c>
      <c r="K707">
        <v>3</v>
      </c>
      <c r="L707">
        <v>2</v>
      </c>
      <c r="M707">
        <v>13</v>
      </c>
      <c r="O707" s="3">
        <f t="shared" si="38"/>
        <v>4.3333333333333339</v>
      </c>
      <c r="P707">
        <f t="shared" si="39"/>
        <v>1</v>
      </c>
      <c r="Q707">
        <f t="shared" si="40"/>
        <v>0</v>
      </c>
      <c r="S707">
        <v>-5.0416149068322991</v>
      </c>
      <c r="T707">
        <v>-1.5</v>
      </c>
      <c r="U707">
        <v>-6.4130434782608701</v>
      </c>
      <c r="V707">
        <v>-0.8</v>
      </c>
      <c r="W707">
        <v>0</v>
      </c>
      <c r="X707">
        <v>2.6</v>
      </c>
      <c r="Y707">
        <v>1.0714285714285714</v>
      </c>
    </row>
    <row r="708" spans="1:25" x14ac:dyDescent="0.2">
      <c r="A708" t="s">
        <v>159</v>
      </c>
      <c r="B708" t="s">
        <v>318</v>
      </c>
      <c r="C708">
        <v>440</v>
      </c>
      <c r="D708" s="2">
        <v>0</v>
      </c>
      <c r="E708">
        <v>24</v>
      </c>
      <c r="F708">
        <v>9</v>
      </c>
      <c r="G708">
        <v>0.5</v>
      </c>
      <c r="H708">
        <v>50</v>
      </c>
      <c r="I708">
        <v>850</v>
      </c>
      <c r="J708">
        <v>37</v>
      </c>
      <c r="K708">
        <v>3</v>
      </c>
      <c r="L708">
        <v>2</v>
      </c>
      <c r="M708">
        <v>19</v>
      </c>
      <c r="O708" s="3">
        <f t="shared" si="38"/>
        <v>4.3181818181818183</v>
      </c>
      <c r="P708">
        <f t="shared" si="39"/>
        <v>1</v>
      </c>
      <c r="Q708">
        <f t="shared" si="40"/>
        <v>0</v>
      </c>
      <c r="S708">
        <v>-7.418201863354037</v>
      </c>
      <c r="T708">
        <v>-2.25</v>
      </c>
      <c r="U708">
        <v>-9.2391304347826075</v>
      </c>
      <c r="V708">
        <v>-0.8</v>
      </c>
      <c r="W708">
        <v>-5.0000000000000001E-4</v>
      </c>
      <c r="X708">
        <v>3.8000000000000007</v>
      </c>
      <c r="Y708">
        <v>1.0714285714285714</v>
      </c>
    </row>
    <row r="709" spans="1:25" x14ac:dyDescent="0.2">
      <c r="A709" t="s">
        <v>159</v>
      </c>
      <c r="B709" t="s">
        <v>323</v>
      </c>
      <c r="C709">
        <v>350</v>
      </c>
      <c r="D709" s="2">
        <v>0</v>
      </c>
      <c r="E709">
        <v>14</v>
      </c>
      <c r="F709">
        <v>5</v>
      </c>
      <c r="G709">
        <v>0</v>
      </c>
      <c r="H709">
        <v>30</v>
      </c>
      <c r="I709">
        <v>850</v>
      </c>
      <c r="J709">
        <v>40</v>
      </c>
      <c r="K709">
        <v>2</v>
      </c>
      <c r="L709">
        <v>2</v>
      </c>
      <c r="M709">
        <v>15</v>
      </c>
      <c r="O709" s="3">
        <f t="shared" si="38"/>
        <v>4.2857142857142856</v>
      </c>
      <c r="P709">
        <f t="shared" si="39"/>
        <v>1</v>
      </c>
      <c r="Q709">
        <f t="shared" si="40"/>
        <v>0</v>
      </c>
      <c r="S709">
        <v>-7.5748447204968938</v>
      </c>
      <c r="T709">
        <v>-1.25</v>
      </c>
      <c r="U709">
        <v>-9.2391304347826075</v>
      </c>
      <c r="V709">
        <v>-0.8</v>
      </c>
      <c r="W709">
        <v>0</v>
      </c>
      <c r="X709">
        <v>3</v>
      </c>
      <c r="Y709">
        <v>0.7142857142857143</v>
      </c>
    </row>
    <row r="710" spans="1:25" x14ac:dyDescent="0.2">
      <c r="A710" t="s">
        <v>159</v>
      </c>
      <c r="B710" t="s">
        <v>324</v>
      </c>
      <c r="C710">
        <v>210</v>
      </c>
      <c r="D710" s="2">
        <v>0</v>
      </c>
      <c r="E710">
        <v>12</v>
      </c>
      <c r="F710">
        <v>4.5</v>
      </c>
      <c r="G710">
        <v>0</v>
      </c>
      <c r="H710">
        <v>25</v>
      </c>
      <c r="I710">
        <v>460</v>
      </c>
      <c r="J710">
        <v>18</v>
      </c>
      <c r="K710">
        <v>1</v>
      </c>
      <c r="L710">
        <v>2</v>
      </c>
      <c r="M710">
        <v>9</v>
      </c>
      <c r="O710" s="3">
        <f t="shared" si="38"/>
        <v>4.2857142857142856</v>
      </c>
      <c r="P710">
        <f t="shared" si="39"/>
        <v>0</v>
      </c>
      <c r="Q710">
        <f t="shared" si="40"/>
        <v>0</v>
      </c>
      <c r="S710">
        <v>-4.7678571428571432</v>
      </c>
      <c r="T710">
        <v>-1.125</v>
      </c>
      <c r="U710">
        <v>-5</v>
      </c>
      <c r="V710">
        <v>-0.8</v>
      </c>
      <c r="W710">
        <v>0</v>
      </c>
      <c r="X710">
        <v>1.7999999999999998</v>
      </c>
      <c r="Y710">
        <v>0.35714285714285715</v>
      </c>
    </row>
    <row r="711" spans="1:25" x14ac:dyDescent="0.2">
      <c r="A711" t="s">
        <v>159</v>
      </c>
      <c r="B711" t="s">
        <v>325</v>
      </c>
      <c r="C711">
        <v>140</v>
      </c>
      <c r="D711" s="2">
        <v>0</v>
      </c>
      <c r="E711">
        <v>5</v>
      </c>
      <c r="F711">
        <v>2</v>
      </c>
      <c r="G711">
        <v>0</v>
      </c>
      <c r="H711">
        <v>10</v>
      </c>
      <c r="I711">
        <v>290</v>
      </c>
      <c r="J711">
        <v>18</v>
      </c>
      <c r="K711">
        <v>1</v>
      </c>
      <c r="L711">
        <v>2</v>
      </c>
      <c r="M711">
        <v>6</v>
      </c>
      <c r="O711" s="3">
        <f t="shared" si="38"/>
        <v>4.2857142857142856</v>
      </c>
      <c r="P711">
        <f t="shared" si="39"/>
        <v>0</v>
      </c>
      <c r="Q711">
        <f t="shared" si="40"/>
        <v>0</v>
      </c>
      <c r="S711">
        <v>-2.8950310559006209</v>
      </c>
      <c r="T711">
        <v>-0.5</v>
      </c>
      <c r="U711">
        <v>-3.152173913043478</v>
      </c>
      <c r="V711">
        <v>-0.8</v>
      </c>
      <c r="W711">
        <v>0</v>
      </c>
      <c r="X711">
        <v>1.2</v>
      </c>
      <c r="Y711">
        <v>0.35714285714285715</v>
      </c>
    </row>
    <row r="712" spans="1:25" x14ac:dyDescent="0.2">
      <c r="A712" t="s">
        <v>159</v>
      </c>
      <c r="B712" t="s">
        <v>326</v>
      </c>
      <c r="C712">
        <v>140</v>
      </c>
      <c r="D712" s="2">
        <v>0</v>
      </c>
      <c r="E712">
        <v>4</v>
      </c>
      <c r="F712">
        <v>2</v>
      </c>
      <c r="G712">
        <v>0</v>
      </c>
      <c r="H712">
        <v>15</v>
      </c>
      <c r="I712">
        <v>250</v>
      </c>
      <c r="J712">
        <v>20</v>
      </c>
      <c r="K712">
        <v>1</v>
      </c>
      <c r="L712">
        <v>4</v>
      </c>
      <c r="M712">
        <v>6</v>
      </c>
      <c r="O712" s="3">
        <f t="shared" si="38"/>
        <v>4.2857142857142856</v>
      </c>
      <c r="P712">
        <f t="shared" si="39"/>
        <v>0</v>
      </c>
      <c r="Q712">
        <f t="shared" si="40"/>
        <v>0</v>
      </c>
      <c r="S712">
        <v>-3.2602484472049684</v>
      </c>
      <c r="T712">
        <v>-0.5</v>
      </c>
      <c r="U712">
        <v>-2.7173913043478262</v>
      </c>
      <c r="V712">
        <v>-1.6</v>
      </c>
      <c r="W712">
        <v>0</v>
      </c>
      <c r="X712">
        <v>1.2</v>
      </c>
      <c r="Y712">
        <v>0.35714285714285715</v>
      </c>
    </row>
    <row r="713" spans="1:25" x14ac:dyDescent="0.2">
      <c r="A713" t="s">
        <v>159</v>
      </c>
      <c r="B713" t="s">
        <v>327</v>
      </c>
      <c r="C713">
        <v>280</v>
      </c>
      <c r="D713" s="2">
        <v>0</v>
      </c>
      <c r="E713">
        <v>10</v>
      </c>
      <c r="F713">
        <v>5</v>
      </c>
      <c r="G713">
        <v>0</v>
      </c>
      <c r="H713">
        <v>20</v>
      </c>
      <c r="I713">
        <v>560</v>
      </c>
      <c r="J713">
        <v>35</v>
      </c>
      <c r="K713">
        <v>3</v>
      </c>
      <c r="L713">
        <v>2</v>
      </c>
      <c r="M713">
        <v>12</v>
      </c>
      <c r="O713" s="3">
        <f t="shared" si="38"/>
        <v>4.2857142857142856</v>
      </c>
      <c r="P713">
        <f t="shared" si="39"/>
        <v>1</v>
      </c>
      <c r="Q713">
        <f t="shared" si="40"/>
        <v>0</v>
      </c>
      <c r="S713">
        <v>-4.66552795031056</v>
      </c>
      <c r="T713">
        <v>-1.25</v>
      </c>
      <c r="U713">
        <v>-6.0869565217391308</v>
      </c>
      <c r="V713">
        <v>-0.8</v>
      </c>
      <c r="W713">
        <v>0</v>
      </c>
      <c r="X713">
        <v>2.4</v>
      </c>
      <c r="Y713">
        <v>1.0714285714285714</v>
      </c>
    </row>
    <row r="714" spans="1:25" x14ac:dyDescent="0.2">
      <c r="A714" t="s">
        <v>159</v>
      </c>
      <c r="B714" t="s">
        <v>334</v>
      </c>
      <c r="C714">
        <v>330</v>
      </c>
      <c r="D714" s="2">
        <v>0</v>
      </c>
      <c r="E714">
        <v>17</v>
      </c>
      <c r="F714">
        <v>7</v>
      </c>
      <c r="G714">
        <v>0</v>
      </c>
      <c r="H714">
        <v>40</v>
      </c>
      <c r="I714">
        <v>720</v>
      </c>
      <c r="J714">
        <v>30</v>
      </c>
      <c r="K714">
        <v>2</v>
      </c>
      <c r="L714">
        <v>2</v>
      </c>
      <c r="M714">
        <v>14</v>
      </c>
      <c r="O714" s="3">
        <f t="shared" si="38"/>
        <v>4.2424242424242431</v>
      </c>
      <c r="P714">
        <f t="shared" si="39"/>
        <v>1</v>
      </c>
      <c r="Q714">
        <f t="shared" si="40"/>
        <v>0</v>
      </c>
      <c r="S714">
        <v>-6.8618012422360257</v>
      </c>
      <c r="T714">
        <v>-1.75</v>
      </c>
      <c r="U714">
        <v>-7.8260869565217401</v>
      </c>
      <c r="V714">
        <v>-0.8</v>
      </c>
      <c r="W714">
        <v>0</v>
      </c>
      <c r="X714">
        <v>2.8000000000000003</v>
      </c>
      <c r="Y714">
        <v>0.7142857142857143</v>
      </c>
    </row>
    <row r="715" spans="1:25" x14ac:dyDescent="0.2">
      <c r="A715" t="s">
        <v>159</v>
      </c>
      <c r="B715" t="s">
        <v>335</v>
      </c>
      <c r="C715">
        <v>330</v>
      </c>
      <c r="D715" s="2">
        <v>0</v>
      </c>
      <c r="E715">
        <v>15</v>
      </c>
      <c r="F715">
        <v>5</v>
      </c>
      <c r="G715">
        <v>0</v>
      </c>
      <c r="H715">
        <v>25</v>
      </c>
      <c r="I715">
        <v>620</v>
      </c>
      <c r="J715">
        <v>38</v>
      </c>
      <c r="K715">
        <v>3</v>
      </c>
      <c r="L715">
        <v>3</v>
      </c>
      <c r="M715">
        <v>14</v>
      </c>
      <c r="O715" s="3">
        <f t="shared" si="38"/>
        <v>4.2424242424242431</v>
      </c>
      <c r="P715">
        <f t="shared" si="39"/>
        <v>1</v>
      </c>
      <c r="Q715">
        <f t="shared" si="40"/>
        <v>0</v>
      </c>
      <c r="S715">
        <v>-5.3177018633540367</v>
      </c>
      <c r="T715">
        <v>-1.25</v>
      </c>
      <c r="U715">
        <v>-6.7391304347826084</v>
      </c>
      <c r="V715">
        <v>-1.2</v>
      </c>
      <c r="W715">
        <v>0</v>
      </c>
      <c r="X715">
        <v>2.8000000000000003</v>
      </c>
      <c r="Y715">
        <v>1.0714285714285714</v>
      </c>
    </row>
    <row r="716" spans="1:25" x14ac:dyDescent="0.2">
      <c r="A716" t="s">
        <v>159</v>
      </c>
      <c r="B716" t="s">
        <v>336</v>
      </c>
      <c r="C716">
        <v>260</v>
      </c>
      <c r="D716" s="2">
        <v>0</v>
      </c>
      <c r="E716">
        <v>9</v>
      </c>
      <c r="F716">
        <v>4</v>
      </c>
      <c r="G716">
        <v>0</v>
      </c>
      <c r="H716">
        <v>20</v>
      </c>
      <c r="I716">
        <v>510</v>
      </c>
      <c r="J716">
        <v>36</v>
      </c>
      <c r="K716">
        <v>3</v>
      </c>
      <c r="L716">
        <v>3</v>
      </c>
      <c r="M716">
        <v>11</v>
      </c>
      <c r="O716" s="3">
        <f t="shared" si="38"/>
        <v>4.2307692307692308</v>
      </c>
      <c r="P716">
        <f t="shared" si="39"/>
        <v>1</v>
      </c>
      <c r="Q716">
        <f t="shared" si="40"/>
        <v>0</v>
      </c>
      <c r="S716">
        <v>-4.4720496894409942</v>
      </c>
      <c r="T716">
        <v>-1</v>
      </c>
      <c r="U716">
        <v>-5.5434782608695654</v>
      </c>
      <c r="V716">
        <v>-1.2</v>
      </c>
      <c r="W716">
        <v>0</v>
      </c>
      <c r="X716">
        <v>2.2000000000000002</v>
      </c>
      <c r="Y716">
        <v>1.0714285714285714</v>
      </c>
    </row>
    <row r="717" spans="1:25" x14ac:dyDescent="0.2">
      <c r="A717" t="s">
        <v>159</v>
      </c>
      <c r="B717" t="s">
        <v>340</v>
      </c>
      <c r="C717">
        <v>380</v>
      </c>
      <c r="D717" s="2">
        <v>0</v>
      </c>
      <c r="E717">
        <v>16</v>
      </c>
      <c r="F717">
        <v>6</v>
      </c>
      <c r="G717">
        <v>0</v>
      </c>
      <c r="H717">
        <v>35</v>
      </c>
      <c r="I717">
        <v>650</v>
      </c>
      <c r="J717">
        <v>43</v>
      </c>
      <c r="K717">
        <v>2</v>
      </c>
      <c r="L717">
        <v>7</v>
      </c>
      <c r="M717">
        <v>16</v>
      </c>
      <c r="O717" s="3">
        <f t="shared" si="38"/>
        <v>4.2105263157894735</v>
      </c>
      <c r="P717">
        <f t="shared" si="39"/>
        <v>1</v>
      </c>
      <c r="Q717">
        <f t="shared" si="40"/>
        <v>0</v>
      </c>
      <c r="S717">
        <v>-7.4509316770186347</v>
      </c>
      <c r="T717">
        <v>-1.5</v>
      </c>
      <c r="U717">
        <v>-7.0652173913043477</v>
      </c>
      <c r="V717">
        <v>-2.8000000000000003</v>
      </c>
      <c r="W717">
        <v>0</v>
      </c>
      <c r="X717">
        <v>3.2</v>
      </c>
      <c r="Y717">
        <v>0.7142857142857143</v>
      </c>
    </row>
    <row r="718" spans="1:25" x14ac:dyDescent="0.2">
      <c r="A718" t="s">
        <v>159</v>
      </c>
      <c r="B718" t="s">
        <v>342</v>
      </c>
      <c r="C718">
        <v>240</v>
      </c>
      <c r="D718" s="2">
        <v>0</v>
      </c>
      <c r="E718">
        <v>10</v>
      </c>
      <c r="F718">
        <v>4.5</v>
      </c>
      <c r="G718">
        <v>0</v>
      </c>
      <c r="H718">
        <v>15</v>
      </c>
      <c r="I718">
        <v>470</v>
      </c>
      <c r="J718">
        <v>29</v>
      </c>
      <c r="K718">
        <v>2</v>
      </c>
      <c r="L718">
        <v>1</v>
      </c>
      <c r="M718">
        <v>10</v>
      </c>
      <c r="O718" s="3">
        <f t="shared" si="38"/>
        <v>4.1666666666666661</v>
      </c>
      <c r="P718">
        <f t="shared" si="39"/>
        <v>1</v>
      </c>
      <c r="Q718">
        <f t="shared" si="40"/>
        <v>0</v>
      </c>
      <c r="S718">
        <v>-3.9194099378881981</v>
      </c>
      <c r="T718">
        <v>-1.125</v>
      </c>
      <c r="U718">
        <v>-5.1086956521739131</v>
      </c>
      <c r="V718">
        <v>-0.4</v>
      </c>
      <c r="W718">
        <v>0</v>
      </c>
      <c r="X718">
        <v>2.0000000000000004</v>
      </c>
      <c r="Y718">
        <v>0.7142857142857143</v>
      </c>
    </row>
    <row r="719" spans="1:25" x14ac:dyDescent="0.2">
      <c r="A719" t="s">
        <v>159</v>
      </c>
      <c r="B719" t="s">
        <v>343</v>
      </c>
      <c r="C719">
        <v>240</v>
      </c>
      <c r="D719" s="2">
        <v>0</v>
      </c>
      <c r="E719">
        <v>10</v>
      </c>
      <c r="F719">
        <v>4</v>
      </c>
      <c r="G719">
        <v>0</v>
      </c>
      <c r="H719">
        <v>25</v>
      </c>
      <c r="I719">
        <v>450</v>
      </c>
      <c r="J719">
        <v>26</v>
      </c>
      <c r="K719">
        <v>2</v>
      </c>
      <c r="L719">
        <v>2</v>
      </c>
      <c r="M719">
        <v>10</v>
      </c>
      <c r="O719" s="3">
        <f t="shared" si="38"/>
        <v>4.1666666666666661</v>
      </c>
      <c r="P719">
        <f t="shared" si="39"/>
        <v>0</v>
      </c>
      <c r="Q719">
        <f t="shared" si="40"/>
        <v>0</v>
      </c>
      <c r="S719">
        <v>-3.9770186335403723</v>
      </c>
      <c r="T719">
        <v>-1</v>
      </c>
      <c r="U719">
        <v>-4.8913043478260869</v>
      </c>
      <c r="V719">
        <v>-0.8</v>
      </c>
      <c r="W719">
        <v>0</v>
      </c>
      <c r="X719">
        <v>2.0000000000000004</v>
      </c>
      <c r="Y719">
        <v>0.7142857142857143</v>
      </c>
    </row>
    <row r="720" spans="1:25" x14ac:dyDescent="0.2">
      <c r="A720" t="s">
        <v>159</v>
      </c>
      <c r="B720" t="s">
        <v>344</v>
      </c>
      <c r="C720">
        <v>120</v>
      </c>
      <c r="D720" s="2">
        <v>0</v>
      </c>
      <c r="E720">
        <v>4</v>
      </c>
      <c r="F720">
        <v>1.5</v>
      </c>
      <c r="G720">
        <v>0</v>
      </c>
      <c r="H720">
        <v>10</v>
      </c>
      <c r="I720">
        <v>230</v>
      </c>
      <c r="J720">
        <v>17</v>
      </c>
      <c r="K720">
        <v>1</v>
      </c>
      <c r="L720">
        <v>1</v>
      </c>
      <c r="M720">
        <v>5</v>
      </c>
      <c r="O720" s="3">
        <f t="shared" si="38"/>
        <v>4.1666666666666661</v>
      </c>
      <c r="P720">
        <f t="shared" si="39"/>
        <v>0</v>
      </c>
      <c r="Q720">
        <f t="shared" si="40"/>
        <v>0</v>
      </c>
      <c r="S720">
        <v>-1.9178571428571423</v>
      </c>
      <c r="T720">
        <v>-0.375</v>
      </c>
      <c r="U720">
        <v>-2.5</v>
      </c>
      <c r="V720">
        <v>-0.4</v>
      </c>
      <c r="W720">
        <v>0</v>
      </c>
      <c r="X720">
        <v>1.0000000000000002</v>
      </c>
      <c r="Y720">
        <v>0.35714285714285715</v>
      </c>
    </row>
    <row r="721" spans="1:25" x14ac:dyDescent="0.2">
      <c r="A721" t="s">
        <v>159</v>
      </c>
      <c r="B721" t="s">
        <v>346</v>
      </c>
      <c r="C721">
        <v>290</v>
      </c>
      <c r="D721" s="2">
        <v>0</v>
      </c>
      <c r="E721">
        <v>15</v>
      </c>
      <c r="F721">
        <v>6</v>
      </c>
      <c r="G721">
        <v>0</v>
      </c>
      <c r="H721">
        <v>30</v>
      </c>
      <c r="I721">
        <v>590</v>
      </c>
      <c r="J721">
        <v>26</v>
      </c>
      <c r="K721">
        <v>2</v>
      </c>
      <c r="L721">
        <v>1</v>
      </c>
      <c r="M721">
        <v>12</v>
      </c>
      <c r="O721" s="3">
        <f t="shared" si="38"/>
        <v>4.1379310344827589</v>
      </c>
      <c r="P721">
        <f t="shared" si="39"/>
        <v>1</v>
      </c>
      <c r="Q721">
        <f t="shared" si="40"/>
        <v>0</v>
      </c>
      <c r="S721">
        <v>-5.1987577639751548</v>
      </c>
      <c r="T721">
        <v>-1.5</v>
      </c>
      <c r="U721">
        <v>-6.4130434782608701</v>
      </c>
      <c r="V721">
        <v>-0.4</v>
      </c>
      <c r="W721">
        <v>0</v>
      </c>
      <c r="X721">
        <v>2.4</v>
      </c>
      <c r="Y721">
        <v>0.7142857142857143</v>
      </c>
    </row>
    <row r="722" spans="1:25" x14ac:dyDescent="0.2">
      <c r="A722" t="s">
        <v>159</v>
      </c>
      <c r="B722" t="s">
        <v>351</v>
      </c>
      <c r="C722">
        <v>170</v>
      </c>
      <c r="D722" s="2">
        <v>0</v>
      </c>
      <c r="E722">
        <v>8</v>
      </c>
      <c r="F722">
        <v>3</v>
      </c>
      <c r="G722">
        <v>0</v>
      </c>
      <c r="H722">
        <v>15</v>
      </c>
      <c r="I722">
        <v>360</v>
      </c>
      <c r="J722">
        <v>18</v>
      </c>
      <c r="K722">
        <v>1</v>
      </c>
      <c r="L722">
        <v>2</v>
      </c>
      <c r="M722">
        <v>7</v>
      </c>
      <c r="O722" s="3">
        <f t="shared" si="38"/>
        <v>4.117647058823529</v>
      </c>
      <c r="P722">
        <f t="shared" si="39"/>
        <v>0</v>
      </c>
      <c r="Q722">
        <f t="shared" si="40"/>
        <v>0</v>
      </c>
      <c r="S722">
        <v>-3.7059006211180123</v>
      </c>
      <c r="T722">
        <v>-0.75</v>
      </c>
      <c r="U722">
        <v>-3.9130434782608701</v>
      </c>
      <c r="V722">
        <v>-0.8</v>
      </c>
      <c r="W722">
        <v>0</v>
      </c>
      <c r="X722">
        <v>1.4000000000000001</v>
      </c>
      <c r="Y722">
        <v>0.35714285714285715</v>
      </c>
    </row>
    <row r="723" spans="1:25" x14ac:dyDescent="0.2">
      <c r="A723" t="s">
        <v>159</v>
      </c>
      <c r="B723" t="s">
        <v>355</v>
      </c>
      <c r="C723">
        <v>390</v>
      </c>
      <c r="D723" s="2">
        <v>0</v>
      </c>
      <c r="E723">
        <v>20</v>
      </c>
      <c r="F723">
        <v>7</v>
      </c>
      <c r="G723">
        <v>0</v>
      </c>
      <c r="H723">
        <v>40</v>
      </c>
      <c r="I723">
        <v>740</v>
      </c>
      <c r="J723">
        <v>37</v>
      </c>
      <c r="K723">
        <v>2</v>
      </c>
      <c r="L723">
        <v>2</v>
      </c>
      <c r="M723">
        <v>16</v>
      </c>
      <c r="O723" s="3">
        <f t="shared" si="38"/>
        <v>4.1025641025641022</v>
      </c>
      <c r="P723">
        <f t="shared" si="39"/>
        <v>1</v>
      </c>
      <c r="Q723">
        <f t="shared" si="40"/>
        <v>0</v>
      </c>
      <c r="S723">
        <v>-6.6791925465838506</v>
      </c>
      <c r="T723">
        <v>-1.75</v>
      </c>
      <c r="U723">
        <v>-8.0434782608695645</v>
      </c>
      <c r="V723">
        <v>-0.8</v>
      </c>
      <c r="W723">
        <v>0</v>
      </c>
      <c r="X723">
        <v>3.2</v>
      </c>
      <c r="Y723">
        <v>0.7142857142857143</v>
      </c>
    </row>
    <row r="724" spans="1:25" x14ac:dyDescent="0.2">
      <c r="A724" t="s">
        <v>159</v>
      </c>
      <c r="B724" t="s">
        <v>359</v>
      </c>
      <c r="C724">
        <v>220</v>
      </c>
      <c r="D724" s="2">
        <v>0</v>
      </c>
      <c r="E724">
        <v>9</v>
      </c>
      <c r="F724">
        <v>4</v>
      </c>
      <c r="G724">
        <v>0</v>
      </c>
      <c r="H724">
        <v>20</v>
      </c>
      <c r="I724">
        <v>420</v>
      </c>
      <c r="J724">
        <v>25</v>
      </c>
      <c r="K724">
        <v>2</v>
      </c>
      <c r="L724">
        <v>1</v>
      </c>
      <c r="M724">
        <v>9</v>
      </c>
      <c r="O724" s="3">
        <f t="shared" si="38"/>
        <v>4.0909090909090908</v>
      </c>
      <c r="P724">
        <f t="shared" si="39"/>
        <v>0</v>
      </c>
      <c r="Q724">
        <f t="shared" si="40"/>
        <v>0</v>
      </c>
      <c r="S724">
        <v>-3.4509316770186338</v>
      </c>
      <c r="T724">
        <v>-1</v>
      </c>
      <c r="U724">
        <v>-4.5652173913043477</v>
      </c>
      <c r="V724">
        <v>-0.4</v>
      </c>
      <c r="W724">
        <v>0</v>
      </c>
      <c r="X724">
        <v>1.7999999999999998</v>
      </c>
      <c r="Y724">
        <v>0.7142857142857143</v>
      </c>
    </row>
    <row r="725" spans="1:25" x14ac:dyDescent="0.2">
      <c r="A725" t="s">
        <v>159</v>
      </c>
      <c r="B725" t="s">
        <v>362</v>
      </c>
      <c r="C725">
        <v>270</v>
      </c>
      <c r="D725" s="2">
        <v>0</v>
      </c>
      <c r="E725">
        <v>10</v>
      </c>
      <c r="F725">
        <v>4</v>
      </c>
      <c r="G725">
        <v>0</v>
      </c>
      <c r="H725">
        <v>25</v>
      </c>
      <c r="I725">
        <v>450</v>
      </c>
      <c r="J725">
        <v>33</v>
      </c>
      <c r="K725">
        <v>2</v>
      </c>
      <c r="L725">
        <v>6</v>
      </c>
      <c r="M725">
        <v>11</v>
      </c>
      <c r="O725" s="3">
        <f t="shared" si="38"/>
        <v>4.0740740740740744</v>
      </c>
      <c r="P725">
        <f t="shared" si="39"/>
        <v>0</v>
      </c>
      <c r="Q725">
        <f t="shared" si="40"/>
        <v>0</v>
      </c>
      <c r="S725">
        <v>-5.3770186335403718</v>
      </c>
      <c r="T725">
        <v>-1</v>
      </c>
      <c r="U725">
        <v>-4.8913043478260869</v>
      </c>
      <c r="V725">
        <v>-2.4</v>
      </c>
      <c r="W725">
        <v>0</v>
      </c>
      <c r="X725">
        <v>2.2000000000000002</v>
      </c>
      <c r="Y725">
        <v>0.7142857142857143</v>
      </c>
    </row>
    <row r="726" spans="1:25" x14ac:dyDescent="0.2">
      <c r="A726" t="s">
        <v>159</v>
      </c>
      <c r="B726" t="s">
        <v>363</v>
      </c>
      <c r="C726">
        <v>270</v>
      </c>
      <c r="D726" s="2">
        <v>0</v>
      </c>
      <c r="E726">
        <v>13</v>
      </c>
      <c r="F726">
        <v>5</v>
      </c>
      <c r="G726">
        <v>0</v>
      </c>
      <c r="H726">
        <v>25</v>
      </c>
      <c r="I726">
        <v>500</v>
      </c>
      <c r="J726">
        <v>29</v>
      </c>
      <c r="K726">
        <v>2</v>
      </c>
      <c r="L726">
        <v>2</v>
      </c>
      <c r="M726">
        <v>11</v>
      </c>
      <c r="O726" s="3">
        <f t="shared" si="38"/>
        <v>4.0740740740740744</v>
      </c>
      <c r="P726">
        <f t="shared" si="39"/>
        <v>1</v>
      </c>
      <c r="Q726">
        <f t="shared" si="40"/>
        <v>0</v>
      </c>
      <c r="S726">
        <v>-4.5704968944099376</v>
      </c>
      <c r="T726">
        <v>-1.25</v>
      </c>
      <c r="U726">
        <v>-5.4347826086956523</v>
      </c>
      <c r="V726">
        <v>-0.8</v>
      </c>
      <c r="W726">
        <v>0</v>
      </c>
      <c r="X726">
        <v>2.2000000000000002</v>
      </c>
      <c r="Y726">
        <v>0.7142857142857143</v>
      </c>
    </row>
    <row r="727" spans="1:25" x14ac:dyDescent="0.2">
      <c r="A727" t="s">
        <v>159</v>
      </c>
      <c r="B727" t="s">
        <v>364</v>
      </c>
      <c r="C727">
        <v>320</v>
      </c>
      <c r="D727" s="2">
        <v>0</v>
      </c>
      <c r="E727">
        <v>17</v>
      </c>
      <c r="F727">
        <v>6</v>
      </c>
      <c r="G727">
        <v>0</v>
      </c>
      <c r="H727">
        <v>35</v>
      </c>
      <c r="I727">
        <v>640</v>
      </c>
      <c r="J727">
        <v>28</v>
      </c>
      <c r="K727">
        <v>2</v>
      </c>
      <c r="L727">
        <v>1</v>
      </c>
      <c r="M727">
        <v>13</v>
      </c>
      <c r="O727" s="3">
        <f t="shared" ref="O727:O790" si="41">M727/C727*100</f>
        <v>4.0625</v>
      </c>
      <c r="P727">
        <f t="shared" si="39"/>
        <v>1</v>
      </c>
      <c r="Q727">
        <f t="shared" si="40"/>
        <v>0</v>
      </c>
      <c r="S727">
        <v>-5.54223602484472</v>
      </c>
      <c r="T727">
        <v>-1.5</v>
      </c>
      <c r="U727">
        <v>-6.9565217391304346</v>
      </c>
      <c r="V727">
        <v>-0.4</v>
      </c>
      <c r="W727">
        <v>0</v>
      </c>
      <c r="X727">
        <v>2.6</v>
      </c>
      <c r="Y727">
        <v>0.7142857142857143</v>
      </c>
    </row>
    <row r="728" spans="1:25" x14ac:dyDescent="0.2">
      <c r="A728" t="s">
        <v>159</v>
      </c>
      <c r="B728" t="s">
        <v>366</v>
      </c>
      <c r="C728">
        <v>370</v>
      </c>
      <c r="D728" s="2">
        <v>0</v>
      </c>
      <c r="E728">
        <v>18</v>
      </c>
      <c r="F728">
        <v>6</v>
      </c>
      <c r="G728">
        <v>0</v>
      </c>
      <c r="H728">
        <v>35</v>
      </c>
      <c r="I728">
        <v>680</v>
      </c>
      <c r="J728">
        <v>36</v>
      </c>
      <c r="K728">
        <v>2</v>
      </c>
      <c r="L728">
        <v>2</v>
      </c>
      <c r="M728">
        <v>15</v>
      </c>
      <c r="O728" s="3">
        <f t="shared" si="41"/>
        <v>4.0540540540540544</v>
      </c>
      <c r="P728">
        <f t="shared" si="39"/>
        <v>1</v>
      </c>
      <c r="Q728">
        <f t="shared" si="40"/>
        <v>0</v>
      </c>
      <c r="S728">
        <v>-5.9770186335403723</v>
      </c>
      <c r="T728">
        <v>-1.5</v>
      </c>
      <c r="U728">
        <v>-7.3913043478260869</v>
      </c>
      <c r="V728">
        <v>-0.8</v>
      </c>
      <c r="W728">
        <v>0</v>
      </c>
      <c r="X728">
        <v>3</v>
      </c>
      <c r="Y728">
        <v>0.7142857142857143</v>
      </c>
    </row>
    <row r="729" spans="1:25" x14ac:dyDescent="0.2">
      <c r="A729" t="s">
        <v>159</v>
      </c>
      <c r="B729" t="s">
        <v>370</v>
      </c>
      <c r="C729">
        <v>470</v>
      </c>
      <c r="D729" s="2">
        <v>0</v>
      </c>
      <c r="E729">
        <v>27</v>
      </c>
      <c r="F729">
        <v>10</v>
      </c>
      <c r="G729">
        <v>0</v>
      </c>
      <c r="H729">
        <v>50</v>
      </c>
      <c r="I729">
        <v>940</v>
      </c>
      <c r="J729">
        <v>37</v>
      </c>
      <c r="K729">
        <v>2</v>
      </c>
      <c r="L729">
        <v>2</v>
      </c>
      <c r="M729">
        <v>19</v>
      </c>
      <c r="O729" s="3">
        <f t="shared" si="41"/>
        <v>4.042553191489362</v>
      </c>
      <c r="P729">
        <f t="shared" si="39"/>
        <v>1</v>
      </c>
      <c r="Q729">
        <f t="shared" si="40"/>
        <v>0</v>
      </c>
      <c r="S729">
        <v>-9.0031055900621126</v>
      </c>
      <c r="T729">
        <v>-2.5</v>
      </c>
      <c r="U729">
        <v>-10.217391304347826</v>
      </c>
      <c r="V729">
        <v>-0.8</v>
      </c>
      <c r="W729">
        <v>0</v>
      </c>
      <c r="X729">
        <v>3.8000000000000007</v>
      </c>
      <c r="Y729">
        <v>0.7142857142857143</v>
      </c>
    </row>
    <row r="730" spans="1:25" x14ac:dyDescent="0.2">
      <c r="A730" t="s">
        <v>159</v>
      </c>
      <c r="B730" t="s">
        <v>381</v>
      </c>
      <c r="C730">
        <v>350</v>
      </c>
      <c r="D730" s="2">
        <v>0</v>
      </c>
      <c r="E730">
        <v>16</v>
      </c>
      <c r="F730">
        <v>6</v>
      </c>
      <c r="G730">
        <v>0</v>
      </c>
      <c r="H730">
        <v>25</v>
      </c>
      <c r="I730">
        <v>680</v>
      </c>
      <c r="J730">
        <v>38</v>
      </c>
      <c r="K730">
        <v>3</v>
      </c>
      <c r="L730">
        <v>2</v>
      </c>
      <c r="M730">
        <v>14</v>
      </c>
      <c r="O730" s="3">
        <f t="shared" si="41"/>
        <v>4</v>
      </c>
      <c r="P730">
        <f t="shared" si="39"/>
        <v>1</v>
      </c>
      <c r="Q730">
        <f t="shared" si="40"/>
        <v>0</v>
      </c>
      <c r="S730">
        <v>-5.8198757763975149</v>
      </c>
      <c r="T730">
        <v>-1.5</v>
      </c>
      <c r="U730">
        <v>-7.3913043478260869</v>
      </c>
      <c r="V730">
        <v>-0.8</v>
      </c>
      <c r="W730">
        <v>0</v>
      </c>
      <c r="X730">
        <v>2.8000000000000003</v>
      </c>
      <c r="Y730">
        <v>1.0714285714285714</v>
      </c>
    </row>
    <row r="731" spans="1:25" x14ac:dyDescent="0.2">
      <c r="A731" t="s">
        <v>159</v>
      </c>
      <c r="B731" t="s">
        <v>382</v>
      </c>
      <c r="C731">
        <v>150</v>
      </c>
      <c r="D731" s="2">
        <v>0</v>
      </c>
      <c r="E731">
        <v>7</v>
      </c>
      <c r="F731">
        <v>2.5</v>
      </c>
      <c r="G731">
        <v>0</v>
      </c>
      <c r="H731">
        <v>15</v>
      </c>
      <c r="I731">
        <v>310</v>
      </c>
      <c r="J731">
        <v>17</v>
      </c>
      <c r="K731">
        <v>1</v>
      </c>
      <c r="L731">
        <v>2</v>
      </c>
      <c r="M731">
        <v>6</v>
      </c>
      <c r="O731" s="3">
        <f t="shared" si="41"/>
        <v>4</v>
      </c>
      <c r="P731">
        <f t="shared" si="39"/>
        <v>0</v>
      </c>
      <c r="Q731">
        <f t="shared" si="40"/>
        <v>0</v>
      </c>
      <c r="S731">
        <v>-3.2374223602484471</v>
      </c>
      <c r="T731">
        <v>-0.625</v>
      </c>
      <c r="U731">
        <v>-3.3695652173913042</v>
      </c>
      <c r="V731">
        <v>-0.8</v>
      </c>
      <c r="W731">
        <v>0</v>
      </c>
      <c r="X731">
        <v>1.2</v>
      </c>
      <c r="Y731">
        <v>0.35714285714285715</v>
      </c>
    </row>
    <row r="732" spans="1:25" x14ac:dyDescent="0.2">
      <c r="A732" t="s">
        <v>159</v>
      </c>
      <c r="B732" t="s">
        <v>383</v>
      </c>
      <c r="C732">
        <v>250</v>
      </c>
      <c r="D732" s="2">
        <v>0</v>
      </c>
      <c r="E732">
        <v>11</v>
      </c>
      <c r="F732">
        <v>4.5</v>
      </c>
      <c r="G732">
        <v>0</v>
      </c>
      <c r="H732">
        <v>25</v>
      </c>
      <c r="I732">
        <v>470</v>
      </c>
      <c r="J732">
        <v>28</v>
      </c>
      <c r="K732">
        <v>2</v>
      </c>
      <c r="L732">
        <v>1</v>
      </c>
      <c r="M732">
        <v>10</v>
      </c>
      <c r="O732" s="3">
        <f t="shared" si="41"/>
        <v>4</v>
      </c>
      <c r="P732">
        <f t="shared" si="39"/>
        <v>1</v>
      </c>
      <c r="Q732">
        <f t="shared" si="40"/>
        <v>0</v>
      </c>
      <c r="S732">
        <v>-3.9194099378881981</v>
      </c>
      <c r="T732">
        <v>-1.125</v>
      </c>
      <c r="U732">
        <v>-5.1086956521739131</v>
      </c>
      <c r="V732">
        <v>-0.4</v>
      </c>
      <c r="W732">
        <v>0</v>
      </c>
      <c r="X732">
        <v>2.0000000000000004</v>
      </c>
      <c r="Y732">
        <v>0.7142857142857143</v>
      </c>
    </row>
    <row r="733" spans="1:25" x14ac:dyDescent="0.2">
      <c r="A733" t="s">
        <v>159</v>
      </c>
      <c r="B733" t="s">
        <v>384</v>
      </c>
      <c r="C733">
        <v>150</v>
      </c>
      <c r="D733" s="2">
        <v>0</v>
      </c>
      <c r="E733">
        <v>6</v>
      </c>
      <c r="F733">
        <v>2.5</v>
      </c>
      <c r="G733">
        <v>0</v>
      </c>
      <c r="H733">
        <v>15</v>
      </c>
      <c r="I733">
        <v>280</v>
      </c>
      <c r="J733">
        <v>17</v>
      </c>
      <c r="K733">
        <v>1</v>
      </c>
      <c r="L733">
        <v>1</v>
      </c>
      <c r="M733">
        <v>6</v>
      </c>
      <c r="O733" s="3">
        <f t="shared" si="41"/>
        <v>4</v>
      </c>
      <c r="P733">
        <f t="shared" si="39"/>
        <v>0</v>
      </c>
      <c r="Q733">
        <f t="shared" si="40"/>
        <v>0</v>
      </c>
      <c r="S733">
        <v>-2.5113354037267084</v>
      </c>
      <c r="T733">
        <v>-0.625</v>
      </c>
      <c r="U733">
        <v>-3.0434782608695654</v>
      </c>
      <c r="V733">
        <v>-0.4</v>
      </c>
      <c r="W733">
        <v>0</v>
      </c>
      <c r="X733">
        <v>1.2</v>
      </c>
      <c r="Y733">
        <v>0.35714285714285715</v>
      </c>
    </row>
    <row r="734" spans="1:25" x14ac:dyDescent="0.2">
      <c r="A734" t="s">
        <v>159</v>
      </c>
      <c r="B734" t="s">
        <v>385</v>
      </c>
      <c r="C734">
        <v>150</v>
      </c>
      <c r="D734" s="2">
        <v>0</v>
      </c>
      <c r="E734">
        <v>6</v>
      </c>
      <c r="F734">
        <v>2.5</v>
      </c>
      <c r="G734">
        <v>0</v>
      </c>
      <c r="H734">
        <v>15</v>
      </c>
      <c r="I734">
        <v>250</v>
      </c>
      <c r="J734">
        <v>16</v>
      </c>
      <c r="K734">
        <v>1</v>
      </c>
      <c r="L734" s="2">
        <v>0</v>
      </c>
      <c r="M734">
        <v>6</v>
      </c>
      <c r="O734" s="3">
        <f t="shared" si="41"/>
        <v>4</v>
      </c>
      <c r="P734">
        <f t="shared" si="39"/>
        <v>0</v>
      </c>
      <c r="Q734">
        <f t="shared" si="40"/>
        <v>0</v>
      </c>
      <c r="S734">
        <v>-1.7852484472049688</v>
      </c>
      <c r="T734">
        <v>-0.625</v>
      </c>
      <c r="U734">
        <v>-2.7173913043478262</v>
      </c>
      <c r="V734">
        <v>0</v>
      </c>
      <c r="W734">
        <v>0</v>
      </c>
      <c r="X734">
        <v>1.2</v>
      </c>
      <c r="Y734">
        <v>0.35714285714285715</v>
      </c>
    </row>
    <row r="735" spans="1:25" x14ac:dyDescent="0.2">
      <c r="A735" t="s">
        <v>159</v>
      </c>
      <c r="B735" t="s">
        <v>386</v>
      </c>
      <c r="C735">
        <v>200</v>
      </c>
      <c r="D735" s="2">
        <v>0</v>
      </c>
      <c r="E735">
        <v>6</v>
      </c>
      <c r="F735">
        <v>2.5</v>
      </c>
      <c r="G735">
        <v>0</v>
      </c>
      <c r="H735">
        <v>15</v>
      </c>
      <c r="I735">
        <v>370</v>
      </c>
      <c r="J735">
        <v>27</v>
      </c>
      <c r="K735">
        <v>2</v>
      </c>
      <c r="L735">
        <v>2</v>
      </c>
      <c r="M735">
        <v>8</v>
      </c>
      <c r="O735" s="3">
        <f t="shared" si="41"/>
        <v>4</v>
      </c>
      <c r="P735">
        <f t="shared" si="39"/>
        <v>0</v>
      </c>
      <c r="Q735">
        <f t="shared" si="40"/>
        <v>0</v>
      </c>
      <c r="S735">
        <v>-3.1324534161490676</v>
      </c>
      <c r="T735">
        <v>-0.625</v>
      </c>
      <c r="U735">
        <v>-4.0217391304347823</v>
      </c>
      <c r="V735">
        <v>-0.8</v>
      </c>
      <c r="W735">
        <v>0</v>
      </c>
      <c r="X735">
        <v>1.6</v>
      </c>
      <c r="Y735">
        <v>0.7142857142857143</v>
      </c>
    </row>
    <row r="736" spans="1:25" x14ac:dyDescent="0.2">
      <c r="A736" t="s">
        <v>159</v>
      </c>
      <c r="B736" t="s">
        <v>391</v>
      </c>
      <c r="C736">
        <v>230</v>
      </c>
      <c r="D736" s="2">
        <v>0</v>
      </c>
      <c r="E736">
        <v>9</v>
      </c>
      <c r="F736">
        <v>3.5</v>
      </c>
      <c r="G736">
        <v>0</v>
      </c>
      <c r="H736">
        <v>15</v>
      </c>
      <c r="I736">
        <v>420</v>
      </c>
      <c r="J736">
        <v>29</v>
      </c>
      <c r="K736">
        <v>2</v>
      </c>
      <c r="L736">
        <v>2</v>
      </c>
      <c r="M736">
        <v>9</v>
      </c>
      <c r="O736" s="3">
        <f t="shared" si="41"/>
        <v>3.9130434782608701</v>
      </c>
      <c r="P736">
        <f t="shared" si="39"/>
        <v>0</v>
      </c>
      <c r="Q736">
        <f t="shared" si="40"/>
        <v>0</v>
      </c>
      <c r="S736">
        <v>-3.7259316770186333</v>
      </c>
      <c r="T736">
        <v>-0.875</v>
      </c>
      <c r="U736">
        <v>-4.5652173913043477</v>
      </c>
      <c r="V736">
        <v>-0.8</v>
      </c>
      <c r="W736">
        <v>0</v>
      </c>
      <c r="X736">
        <v>1.7999999999999998</v>
      </c>
      <c r="Y736">
        <v>0.7142857142857143</v>
      </c>
    </row>
    <row r="737" spans="1:25" x14ac:dyDescent="0.2">
      <c r="A737" t="s">
        <v>159</v>
      </c>
      <c r="B737" t="s">
        <v>395</v>
      </c>
      <c r="C737">
        <v>180</v>
      </c>
      <c r="D737" s="2">
        <v>0</v>
      </c>
      <c r="E737">
        <v>9</v>
      </c>
      <c r="F737">
        <v>3.5</v>
      </c>
      <c r="G737">
        <v>0</v>
      </c>
      <c r="H737">
        <v>20</v>
      </c>
      <c r="I737">
        <v>370</v>
      </c>
      <c r="J737">
        <v>17</v>
      </c>
      <c r="K737">
        <v>1</v>
      </c>
      <c r="L737">
        <v>0</v>
      </c>
      <c r="M737">
        <v>7</v>
      </c>
      <c r="O737" s="3">
        <f t="shared" si="41"/>
        <v>3.8888888888888888</v>
      </c>
      <c r="P737">
        <f t="shared" si="39"/>
        <v>0</v>
      </c>
      <c r="Q737">
        <f t="shared" si="40"/>
        <v>0</v>
      </c>
      <c r="S737">
        <v>-3.1395962732919247</v>
      </c>
      <c r="T737">
        <v>-0.875</v>
      </c>
      <c r="U737">
        <v>-4.0217391304347823</v>
      </c>
      <c r="V737">
        <v>0</v>
      </c>
      <c r="W737">
        <v>0</v>
      </c>
      <c r="X737">
        <v>1.4000000000000001</v>
      </c>
      <c r="Y737">
        <v>0.35714285714285715</v>
      </c>
    </row>
    <row r="738" spans="1:25" x14ac:dyDescent="0.2">
      <c r="A738" t="s">
        <v>17</v>
      </c>
      <c r="B738" t="s">
        <v>18</v>
      </c>
      <c r="C738">
        <v>10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O738" s="3">
        <f t="shared" si="41"/>
        <v>20</v>
      </c>
      <c r="P738">
        <f t="shared" si="39"/>
        <v>0</v>
      </c>
      <c r="Q738">
        <f t="shared" si="40"/>
        <v>0</v>
      </c>
      <c r="S738">
        <v>0.4</v>
      </c>
      <c r="T738">
        <v>0</v>
      </c>
      <c r="U738">
        <v>0</v>
      </c>
      <c r="V738">
        <v>0</v>
      </c>
      <c r="W738">
        <v>0</v>
      </c>
      <c r="X738">
        <v>0.4</v>
      </c>
      <c r="Y738">
        <v>0</v>
      </c>
    </row>
    <row r="739" spans="1:25" x14ac:dyDescent="0.2">
      <c r="A739" t="s">
        <v>17</v>
      </c>
      <c r="B739" t="s">
        <v>19</v>
      </c>
      <c r="C739">
        <v>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  <c r="O739" s="3">
        <f t="shared" si="41"/>
        <v>20</v>
      </c>
      <c r="P739">
        <f t="shared" si="39"/>
        <v>0</v>
      </c>
      <c r="Q739">
        <f t="shared" si="40"/>
        <v>0</v>
      </c>
      <c r="S739">
        <v>0.4</v>
      </c>
      <c r="T739">
        <v>0</v>
      </c>
      <c r="U739">
        <v>0</v>
      </c>
      <c r="V739">
        <v>0</v>
      </c>
      <c r="W739">
        <v>0</v>
      </c>
      <c r="X739">
        <v>0.4</v>
      </c>
      <c r="Y739">
        <v>0</v>
      </c>
    </row>
    <row r="740" spans="1:25" x14ac:dyDescent="0.2">
      <c r="A740" t="s">
        <v>17</v>
      </c>
      <c r="B740" t="s">
        <v>62</v>
      </c>
      <c r="C740">
        <v>100</v>
      </c>
      <c r="D740">
        <v>20</v>
      </c>
      <c r="E740">
        <v>2</v>
      </c>
      <c r="F740">
        <v>1.5</v>
      </c>
      <c r="G740">
        <v>0</v>
      </c>
      <c r="H740">
        <v>10</v>
      </c>
      <c r="I740">
        <v>130</v>
      </c>
      <c r="J740">
        <v>13</v>
      </c>
      <c r="K740">
        <v>0</v>
      </c>
      <c r="L740">
        <v>12</v>
      </c>
      <c r="M740">
        <v>9</v>
      </c>
      <c r="O740" s="3">
        <f t="shared" si="41"/>
        <v>9</v>
      </c>
      <c r="P740">
        <f t="shared" si="39"/>
        <v>0</v>
      </c>
      <c r="Q740">
        <f t="shared" si="40"/>
        <v>0</v>
      </c>
      <c r="S740">
        <v>-4.7880434782608701</v>
      </c>
      <c r="T740">
        <v>-0.375</v>
      </c>
      <c r="U740">
        <v>-1.4130434782608696</v>
      </c>
      <c r="V740">
        <v>-4.8</v>
      </c>
      <c r="W740">
        <v>0</v>
      </c>
      <c r="X740">
        <v>1.7999999999999998</v>
      </c>
      <c r="Y740">
        <v>0</v>
      </c>
    </row>
    <row r="741" spans="1:25" x14ac:dyDescent="0.2">
      <c r="A741" t="s">
        <v>17</v>
      </c>
      <c r="B741" t="s">
        <v>66</v>
      </c>
      <c r="C741">
        <v>80</v>
      </c>
      <c r="D741">
        <v>20</v>
      </c>
      <c r="E741">
        <v>2</v>
      </c>
      <c r="F741">
        <v>1.5</v>
      </c>
      <c r="G741">
        <v>0</v>
      </c>
      <c r="H741">
        <v>10</v>
      </c>
      <c r="I741">
        <v>100</v>
      </c>
      <c r="J741">
        <v>10</v>
      </c>
      <c r="K741">
        <v>0</v>
      </c>
      <c r="L741">
        <v>9</v>
      </c>
      <c r="M741">
        <v>7</v>
      </c>
      <c r="O741" s="3">
        <f t="shared" si="41"/>
        <v>8.75</v>
      </c>
      <c r="P741">
        <f t="shared" si="39"/>
        <v>0</v>
      </c>
      <c r="Q741">
        <f t="shared" si="40"/>
        <v>0</v>
      </c>
      <c r="S741">
        <v>-3.6619565217391301</v>
      </c>
      <c r="T741">
        <v>-0.375</v>
      </c>
      <c r="U741">
        <v>-1.0869565217391304</v>
      </c>
      <c r="V741">
        <v>-3.5999999999999996</v>
      </c>
      <c r="W741">
        <v>0</v>
      </c>
      <c r="X741">
        <v>1.4000000000000001</v>
      </c>
      <c r="Y741">
        <v>0</v>
      </c>
    </row>
    <row r="742" spans="1:25" x14ac:dyDescent="0.2">
      <c r="A742" t="s">
        <v>17</v>
      </c>
      <c r="B742" t="s">
        <v>82</v>
      </c>
      <c r="C742">
        <v>160</v>
      </c>
      <c r="D742">
        <v>50</v>
      </c>
      <c r="E742">
        <v>5</v>
      </c>
      <c r="F742">
        <v>2.5</v>
      </c>
      <c r="G742">
        <v>0</v>
      </c>
      <c r="H742">
        <v>30</v>
      </c>
      <c r="I742">
        <v>500</v>
      </c>
      <c r="J742">
        <v>16</v>
      </c>
      <c r="K742">
        <v>1</v>
      </c>
      <c r="L742">
        <v>1</v>
      </c>
      <c r="M742">
        <v>12</v>
      </c>
      <c r="O742" s="3">
        <f t="shared" si="41"/>
        <v>7.5</v>
      </c>
      <c r="P742">
        <f t="shared" si="39"/>
        <v>1</v>
      </c>
      <c r="Q742">
        <f t="shared" si="40"/>
        <v>0</v>
      </c>
      <c r="S742">
        <v>-3.7026397515527951</v>
      </c>
      <c r="T742">
        <v>-0.625</v>
      </c>
      <c r="U742">
        <v>-5.4347826086956523</v>
      </c>
      <c r="V742">
        <v>-0.4</v>
      </c>
      <c r="W742">
        <v>0</v>
      </c>
      <c r="X742">
        <v>2.4</v>
      </c>
      <c r="Y742">
        <v>0.35714285714285715</v>
      </c>
    </row>
    <row r="743" spans="1:25" x14ac:dyDescent="0.2">
      <c r="A743" t="s">
        <v>17</v>
      </c>
      <c r="B743" t="s">
        <v>82</v>
      </c>
      <c r="C743">
        <v>180</v>
      </c>
      <c r="D743">
        <v>60</v>
      </c>
      <c r="E743">
        <v>7</v>
      </c>
      <c r="F743">
        <v>3.5</v>
      </c>
      <c r="G743">
        <v>0</v>
      </c>
      <c r="H743">
        <v>35</v>
      </c>
      <c r="I743">
        <v>520</v>
      </c>
      <c r="J743">
        <v>18</v>
      </c>
      <c r="K743">
        <v>2</v>
      </c>
      <c r="L743">
        <v>2</v>
      </c>
      <c r="M743">
        <v>13</v>
      </c>
      <c r="O743" s="3">
        <f t="shared" si="41"/>
        <v>7.2222222222222214</v>
      </c>
      <c r="P743">
        <f t="shared" si="39"/>
        <v>1</v>
      </c>
      <c r="Q743">
        <f t="shared" si="40"/>
        <v>0</v>
      </c>
      <c r="S743">
        <v>-4.0128881987577634</v>
      </c>
      <c r="T743">
        <v>-0.875</v>
      </c>
      <c r="U743">
        <v>-5.6521739130434785</v>
      </c>
      <c r="V743">
        <v>-0.8</v>
      </c>
      <c r="W743">
        <v>0</v>
      </c>
      <c r="X743">
        <v>2.6</v>
      </c>
      <c r="Y743">
        <v>0.7142857142857143</v>
      </c>
    </row>
    <row r="744" spans="1:25" x14ac:dyDescent="0.2">
      <c r="A744" t="s">
        <v>17</v>
      </c>
      <c r="B744" t="s">
        <v>108</v>
      </c>
      <c r="C744">
        <v>190</v>
      </c>
      <c r="D744">
        <v>80</v>
      </c>
      <c r="E744">
        <v>9</v>
      </c>
      <c r="F744">
        <v>3</v>
      </c>
      <c r="G744">
        <v>0</v>
      </c>
      <c r="H744">
        <v>35</v>
      </c>
      <c r="I744">
        <v>530</v>
      </c>
      <c r="J744">
        <v>15</v>
      </c>
      <c r="K744">
        <v>1</v>
      </c>
      <c r="L744" s="2">
        <v>0</v>
      </c>
      <c r="M744">
        <v>12</v>
      </c>
      <c r="O744" s="3">
        <f t="shared" si="41"/>
        <v>6.3157894736842106</v>
      </c>
      <c r="P744">
        <f t="shared" si="39"/>
        <v>1</v>
      </c>
      <c r="Q744">
        <f t="shared" si="40"/>
        <v>0</v>
      </c>
      <c r="S744">
        <v>-3.7537267080745349</v>
      </c>
      <c r="T744">
        <v>-0.75</v>
      </c>
      <c r="U744">
        <v>-5.7608695652173916</v>
      </c>
      <c r="V744">
        <v>0</v>
      </c>
      <c r="W744">
        <v>0</v>
      </c>
      <c r="X744">
        <v>2.4</v>
      </c>
      <c r="Y744">
        <v>0.35714285714285715</v>
      </c>
    </row>
    <row r="745" spans="1:25" x14ac:dyDescent="0.2">
      <c r="A745" t="s">
        <v>17</v>
      </c>
      <c r="B745" t="s">
        <v>149</v>
      </c>
      <c r="C745">
        <v>470</v>
      </c>
      <c r="D745">
        <v>170</v>
      </c>
      <c r="E745">
        <v>19</v>
      </c>
      <c r="F745">
        <v>6</v>
      </c>
      <c r="G745">
        <v>0</v>
      </c>
      <c r="H745">
        <v>70</v>
      </c>
      <c r="I745">
        <v>1200</v>
      </c>
      <c r="J745">
        <v>50</v>
      </c>
      <c r="K745">
        <v>7</v>
      </c>
      <c r="L745">
        <v>2</v>
      </c>
      <c r="M745">
        <v>26</v>
      </c>
      <c r="O745" s="3">
        <f t="shared" si="41"/>
        <v>5.5319148936170208</v>
      </c>
      <c r="P745">
        <f t="shared" si="39"/>
        <v>1</v>
      </c>
      <c r="Q745">
        <f t="shared" si="40"/>
        <v>0</v>
      </c>
      <c r="S745">
        <v>-7.6434782608695642</v>
      </c>
      <c r="T745">
        <v>-1.5</v>
      </c>
      <c r="U745">
        <v>-13.043478260869565</v>
      </c>
      <c r="V745">
        <v>-0.8</v>
      </c>
      <c r="W745">
        <v>0</v>
      </c>
      <c r="X745">
        <v>5.2</v>
      </c>
      <c r="Y745">
        <v>2.5</v>
      </c>
    </row>
    <row r="746" spans="1:25" x14ac:dyDescent="0.2">
      <c r="A746" t="s">
        <v>17</v>
      </c>
      <c r="B746" t="s">
        <v>150</v>
      </c>
      <c r="C746">
        <v>470</v>
      </c>
      <c r="D746">
        <v>170</v>
      </c>
      <c r="E746">
        <v>19</v>
      </c>
      <c r="F746">
        <v>6</v>
      </c>
      <c r="G746">
        <v>0</v>
      </c>
      <c r="H746">
        <v>70</v>
      </c>
      <c r="I746">
        <v>1200</v>
      </c>
      <c r="J746">
        <v>50</v>
      </c>
      <c r="K746">
        <v>7</v>
      </c>
      <c r="L746">
        <v>2</v>
      </c>
      <c r="M746">
        <v>26</v>
      </c>
      <c r="O746" s="3">
        <f t="shared" si="41"/>
        <v>5.5319148936170208</v>
      </c>
      <c r="P746">
        <f t="shared" si="39"/>
        <v>1</v>
      </c>
      <c r="Q746">
        <f t="shared" si="40"/>
        <v>0</v>
      </c>
      <c r="S746">
        <v>-7.6434782608695642</v>
      </c>
      <c r="T746">
        <v>-1.5</v>
      </c>
      <c r="U746">
        <v>-13.043478260869565</v>
      </c>
      <c r="V746">
        <v>-0.8</v>
      </c>
      <c r="W746">
        <v>0</v>
      </c>
      <c r="X746">
        <v>5.2</v>
      </c>
      <c r="Y746">
        <v>2.5</v>
      </c>
    </row>
    <row r="747" spans="1:25" x14ac:dyDescent="0.2">
      <c r="A747" t="s">
        <v>17</v>
      </c>
      <c r="B747" t="s">
        <v>177</v>
      </c>
      <c r="C747">
        <v>510</v>
      </c>
      <c r="D747">
        <v>240</v>
      </c>
      <c r="E747">
        <v>26</v>
      </c>
      <c r="F747">
        <v>12</v>
      </c>
      <c r="G747">
        <v>0.5</v>
      </c>
      <c r="H747">
        <v>75</v>
      </c>
      <c r="I747">
        <v>1250</v>
      </c>
      <c r="J747">
        <v>38</v>
      </c>
      <c r="K747">
        <v>4</v>
      </c>
      <c r="L747">
        <v>2</v>
      </c>
      <c r="M747">
        <v>27</v>
      </c>
      <c r="O747" s="3">
        <f t="shared" si="41"/>
        <v>5.2941176470588234</v>
      </c>
      <c r="P747">
        <f t="shared" si="39"/>
        <v>1</v>
      </c>
      <c r="Q747">
        <f t="shared" si="40"/>
        <v>0</v>
      </c>
      <c r="S747">
        <v>-10.558885093167699</v>
      </c>
      <c r="T747">
        <v>-3</v>
      </c>
      <c r="U747">
        <v>-13.586956521739129</v>
      </c>
      <c r="V747">
        <v>-0.8</v>
      </c>
      <c r="W747">
        <v>-5.0000000000000001E-4</v>
      </c>
      <c r="X747">
        <v>5.4</v>
      </c>
      <c r="Y747">
        <v>1.4285714285714286</v>
      </c>
    </row>
    <row r="748" spans="1:25" x14ac:dyDescent="0.2">
      <c r="A748" t="s">
        <v>17</v>
      </c>
      <c r="B748" t="s">
        <v>185</v>
      </c>
      <c r="C748">
        <v>480</v>
      </c>
      <c r="D748">
        <v>180</v>
      </c>
      <c r="E748">
        <v>20</v>
      </c>
      <c r="F748">
        <v>7</v>
      </c>
      <c r="G748">
        <v>0</v>
      </c>
      <c r="H748">
        <v>60</v>
      </c>
      <c r="I748">
        <v>1150</v>
      </c>
      <c r="J748">
        <v>51</v>
      </c>
      <c r="K748">
        <v>7</v>
      </c>
      <c r="L748">
        <v>2</v>
      </c>
      <c r="M748">
        <v>25</v>
      </c>
      <c r="O748" s="3">
        <f t="shared" si="41"/>
        <v>5.2083333333333339</v>
      </c>
      <c r="P748">
        <f t="shared" si="39"/>
        <v>1</v>
      </c>
      <c r="Q748">
        <f t="shared" si="40"/>
        <v>0</v>
      </c>
      <c r="S748">
        <v>-7.5500000000000007</v>
      </c>
      <c r="T748">
        <v>-1.75</v>
      </c>
      <c r="U748">
        <v>-12.5</v>
      </c>
      <c r="V748">
        <v>-0.8</v>
      </c>
      <c r="W748">
        <v>0</v>
      </c>
      <c r="X748">
        <v>5</v>
      </c>
      <c r="Y748">
        <v>2.5</v>
      </c>
    </row>
    <row r="749" spans="1:25" x14ac:dyDescent="0.2">
      <c r="A749" t="s">
        <v>17</v>
      </c>
      <c r="B749" t="s">
        <v>187</v>
      </c>
      <c r="C749">
        <v>520</v>
      </c>
      <c r="D749">
        <v>240</v>
      </c>
      <c r="E749">
        <v>27</v>
      </c>
      <c r="F749">
        <v>12</v>
      </c>
      <c r="G749">
        <v>0.5</v>
      </c>
      <c r="H749">
        <v>70</v>
      </c>
      <c r="I749">
        <v>1230</v>
      </c>
      <c r="J749">
        <v>38</v>
      </c>
      <c r="K749">
        <v>4</v>
      </c>
      <c r="L749">
        <v>2</v>
      </c>
      <c r="M749">
        <v>27</v>
      </c>
      <c r="O749" s="3">
        <f t="shared" si="41"/>
        <v>5.1923076923076925</v>
      </c>
      <c r="P749">
        <f t="shared" si="39"/>
        <v>1</v>
      </c>
      <c r="Q749">
        <f t="shared" si="40"/>
        <v>0</v>
      </c>
      <c r="S749">
        <v>-10.341493788819875</v>
      </c>
      <c r="T749">
        <v>-3</v>
      </c>
      <c r="U749">
        <v>-13.369565217391305</v>
      </c>
      <c r="V749">
        <v>-0.8</v>
      </c>
      <c r="W749">
        <v>-5.0000000000000001E-4</v>
      </c>
      <c r="X749">
        <v>5.4</v>
      </c>
      <c r="Y749">
        <v>1.4285714285714286</v>
      </c>
    </row>
    <row r="750" spans="1:25" x14ac:dyDescent="0.2">
      <c r="A750" t="s">
        <v>17</v>
      </c>
      <c r="B750" t="s">
        <v>189</v>
      </c>
      <c r="C750">
        <v>370</v>
      </c>
      <c r="D750">
        <v>100</v>
      </c>
      <c r="E750">
        <v>11</v>
      </c>
      <c r="F750">
        <v>4.5</v>
      </c>
      <c r="G750">
        <v>0</v>
      </c>
      <c r="H750">
        <v>35</v>
      </c>
      <c r="I750">
        <v>1110</v>
      </c>
      <c r="J750">
        <v>49</v>
      </c>
      <c r="K750">
        <v>8</v>
      </c>
      <c r="L750">
        <v>4</v>
      </c>
      <c r="M750">
        <v>19</v>
      </c>
      <c r="O750" s="3">
        <f t="shared" si="41"/>
        <v>5.1351351351351351</v>
      </c>
      <c r="P750">
        <f t="shared" si="39"/>
        <v>1</v>
      </c>
      <c r="Q750">
        <f t="shared" si="40"/>
        <v>0</v>
      </c>
      <c r="S750">
        <v>-8.133074534161489</v>
      </c>
      <c r="T750">
        <v>-1.125</v>
      </c>
      <c r="U750">
        <v>-12.065217391304348</v>
      </c>
      <c r="V750">
        <v>-1.6</v>
      </c>
      <c r="W750">
        <v>0</v>
      </c>
      <c r="X750">
        <v>3.8000000000000007</v>
      </c>
      <c r="Y750">
        <v>2.8571428571428572</v>
      </c>
    </row>
    <row r="751" spans="1:25" x14ac:dyDescent="0.2">
      <c r="A751" t="s">
        <v>17</v>
      </c>
      <c r="B751" t="s">
        <v>212</v>
      </c>
      <c r="C751">
        <v>180</v>
      </c>
      <c r="D751">
        <v>80</v>
      </c>
      <c r="E751">
        <v>9</v>
      </c>
      <c r="F751">
        <v>4</v>
      </c>
      <c r="G751">
        <v>0</v>
      </c>
      <c r="H751">
        <v>25</v>
      </c>
      <c r="I751">
        <v>500</v>
      </c>
      <c r="J751">
        <v>17</v>
      </c>
      <c r="K751">
        <v>3</v>
      </c>
      <c r="L751">
        <v>1</v>
      </c>
      <c r="M751">
        <v>9</v>
      </c>
      <c r="O751" s="3">
        <f t="shared" si="41"/>
        <v>5</v>
      </c>
      <c r="P751">
        <f t="shared" si="39"/>
        <v>1</v>
      </c>
      <c r="Q751">
        <f t="shared" si="40"/>
        <v>0</v>
      </c>
      <c r="S751">
        <v>-3.9633540372670817</v>
      </c>
      <c r="T751">
        <v>-1</v>
      </c>
      <c r="U751">
        <v>-5.4347826086956523</v>
      </c>
      <c r="V751">
        <v>-0.4</v>
      </c>
      <c r="W751">
        <v>0</v>
      </c>
      <c r="X751">
        <v>1.7999999999999998</v>
      </c>
      <c r="Y751">
        <v>1.0714285714285714</v>
      </c>
    </row>
    <row r="752" spans="1:25" x14ac:dyDescent="0.2">
      <c r="A752" t="s">
        <v>17</v>
      </c>
      <c r="B752" t="s">
        <v>216</v>
      </c>
      <c r="C752">
        <v>180</v>
      </c>
      <c r="D752">
        <v>80</v>
      </c>
      <c r="E752">
        <v>9</v>
      </c>
      <c r="F752">
        <v>5</v>
      </c>
      <c r="G752">
        <v>0</v>
      </c>
      <c r="H752">
        <v>20</v>
      </c>
      <c r="I752">
        <v>430</v>
      </c>
      <c r="J752">
        <v>15</v>
      </c>
      <c r="K752">
        <v>2</v>
      </c>
      <c r="L752" s="2">
        <v>0</v>
      </c>
      <c r="M752">
        <v>9</v>
      </c>
      <c r="O752" s="3">
        <f t="shared" si="41"/>
        <v>5</v>
      </c>
      <c r="P752">
        <f t="shared" si="39"/>
        <v>0</v>
      </c>
      <c r="Q752">
        <f t="shared" si="40"/>
        <v>0</v>
      </c>
      <c r="S752">
        <v>-3.4096273291925465</v>
      </c>
      <c r="T752">
        <v>-1.25</v>
      </c>
      <c r="U752">
        <v>-4.6739130434782608</v>
      </c>
      <c r="V752">
        <v>0</v>
      </c>
      <c r="W752">
        <v>0</v>
      </c>
      <c r="X752">
        <v>1.7999999999999998</v>
      </c>
      <c r="Y752">
        <v>0.7142857142857143</v>
      </c>
    </row>
    <row r="753" spans="1:25" x14ac:dyDescent="0.2">
      <c r="A753" t="s">
        <v>17</v>
      </c>
      <c r="B753" t="s">
        <v>221</v>
      </c>
      <c r="C753">
        <v>370</v>
      </c>
      <c r="D753">
        <v>110</v>
      </c>
      <c r="E753">
        <v>12</v>
      </c>
      <c r="F753">
        <v>5</v>
      </c>
      <c r="G753">
        <v>0</v>
      </c>
      <c r="H753">
        <v>30</v>
      </c>
      <c r="I753">
        <v>1090</v>
      </c>
      <c r="J753">
        <v>49</v>
      </c>
      <c r="K753">
        <v>7</v>
      </c>
      <c r="L753">
        <v>4</v>
      </c>
      <c r="M753">
        <v>18</v>
      </c>
      <c r="O753" s="3">
        <f t="shared" si="41"/>
        <v>4.8648648648648649</v>
      </c>
      <c r="P753">
        <f t="shared" si="39"/>
        <v>1</v>
      </c>
      <c r="Q753">
        <f t="shared" si="40"/>
        <v>0</v>
      </c>
      <c r="S753">
        <v>-8.5978260869565215</v>
      </c>
      <c r="T753">
        <v>-1.25</v>
      </c>
      <c r="U753">
        <v>-11.847826086956522</v>
      </c>
      <c r="V753">
        <v>-1.6</v>
      </c>
      <c r="W753">
        <v>0</v>
      </c>
      <c r="X753">
        <v>3.5999999999999996</v>
      </c>
      <c r="Y753">
        <v>2.5</v>
      </c>
    </row>
    <row r="754" spans="1:25" x14ac:dyDescent="0.2">
      <c r="A754" t="s">
        <v>17</v>
      </c>
      <c r="B754" t="s">
        <v>224</v>
      </c>
      <c r="C754">
        <v>330</v>
      </c>
      <c r="D754">
        <v>140</v>
      </c>
      <c r="E754">
        <v>15</v>
      </c>
      <c r="F754">
        <v>3.5</v>
      </c>
      <c r="G754">
        <v>0</v>
      </c>
      <c r="H754">
        <v>35</v>
      </c>
      <c r="I754">
        <v>560</v>
      </c>
      <c r="J754">
        <v>31</v>
      </c>
      <c r="K754">
        <v>2</v>
      </c>
      <c r="L754">
        <v>3</v>
      </c>
      <c r="M754">
        <v>16</v>
      </c>
      <c r="O754" s="3">
        <f t="shared" si="41"/>
        <v>4.8484848484848486</v>
      </c>
      <c r="P754">
        <f t="shared" si="39"/>
        <v>1</v>
      </c>
      <c r="Q754">
        <f t="shared" si="40"/>
        <v>0</v>
      </c>
      <c r="S754">
        <v>-4.2476708074534155</v>
      </c>
      <c r="T754">
        <v>-0.875</v>
      </c>
      <c r="U754">
        <v>-6.0869565217391308</v>
      </c>
      <c r="V754">
        <v>-1.2</v>
      </c>
      <c r="W754">
        <v>0</v>
      </c>
      <c r="X754">
        <v>3.2</v>
      </c>
      <c r="Y754">
        <v>0.7142857142857143</v>
      </c>
    </row>
    <row r="755" spans="1:25" x14ac:dyDescent="0.2">
      <c r="A755" t="s">
        <v>17</v>
      </c>
      <c r="B755" t="s">
        <v>226</v>
      </c>
      <c r="C755">
        <v>560</v>
      </c>
      <c r="D755">
        <v>250</v>
      </c>
      <c r="E755">
        <v>28</v>
      </c>
      <c r="F755">
        <v>9</v>
      </c>
      <c r="G755">
        <v>0</v>
      </c>
      <c r="H755">
        <v>240</v>
      </c>
      <c r="I755">
        <v>1310</v>
      </c>
      <c r="J755">
        <v>50</v>
      </c>
      <c r="K755">
        <v>4</v>
      </c>
      <c r="L755">
        <v>3</v>
      </c>
      <c r="M755">
        <v>27</v>
      </c>
      <c r="O755" s="3">
        <f t="shared" si="41"/>
        <v>4.8214285714285721</v>
      </c>
      <c r="P755">
        <f t="shared" si="39"/>
        <v>1</v>
      </c>
      <c r="Q755">
        <f t="shared" si="40"/>
        <v>0</v>
      </c>
      <c r="S755">
        <v>-10.860559006211179</v>
      </c>
      <c r="T755">
        <v>-2.25</v>
      </c>
      <c r="U755">
        <v>-14.239130434782609</v>
      </c>
      <c r="V755">
        <v>-1.2</v>
      </c>
      <c r="W755">
        <v>0</v>
      </c>
      <c r="X755">
        <v>5.4</v>
      </c>
      <c r="Y755">
        <v>1.4285714285714286</v>
      </c>
    </row>
    <row r="756" spans="1:25" x14ac:dyDescent="0.2">
      <c r="A756" t="s">
        <v>17</v>
      </c>
      <c r="B756" t="s">
        <v>212</v>
      </c>
      <c r="C756">
        <v>210</v>
      </c>
      <c r="D756">
        <v>90</v>
      </c>
      <c r="E756">
        <v>10</v>
      </c>
      <c r="F756">
        <v>5</v>
      </c>
      <c r="G756">
        <v>0</v>
      </c>
      <c r="H756">
        <v>25</v>
      </c>
      <c r="I756">
        <v>520</v>
      </c>
      <c r="J756">
        <v>20</v>
      </c>
      <c r="K756">
        <v>3</v>
      </c>
      <c r="L756">
        <v>2</v>
      </c>
      <c r="M756">
        <v>10</v>
      </c>
      <c r="O756" s="3">
        <f t="shared" si="41"/>
        <v>4.7619047619047619</v>
      </c>
      <c r="P756">
        <f t="shared" si="39"/>
        <v>1</v>
      </c>
      <c r="Q756">
        <f t="shared" si="40"/>
        <v>0</v>
      </c>
      <c r="S756">
        <v>-4.6307453416149063</v>
      </c>
      <c r="T756">
        <v>-1.25</v>
      </c>
      <c r="U756">
        <v>-5.6521739130434785</v>
      </c>
      <c r="V756">
        <v>-0.8</v>
      </c>
      <c r="W756">
        <v>0</v>
      </c>
      <c r="X756">
        <v>2.0000000000000004</v>
      </c>
      <c r="Y756">
        <v>1.0714285714285714</v>
      </c>
    </row>
    <row r="757" spans="1:25" x14ac:dyDescent="0.2">
      <c r="A757" t="s">
        <v>17</v>
      </c>
      <c r="B757" t="s">
        <v>234</v>
      </c>
      <c r="C757">
        <v>210</v>
      </c>
      <c r="D757">
        <v>90</v>
      </c>
      <c r="E757">
        <v>10</v>
      </c>
      <c r="F757">
        <v>5</v>
      </c>
      <c r="G757">
        <v>0</v>
      </c>
      <c r="H757">
        <v>25</v>
      </c>
      <c r="I757">
        <v>520</v>
      </c>
      <c r="J757">
        <v>20</v>
      </c>
      <c r="K757">
        <v>3</v>
      </c>
      <c r="L757">
        <v>2</v>
      </c>
      <c r="M757">
        <v>10</v>
      </c>
      <c r="O757" s="3">
        <f t="shared" si="41"/>
        <v>4.7619047619047619</v>
      </c>
      <c r="P757">
        <f t="shared" si="39"/>
        <v>1</v>
      </c>
      <c r="Q757">
        <f t="shared" si="40"/>
        <v>0</v>
      </c>
      <c r="S757">
        <v>-4.6307453416149063</v>
      </c>
      <c r="T757">
        <v>-1.25</v>
      </c>
      <c r="U757">
        <v>-5.6521739130434785</v>
      </c>
      <c r="V757">
        <v>-0.8</v>
      </c>
      <c r="W757">
        <v>0</v>
      </c>
      <c r="X757">
        <v>2.0000000000000004</v>
      </c>
      <c r="Y757">
        <v>1.0714285714285714</v>
      </c>
    </row>
    <row r="758" spans="1:25" x14ac:dyDescent="0.2">
      <c r="A758" t="s">
        <v>17</v>
      </c>
      <c r="B758" t="s">
        <v>244</v>
      </c>
      <c r="C758">
        <v>170</v>
      </c>
      <c r="D758">
        <v>80</v>
      </c>
      <c r="E758">
        <v>9</v>
      </c>
      <c r="F758">
        <v>3.5</v>
      </c>
      <c r="G758">
        <v>0</v>
      </c>
      <c r="H758">
        <v>25</v>
      </c>
      <c r="I758">
        <v>310</v>
      </c>
      <c r="J758">
        <v>13</v>
      </c>
      <c r="K758">
        <v>3</v>
      </c>
      <c r="L758" s="2">
        <v>0</v>
      </c>
      <c r="M758">
        <v>8</v>
      </c>
      <c r="O758" s="3">
        <f t="shared" si="41"/>
        <v>4.7058823529411766</v>
      </c>
      <c r="P758">
        <f t="shared" si="39"/>
        <v>0</v>
      </c>
      <c r="Q758">
        <f t="shared" si="40"/>
        <v>0</v>
      </c>
      <c r="S758">
        <v>-1.5731366459627332</v>
      </c>
      <c r="T758">
        <v>-0.875</v>
      </c>
      <c r="U758">
        <v>-3.3695652173913042</v>
      </c>
      <c r="V758">
        <v>0</v>
      </c>
      <c r="W758">
        <v>0</v>
      </c>
      <c r="X758">
        <v>1.6</v>
      </c>
      <c r="Y758">
        <v>1.0714285714285714</v>
      </c>
    </row>
    <row r="759" spans="1:25" x14ac:dyDescent="0.2">
      <c r="A759" t="s">
        <v>17</v>
      </c>
      <c r="B759" t="s">
        <v>245</v>
      </c>
      <c r="C759">
        <v>170</v>
      </c>
      <c r="D759">
        <v>80</v>
      </c>
      <c r="E759">
        <v>9</v>
      </c>
      <c r="F759">
        <v>3.5</v>
      </c>
      <c r="G759">
        <v>0</v>
      </c>
      <c r="H759">
        <v>25</v>
      </c>
      <c r="I759">
        <v>360</v>
      </c>
      <c r="J759">
        <v>13</v>
      </c>
      <c r="K759">
        <v>3</v>
      </c>
      <c r="L759" s="2">
        <v>0</v>
      </c>
      <c r="M759">
        <v>8</v>
      </c>
      <c r="O759" s="3">
        <f t="shared" si="41"/>
        <v>4.7058823529411766</v>
      </c>
      <c r="P759">
        <f t="shared" si="39"/>
        <v>0</v>
      </c>
      <c r="Q759">
        <f t="shared" si="40"/>
        <v>0</v>
      </c>
      <c r="S759">
        <v>-2.1166149068322984</v>
      </c>
      <c r="T759">
        <v>-0.875</v>
      </c>
      <c r="U759">
        <v>-3.9130434782608701</v>
      </c>
      <c r="V759">
        <v>0</v>
      </c>
      <c r="W759">
        <v>0</v>
      </c>
      <c r="X759">
        <v>1.6</v>
      </c>
      <c r="Y759">
        <v>1.0714285714285714</v>
      </c>
    </row>
    <row r="760" spans="1:25" x14ac:dyDescent="0.2">
      <c r="A760" t="s">
        <v>17</v>
      </c>
      <c r="B760" t="s">
        <v>277</v>
      </c>
      <c r="C760">
        <v>440</v>
      </c>
      <c r="D760">
        <v>240</v>
      </c>
      <c r="E760">
        <v>27</v>
      </c>
      <c r="F760">
        <v>5</v>
      </c>
      <c r="G760">
        <v>0</v>
      </c>
      <c r="H760">
        <v>50</v>
      </c>
      <c r="I760">
        <v>840</v>
      </c>
      <c r="J760">
        <v>31</v>
      </c>
      <c r="K760">
        <v>2</v>
      </c>
      <c r="L760">
        <v>3</v>
      </c>
      <c r="M760">
        <v>20</v>
      </c>
      <c r="O760" s="3">
        <f t="shared" si="41"/>
        <v>4.5454545454545459</v>
      </c>
      <c r="P760">
        <f t="shared" si="39"/>
        <v>1</v>
      </c>
      <c r="Q760">
        <f t="shared" si="40"/>
        <v>0</v>
      </c>
      <c r="S760">
        <v>-6.8661490683229793</v>
      </c>
      <c r="T760">
        <v>-1.25</v>
      </c>
      <c r="U760">
        <v>-9.1304347826086953</v>
      </c>
      <c r="V760">
        <v>-1.2</v>
      </c>
      <c r="W760">
        <v>0</v>
      </c>
      <c r="X760">
        <v>4.0000000000000009</v>
      </c>
      <c r="Y760">
        <v>0.7142857142857143</v>
      </c>
    </row>
    <row r="761" spans="1:25" x14ac:dyDescent="0.2">
      <c r="A761" t="s">
        <v>17</v>
      </c>
      <c r="B761" t="s">
        <v>278</v>
      </c>
      <c r="C761">
        <v>330</v>
      </c>
      <c r="D761">
        <v>140</v>
      </c>
      <c r="E761">
        <v>16</v>
      </c>
      <c r="F761">
        <v>4</v>
      </c>
      <c r="G761">
        <v>0</v>
      </c>
      <c r="H761">
        <v>30</v>
      </c>
      <c r="I761">
        <v>530</v>
      </c>
      <c r="J761">
        <v>32</v>
      </c>
      <c r="K761">
        <v>2</v>
      </c>
      <c r="L761">
        <v>3</v>
      </c>
      <c r="M761">
        <v>15</v>
      </c>
      <c r="O761" s="3">
        <f t="shared" si="41"/>
        <v>4.5454545454545459</v>
      </c>
      <c r="P761">
        <f t="shared" si="39"/>
        <v>1</v>
      </c>
      <c r="Q761">
        <f t="shared" si="40"/>
        <v>0</v>
      </c>
      <c r="S761">
        <v>-4.2465838509316773</v>
      </c>
      <c r="T761">
        <v>-1</v>
      </c>
      <c r="U761">
        <v>-5.7608695652173916</v>
      </c>
      <c r="V761">
        <v>-1.2</v>
      </c>
      <c r="W761">
        <v>0</v>
      </c>
      <c r="X761">
        <v>3</v>
      </c>
      <c r="Y761">
        <v>0.7142857142857143</v>
      </c>
    </row>
    <row r="762" spans="1:25" x14ac:dyDescent="0.2">
      <c r="A762" t="s">
        <v>17</v>
      </c>
      <c r="B762" t="s">
        <v>279</v>
      </c>
      <c r="C762">
        <v>440</v>
      </c>
      <c r="D762">
        <v>240</v>
      </c>
      <c r="E762">
        <v>27</v>
      </c>
      <c r="F762">
        <v>5</v>
      </c>
      <c r="G762">
        <v>0</v>
      </c>
      <c r="H762">
        <v>50</v>
      </c>
      <c r="I762">
        <v>840</v>
      </c>
      <c r="J762">
        <v>31</v>
      </c>
      <c r="K762">
        <v>2</v>
      </c>
      <c r="L762">
        <v>3</v>
      </c>
      <c r="M762">
        <v>20</v>
      </c>
      <c r="O762" s="3">
        <f t="shared" si="41"/>
        <v>4.5454545454545459</v>
      </c>
      <c r="P762">
        <f t="shared" si="39"/>
        <v>1</v>
      </c>
      <c r="Q762">
        <f t="shared" si="40"/>
        <v>0</v>
      </c>
      <c r="S762">
        <v>-6.8661490683229793</v>
      </c>
      <c r="T762">
        <v>-1.25</v>
      </c>
      <c r="U762">
        <v>-9.1304347826086953</v>
      </c>
      <c r="V762">
        <v>-1.2</v>
      </c>
      <c r="W762">
        <v>0</v>
      </c>
      <c r="X762">
        <v>4.0000000000000009</v>
      </c>
      <c r="Y762">
        <v>0.7142857142857143</v>
      </c>
    </row>
    <row r="763" spans="1:25" x14ac:dyDescent="0.2">
      <c r="A763" t="s">
        <v>17</v>
      </c>
      <c r="B763" t="s">
        <v>317</v>
      </c>
      <c r="C763">
        <v>370</v>
      </c>
      <c r="D763">
        <v>150</v>
      </c>
      <c r="E763">
        <v>17</v>
      </c>
      <c r="F763">
        <v>8</v>
      </c>
      <c r="G763">
        <v>0</v>
      </c>
      <c r="H763">
        <v>35</v>
      </c>
      <c r="I763">
        <v>970</v>
      </c>
      <c r="J763">
        <v>40</v>
      </c>
      <c r="K763">
        <v>4</v>
      </c>
      <c r="L763">
        <v>2</v>
      </c>
      <c r="M763">
        <v>16</v>
      </c>
      <c r="O763" s="3">
        <f t="shared" si="41"/>
        <v>4.3243243243243246</v>
      </c>
      <c r="P763">
        <f t="shared" si="39"/>
        <v>1</v>
      </c>
      <c r="Q763">
        <f t="shared" si="40"/>
        <v>0</v>
      </c>
      <c r="S763">
        <v>-8.7149068322981389</v>
      </c>
      <c r="T763">
        <v>-2</v>
      </c>
      <c r="U763">
        <v>-10.543478260869566</v>
      </c>
      <c r="V763">
        <v>-0.8</v>
      </c>
      <c r="W763">
        <v>0</v>
      </c>
      <c r="X763">
        <v>3.2</v>
      </c>
      <c r="Y763">
        <v>1.4285714285714286</v>
      </c>
    </row>
    <row r="764" spans="1:25" x14ac:dyDescent="0.2">
      <c r="A764" t="s">
        <v>17</v>
      </c>
      <c r="B764" t="s">
        <v>322</v>
      </c>
      <c r="C764">
        <v>560</v>
      </c>
      <c r="D764">
        <v>270</v>
      </c>
      <c r="E764">
        <v>30</v>
      </c>
      <c r="F764">
        <v>10</v>
      </c>
      <c r="G764">
        <v>0</v>
      </c>
      <c r="H764">
        <v>230</v>
      </c>
      <c r="I764">
        <v>1290</v>
      </c>
      <c r="J764">
        <v>49</v>
      </c>
      <c r="K764">
        <v>4</v>
      </c>
      <c r="L764">
        <v>3</v>
      </c>
      <c r="M764">
        <v>24</v>
      </c>
      <c r="O764" s="3">
        <f t="shared" si="41"/>
        <v>4.2857142857142856</v>
      </c>
      <c r="P764">
        <f t="shared" si="39"/>
        <v>1</v>
      </c>
      <c r="Q764">
        <f t="shared" si="40"/>
        <v>0</v>
      </c>
      <c r="S764">
        <v>-11.493167701863351</v>
      </c>
      <c r="T764">
        <v>-2.5</v>
      </c>
      <c r="U764">
        <v>-14.021739130434781</v>
      </c>
      <c r="V764">
        <v>-1.2</v>
      </c>
      <c r="W764">
        <v>0</v>
      </c>
      <c r="X764">
        <v>4.8</v>
      </c>
      <c r="Y764">
        <v>1.4285714285714286</v>
      </c>
    </row>
    <row r="765" spans="1:25" x14ac:dyDescent="0.2">
      <c r="A765" t="s">
        <v>17</v>
      </c>
      <c r="B765" t="s">
        <v>337</v>
      </c>
      <c r="C765">
        <v>190</v>
      </c>
      <c r="D765">
        <v>100</v>
      </c>
      <c r="E765">
        <v>11</v>
      </c>
      <c r="F765">
        <v>4.5</v>
      </c>
      <c r="G765">
        <v>0</v>
      </c>
      <c r="H765">
        <v>25</v>
      </c>
      <c r="I765">
        <v>340</v>
      </c>
      <c r="J765">
        <v>15</v>
      </c>
      <c r="K765">
        <v>3</v>
      </c>
      <c r="L765">
        <v>2</v>
      </c>
      <c r="M765">
        <v>8</v>
      </c>
      <c r="O765" s="3">
        <f t="shared" si="41"/>
        <v>4.2105263157894735</v>
      </c>
      <c r="P765">
        <f t="shared" si="39"/>
        <v>0</v>
      </c>
      <c r="Q765">
        <f t="shared" si="40"/>
        <v>0</v>
      </c>
      <c r="S765">
        <v>-2.9492236024844711</v>
      </c>
      <c r="T765">
        <v>-1.125</v>
      </c>
      <c r="U765">
        <v>-3.6956521739130435</v>
      </c>
      <c r="V765">
        <v>-0.8</v>
      </c>
      <c r="W765">
        <v>0</v>
      </c>
      <c r="X765">
        <v>1.6</v>
      </c>
      <c r="Y765">
        <v>1.0714285714285714</v>
      </c>
    </row>
    <row r="766" spans="1:25" x14ac:dyDescent="0.2">
      <c r="A766" t="s">
        <v>17</v>
      </c>
      <c r="B766" t="s">
        <v>338</v>
      </c>
      <c r="C766">
        <v>190</v>
      </c>
      <c r="D766">
        <v>100</v>
      </c>
      <c r="E766">
        <v>11</v>
      </c>
      <c r="F766">
        <v>4.5</v>
      </c>
      <c r="G766">
        <v>0</v>
      </c>
      <c r="H766">
        <v>30</v>
      </c>
      <c r="I766">
        <v>380</v>
      </c>
      <c r="J766">
        <v>15</v>
      </c>
      <c r="K766">
        <v>3</v>
      </c>
      <c r="L766">
        <v>2</v>
      </c>
      <c r="M766">
        <v>8</v>
      </c>
      <c r="O766" s="3">
        <f t="shared" si="41"/>
        <v>4.2105263157894735</v>
      </c>
      <c r="P766">
        <f t="shared" si="39"/>
        <v>0</v>
      </c>
      <c r="Q766">
        <f t="shared" si="40"/>
        <v>0</v>
      </c>
      <c r="S766">
        <v>-3.3840062111801235</v>
      </c>
      <c r="T766">
        <v>-1.125</v>
      </c>
      <c r="U766">
        <v>-4.1304347826086953</v>
      </c>
      <c r="V766">
        <v>-0.8</v>
      </c>
      <c r="W766">
        <v>0</v>
      </c>
      <c r="X766">
        <v>1.6</v>
      </c>
      <c r="Y766">
        <v>1.0714285714285714</v>
      </c>
    </row>
    <row r="767" spans="1:25" x14ac:dyDescent="0.2">
      <c r="A767" t="s">
        <v>17</v>
      </c>
      <c r="B767" t="s">
        <v>339</v>
      </c>
      <c r="C767">
        <v>570</v>
      </c>
      <c r="D767">
        <v>270</v>
      </c>
      <c r="E767">
        <v>30</v>
      </c>
      <c r="F767">
        <v>9</v>
      </c>
      <c r="G767">
        <v>0</v>
      </c>
      <c r="H767">
        <v>140</v>
      </c>
      <c r="I767">
        <v>1290</v>
      </c>
      <c r="J767">
        <v>50</v>
      </c>
      <c r="K767">
        <v>4</v>
      </c>
      <c r="L767">
        <v>2</v>
      </c>
      <c r="M767">
        <v>24</v>
      </c>
      <c r="O767" s="3">
        <f t="shared" si="41"/>
        <v>4.2105263157894735</v>
      </c>
      <c r="P767">
        <f t="shared" si="39"/>
        <v>1</v>
      </c>
      <c r="Q767">
        <f t="shared" si="40"/>
        <v>0</v>
      </c>
      <c r="S767">
        <v>-10.843167701863353</v>
      </c>
      <c r="T767">
        <v>-2.25</v>
      </c>
      <c r="U767">
        <v>-14.021739130434781</v>
      </c>
      <c r="V767">
        <v>-0.8</v>
      </c>
      <c r="W767">
        <v>0</v>
      </c>
      <c r="X767">
        <v>4.8</v>
      </c>
      <c r="Y767">
        <v>1.4285714285714286</v>
      </c>
    </row>
    <row r="768" spans="1:25" x14ac:dyDescent="0.2">
      <c r="A768" t="s">
        <v>17</v>
      </c>
      <c r="B768" t="s">
        <v>354</v>
      </c>
      <c r="C768">
        <v>390</v>
      </c>
      <c r="D768">
        <v>130</v>
      </c>
      <c r="E768">
        <v>14</v>
      </c>
      <c r="F768">
        <v>6</v>
      </c>
      <c r="G768">
        <v>0</v>
      </c>
      <c r="H768">
        <v>25</v>
      </c>
      <c r="I768">
        <v>1110</v>
      </c>
      <c r="J768">
        <v>51</v>
      </c>
      <c r="K768">
        <v>9</v>
      </c>
      <c r="L768">
        <v>4</v>
      </c>
      <c r="M768">
        <v>16</v>
      </c>
      <c r="O768" s="3">
        <f t="shared" si="41"/>
        <v>4.1025641025641022</v>
      </c>
      <c r="P768">
        <f t="shared" si="39"/>
        <v>1</v>
      </c>
      <c r="Q768">
        <f t="shared" si="40"/>
        <v>0</v>
      </c>
      <c r="S768">
        <v>-8.7509316770186309</v>
      </c>
      <c r="T768">
        <v>-1.5</v>
      </c>
      <c r="U768">
        <v>-12.065217391304348</v>
      </c>
      <c r="V768">
        <v>-1.6</v>
      </c>
      <c r="W768">
        <v>0</v>
      </c>
      <c r="X768">
        <v>3.2</v>
      </c>
      <c r="Y768">
        <v>3.2142857142857149</v>
      </c>
    </row>
    <row r="769" spans="1:25" x14ac:dyDescent="0.2">
      <c r="A769" t="s">
        <v>17</v>
      </c>
      <c r="B769" t="s">
        <v>369</v>
      </c>
      <c r="C769">
        <v>470</v>
      </c>
      <c r="D769">
        <v>230</v>
      </c>
      <c r="E769">
        <v>25</v>
      </c>
      <c r="F769">
        <v>12</v>
      </c>
      <c r="G769">
        <v>0.5</v>
      </c>
      <c r="H769">
        <v>50</v>
      </c>
      <c r="I769">
        <v>990</v>
      </c>
      <c r="J769">
        <v>37</v>
      </c>
      <c r="K769">
        <v>4</v>
      </c>
      <c r="L769">
        <v>2</v>
      </c>
      <c r="M769">
        <v>19</v>
      </c>
      <c r="O769" s="3">
        <f t="shared" si="41"/>
        <v>4.042553191489362</v>
      </c>
      <c r="P769">
        <f t="shared" si="39"/>
        <v>1</v>
      </c>
      <c r="Q769">
        <f t="shared" si="40"/>
        <v>0</v>
      </c>
      <c r="S769">
        <v>-9.3327981366459642</v>
      </c>
      <c r="T769">
        <v>-3</v>
      </c>
      <c r="U769">
        <v>-10.760869565217392</v>
      </c>
      <c r="V769">
        <v>-0.8</v>
      </c>
      <c r="W769">
        <v>-5.0000000000000001E-4</v>
      </c>
      <c r="X769">
        <v>3.8000000000000007</v>
      </c>
      <c r="Y769">
        <v>1.4285714285714286</v>
      </c>
    </row>
    <row r="770" spans="1:25" x14ac:dyDescent="0.2">
      <c r="A770" t="s">
        <v>17</v>
      </c>
      <c r="B770" t="s">
        <v>371</v>
      </c>
      <c r="C770">
        <v>620</v>
      </c>
      <c r="D770">
        <v>270</v>
      </c>
      <c r="E770">
        <v>29</v>
      </c>
      <c r="F770">
        <v>11</v>
      </c>
      <c r="G770">
        <v>0</v>
      </c>
      <c r="H770">
        <v>65</v>
      </c>
      <c r="I770">
        <v>1390</v>
      </c>
      <c r="J770">
        <v>66</v>
      </c>
      <c r="K770">
        <v>4</v>
      </c>
      <c r="L770">
        <v>4</v>
      </c>
      <c r="M770">
        <v>25</v>
      </c>
      <c r="O770" s="3">
        <f t="shared" si="41"/>
        <v>4.032258064516129</v>
      </c>
      <c r="P770">
        <f t="shared" ref="P770:P833" si="42">IF(I770&gt;2300*0.2,1,0)</f>
        <v>1</v>
      </c>
      <c r="Q770">
        <f t="shared" ref="Q770:Q833" si="43">IF(H770&gt;300,1,0)</f>
        <v>0</v>
      </c>
      <c r="S770">
        <v>-13.030124223602487</v>
      </c>
      <c r="T770">
        <v>-2.75</v>
      </c>
      <c r="U770">
        <v>-15.108695652173912</v>
      </c>
      <c r="V770">
        <v>-1.6</v>
      </c>
      <c r="W770">
        <v>0</v>
      </c>
      <c r="X770">
        <v>5</v>
      </c>
      <c r="Y770">
        <v>1.4285714285714286</v>
      </c>
    </row>
    <row r="771" spans="1:25" x14ac:dyDescent="0.2">
      <c r="A771" t="s">
        <v>17</v>
      </c>
      <c r="B771" t="s">
        <v>375</v>
      </c>
      <c r="C771">
        <v>250</v>
      </c>
      <c r="D771">
        <v>110</v>
      </c>
      <c r="E771">
        <v>12</v>
      </c>
      <c r="F771">
        <v>4.5</v>
      </c>
      <c r="G771">
        <v>0</v>
      </c>
      <c r="H771">
        <v>25</v>
      </c>
      <c r="I771">
        <v>610</v>
      </c>
      <c r="J771">
        <v>24</v>
      </c>
      <c r="K771">
        <v>3</v>
      </c>
      <c r="L771">
        <v>2</v>
      </c>
      <c r="M771">
        <v>10</v>
      </c>
      <c r="O771" s="3">
        <f t="shared" si="41"/>
        <v>4</v>
      </c>
      <c r="P771">
        <f t="shared" si="42"/>
        <v>1</v>
      </c>
      <c r="Q771">
        <f t="shared" si="43"/>
        <v>0</v>
      </c>
      <c r="S771">
        <v>-5.4840062111801249</v>
      </c>
      <c r="T771">
        <v>-1.125</v>
      </c>
      <c r="U771">
        <v>-6.6304347826086962</v>
      </c>
      <c r="V771">
        <v>-0.8</v>
      </c>
      <c r="W771">
        <v>0</v>
      </c>
      <c r="X771">
        <v>2.0000000000000004</v>
      </c>
      <c r="Y771">
        <v>1.0714285714285714</v>
      </c>
    </row>
    <row r="772" spans="1:25" x14ac:dyDescent="0.2">
      <c r="A772" t="s">
        <v>17</v>
      </c>
      <c r="B772" t="s">
        <v>376</v>
      </c>
      <c r="C772">
        <v>500</v>
      </c>
      <c r="D772">
        <v>250</v>
      </c>
      <c r="E772">
        <v>28</v>
      </c>
      <c r="F772">
        <v>10</v>
      </c>
      <c r="G772">
        <v>0.5</v>
      </c>
      <c r="H772">
        <v>55</v>
      </c>
      <c r="I772">
        <v>850</v>
      </c>
      <c r="J772">
        <v>41</v>
      </c>
      <c r="K772">
        <v>5</v>
      </c>
      <c r="L772">
        <v>4</v>
      </c>
      <c r="M772">
        <v>20</v>
      </c>
      <c r="O772" s="3">
        <f t="shared" si="41"/>
        <v>4</v>
      </c>
      <c r="P772">
        <f t="shared" si="42"/>
        <v>1</v>
      </c>
      <c r="Q772">
        <f t="shared" si="43"/>
        <v>0</v>
      </c>
      <c r="S772">
        <v>-7.5539161490683195</v>
      </c>
      <c r="T772">
        <v>-2.5</v>
      </c>
      <c r="U772">
        <v>-9.2391304347826075</v>
      </c>
      <c r="V772">
        <v>-1.6</v>
      </c>
      <c r="W772">
        <v>-5.0000000000000001E-4</v>
      </c>
      <c r="X772">
        <v>4.0000000000000009</v>
      </c>
      <c r="Y772">
        <v>1.785714285714286</v>
      </c>
    </row>
    <row r="773" spans="1:25" x14ac:dyDescent="0.2">
      <c r="A773" t="s">
        <v>17</v>
      </c>
      <c r="B773" t="s">
        <v>377</v>
      </c>
      <c r="C773">
        <v>250</v>
      </c>
      <c r="D773">
        <v>110</v>
      </c>
      <c r="E773">
        <v>12</v>
      </c>
      <c r="F773">
        <v>4.5</v>
      </c>
      <c r="G773">
        <v>0</v>
      </c>
      <c r="H773">
        <v>25</v>
      </c>
      <c r="I773">
        <v>610</v>
      </c>
      <c r="J773">
        <v>24</v>
      </c>
      <c r="K773">
        <v>3</v>
      </c>
      <c r="L773">
        <v>2</v>
      </c>
      <c r="M773">
        <v>10</v>
      </c>
      <c r="O773" s="3">
        <f t="shared" si="41"/>
        <v>4</v>
      </c>
      <c r="P773">
        <f t="shared" si="42"/>
        <v>1</v>
      </c>
      <c r="Q773">
        <f t="shared" si="43"/>
        <v>0</v>
      </c>
      <c r="S773">
        <v>-5.4840062111801249</v>
      </c>
      <c r="T773">
        <v>-1.125</v>
      </c>
      <c r="U773">
        <v>-6.6304347826086962</v>
      </c>
      <c r="V773">
        <v>-0.8</v>
      </c>
      <c r="W773">
        <v>0</v>
      </c>
      <c r="X773">
        <v>2.0000000000000004</v>
      </c>
      <c r="Y773">
        <v>1.0714285714285714</v>
      </c>
    </row>
    <row r="774" spans="1:25" x14ac:dyDescent="0.2">
      <c r="A774" t="s">
        <v>17</v>
      </c>
      <c r="B774" t="s">
        <v>379</v>
      </c>
      <c r="C774">
        <v>50</v>
      </c>
      <c r="D774">
        <v>10</v>
      </c>
      <c r="E774">
        <v>1</v>
      </c>
      <c r="F774">
        <v>0</v>
      </c>
      <c r="G774">
        <v>0</v>
      </c>
      <c r="H774">
        <v>0</v>
      </c>
      <c r="I774">
        <v>135</v>
      </c>
      <c r="J774">
        <v>8</v>
      </c>
      <c r="K774">
        <v>3</v>
      </c>
      <c r="L774">
        <v>0</v>
      </c>
      <c r="M774">
        <v>2</v>
      </c>
      <c r="O774" s="3">
        <f t="shared" si="41"/>
        <v>4</v>
      </c>
      <c r="P774">
        <f t="shared" si="42"/>
        <v>0</v>
      </c>
      <c r="Q774">
        <f t="shared" si="43"/>
        <v>0</v>
      </c>
      <c r="S774">
        <v>4.0372670807451438E-3</v>
      </c>
      <c r="T774">
        <v>0</v>
      </c>
      <c r="U774">
        <v>-1.4673913043478262</v>
      </c>
      <c r="V774">
        <v>0</v>
      </c>
      <c r="W774">
        <v>0</v>
      </c>
      <c r="X774">
        <v>0.4</v>
      </c>
      <c r="Y774">
        <v>1.0714285714285714</v>
      </c>
    </row>
    <row r="775" spans="1:25" x14ac:dyDescent="0.2">
      <c r="A775" t="s">
        <v>17</v>
      </c>
      <c r="B775" t="s">
        <v>380</v>
      </c>
      <c r="C775">
        <v>250</v>
      </c>
      <c r="D775">
        <v>110</v>
      </c>
      <c r="E775">
        <v>12</v>
      </c>
      <c r="F775">
        <v>4.5</v>
      </c>
      <c r="G775">
        <v>0</v>
      </c>
      <c r="H775">
        <v>25</v>
      </c>
      <c r="I775">
        <v>610</v>
      </c>
      <c r="J775">
        <v>24</v>
      </c>
      <c r="K775">
        <v>3</v>
      </c>
      <c r="L775">
        <v>2</v>
      </c>
      <c r="M775">
        <v>10</v>
      </c>
      <c r="O775" s="3">
        <f t="shared" si="41"/>
        <v>4</v>
      </c>
      <c r="P775">
        <f t="shared" si="42"/>
        <v>1</v>
      </c>
      <c r="Q775">
        <f t="shared" si="43"/>
        <v>0</v>
      </c>
      <c r="S775">
        <v>-5.4840062111801249</v>
      </c>
      <c r="T775">
        <v>-1.125</v>
      </c>
      <c r="U775">
        <v>-6.6304347826086962</v>
      </c>
      <c r="V775">
        <v>-0.8</v>
      </c>
      <c r="W775">
        <v>0</v>
      </c>
      <c r="X775">
        <v>2.0000000000000004</v>
      </c>
      <c r="Y775">
        <v>1.0714285714285714</v>
      </c>
    </row>
    <row r="776" spans="1:25" x14ac:dyDescent="0.2">
      <c r="A776" t="s">
        <v>17</v>
      </c>
      <c r="B776" t="s">
        <v>390</v>
      </c>
      <c r="C776">
        <v>560</v>
      </c>
      <c r="D776">
        <v>280</v>
      </c>
      <c r="E776">
        <v>31</v>
      </c>
      <c r="F776">
        <v>10</v>
      </c>
      <c r="G776">
        <v>0</v>
      </c>
      <c r="H776">
        <v>230</v>
      </c>
      <c r="I776">
        <v>1150</v>
      </c>
      <c r="J776">
        <v>49</v>
      </c>
      <c r="K776">
        <v>4</v>
      </c>
      <c r="L776">
        <v>3</v>
      </c>
      <c r="M776">
        <v>22</v>
      </c>
      <c r="O776" s="3">
        <f t="shared" si="41"/>
        <v>3.9285714285714284</v>
      </c>
      <c r="P776">
        <f t="shared" si="42"/>
        <v>1</v>
      </c>
      <c r="Q776">
        <f t="shared" si="43"/>
        <v>0</v>
      </c>
      <c r="S776">
        <v>-10.37142857142857</v>
      </c>
      <c r="T776">
        <v>-2.5</v>
      </c>
      <c r="U776">
        <v>-12.5</v>
      </c>
      <c r="V776">
        <v>-1.2</v>
      </c>
      <c r="W776">
        <v>0</v>
      </c>
      <c r="X776">
        <v>4.4000000000000004</v>
      </c>
      <c r="Y776">
        <v>1.4285714285714286</v>
      </c>
    </row>
    <row r="777" spans="1:25" x14ac:dyDescent="0.2">
      <c r="A777" t="s">
        <v>17</v>
      </c>
      <c r="B777" t="s">
        <v>403</v>
      </c>
      <c r="C777">
        <v>630</v>
      </c>
      <c r="D777">
        <v>270</v>
      </c>
      <c r="E777">
        <v>30</v>
      </c>
      <c r="F777">
        <v>11</v>
      </c>
      <c r="G777">
        <v>0</v>
      </c>
      <c r="H777">
        <v>60</v>
      </c>
      <c r="I777">
        <v>1370</v>
      </c>
      <c r="J777">
        <v>66</v>
      </c>
      <c r="K777">
        <v>4</v>
      </c>
      <c r="L777">
        <v>4</v>
      </c>
      <c r="M777">
        <v>24</v>
      </c>
      <c r="O777" s="3">
        <f t="shared" si="41"/>
        <v>3.8095238095238098</v>
      </c>
      <c r="P777">
        <f t="shared" si="42"/>
        <v>1</v>
      </c>
      <c r="Q777">
        <f t="shared" si="43"/>
        <v>0</v>
      </c>
      <c r="S777">
        <v>-13.012732919254658</v>
      </c>
      <c r="T777">
        <v>-2.75</v>
      </c>
      <c r="U777">
        <v>-14.891304347826088</v>
      </c>
      <c r="V777">
        <v>-1.6</v>
      </c>
      <c r="W777">
        <v>0</v>
      </c>
      <c r="X777">
        <v>4.8</v>
      </c>
      <c r="Y777">
        <v>1.4285714285714286</v>
      </c>
    </row>
    <row r="778" spans="1:25" x14ac:dyDescent="0.2">
      <c r="A778" t="s">
        <v>17</v>
      </c>
      <c r="B778" t="s">
        <v>415</v>
      </c>
      <c r="C778">
        <v>350</v>
      </c>
      <c r="D778">
        <v>170</v>
      </c>
      <c r="E778">
        <v>18</v>
      </c>
      <c r="F778">
        <v>5</v>
      </c>
      <c r="G778">
        <v>0</v>
      </c>
      <c r="H778">
        <v>25</v>
      </c>
      <c r="I778">
        <v>560</v>
      </c>
      <c r="J778">
        <v>33</v>
      </c>
      <c r="K778">
        <v>4</v>
      </c>
      <c r="L778">
        <v>3</v>
      </c>
      <c r="M778">
        <v>13</v>
      </c>
      <c r="O778" s="3">
        <f t="shared" si="41"/>
        <v>3.7142857142857144</v>
      </c>
      <c r="P778">
        <f t="shared" si="42"/>
        <v>1</v>
      </c>
      <c r="Q778">
        <f t="shared" si="43"/>
        <v>0</v>
      </c>
      <c r="S778">
        <v>-4.5083850931677016</v>
      </c>
      <c r="T778">
        <v>-1.25</v>
      </c>
      <c r="U778">
        <v>-6.0869565217391308</v>
      </c>
      <c r="V778">
        <v>-1.2</v>
      </c>
      <c r="W778">
        <v>0</v>
      </c>
      <c r="X778">
        <v>2.6</v>
      </c>
      <c r="Y778">
        <v>1.4285714285714286</v>
      </c>
    </row>
    <row r="779" spans="1:25" x14ac:dyDescent="0.2">
      <c r="A779" t="s">
        <v>17</v>
      </c>
      <c r="B779" t="s">
        <v>418</v>
      </c>
      <c r="C779">
        <v>350</v>
      </c>
      <c r="D779">
        <v>80</v>
      </c>
      <c r="E779">
        <v>9</v>
      </c>
      <c r="F779">
        <v>3.5</v>
      </c>
      <c r="G779">
        <v>0</v>
      </c>
      <c r="H779">
        <v>5</v>
      </c>
      <c r="I779">
        <v>1000</v>
      </c>
      <c r="J779">
        <v>54</v>
      </c>
      <c r="K779">
        <v>11</v>
      </c>
      <c r="L779">
        <v>3</v>
      </c>
      <c r="M779">
        <v>13</v>
      </c>
      <c r="O779" s="3">
        <f t="shared" si="41"/>
        <v>3.7142857142857144</v>
      </c>
      <c r="P779">
        <f t="shared" si="42"/>
        <v>1</v>
      </c>
      <c r="Q779">
        <f t="shared" si="43"/>
        <v>0</v>
      </c>
      <c r="S779">
        <v>-6.4159937888198755</v>
      </c>
      <c r="T779">
        <v>-0.875</v>
      </c>
      <c r="U779">
        <v>-10.869565217391305</v>
      </c>
      <c r="V779">
        <v>-1.2</v>
      </c>
      <c r="W779">
        <v>0</v>
      </c>
      <c r="X779">
        <v>2.6</v>
      </c>
      <c r="Y779">
        <v>3.9285714285714284</v>
      </c>
    </row>
    <row r="780" spans="1:25" x14ac:dyDescent="0.2">
      <c r="A780" t="s">
        <v>17</v>
      </c>
      <c r="B780" t="s">
        <v>419</v>
      </c>
      <c r="C780">
        <v>350</v>
      </c>
      <c r="D780">
        <v>150</v>
      </c>
      <c r="E780">
        <v>16</v>
      </c>
      <c r="F780">
        <v>4.5</v>
      </c>
      <c r="G780">
        <v>0</v>
      </c>
      <c r="H780">
        <v>115</v>
      </c>
      <c r="I780">
        <v>870</v>
      </c>
      <c r="J780">
        <v>36</v>
      </c>
      <c r="K780">
        <v>2</v>
      </c>
      <c r="L780">
        <v>3</v>
      </c>
      <c r="M780">
        <v>13</v>
      </c>
      <c r="O780" s="3">
        <f t="shared" si="41"/>
        <v>3.7142857142857144</v>
      </c>
      <c r="P780">
        <f t="shared" si="42"/>
        <v>1</v>
      </c>
      <c r="Q780">
        <f t="shared" si="43"/>
        <v>0</v>
      </c>
      <c r="S780">
        <v>-8.4672360248447198</v>
      </c>
      <c r="T780">
        <v>-1.125</v>
      </c>
      <c r="U780">
        <v>-9.4565217391304337</v>
      </c>
      <c r="V780">
        <v>-1.2</v>
      </c>
      <c r="W780">
        <v>0</v>
      </c>
      <c r="X780">
        <v>2.6</v>
      </c>
      <c r="Y780">
        <v>0.7142857142857143</v>
      </c>
    </row>
    <row r="781" spans="1:25" x14ac:dyDescent="0.2">
      <c r="A781" t="s">
        <v>17</v>
      </c>
      <c r="B781" t="s">
        <v>420</v>
      </c>
      <c r="C781">
        <v>570</v>
      </c>
      <c r="D781">
        <v>300</v>
      </c>
      <c r="E781">
        <v>33</v>
      </c>
      <c r="F781">
        <v>10</v>
      </c>
      <c r="G781">
        <v>0</v>
      </c>
      <c r="H781">
        <v>135</v>
      </c>
      <c r="I781">
        <v>1270</v>
      </c>
      <c r="J781">
        <v>49</v>
      </c>
      <c r="K781">
        <v>4</v>
      </c>
      <c r="L781">
        <v>2</v>
      </c>
      <c r="M781">
        <v>21</v>
      </c>
      <c r="O781" s="3">
        <f t="shared" si="41"/>
        <v>3.6842105263157889</v>
      </c>
      <c r="P781">
        <f t="shared" si="42"/>
        <v>1</v>
      </c>
      <c r="Q781">
        <f t="shared" si="43"/>
        <v>0</v>
      </c>
      <c r="S781">
        <v>-11.47577639751553</v>
      </c>
      <c r="T781">
        <v>-2.5</v>
      </c>
      <c r="U781">
        <v>-13.804347826086957</v>
      </c>
      <c r="V781">
        <v>-0.8</v>
      </c>
      <c r="W781">
        <v>0</v>
      </c>
      <c r="X781">
        <v>4.2</v>
      </c>
      <c r="Y781">
        <v>1.4285714285714286</v>
      </c>
    </row>
    <row r="782" spans="1:25" x14ac:dyDescent="0.2">
      <c r="A782" t="s">
        <v>17</v>
      </c>
      <c r="B782" t="s">
        <v>421</v>
      </c>
      <c r="C782">
        <v>490</v>
      </c>
      <c r="D782">
        <v>160</v>
      </c>
      <c r="E782">
        <v>18</v>
      </c>
      <c r="F782">
        <v>7</v>
      </c>
      <c r="G782">
        <v>0</v>
      </c>
      <c r="H782">
        <v>30</v>
      </c>
      <c r="I782">
        <v>1250</v>
      </c>
      <c r="J782">
        <v>63</v>
      </c>
      <c r="K782">
        <v>9</v>
      </c>
      <c r="L782">
        <v>5</v>
      </c>
      <c r="M782">
        <v>18</v>
      </c>
      <c r="O782" s="3">
        <f t="shared" si="41"/>
        <v>3.6734693877551026</v>
      </c>
      <c r="P782">
        <f t="shared" si="42"/>
        <v>1</v>
      </c>
      <c r="Q782">
        <f t="shared" si="43"/>
        <v>0</v>
      </c>
      <c r="S782">
        <v>-10.522670807453414</v>
      </c>
      <c r="T782">
        <v>-1.75</v>
      </c>
      <c r="U782">
        <v>-13.586956521739129</v>
      </c>
      <c r="V782">
        <v>-2.0000000000000004</v>
      </c>
      <c r="W782">
        <v>0</v>
      </c>
      <c r="X782">
        <v>3.5999999999999996</v>
      </c>
      <c r="Y782">
        <v>3.2142857142857149</v>
      </c>
    </row>
    <row r="783" spans="1:25" x14ac:dyDescent="0.2">
      <c r="A783" t="s">
        <v>17</v>
      </c>
      <c r="B783" t="s">
        <v>425</v>
      </c>
      <c r="C783">
        <v>660</v>
      </c>
      <c r="D783">
        <v>350</v>
      </c>
      <c r="E783">
        <v>38</v>
      </c>
      <c r="F783">
        <v>12</v>
      </c>
      <c r="G783">
        <v>0</v>
      </c>
      <c r="H783">
        <v>145</v>
      </c>
      <c r="I783">
        <v>1300</v>
      </c>
      <c r="J783">
        <v>51</v>
      </c>
      <c r="K783">
        <v>4</v>
      </c>
      <c r="L783">
        <v>3</v>
      </c>
      <c r="M783">
        <v>24</v>
      </c>
      <c r="O783" s="3">
        <f t="shared" si="41"/>
        <v>3.6363636363636362</v>
      </c>
      <c r="P783">
        <f t="shared" si="42"/>
        <v>1</v>
      </c>
      <c r="Q783">
        <f t="shared" si="43"/>
        <v>0</v>
      </c>
      <c r="S783">
        <v>-12.101863354037265</v>
      </c>
      <c r="T783">
        <v>-3</v>
      </c>
      <c r="U783">
        <v>-14.130434782608695</v>
      </c>
      <c r="V783">
        <v>-1.2</v>
      </c>
      <c r="W783">
        <v>0</v>
      </c>
      <c r="X783">
        <v>4.8</v>
      </c>
      <c r="Y783">
        <v>1.4285714285714286</v>
      </c>
    </row>
    <row r="784" spans="1:25" x14ac:dyDescent="0.2">
      <c r="A784" t="s">
        <v>17</v>
      </c>
      <c r="B784" t="s">
        <v>446</v>
      </c>
      <c r="C784">
        <v>650</v>
      </c>
      <c r="D784">
        <v>300</v>
      </c>
      <c r="E784">
        <v>33</v>
      </c>
      <c r="F784">
        <v>12</v>
      </c>
      <c r="G784">
        <v>0.5</v>
      </c>
      <c r="H784">
        <v>55</v>
      </c>
      <c r="I784">
        <v>1390</v>
      </c>
      <c r="J784">
        <v>67</v>
      </c>
      <c r="K784">
        <v>6</v>
      </c>
      <c r="L784">
        <v>5</v>
      </c>
      <c r="M784">
        <v>22</v>
      </c>
      <c r="O784" s="3">
        <f t="shared" si="41"/>
        <v>3.3846153846153846</v>
      </c>
      <c r="P784">
        <f t="shared" si="42"/>
        <v>1</v>
      </c>
      <c r="Q784">
        <f t="shared" si="43"/>
        <v>0</v>
      </c>
      <c r="S784">
        <v>-13.56633850931677</v>
      </c>
      <c r="T784">
        <v>-3</v>
      </c>
      <c r="U784">
        <v>-15.108695652173912</v>
      </c>
      <c r="V784">
        <v>-2.0000000000000004</v>
      </c>
      <c r="W784">
        <v>-5.0000000000000001E-4</v>
      </c>
      <c r="X784">
        <v>4.4000000000000004</v>
      </c>
      <c r="Y784">
        <v>2.1428571428571428</v>
      </c>
    </row>
    <row r="785" spans="1:25" x14ac:dyDescent="0.2">
      <c r="A785" t="s">
        <v>17</v>
      </c>
      <c r="B785" t="s">
        <v>462</v>
      </c>
      <c r="C785">
        <v>340</v>
      </c>
      <c r="D785">
        <v>160</v>
      </c>
      <c r="E785">
        <v>17</v>
      </c>
      <c r="F785">
        <v>5</v>
      </c>
      <c r="G785">
        <v>0</v>
      </c>
      <c r="H785">
        <v>110</v>
      </c>
      <c r="I785">
        <v>730</v>
      </c>
      <c r="J785">
        <v>36</v>
      </c>
      <c r="K785">
        <v>2</v>
      </c>
      <c r="L785">
        <v>3</v>
      </c>
      <c r="M785">
        <v>11</v>
      </c>
      <c r="O785" s="3">
        <f t="shared" si="41"/>
        <v>3.2352941176470593</v>
      </c>
      <c r="P785">
        <f t="shared" si="42"/>
        <v>1</v>
      </c>
      <c r="Q785">
        <f t="shared" si="43"/>
        <v>0</v>
      </c>
      <c r="S785">
        <v>-7.4704968944099379</v>
      </c>
      <c r="T785">
        <v>-1.25</v>
      </c>
      <c r="U785">
        <v>-7.9347826086956523</v>
      </c>
      <c r="V785">
        <v>-1.2</v>
      </c>
      <c r="W785">
        <v>0</v>
      </c>
      <c r="X785">
        <v>2.2000000000000002</v>
      </c>
      <c r="Y785">
        <v>0.7142857142857143</v>
      </c>
    </row>
    <row r="786" spans="1:25" x14ac:dyDescent="0.2">
      <c r="A786" t="s">
        <v>17</v>
      </c>
      <c r="B786" t="s">
        <v>473</v>
      </c>
      <c r="C786">
        <v>570</v>
      </c>
      <c r="D786">
        <v>300</v>
      </c>
      <c r="E786">
        <v>34</v>
      </c>
      <c r="F786">
        <v>10</v>
      </c>
      <c r="G786">
        <v>0</v>
      </c>
      <c r="H786">
        <v>130</v>
      </c>
      <c r="I786">
        <v>1130</v>
      </c>
      <c r="J786">
        <v>49</v>
      </c>
      <c r="K786">
        <v>4</v>
      </c>
      <c r="L786">
        <v>2</v>
      </c>
      <c r="M786">
        <v>18</v>
      </c>
      <c r="O786" s="3">
        <f t="shared" si="41"/>
        <v>3.1578947368421053</v>
      </c>
      <c r="P786">
        <f t="shared" si="42"/>
        <v>1</v>
      </c>
      <c r="Q786">
        <f t="shared" si="43"/>
        <v>0</v>
      </c>
      <c r="S786">
        <v>-10.554037267080746</v>
      </c>
      <c r="T786">
        <v>-2.5</v>
      </c>
      <c r="U786">
        <v>-12.282608695652174</v>
      </c>
      <c r="V786">
        <v>-0.8</v>
      </c>
      <c r="W786">
        <v>0</v>
      </c>
      <c r="X786">
        <v>3.5999999999999996</v>
      </c>
      <c r="Y786">
        <v>1.4285714285714286</v>
      </c>
    </row>
    <row r="787" spans="1:25" x14ac:dyDescent="0.2">
      <c r="A787" t="s">
        <v>17</v>
      </c>
      <c r="B787" t="s">
        <v>475</v>
      </c>
      <c r="C787">
        <v>670</v>
      </c>
      <c r="D787">
        <v>370</v>
      </c>
      <c r="E787">
        <v>41</v>
      </c>
      <c r="F787">
        <v>12</v>
      </c>
      <c r="G787">
        <v>0</v>
      </c>
      <c r="H787">
        <v>140</v>
      </c>
      <c r="I787">
        <v>1270</v>
      </c>
      <c r="J787">
        <v>50</v>
      </c>
      <c r="K787">
        <v>4</v>
      </c>
      <c r="L787">
        <v>3</v>
      </c>
      <c r="M787">
        <v>21</v>
      </c>
      <c r="O787" s="3">
        <f t="shared" si="41"/>
        <v>3.1343283582089549</v>
      </c>
      <c r="P787">
        <f t="shared" si="42"/>
        <v>1</v>
      </c>
      <c r="Q787">
        <f t="shared" si="43"/>
        <v>0</v>
      </c>
      <c r="S787">
        <v>-12.375776397515528</v>
      </c>
      <c r="T787">
        <v>-3</v>
      </c>
      <c r="U787">
        <v>-13.804347826086957</v>
      </c>
      <c r="V787">
        <v>-1.2</v>
      </c>
      <c r="W787">
        <v>0</v>
      </c>
      <c r="X787">
        <v>4.2</v>
      </c>
      <c r="Y787">
        <v>1.4285714285714286</v>
      </c>
    </row>
    <row r="788" spans="1:25" x14ac:dyDescent="0.2">
      <c r="A788" t="s">
        <v>17</v>
      </c>
      <c r="B788" t="s">
        <v>489</v>
      </c>
      <c r="C788">
        <v>330</v>
      </c>
      <c r="D788">
        <v>140</v>
      </c>
      <c r="E788">
        <v>15</v>
      </c>
      <c r="F788">
        <v>3</v>
      </c>
      <c r="G788">
        <v>0</v>
      </c>
      <c r="H788">
        <v>10</v>
      </c>
      <c r="I788">
        <v>430</v>
      </c>
      <c r="J788">
        <v>39</v>
      </c>
      <c r="K788">
        <v>5</v>
      </c>
      <c r="L788">
        <v>3</v>
      </c>
      <c r="M788">
        <v>10</v>
      </c>
      <c r="O788" s="3">
        <f t="shared" si="41"/>
        <v>3.0303030303030303</v>
      </c>
      <c r="P788">
        <f t="shared" si="42"/>
        <v>0</v>
      </c>
      <c r="Q788">
        <f t="shared" si="43"/>
        <v>0</v>
      </c>
      <c r="S788">
        <v>-2.8381987577639749</v>
      </c>
      <c r="T788">
        <v>-0.75</v>
      </c>
      <c r="U788">
        <v>-4.6739130434782608</v>
      </c>
      <c r="V788">
        <v>-1.2</v>
      </c>
      <c r="W788">
        <v>0</v>
      </c>
      <c r="X788">
        <v>2.0000000000000004</v>
      </c>
      <c r="Y788">
        <v>1.785714285714286</v>
      </c>
    </row>
    <row r="789" spans="1:25" x14ac:dyDescent="0.2">
      <c r="A789" t="s">
        <v>17</v>
      </c>
      <c r="B789" t="s">
        <v>490</v>
      </c>
      <c r="C789">
        <v>530</v>
      </c>
      <c r="D789">
        <v>190</v>
      </c>
      <c r="E789">
        <v>21</v>
      </c>
      <c r="F789">
        <v>6</v>
      </c>
      <c r="G789">
        <v>0</v>
      </c>
      <c r="H789">
        <v>25</v>
      </c>
      <c r="I789">
        <v>1200</v>
      </c>
      <c r="J789">
        <v>71</v>
      </c>
      <c r="K789">
        <v>6</v>
      </c>
      <c r="L789">
        <v>6</v>
      </c>
      <c r="M789">
        <v>16</v>
      </c>
      <c r="O789" s="3">
        <f t="shared" si="41"/>
        <v>3.0188679245283021</v>
      </c>
      <c r="P789">
        <f t="shared" si="42"/>
        <v>1</v>
      </c>
      <c r="Q789">
        <f t="shared" si="43"/>
        <v>0</v>
      </c>
      <c r="S789">
        <v>-11.600621118012423</v>
      </c>
      <c r="T789">
        <v>-1.5</v>
      </c>
      <c r="U789">
        <v>-13.043478260869565</v>
      </c>
      <c r="V789">
        <v>-2.4</v>
      </c>
      <c r="W789">
        <v>0</v>
      </c>
      <c r="X789">
        <v>3.2</v>
      </c>
      <c r="Y789">
        <v>2.1428571428571428</v>
      </c>
    </row>
    <row r="790" spans="1:25" x14ac:dyDescent="0.2">
      <c r="A790" t="s">
        <v>17</v>
      </c>
      <c r="B790" t="s">
        <v>494</v>
      </c>
      <c r="C790">
        <v>630</v>
      </c>
      <c r="D790">
        <v>270</v>
      </c>
      <c r="E790">
        <v>29</v>
      </c>
      <c r="F790">
        <v>10</v>
      </c>
      <c r="G790">
        <v>0</v>
      </c>
      <c r="H790">
        <v>35</v>
      </c>
      <c r="I790">
        <v>1260</v>
      </c>
      <c r="J790">
        <v>73</v>
      </c>
      <c r="K790">
        <v>7</v>
      </c>
      <c r="L790">
        <v>5</v>
      </c>
      <c r="M790">
        <v>19</v>
      </c>
      <c r="O790" s="3">
        <f t="shared" si="41"/>
        <v>3.0158730158730158</v>
      </c>
      <c r="P790">
        <f t="shared" si="42"/>
        <v>1</v>
      </c>
      <c r="Q790">
        <f t="shared" si="43"/>
        <v>0</v>
      </c>
      <c r="S790">
        <v>-11.895652173913042</v>
      </c>
      <c r="T790">
        <v>-2.5</v>
      </c>
      <c r="U790">
        <v>-13.695652173913043</v>
      </c>
      <c r="V790">
        <v>-2.0000000000000004</v>
      </c>
      <c r="W790">
        <v>0</v>
      </c>
      <c r="X790">
        <v>3.8000000000000007</v>
      </c>
      <c r="Y790">
        <v>2.5</v>
      </c>
    </row>
    <row r="791" spans="1:25" x14ac:dyDescent="0.2">
      <c r="A791" t="s">
        <v>17</v>
      </c>
      <c r="B791" t="s">
        <v>500</v>
      </c>
      <c r="C791">
        <v>340</v>
      </c>
      <c r="D791">
        <v>130</v>
      </c>
      <c r="E791">
        <v>14</v>
      </c>
      <c r="F791">
        <v>3.5</v>
      </c>
      <c r="G791">
        <v>0</v>
      </c>
      <c r="H791">
        <v>100</v>
      </c>
      <c r="I791">
        <v>750</v>
      </c>
      <c r="J791">
        <v>43</v>
      </c>
      <c r="K791">
        <v>3</v>
      </c>
      <c r="L791">
        <v>3</v>
      </c>
      <c r="M791">
        <v>10</v>
      </c>
      <c r="O791" s="3">
        <f t="shared" ref="O791:O854" si="44">M791/C791*100</f>
        <v>2.9411764705882351</v>
      </c>
      <c r="P791">
        <f t="shared" si="42"/>
        <v>1</v>
      </c>
      <c r="Q791">
        <f t="shared" si="43"/>
        <v>0</v>
      </c>
      <c r="S791">
        <v>-7.1557453416149066</v>
      </c>
      <c r="T791">
        <v>-0.875</v>
      </c>
      <c r="U791">
        <v>-8.1521739130434785</v>
      </c>
      <c r="V791">
        <v>-1.2</v>
      </c>
      <c r="W791">
        <v>0</v>
      </c>
      <c r="X791">
        <v>2.0000000000000004</v>
      </c>
      <c r="Y791">
        <v>1.0714285714285714</v>
      </c>
    </row>
    <row r="792" spans="1:25" x14ac:dyDescent="0.2">
      <c r="A792" t="s">
        <v>17</v>
      </c>
      <c r="B792" t="s">
        <v>502</v>
      </c>
      <c r="C792">
        <v>720</v>
      </c>
      <c r="D792">
        <v>430</v>
      </c>
      <c r="E792">
        <v>47</v>
      </c>
      <c r="F792">
        <v>15</v>
      </c>
      <c r="G792">
        <v>0</v>
      </c>
      <c r="H792">
        <v>145</v>
      </c>
      <c r="I792">
        <v>1210</v>
      </c>
      <c r="J792">
        <v>51</v>
      </c>
      <c r="K792">
        <v>4</v>
      </c>
      <c r="L792">
        <v>3</v>
      </c>
      <c r="M792">
        <v>21</v>
      </c>
      <c r="O792" s="3">
        <f t="shared" si="44"/>
        <v>2.9166666666666665</v>
      </c>
      <c r="P792">
        <f t="shared" si="42"/>
        <v>1</v>
      </c>
      <c r="Q792">
        <f t="shared" si="43"/>
        <v>0</v>
      </c>
      <c r="S792">
        <v>-12.473602484472048</v>
      </c>
      <c r="T792">
        <v>-3.75</v>
      </c>
      <c r="U792">
        <v>-13.152173913043477</v>
      </c>
      <c r="V792">
        <v>-1.2</v>
      </c>
      <c r="W792">
        <v>0</v>
      </c>
      <c r="X792">
        <v>4.2</v>
      </c>
      <c r="Y792">
        <v>1.4285714285714286</v>
      </c>
    </row>
    <row r="793" spans="1:25" x14ac:dyDescent="0.2">
      <c r="A793" t="s">
        <v>17</v>
      </c>
      <c r="B793" t="s">
        <v>519</v>
      </c>
      <c r="C793">
        <v>430</v>
      </c>
      <c r="D793">
        <v>160</v>
      </c>
      <c r="E793">
        <v>17</v>
      </c>
      <c r="F793">
        <v>5</v>
      </c>
      <c r="G793">
        <v>0</v>
      </c>
      <c r="H793">
        <v>20</v>
      </c>
      <c r="I793">
        <v>810</v>
      </c>
      <c r="J793">
        <v>57</v>
      </c>
      <c r="K793">
        <v>10</v>
      </c>
      <c r="L793">
        <v>2</v>
      </c>
      <c r="M793">
        <v>12</v>
      </c>
      <c r="O793" s="3">
        <f t="shared" si="44"/>
        <v>2.7906976744186047</v>
      </c>
      <c r="P793">
        <f t="shared" si="42"/>
        <v>1</v>
      </c>
      <c r="Q793">
        <f t="shared" si="43"/>
        <v>0</v>
      </c>
      <c r="S793">
        <v>-4.8829192546583853</v>
      </c>
      <c r="T793">
        <v>-1.25</v>
      </c>
      <c r="U793">
        <v>-8.804347826086957</v>
      </c>
      <c r="V793">
        <v>-0.8</v>
      </c>
      <c r="W793">
        <v>0</v>
      </c>
      <c r="X793">
        <v>2.4</v>
      </c>
      <c r="Y793">
        <v>3.5714285714285721</v>
      </c>
    </row>
    <row r="794" spans="1:25" x14ac:dyDescent="0.2">
      <c r="A794" t="s">
        <v>17</v>
      </c>
      <c r="B794" t="s">
        <v>520</v>
      </c>
      <c r="C794">
        <v>430</v>
      </c>
      <c r="D794">
        <v>170</v>
      </c>
      <c r="E794">
        <v>19</v>
      </c>
      <c r="F794">
        <v>5</v>
      </c>
      <c r="G794">
        <v>0</v>
      </c>
      <c r="H794">
        <v>20</v>
      </c>
      <c r="I794">
        <v>970</v>
      </c>
      <c r="J794">
        <v>51</v>
      </c>
      <c r="K794">
        <v>4</v>
      </c>
      <c r="L794">
        <v>3</v>
      </c>
      <c r="M794">
        <v>12</v>
      </c>
      <c r="O794" s="3">
        <f t="shared" si="44"/>
        <v>2.7906976744186047</v>
      </c>
      <c r="P794">
        <f t="shared" si="42"/>
        <v>1</v>
      </c>
      <c r="Q794">
        <f t="shared" si="43"/>
        <v>0</v>
      </c>
      <c r="S794">
        <v>-9.1649068322981364</v>
      </c>
      <c r="T794">
        <v>-1.25</v>
      </c>
      <c r="U794">
        <v>-10.543478260869566</v>
      </c>
      <c r="V794">
        <v>-1.2</v>
      </c>
      <c r="W794">
        <v>0</v>
      </c>
      <c r="X794">
        <v>2.4</v>
      </c>
      <c r="Y794">
        <v>1.4285714285714286</v>
      </c>
    </row>
    <row r="795" spans="1:25" x14ac:dyDescent="0.2">
      <c r="A795" t="s">
        <v>17</v>
      </c>
      <c r="B795" t="s">
        <v>522</v>
      </c>
      <c r="C795">
        <v>430</v>
      </c>
      <c r="D795">
        <v>160</v>
      </c>
      <c r="E795">
        <v>17</v>
      </c>
      <c r="F795">
        <v>5</v>
      </c>
      <c r="G795">
        <v>0</v>
      </c>
      <c r="H795">
        <v>20</v>
      </c>
      <c r="I795">
        <v>810</v>
      </c>
      <c r="J795">
        <v>57</v>
      </c>
      <c r="K795">
        <v>10</v>
      </c>
      <c r="L795">
        <v>2</v>
      </c>
      <c r="M795">
        <v>12</v>
      </c>
      <c r="O795" s="3">
        <f t="shared" si="44"/>
        <v>2.7906976744186047</v>
      </c>
      <c r="P795">
        <f t="shared" si="42"/>
        <v>1</v>
      </c>
      <c r="Q795">
        <f t="shared" si="43"/>
        <v>0</v>
      </c>
      <c r="S795">
        <v>-4.8829192546583853</v>
      </c>
      <c r="T795">
        <v>-1.25</v>
      </c>
      <c r="U795">
        <v>-8.804347826086957</v>
      </c>
      <c r="V795">
        <v>-0.8</v>
      </c>
      <c r="W795">
        <v>0</v>
      </c>
      <c r="X795">
        <v>2.4</v>
      </c>
      <c r="Y795">
        <v>3.5714285714285721</v>
      </c>
    </row>
    <row r="796" spans="1:25" x14ac:dyDescent="0.2">
      <c r="A796" t="s">
        <v>17</v>
      </c>
      <c r="B796" t="s">
        <v>539</v>
      </c>
      <c r="C796">
        <v>720</v>
      </c>
      <c r="D796">
        <v>320</v>
      </c>
      <c r="E796">
        <v>36</v>
      </c>
      <c r="F796">
        <v>6</v>
      </c>
      <c r="G796">
        <v>0</v>
      </c>
      <c r="H796">
        <v>30</v>
      </c>
      <c r="I796">
        <v>1030</v>
      </c>
      <c r="J796">
        <v>81</v>
      </c>
      <c r="K796">
        <v>14</v>
      </c>
      <c r="L796">
        <v>5</v>
      </c>
      <c r="M796">
        <v>19</v>
      </c>
      <c r="O796" s="3">
        <f t="shared" si="44"/>
        <v>2.6388888888888888</v>
      </c>
      <c r="P796">
        <f t="shared" si="42"/>
        <v>1</v>
      </c>
      <c r="Q796">
        <f t="shared" si="43"/>
        <v>0</v>
      </c>
      <c r="S796">
        <v>-5.8956521739130441</v>
      </c>
      <c r="T796">
        <v>-1.5</v>
      </c>
      <c r="U796">
        <v>-11.195652173913045</v>
      </c>
      <c r="V796">
        <v>-2.0000000000000004</v>
      </c>
      <c r="W796">
        <v>0</v>
      </c>
      <c r="X796">
        <v>3.8000000000000007</v>
      </c>
      <c r="Y796">
        <v>5</v>
      </c>
    </row>
    <row r="797" spans="1:25" x14ac:dyDescent="0.2">
      <c r="A797" t="s">
        <v>17</v>
      </c>
      <c r="B797" t="s">
        <v>556</v>
      </c>
      <c r="C797">
        <v>510</v>
      </c>
      <c r="D797">
        <v>160</v>
      </c>
      <c r="E797">
        <v>17</v>
      </c>
      <c r="F797">
        <v>4.5</v>
      </c>
      <c r="G797">
        <v>0</v>
      </c>
      <c r="H797">
        <v>5</v>
      </c>
      <c r="I797">
        <v>1080</v>
      </c>
      <c r="J797">
        <v>77</v>
      </c>
      <c r="K797">
        <v>8</v>
      </c>
      <c r="L797">
        <v>6</v>
      </c>
      <c r="M797">
        <v>13</v>
      </c>
      <c r="O797" s="3">
        <f t="shared" si="44"/>
        <v>2.5490196078431371</v>
      </c>
      <c r="P797">
        <f t="shared" si="42"/>
        <v>1</v>
      </c>
      <c r="Q797">
        <f t="shared" si="43"/>
        <v>0</v>
      </c>
      <c r="S797">
        <v>-9.8069875776397524</v>
      </c>
      <c r="T797">
        <v>-1.125</v>
      </c>
      <c r="U797">
        <v>-11.739130434782609</v>
      </c>
      <c r="V797">
        <v>-2.4</v>
      </c>
      <c r="W797">
        <v>0</v>
      </c>
      <c r="X797">
        <v>2.6</v>
      </c>
      <c r="Y797">
        <v>2.8571428571428572</v>
      </c>
    </row>
    <row r="798" spans="1:25" x14ac:dyDescent="0.2">
      <c r="A798" t="s">
        <v>17</v>
      </c>
      <c r="B798" t="s">
        <v>573</v>
      </c>
      <c r="C798">
        <v>420</v>
      </c>
      <c r="D798">
        <v>140</v>
      </c>
      <c r="E798">
        <v>16</v>
      </c>
      <c r="F798">
        <v>4</v>
      </c>
      <c r="G798">
        <v>0</v>
      </c>
      <c r="H798">
        <v>0</v>
      </c>
      <c r="I798">
        <v>880</v>
      </c>
      <c r="J798">
        <v>56</v>
      </c>
      <c r="K798">
        <v>7</v>
      </c>
      <c r="L798">
        <v>3</v>
      </c>
      <c r="M798">
        <v>10</v>
      </c>
      <c r="O798" s="3">
        <f t="shared" si="44"/>
        <v>2.3809523809523809</v>
      </c>
      <c r="P798">
        <f t="shared" si="42"/>
        <v>1</v>
      </c>
      <c r="Q798">
        <f t="shared" si="43"/>
        <v>0</v>
      </c>
      <c r="S798">
        <v>-7.265217391304347</v>
      </c>
      <c r="T798">
        <v>-1</v>
      </c>
      <c r="U798">
        <v>-9.5652173913043477</v>
      </c>
      <c r="V798">
        <v>-1.2</v>
      </c>
      <c r="W798">
        <v>0</v>
      </c>
      <c r="X798">
        <v>2.0000000000000004</v>
      </c>
      <c r="Y798">
        <v>2.5</v>
      </c>
    </row>
    <row r="799" spans="1:25" x14ac:dyDescent="0.2">
      <c r="A799" t="s">
        <v>17</v>
      </c>
      <c r="B799" t="s">
        <v>579</v>
      </c>
      <c r="C799">
        <v>170</v>
      </c>
      <c r="D799">
        <v>30</v>
      </c>
      <c r="E799">
        <v>3.5</v>
      </c>
      <c r="F799">
        <v>0</v>
      </c>
      <c r="G799">
        <v>0</v>
      </c>
      <c r="H799">
        <v>0</v>
      </c>
      <c r="I799">
        <v>320</v>
      </c>
      <c r="J799">
        <v>31</v>
      </c>
      <c r="K799">
        <v>4</v>
      </c>
      <c r="L799">
        <v>0</v>
      </c>
      <c r="M799">
        <v>4</v>
      </c>
      <c r="O799" s="3">
        <f t="shared" si="44"/>
        <v>2.3529411764705883</v>
      </c>
      <c r="P799">
        <f t="shared" si="42"/>
        <v>0</v>
      </c>
      <c r="Q799">
        <f t="shared" si="43"/>
        <v>0</v>
      </c>
      <c r="S799">
        <v>-1.2496894409937884</v>
      </c>
      <c r="T799">
        <v>0</v>
      </c>
      <c r="U799">
        <v>-3.4782608695652173</v>
      </c>
      <c r="V799">
        <v>0</v>
      </c>
      <c r="W799">
        <v>0</v>
      </c>
      <c r="X799">
        <v>0.8</v>
      </c>
      <c r="Y799">
        <v>1.4285714285714286</v>
      </c>
    </row>
    <row r="800" spans="1:25" x14ac:dyDescent="0.2">
      <c r="A800" t="s">
        <v>17</v>
      </c>
      <c r="B800" t="s">
        <v>608</v>
      </c>
      <c r="C800">
        <v>740</v>
      </c>
      <c r="D800">
        <v>340</v>
      </c>
      <c r="E800">
        <v>38</v>
      </c>
      <c r="F800">
        <v>7</v>
      </c>
      <c r="G800">
        <v>0</v>
      </c>
      <c r="H800">
        <v>25</v>
      </c>
      <c r="I800">
        <v>1050</v>
      </c>
      <c r="J800">
        <v>82</v>
      </c>
      <c r="K800">
        <v>15</v>
      </c>
      <c r="L800">
        <v>5</v>
      </c>
      <c r="M800">
        <v>16</v>
      </c>
      <c r="O800" s="3">
        <f t="shared" si="44"/>
        <v>2.1621621621621623</v>
      </c>
      <c r="P800">
        <f t="shared" si="42"/>
        <v>1</v>
      </c>
      <c r="Q800">
        <f t="shared" si="43"/>
        <v>0</v>
      </c>
      <c r="S800">
        <v>-6.6059006211180105</v>
      </c>
      <c r="T800">
        <v>-1.75</v>
      </c>
      <c r="U800">
        <v>-11.413043478260869</v>
      </c>
      <c r="V800">
        <v>-2.0000000000000004</v>
      </c>
      <c r="W800">
        <v>0</v>
      </c>
      <c r="X800">
        <v>3.2</v>
      </c>
      <c r="Y800">
        <v>5.3571428571428577</v>
      </c>
    </row>
    <row r="801" spans="1:25" x14ac:dyDescent="0.2">
      <c r="A801" t="s">
        <v>17</v>
      </c>
      <c r="B801" t="s">
        <v>640</v>
      </c>
      <c r="C801">
        <v>710</v>
      </c>
      <c r="D801">
        <v>360</v>
      </c>
      <c r="E801">
        <v>40</v>
      </c>
      <c r="F801">
        <v>6</v>
      </c>
      <c r="G801">
        <v>0</v>
      </c>
      <c r="H801">
        <v>30</v>
      </c>
      <c r="I801">
        <v>1440</v>
      </c>
      <c r="J801">
        <v>73</v>
      </c>
      <c r="K801">
        <v>10</v>
      </c>
      <c r="L801">
        <v>4</v>
      </c>
      <c r="M801">
        <v>13</v>
      </c>
      <c r="O801" s="3">
        <f t="shared" si="44"/>
        <v>1.8309859154929577</v>
      </c>
      <c r="P801">
        <f t="shared" si="42"/>
        <v>1</v>
      </c>
      <c r="Q801">
        <f t="shared" si="43"/>
        <v>0</v>
      </c>
      <c r="S801">
        <v>-12.580745341614907</v>
      </c>
      <c r="T801">
        <v>-1.5</v>
      </c>
      <c r="U801">
        <v>-15.65217391304348</v>
      </c>
      <c r="V801">
        <v>-1.6</v>
      </c>
      <c r="W801">
        <v>0</v>
      </c>
      <c r="X801">
        <v>2.6</v>
      </c>
      <c r="Y801">
        <v>3.5714285714285721</v>
      </c>
    </row>
    <row r="802" spans="1:25" x14ac:dyDescent="0.2">
      <c r="A802" t="s">
        <v>17</v>
      </c>
      <c r="B802" t="s">
        <v>667</v>
      </c>
      <c r="C802">
        <v>140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20</v>
      </c>
      <c r="J802">
        <v>33</v>
      </c>
      <c r="K802" s="2">
        <v>0</v>
      </c>
      <c r="L802">
        <v>28</v>
      </c>
      <c r="M802">
        <v>2</v>
      </c>
      <c r="O802" s="3">
        <f t="shared" si="44"/>
        <v>1.4285714285714286</v>
      </c>
      <c r="P802">
        <f t="shared" si="42"/>
        <v>0</v>
      </c>
      <c r="Q802">
        <f t="shared" si="43"/>
        <v>0</v>
      </c>
      <c r="S802">
        <v>-11.017391304347827</v>
      </c>
      <c r="T802">
        <v>0</v>
      </c>
      <c r="U802">
        <v>-0.21739130434782608</v>
      </c>
      <c r="V802">
        <v>-11.200000000000001</v>
      </c>
      <c r="W802">
        <v>0</v>
      </c>
      <c r="X802">
        <v>0.4</v>
      </c>
      <c r="Y802">
        <v>0</v>
      </c>
    </row>
    <row r="803" spans="1:25" x14ac:dyDescent="0.2">
      <c r="A803" t="s">
        <v>17</v>
      </c>
      <c r="B803" t="s">
        <v>689</v>
      </c>
      <c r="C803">
        <v>320</v>
      </c>
      <c r="D803">
        <v>160</v>
      </c>
      <c r="E803">
        <v>18</v>
      </c>
      <c r="F803">
        <v>1.5</v>
      </c>
      <c r="G803">
        <v>0</v>
      </c>
      <c r="H803">
        <v>0</v>
      </c>
      <c r="I803">
        <v>630</v>
      </c>
      <c r="J803">
        <v>35</v>
      </c>
      <c r="K803">
        <v>4</v>
      </c>
      <c r="L803">
        <v>2</v>
      </c>
      <c r="M803">
        <v>4</v>
      </c>
      <c r="O803" s="3">
        <f t="shared" si="44"/>
        <v>1.25</v>
      </c>
      <c r="P803">
        <f t="shared" si="42"/>
        <v>1</v>
      </c>
      <c r="Q803">
        <f t="shared" si="43"/>
        <v>0</v>
      </c>
      <c r="S803">
        <v>-5.7942546583850936</v>
      </c>
      <c r="T803">
        <v>-0.375</v>
      </c>
      <c r="U803">
        <v>-6.8478260869565215</v>
      </c>
      <c r="V803">
        <v>-0.8</v>
      </c>
      <c r="W803">
        <v>0</v>
      </c>
      <c r="X803">
        <v>0.8</v>
      </c>
      <c r="Y803">
        <v>1.4285714285714286</v>
      </c>
    </row>
    <row r="804" spans="1:25" x14ac:dyDescent="0.2">
      <c r="A804" t="s">
        <v>17</v>
      </c>
      <c r="B804" t="s">
        <v>691</v>
      </c>
      <c r="C804">
        <v>160</v>
      </c>
      <c r="D804">
        <v>80</v>
      </c>
      <c r="E804">
        <v>9</v>
      </c>
      <c r="F804">
        <v>2</v>
      </c>
      <c r="G804">
        <v>0</v>
      </c>
      <c r="H804">
        <v>5</v>
      </c>
      <c r="I804">
        <v>80</v>
      </c>
      <c r="J804">
        <v>17</v>
      </c>
      <c r="K804">
        <v>0</v>
      </c>
      <c r="L804">
        <v>10</v>
      </c>
      <c r="M804">
        <v>2</v>
      </c>
      <c r="O804" s="3">
        <f t="shared" si="44"/>
        <v>1.25</v>
      </c>
      <c r="P804">
        <f t="shared" si="42"/>
        <v>0</v>
      </c>
      <c r="Q804">
        <f t="shared" si="43"/>
        <v>0</v>
      </c>
      <c r="S804">
        <v>-4.9695652173913043</v>
      </c>
      <c r="T804">
        <v>-0.5</v>
      </c>
      <c r="U804">
        <v>-0.86956521739130432</v>
      </c>
      <c r="V804">
        <v>-4.0000000000000009</v>
      </c>
      <c r="W804">
        <v>0</v>
      </c>
      <c r="X804">
        <v>0.4</v>
      </c>
      <c r="Y804">
        <v>0</v>
      </c>
    </row>
    <row r="805" spans="1:25" x14ac:dyDescent="0.2">
      <c r="A805" t="s">
        <v>17</v>
      </c>
      <c r="B805" t="s">
        <v>719</v>
      </c>
      <c r="C805">
        <v>930</v>
      </c>
      <c r="D805">
        <v>480</v>
      </c>
      <c r="E805">
        <v>53</v>
      </c>
      <c r="F805">
        <v>13</v>
      </c>
      <c r="G805">
        <v>2</v>
      </c>
      <c r="H805">
        <v>40</v>
      </c>
      <c r="I805">
        <v>480</v>
      </c>
      <c r="J805">
        <v>104</v>
      </c>
      <c r="K805">
        <v>3</v>
      </c>
      <c r="L805">
        <v>59</v>
      </c>
      <c r="M805">
        <v>9</v>
      </c>
      <c r="O805" s="3">
        <f t="shared" si="44"/>
        <v>0.967741935483871</v>
      </c>
      <c r="P805">
        <f t="shared" si="42"/>
        <v>1</v>
      </c>
      <c r="Q805">
        <f t="shared" si="43"/>
        <v>0</v>
      </c>
      <c r="S805">
        <v>-29.197962732919251</v>
      </c>
      <c r="T805">
        <v>-3.25</v>
      </c>
      <c r="U805">
        <v>-5.2173913043478262</v>
      </c>
      <c r="V805">
        <v>-23.599999999999998</v>
      </c>
      <c r="W805">
        <v>-2E-3</v>
      </c>
      <c r="X805">
        <v>1.7999999999999998</v>
      </c>
      <c r="Y805">
        <v>1.0714285714285714</v>
      </c>
    </row>
    <row r="806" spans="1:25" x14ac:dyDescent="0.2">
      <c r="A806" t="s">
        <v>17</v>
      </c>
      <c r="B806" t="s">
        <v>731</v>
      </c>
      <c r="C806">
        <v>220</v>
      </c>
      <c r="D806">
        <v>120</v>
      </c>
      <c r="E806">
        <v>13</v>
      </c>
      <c r="F806">
        <v>1.5</v>
      </c>
      <c r="G806">
        <v>0</v>
      </c>
      <c r="H806">
        <v>0</v>
      </c>
      <c r="I806">
        <v>250</v>
      </c>
      <c r="J806">
        <v>24</v>
      </c>
      <c r="K806">
        <v>2</v>
      </c>
      <c r="L806">
        <v>2</v>
      </c>
      <c r="M806">
        <v>2</v>
      </c>
      <c r="O806" s="3">
        <f t="shared" si="44"/>
        <v>0.90909090909090906</v>
      </c>
      <c r="P806">
        <f t="shared" si="42"/>
        <v>0</v>
      </c>
      <c r="Q806">
        <f t="shared" si="43"/>
        <v>0</v>
      </c>
      <c r="S806">
        <v>-2.7781055900621117</v>
      </c>
      <c r="T806">
        <v>-0.375</v>
      </c>
      <c r="U806">
        <v>-2.7173913043478262</v>
      </c>
      <c r="V806">
        <v>-0.8</v>
      </c>
      <c r="W806">
        <v>0</v>
      </c>
      <c r="X806">
        <v>0.4</v>
      </c>
      <c r="Y806">
        <v>0.7142857142857143</v>
      </c>
    </row>
    <row r="807" spans="1:25" x14ac:dyDescent="0.2">
      <c r="A807" t="s">
        <v>17</v>
      </c>
      <c r="B807" t="s">
        <v>753</v>
      </c>
      <c r="C807">
        <v>160</v>
      </c>
      <c r="D807">
        <v>100</v>
      </c>
      <c r="E807">
        <v>12</v>
      </c>
      <c r="F807">
        <v>1</v>
      </c>
      <c r="G807">
        <v>0</v>
      </c>
      <c r="H807">
        <v>0</v>
      </c>
      <c r="I807">
        <v>270</v>
      </c>
      <c r="J807">
        <v>13</v>
      </c>
      <c r="K807">
        <v>2</v>
      </c>
      <c r="L807">
        <v>0</v>
      </c>
      <c r="M807">
        <v>1</v>
      </c>
      <c r="O807" s="3">
        <f t="shared" si="44"/>
        <v>0.625</v>
      </c>
      <c r="P807">
        <f t="shared" si="42"/>
        <v>0</v>
      </c>
      <c r="Q807">
        <f t="shared" si="43"/>
        <v>0</v>
      </c>
      <c r="S807">
        <v>-2.2704968944099377</v>
      </c>
      <c r="T807">
        <v>-0.25</v>
      </c>
      <c r="U807">
        <v>-2.9347826086956523</v>
      </c>
      <c r="V807">
        <v>0</v>
      </c>
      <c r="W807">
        <v>0</v>
      </c>
      <c r="X807">
        <v>0.2</v>
      </c>
      <c r="Y807">
        <v>0.7142857142857143</v>
      </c>
    </row>
    <row r="808" spans="1:25" x14ac:dyDescent="0.2">
      <c r="A808" t="s">
        <v>17</v>
      </c>
      <c r="B808" t="s">
        <v>760</v>
      </c>
      <c r="C808">
        <v>160</v>
      </c>
      <c r="D808">
        <v>100</v>
      </c>
      <c r="E808">
        <v>12</v>
      </c>
      <c r="F808">
        <v>1</v>
      </c>
      <c r="G808">
        <v>0</v>
      </c>
      <c r="H808">
        <v>0</v>
      </c>
      <c r="I808">
        <v>270</v>
      </c>
      <c r="J808">
        <v>13</v>
      </c>
      <c r="K808">
        <v>2</v>
      </c>
      <c r="L808">
        <v>0</v>
      </c>
      <c r="M808">
        <v>1</v>
      </c>
      <c r="O808" s="3">
        <f t="shared" si="44"/>
        <v>0.625</v>
      </c>
      <c r="P808">
        <f t="shared" si="42"/>
        <v>0</v>
      </c>
      <c r="Q808">
        <f t="shared" si="43"/>
        <v>0</v>
      </c>
      <c r="S808">
        <v>-2.2704968944099377</v>
      </c>
      <c r="T808">
        <v>-0.25</v>
      </c>
      <c r="U808">
        <v>-2.9347826086956523</v>
      </c>
      <c r="V808">
        <v>0</v>
      </c>
      <c r="W808">
        <v>0</v>
      </c>
      <c r="X808">
        <v>0.2</v>
      </c>
      <c r="Y808">
        <v>0.7142857142857143</v>
      </c>
    </row>
    <row r="809" spans="1:25" x14ac:dyDescent="0.2">
      <c r="A809" t="s">
        <v>17</v>
      </c>
      <c r="B809" t="s">
        <v>766</v>
      </c>
      <c r="C809">
        <v>170</v>
      </c>
      <c r="D809">
        <v>50</v>
      </c>
      <c r="E809">
        <v>6</v>
      </c>
      <c r="F809">
        <v>0</v>
      </c>
      <c r="G809">
        <v>0</v>
      </c>
      <c r="H809">
        <v>0</v>
      </c>
      <c r="I809">
        <v>210</v>
      </c>
      <c r="J809">
        <v>27</v>
      </c>
      <c r="K809" s="2">
        <v>0</v>
      </c>
      <c r="L809">
        <v>13</v>
      </c>
      <c r="M809">
        <v>1</v>
      </c>
      <c r="O809" s="3">
        <f t="shared" si="44"/>
        <v>0.58823529411764708</v>
      </c>
      <c r="P809">
        <f t="shared" si="42"/>
        <v>0</v>
      </c>
      <c r="Q809">
        <f t="shared" si="43"/>
        <v>0</v>
      </c>
      <c r="S809">
        <v>-7.2826086956521738</v>
      </c>
      <c r="T809">
        <v>0</v>
      </c>
      <c r="U809">
        <v>-2.2826086956521738</v>
      </c>
      <c r="V809">
        <v>-5.2</v>
      </c>
      <c r="W809">
        <v>0</v>
      </c>
      <c r="X809">
        <v>0.2</v>
      </c>
      <c r="Y809">
        <v>0</v>
      </c>
    </row>
    <row r="810" spans="1:25" x14ac:dyDescent="0.2">
      <c r="A810" t="s">
        <v>17</v>
      </c>
      <c r="B810" t="s">
        <v>1064</v>
      </c>
      <c r="C810">
        <v>120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35</v>
      </c>
      <c r="J810">
        <v>30</v>
      </c>
      <c r="K810">
        <v>0</v>
      </c>
      <c r="L810">
        <v>30</v>
      </c>
      <c r="M810">
        <v>0</v>
      </c>
      <c r="O810" s="3">
        <f t="shared" si="44"/>
        <v>0</v>
      </c>
      <c r="P810">
        <f t="shared" si="42"/>
        <v>0</v>
      </c>
      <c r="Q810">
        <f t="shared" si="43"/>
        <v>0</v>
      </c>
      <c r="S810">
        <v>-12.380434782608695</v>
      </c>
      <c r="T810">
        <v>0</v>
      </c>
      <c r="U810">
        <v>-0.38043478260869568</v>
      </c>
      <c r="V810">
        <v>-12</v>
      </c>
      <c r="W810">
        <v>0</v>
      </c>
      <c r="X810">
        <v>0</v>
      </c>
      <c r="Y810">
        <v>0</v>
      </c>
    </row>
    <row r="811" spans="1:25" x14ac:dyDescent="0.2">
      <c r="A811" t="s">
        <v>17</v>
      </c>
      <c r="B811" t="s">
        <v>1065</v>
      </c>
      <c r="C811">
        <v>150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40</v>
      </c>
      <c r="J811">
        <v>38</v>
      </c>
      <c r="K811">
        <v>0</v>
      </c>
      <c r="L811">
        <v>38</v>
      </c>
      <c r="M811">
        <v>0</v>
      </c>
      <c r="O811" s="3">
        <f t="shared" si="44"/>
        <v>0</v>
      </c>
      <c r="P811">
        <f t="shared" si="42"/>
        <v>0</v>
      </c>
      <c r="Q811">
        <f t="shared" si="43"/>
        <v>0</v>
      </c>
      <c r="S811">
        <v>-15.634782608695655</v>
      </c>
      <c r="T811">
        <v>0</v>
      </c>
      <c r="U811">
        <v>-0.43478260869565216</v>
      </c>
      <c r="V811">
        <v>-15.200000000000003</v>
      </c>
      <c r="W811">
        <v>0</v>
      </c>
      <c r="X811">
        <v>0</v>
      </c>
      <c r="Y811">
        <v>0</v>
      </c>
    </row>
    <row r="812" spans="1:25" x14ac:dyDescent="0.2">
      <c r="A812" t="s">
        <v>17</v>
      </c>
      <c r="B812" t="s">
        <v>1066</v>
      </c>
      <c r="C812">
        <v>140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35</v>
      </c>
      <c r="J812">
        <v>35</v>
      </c>
      <c r="K812">
        <v>0</v>
      </c>
      <c r="L812">
        <v>34</v>
      </c>
      <c r="M812">
        <v>0</v>
      </c>
      <c r="O812" s="3">
        <f t="shared" si="44"/>
        <v>0</v>
      </c>
      <c r="P812">
        <f t="shared" si="42"/>
        <v>0</v>
      </c>
      <c r="Q812">
        <f t="shared" si="43"/>
        <v>0</v>
      </c>
      <c r="S812">
        <v>-13.980434782608697</v>
      </c>
      <c r="T812">
        <v>0</v>
      </c>
      <c r="U812">
        <v>-0.38043478260869568</v>
      </c>
      <c r="V812">
        <v>-13.600000000000001</v>
      </c>
      <c r="W812">
        <v>0</v>
      </c>
      <c r="X812">
        <v>0</v>
      </c>
      <c r="Y812">
        <v>0</v>
      </c>
    </row>
    <row r="813" spans="1:25" x14ac:dyDescent="0.2">
      <c r="A813" t="s">
        <v>17</v>
      </c>
      <c r="B813" t="s">
        <v>1067</v>
      </c>
      <c r="C813">
        <v>170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40</v>
      </c>
      <c r="J813">
        <v>43</v>
      </c>
      <c r="K813">
        <v>0</v>
      </c>
      <c r="L813">
        <v>42</v>
      </c>
      <c r="M813">
        <v>0</v>
      </c>
      <c r="O813" s="3">
        <f t="shared" si="44"/>
        <v>0</v>
      </c>
      <c r="P813">
        <f t="shared" si="42"/>
        <v>0</v>
      </c>
      <c r="Q813">
        <f t="shared" si="43"/>
        <v>0</v>
      </c>
      <c r="S813">
        <v>-17.234782608695653</v>
      </c>
      <c r="T813">
        <v>0</v>
      </c>
      <c r="U813">
        <v>-0.43478260869565216</v>
      </c>
      <c r="V813">
        <v>-16.8</v>
      </c>
      <c r="W813">
        <v>0</v>
      </c>
      <c r="X813">
        <v>0</v>
      </c>
      <c r="Y813">
        <v>0</v>
      </c>
    </row>
    <row r="814" spans="1:25" x14ac:dyDescent="0.2">
      <c r="A814" t="s">
        <v>17</v>
      </c>
      <c r="B814" t="s">
        <v>1072</v>
      </c>
      <c r="C814">
        <v>120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35</v>
      </c>
      <c r="J814">
        <v>30</v>
      </c>
      <c r="K814">
        <v>0</v>
      </c>
      <c r="L814">
        <v>30</v>
      </c>
      <c r="M814">
        <v>0</v>
      </c>
      <c r="O814" s="3">
        <f t="shared" si="44"/>
        <v>0</v>
      </c>
      <c r="P814">
        <f t="shared" si="42"/>
        <v>0</v>
      </c>
      <c r="Q814">
        <f t="shared" si="43"/>
        <v>0</v>
      </c>
      <c r="S814">
        <v>-12.380434782608695</v>
      </c>
      <c r="T814">
        <v>0</v>
      </c>
      <c r="U814">
        <v>-0.38043478260869568</v>
      </c>
      <c r="V814">
        <v>-12</v>
      </c>
      <c r="W814">
        <v>0</v>
      </c>
      <c r="X814">
        <v>0</v>
      </c>
      <c r="Y814">
        <v>0</v>
      </c>
    </row>
    <row r="815" spans="1:25" x14ac:dyDescent="0.2">
      <c r="A815" t="s">
        <v>17</v>
      </c>
      <c r="B815" t="s">
        <v>1073</v>
      </c>
      <c r="C815">
        <v>150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40</v>
      </c>
      <c r="J815">
        <v>38</v>
      </c>
      <c r="K815">
        <v>0</v>
      </c>
      <c r="L815">
        <v>38</v>
      </c>
      <c r="M815">
        <v>0</v>
      </c>
      <c r="O815" s="3">
        <f t="shared" si="44"/>
        <v>0</v>
      </c>
      <c r="P815">
        <f t="shared" si="42"/>
        <v>0</v>
      </c>
      <c r="Q815">
        <f t="shared" si="43"/>
        <v>0</v>
      </c>
      <c r="S815">
        <v>-15.634782608695655</v>
      </c>
      <c r="T815">
        <v>0</v>
      </c>
      <c r="U815">
        <v>-0.43478260869565216</v>
      </c>
      <c r="V815">
        <v>-15.200000000000003</v>
      </c>
      <c r="W815">
        <v>0</v>
      </c>
      <c r="X815">
        <v>0</v>
      </c>
      <c r="Y815">
        <v>0</v>
      </c>
    </row>
    <row r="816" spans="1:25" x14ac:dyDescent="0.2">
      <c r="A816" t="s">
        <v>17</v>
      </c>
      <c r="B816" t="s">
        <v>1074</v>
      </c>
      <c r="C816">
        <v>190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50</v>
      </c>
      <c r="J816">
        <v>49</v>
      </c>
      <c r="K816">
        <v>0</v>
      </c>
      <c r="L816">
        <v>47</v>
      </c>
      <c r="M816">
        <v>0</v>
      </c>
      <c r="O816" s="3">
        <f t="shared" si="44"/>
        <v>0</v>
      </c>
      <c r="P816">
        <f t="shared" si="42"/>
        <v>0</v>
      </c>
      <c r="Q816">
        <f t="shared" si="43"/>
        <v>0</v>
      </c>
      <c r="S816">
        <v>-19.343478260869567</v>
      </c>
      <c r="T816">
        <v>0</v>
      </c>
      <c r="U816">
        <v>-0.54347826086956519</v>
      </c>
      <c r="V816">
        <v>-18.8</v>
      </c>
      <c r="W816">
        <v>0</v>
      </c>
      <c r="X816">
        <v>0</v>
      </c>
      <c r="Y816">
        <v>0</v>
      </c>
    </row>
    <row r="817" spans="1:25" x14ac:dyDescent="0.2">
      <c r="A817" t="s">
        <v>17</v>
      </c>
      <c r="B817" t="s">
        <v>1075</v>
      </c>
      <c r="C817">
        <v>230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60</v>
      </c>
      <c r="J817">
        <v>59</v>
      </c>
      <c r="K817">
        <v>0</v>
      </c>
      <c r="L817">
        <v>57</v>
      </c>
      <c r="M817">
        <v>0</v>
      </c>
      <c r="O817" s="3">
        <f t="shared" si="44"/>
        <v>0</v>
      </c>
      <c r="P817">
        <f t="shared" si="42"/>
        <v>0</v>
      </c>
      <c r="Q817">
        <f t="shared" si="43"/>
        <v>0</v>
      </c>
      <c r="S817">
        <v>-23.452173913043474</v>
      </c>
      <c r="T817">
        <v>0</v>
      </c>
      <c r="U817">
        <v>-0.65217391304347827</v>
      </c>
      <c r="V817">
        <v>-22.799999999999997</v>
      </c>
      <c r="W817">
        <v>0</v>
      </c>
      <c r="X817">
        <v>0</v>
      </c>
      <c r="Y817">
        <v>0</v>
      </c>
    </row>
    <row r="818" spans="1:25" x14ac:dyDescent="0.2">
      <c r="A818" t="s">
        <v>17</v>
      </c>
      <c r="B818" t="s">
        <v>1076</v>
      </c>
      <c r="C818">
        <v>140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35</v>
      </c>
      <c r="J818">
        <v>35</v>
      </c>
      <c r="K818">
        <v>0</v>
      </c>
      <c r="L818">
        <v>34</v>
      </c>
      <c r="M818">
        <v>0</v>
      </c>
      <c r="O818" s="3">
        <f t="shared" si="44"/>
        <v>0</v>
      </c>
      <c r="P818">
        <f t="shared" si="42"/>
        <v>0</v>
      </c>
      <c r="Q818">
        <f t="shared" si="43"/>
        <v>0</v>
      </c>
      <c r="S818">
        <v>-13.980434782608697</v>
      </c>
      <c r="T818">
        <v>0</v>
      </c>
      <c r="U818">
        <v>-0.38043478260869568</v>
      </c>
      <c r="V818">
        <v>-13.600000000000001</v>
      </c>
      <c r="W818">
        <v>0</v>
      </c>
      <c r="X818">
        <v>0</v>
      </c>
      <c r="Y818">
        <v>0</v>
      </c>
    </row>
    <row r="819" spans="1:25" x14ac:dyDescent="0.2">
      <c r="A819" t="s">
        <v>17</v>
      </c>
      <c r="B819" t="s">
        <v>1077</v>
      </c>
      <c r="C819">
        <v>170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40</v>
      </c>
      <c r="J819">
        <v>43</v>
      </c>
      <c r="K819">
        <v>0</v>
      </c>
      <c r="L819">
        <v>42</v>
      </c>
      <c r="M819">
        <v>0</v>
      </c>
      <c r="O819" s="3">
        <f t="shared" si="44"/>
        <v>0</v>
      </c>
      <c r="P819">
        <f t="shared" si="42"/>
        <v>0</v>
      </c>
      <c r="Q819">
        <f t="shared" si="43"/>
        <v>0</v>
      </c>
      <c r="S819">
        <v>-17.234782608695653</v>
      </c>
      <c r="T819">
        <v>0</v>
      </c>
      <c r="U819">
        <v>-0.43478260869565216</v>
      </c>
      <c r="V819">
        <v>-16.8</v>
      </c>
      <c r="W819">
        <v>0</v>
      </c>
      <c r="X819">
        <v>0</v>
      </c>
      <c r="Y819">
        <v>0</v>
      </c>
    </row>
    <row r="820" spans="1:25" x14ac:dyDescent="0.2">
      <c r="A820" t="s">
        <v>17</v>
      </c>
      <c r="B820" t="s">
        <v>1078</v>
      </c>
      <c r="C820">
        <v>150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45</v>
      </c>
      <c r="J820">
        <v>41</v>
      </c>
      <c r="K820">
        <v>0</v>
      </c>
      <c r="L820">
        <v>41</v>
      </c>
      <c r="M820">
        <v>0</v>
      </c>
      <c r="O820" s="3">
        <f t="shared" si="44"/>
        <v>0</v>
      </c>
      <c r="P820">
        <f t="shared" si="42"/>
        <v>0</v>
      </c>
      <c r="Q820">
        <f t="shared" si="43"/>
        <v>0</v>
      </c>
      <c r="S820">
        <v>-16.889130434782611</v>
      </c>
      <c r="T820">
        <v>0</v>
      </c>
      <c r="U820">
        <v>-0.48913043478260876</v>
      </c>
      <c r="V820">
        <v>-16.400000000000002</v>
      </c>
      <c r="W820">
        <v>0</v>
      </c>
      <c r="X820">
        <v>0</v>
      </c>
      <c r="Y820">
        <v>0</v>
      </c>
    </row>
    <row r="821" spans="1:25" x14ac:dyDescent="0.2">
      <c r="A821" t="s">
        <v>17</v>
      </c>
      <c r="B821" t="s">
        <v>1079</v>
      </c>
      <c r="C821">
        <v>190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55</v>
      </c>
      <c r="J821">
        <v>51</v>
      </c>
      <c r="K821">
        <v>0</v>
      </c>
      <c r="L821">
        <v>51</v>
      </c>
      <c r="M821">
        <v>0</v>
      </c>
      <c r="O821" s="3">
        <f t="shared" si="44"/>
        <v>0</v>
      </c>
      <c r="P821">
        <f t="shared" si="42"/>
        <v>0</v>
      </c>
      <c r="Q821">
        <f t="shared" si="43"/>
        <v>0</v>
      </c>
      <c r="S821">
        <v>-20.997826086956525</v>
      </c>
      <c r="T821">
        <v>0</v>
      </c>
      <c r="U821">
        <v>-0.59782608695652173</v>
      </c>
      <c r="V821">
        <v>-20.400000000000002</v>
      </c>
      <c r="W821">
        <v>0</v>
      </c>
      <c r="X821">
        <v>0</v>
      </c>
      <c r="Y821">
        <v>0</v>
      </c>
    </row>
    <row r="822" spans="1:25" x14ac:dyDescent="0.2">
      <c r="A822" t="s">
        <v>17</v>
      </c>
      <c r="B822" t="s">
        <v>1081</v>
      </c>
      <c r="C822">
        <v>150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40</v>
      </c>
      <c r="J822">
        <v>41</v>
      </c>
      <c r="K822">
        <v>0</v>
      </c>
      <c r="L822">
        <v>41</v>
      </c>
      <c r="M822">
        <v>0</v>
      </c>
      <c r="O822" s="3">
        <f t="shared" si="44"/>
        <v>0</v>
      </c>
      <c r="P822">
        <f t="shared" si="42"/>
        <v>0</v>
      </c>
      <c r="Q822">
        <f t="shared" si="43"/>
        <v>0</v>
      </c>
      <c r="S822">
        <v>-16.834782608695654</v>
      </c>
      <c r="T822">
        <v>0</v>
      </c>
      <c r="U822">
        <v>-0.43478260869565216</v>
      </c>
      <c r="V822">
        <v>-16.400000000000002</v>
      </c>
      <c r="W822">
        <v>0</v>
      </c>
      <c r="X822">
        <v>0</v>
      </c>
      <c r="Y822">
        <v>0</v>
      </c>
    </row>
    <row r="823" spans="1:25" x14ac:dyDescent="0.2">
      <c r="A823" t="s">
        <v>17</v>
      </c>
      <c r="B823" t="s">
        <v>1082</v>
      </c>
      <c r="C823">
        <v>190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55</v>
      </c>
      <c r="J823">
        <v>51</v>
      </c>
      <c r="K823">
        <v>0</v>
      </c>
      <c r="L823">
        <v>51</v>
      </c>
      <c r="M823">
        <v>0</v>
      </c>
      <c r="O823" s="3">
        <f t="shared" si="44"/>
        <v>0</v>
      </c>
      <c r="P823">
        <f t="shared" si="42"/>
        <v>0</v>
      </c>
      <c r="Q823">
        <f t="shared" si="43"/>
        <v>0</v>
      </c>
      <c r="S823">
        <v>-20.997826086956525</v>
      </c>
      <c r="T823">
        <v>0</v>
      </c>
      <c r="U823">
        <v>-0.59782608695652173</v>
      </c>
      <c r="V823">
        <v>-20.400000000000002</v>
      </c>
      <c r="W823">
        <v>0</v>
      </c>
      <c r="X823">
        <v>0</v>
      </c>
      <c r="Y823">
        <v>0</v>
      </c>
    </row>
    <row r="824" spans="1:25" x14ac:dyDescent="0.2">
      <c r="A824" t="s">
        <v>58</v>
      </c>
      <c r="B824" t="s">
        <v>59</v>
      </c>
      <c r="C824">
        <v>250</v>
      </c>
      <c r="D824" s="2">
        <v>0</v>
      </c>
      <c r="E824">
        <v>7</v>
      </c>
      <c r="F824">
        <v>3</v>
      </c>
      <c r="G824">
        <v>0.5</v>
      </c>
      <c r="H824">
        <v>50</v>
      </c>
      <c r="I824">
        <v>1170</v>
      </c>
      <c r="J824">
        <v>23</v>
      </c>
      <c r="K824">
        <v>5</v>
      </c>
      <c r="L824">
        <v>9</v>
      </c>
      <c r="M824">
        <v>23</v>
      </c>
      <c r="N824">
        <v>239</v>
      </c>
      <c r="O824" s="3">
        <f t="shared" si="44"/>
        <v>9.1999999999999993</v>
      </c>
      <c r="P824">
        <f t="shared" si="42"/>
        <v>1</v>
      </c>
      <c r="Q824">
        <f t="shared" si="43"/>
        <v>0</v>
      </c>
      <c r="S824">
        <v>-10.682177018633533</v>
      </c>
      <c r="T824">
        <v>-0.75</v>
      </c>
      <c r="U824">
        <v>-12.717391304347824</v>
      </c>
      <c r="V824">
        <v>-3.5999999999999996</v>
      </c>
      <c r="W824">
        <v>-5.0000000000000001E-4</v>
      </c>
      <c r="X824">
        <v>4.6000000000000005</v>
      </c>
      <c r="Y824">
        <v>1.785714285714286</v>
      </c>
    </row>
    <row r="825" spans="1:25" x14ac:dyDescent="0.2">
      <c r="A825" t="s">
        <v>58</v>
      </c>
      <c r="B825" t="s">
        <v>60</v>
      </c>
      <c r="C825">
        <v>370</v>
      </c>
      <c r="D825" s="2">
        <v>0</v>
      </c>
      <c r="E825">
        <v>10</v>
      </c>
      <c r="F825">
        <v>2</v>
      </c>
      <c r="G825">
        <v>0</v>
      </c>
      <c r="H825">
        <v>90</v>
      </c>
      <c r="I825">
        <v>830</v>
      </c>
      <c r="J825">
        <v>38</v>
      </c>
      <c r="K825">
        <v>3</v>
      </c>
      <c r="L825">
        <v>8</v>
      </c>
      <c r="M825">
        <v>34</v>
      </c>
      <c r="N825">
        <v>346</v>
      </c>
      <c r="O825" s="3">
        <f t="shared" si="44"/>
        <v>9.1891891891891895</v>
      </c>
      <c r="P825">
        <f t="shared" si="42"/>
        <v>1</v>
      </c>
      <c r="Q825">
        <f t="shared" si="43"/>
        <v>0</v>
      </c>
      <c r="S825">
        <v>-4.8503105590062123</v>
      </c>
      <c r="T825">
        <v>-0.5</v>
      </c>
      <c r="U825">
        <v>-9.0217391304347831</v>
      </c>
      <c r="V825">
        <v>-3.2</v>
      </c>
      <c r="W825">
        <v>0</v>
      </c>
      <c r="X825">
        <v>6.8000000000000007</v>
      </c>
      <c r="Y825">
        <v>1.0714285714285714</v>
      </c>
    </row>
    <row r="826" spans="1:25" x14ac:dyDescent="0.2">
      <c r="A826" t="s">
        <v>58</v>
      </c>
      <c r="B826" t="s">
        <v>63</v>
      </c>
      <c r="C826">
        <v>460</v>
      </c>
      <c r="D826" s="2">
        <v>0</v>
      </c>
      <c r="E826">
        <v>17</v>
      </c>
      <c r="F826">
        <v>4.5</v>
      </c>
      <c r="G826">
        <v>0</v>
      </c>
      <c r="H826">
        <v>105</v>
      </c>
      <c r="I826">
        <v>1090</v>
      </c>
      <c r="J826">
        <v>41</v>
      </c>
      <c r="K826">
        <v>7</v>
      </c>
      <c r="L826">
        <v>29</v>
      </c>
      <c r="M826">
        <v>41</v>
      </c>
      <c r="N826">
        <v>453</v>
      </c>
      <c r="O826" s="3">
        <f t="shared" si="44"/>
        <v>8.9130434782608692</v>
      </c>
      <c r="P826">
        <f t="shared" si="42"/>
        <v>1</v>
      </c>
      <c r="Q826">
        <f t="shared" si="43"/>
        <v>0</v>
      </c>
      <c r="S826">
        <v>-13.872826086956522</v>
      </c>
      <c r="T826">
        <v>-1.125</v>
      </c>
      <c r="U826">
        <v>-11.847826086956522</v>
      </c>
      <c r="V826">
        <v>-11.6</v>
      </c>
      <c r="W826">
        <v>0</v>
      </c>
      <c r="X826">
        <v>8.2000000000000011</v>
      </c>
      <c r="Y826">
        <v>2.5</v>
      </c>
    </row>
    <row r="827" spans="1:25" x14ac:dyDescent="0.2">
      <c r="A827" t="s">
        <v>58</v>
      </c>
      <c r="B827" t="s">
        <v>64</v>
      </c>
      <c r="C827">
        <v>170</v>
      </c>
      <c r="D827" s="2">
        <v>0</v>
      </c>
      <c r="E827">
        <v>5</v>
      </c>
      <c r="F827">
        <v>2</v>
      </c>
      <c r="G827">
        <v>0</v>
      </c>
      <c r="H827">
        <v>35</v>
      </c>
      <c r="I827">
        <v>780</v>
      </c>
      <c r="J827">
        <v>16</v>
      </c>
      <c r="K827">
        <v>4</v>
      </c>
      <c r="L827">
        <v>6</v>
      </c>
      <c r="M827">
        <v>15</v>
      </c>
      <c r="N827">
        <v>163</v>
      </c>
      <c r="O827" s="3">
        <f t="shared" si="44"/>
        <v>8.8235294117647065</v>
      </c>
      <c r="P827">
        <f t="shared" si="42"/>
        <v>1</v>
      </c>
      <c r="Q827">
        <f t="shared" si="43"/>
        <v>0</v>
      </c>
      <c r="S827">
        <v>-6.9496894409937884</v>
      </c>
      <c r="T827">
        <v>-0.5</v>
      </c>
      <c r="U827">
        <v>-8.4782608695652169</v>
      </c>
      <c r="V827">
        <v>-2.4</v>
      </c>
      <c r="W827">
        <v>0</v>
      </c>
      <c r="X827">
        <v>3</v>
      </c>
      <c r="Y827">
        <v>1.4285714285714286</v>
      </c>
    </row>
    <row r="828" spans="1:25" x14ac:dyDescent="0.2">
      <c r="A828" t="s">
        <v>58</v>
      </c>
      <c r="B828" t="s">
        <v>69</v>
      </c>
      <c r="C828">
        <v>530</v>
      </c>
      <c r="D828" s="2">
        <v>0</v>
      </c>
      <c r="E828">
        <v>23</v>
      </c>
      <c r="F828">
        <v>7</v>
      </c>
      <c r="G828">
        <v>0</v>
      </c>
      <c r="H828">
        <v>120</v>
      </c>
      <c r="I828">
        <v>1220</v>
      </c>
      <c r="J828">
        <v>36</v>
      </c>
      <c r="K828">
        <v>3</v>
      </c>
      <c r="L828">
        <v>6</v>
      </c>
      <c r="M828">
        <v>43</v>
      </c>
      <c r="N828">
        <v>500</v>
      </c>
      <c r="O828" s="3">
        <f t="shared" si="44"/>
        <v>8.1132075471698109</v>
      </c>
      <c r="P828">
        <f t="shared" si="42"/>
        <v>1</v>
      </c>
      <c r="Q828">
        <f t="shared" si="43"/>
        <v>0</v>
      </c>
      <c r="S828">
        <v>-7.7394409937888202</v>
      </c>
      <c r="T828">
        <v>-1.75</v>
      </c>
      <c r="U828">
        <v>-13.260869565217392</v>
      </c>
      <c r="V828">
        <v>-2.4</v>
      </c>
      <c r="W828">
        <v>0</v>
      </c>
      <c r="X828">
        <v>8.6000000000000014</v>
      </c>
      <c r="Y828">
        <v>1.0714285714285714</v>
      </c>
    </row>
    <row r="829" spans="1:25" x14ac:dyDescent="0.2">
      <c r="A829" t="s">
        <v>58</v>
      </c>
      <c r="B829" t="s">
        <v>71</v>
      </c>
      <c r="C829">
        <v>290</v>
      </c>
      <c r="D829" s="2">
        <v>0</v>
      </c>
      <c r="E829">
        <v>13</v>
      </c>
      <c r="F829">
        <v>2.5</v>
      </c>
      <c r="G829">
        <v>0</v>
      </c>
      <c r="H829">
        <v>50</v>
      </c>
      <c r="I829">
        <v>570</v>
      </c>
      <c r="J829">
        <v>23</v>
      </c>
      <c r="K829">
        <v>5</v>
      </c>
      <c r="L829">
        <v>15</v>
      </c>
      <c r="M829">
        <v>23</v>
      </c>
      <c r="N829">
        <v>285</v>
      </c>
      <c r="O829" s="3">
        <f t="shared" si="44"/>
        <v>7.931034482758621</v>
      </c>
      <c r="P829">
        <f t="shared" si="42"/>
        <v>1</v>
      </c>
      <c r="Q829">
        <f t="shared" si="43"/>
        <v>0</v>
      </c>
      <c r="S829">
        <v>-6.4349378881987551</v>
      </c>
      <c r="T829">
        <v>-0.625</v>
      </c>
      <c r="U829">
        <v>-6.1956521739130439</v>
      </c>
      <c r="V829">
        <v>-6</v>
      </c>
      <c r="W829">
        <v>0</v>
      </c>
      <c r="X829">
        <v>4.6000000000000005</v>
      </c>
      <c r="Y829">
        <v>1.785714285714286</v>
      </c>
    </row>
    <row r="830" spans="1:25" x14ac:dyDescent="0.2">
      <c r="A830" t="s">
        <v>58</v>
      </c>
      <c r="B830" t="s">
        <v>75</v>
      </c>
      <c r="C830">
        <v>90</v>
      </c>
      <c r="D830" s="2">
        <v>0</v>
      </c>
      <c r="E830">
        <v>2</v>
      </c>
      <c r="F830">
        <v>1.5</v>
      </c>
      <c r="G830">
        <v>0</v>
      </c>
      <c r="H830">
        <v>10</v>
      </c>
      <c r="I830">
        <v>105</v>
      </c>
      <c r="J830">
        <v>10</v>
      </c>
      <c r="K830">
        <v>0</v>
      </c>
      <c r="L830">
        <v>10</v>
      </c>
      <c r="M830">
        <v>7</v>
      </c>
      <c r="N830">
        <v>95</v>
      </c>
      <c r="O830" s="3">
        <f t="shared" si="44"/>
        <v>7.7777777777777777</v>
      </c>
      <c r="P830">
        <f t="shared" si="42"/>
        <v>0</v>
      </c>
      <c r="Q830">
        <f t="shared" si="43"/>
        <v>0</v>
      </c>
      <c r="S830">
        <v>-4.1163043478260875</v>
      </c>
      <c r="T830">
        <v>-0.375</v>
      </c>
      <c r="U830">
        <v>-1.1413043478260869</v>
      </c>
      <c r="V830">
        <v>-4.0000000000000009</v>
      </c>
      <c r="W830">
        <v>0</v>
      </c>
      <c r="X830">
        <v>1.4000000000000001</v>
      </c>
      <c r="Y830">
        <v>0</v>
      </c>
    </row>
    <row r="831" spans="1:25" x14ac:dyDescent="0.2">
      <c r="A831" t="s">
        <v>58</v>
      </c>
      <c r="B831" t="s">
        <v>80</v>
      </c>
      <c r="C831">
        <v>200</v>
      </c>
      <c r="D831" s="2">
        <v>0</v>
      </c>
      <c r="E831">
        <v>10</v>
      </c>
      <c r="F831">
        <v>1.5</v>
      </c>
      <c r="G831">
        <v>0</v>
      </c>
      <c r="H831">
        <v>45</v>
      </c>
      <c r="I831">
        <v>620</v>
      </c>
      <c r="J831">
        <v>13</v>
      </c>
      <c r="K831">
        <v>0</v>
      </c>
      <c r="L831">
        <v>0</v>
      </c>
      <c r="M831">
        <v>15</v>
      </c>
      <c r="N831">
        <v>187</v>
      </c>
      <c r="O831" s="3">
        <f t="shared" si="44"/>
        <v>7.5</v>
      </c>
      <c r="P831">
        <f t="shared" si="42"/>
        <v>1</v>
      </c>
      <c r="Q831">
        <f t="shared" si="43"/>
        <v>0</v>
      </c>
      <c r="S831">
        <v>-4.1141304347826084</v>
      </c>
      <c r="T831">
        <v>-0.375</v>
      </c>
      <c r="U831">
        <v>-6.7391304347826084</v>
      </c>
      <c r="V831">
        <v>0</v>
      </c>
      <c r="W831">
        <v>0</v>
      </c>
      <c r="X831">
        <v>3</v>
      </c>
      <c r="Y831">
        <v>0</v>
      </c>
    </row>
    <row r="832" spans="1:25" x14ac:dyDescent="0.2">
      <c r="A832" t="s">
        <v>58</v>
      </c>
      <c r="B832" t="s">
        <v>83</v>
      </c>
      <c r="C832">
        <v>430</v>
      </c>
      <c r="D832" s="2">
        <v>0</v>
      </c>
      <c r="E832">
        <v>21</v>
      </c>
      <c r="F832">
        <v>3.5</v>
      </c>
      <c r="G832">
        <v>0</v>
      </c>
      <c r="H832">
        <v>100</v>
      </c>
      <c r="I832">
        <v>1350</v>
      </c>
      <c r="J832">
        <v>29</v>
      </c>
      <c r="K832">
        <v>0</v>
      </c>
      <c r="L832">
        <v>1</v>
      </c>
      <c r="M832">
        <v>32</v>
      </c>
      <c r="N832">
        <v>403</v>
      </c>
      <c r="O832" s="3">
        <f t="shared" si="44"/>
        <v>7.441860465116279</v>
      </c>
      <c r="P832">
        <f t="shared" si="42"/>
        <v>1</v>
      </c>
      <c r="Q832">
        <f t="shared" si="43"/>
        <v>0</v>
      </c>
      <c r="S832">
        <v>-9.5489130434782616</v>
      </c>
      <c r="T832">
        <v>-0.875</v>
      </c>
      <c r="U832">
        <v>-14.673913043478262</v>
      </c>
      <c r="V832">
        <v>-0.4</v>
      </c>
      <c r="W832">
        <v>0</v>
      </c>
      <c r="X832">
        <v>6.4</v>
      </c>
      <c r="Y832">
        <v>0</v>
      </c>
    </row>
    <row r="833" spans="1:25" x14ac:dyDescent="0.2">
      <c r="A833" t="s">
        <v>58</v>
      </c>
      <c r="B833" t="s">
        <v>84</v>
      </c>
      <c r="C833">
        <v>270</v>
      </c>
      <c r="D833" s="2">
        <v>0</v>
      </c>
      <c r="E833">
        <v>10</v>
      </c>
      <c r="F833">
        <v>3.5</v>
      </c>
      <c r="G833">
        <v>0</v>
      </c>
      <c r="H833">
        <v>55</v>
      </c>
      <c r="I833">
        <v>640</v>
      </c>
      <c r="J833">
        <v>24</v>
      </c>
      <c r="K833">
        <v>2</v>
      </c>
      <c r="L833">
        <v>3</v>
      </c>
      <c r="M833">
        <v>20</v>
      </c>
      <c r="N833">
        <v>257</v>
      </c>
      <c r="O833" s="3">
        <f t="shared" si="44"/>
        <v>7.4074074074074066</v>
      </c>
      <c r="P833">
        <f t="shared" si="42"/>
        <v>1</v>
      </c>
      <c r="Q833">
        <f t="shared" si="43"/>
        <v>0</v>
      </c>
      <c r="S833">
        <v>-4.3172360248447195</v>
      </c>
      <c r="T833">
        <v>-0.875</v>
      </c>
      <c r="U833">
        <v>-6.9565217391304346</v>
      </c>
      <c r="V833">
        <v>-1.2</v>
      </c>
      <c r="W833">
        <v>0</v>
      </c>
      <c r="X833">
        <v>4.0000000000000009</v>
      </c>
      <c r="Y833">
        <v>0.7142857142857143</v>
      </c>
    </row>
    <row r="834" spans="1:25" x14ac:dyDescent="0.2">
      <c r="A834" t="s">
        <v>58</v>
      </c>
      <c r="B834" t="s">
        <v>85</v>
      </c>
      <c r="C834">
        <v>270</v>
      </c>
      <c r="D834" s="2">
        <v>0</v>
      </c>
      <c r="E834">
        <v>10</v>
      </c>
      <c r="F834">
        <v>3.5</v>
      </c>
      <c r="G834">
        <v>0</v>
      </c>
      <c r="H834">
        <v>55</v>
      </c>
      <c r="I834">
        <v>640</v>
      </c>
      <c r="J834">
        <v>24</v>
      </c>
      <c r="K834">
        <v>2</v>
      </c>
      <c r="L834">
        <v>3</v>
      </c>
      <c r="M834">
        <v>20</v>
      </c>
      <c r="N834">
        <v>257</v>
      </c>
      <c r="O834" s="3">
        <f t="shared" si="44"/>
        <v>7.4074074074074066</v>
      </c>
      <c r="P834">
        <f t="shared" ref="P834:P897" si="45">IF(I834&gt;2300*0.2,1,0)</f>
        <v>1</v>
      </c>
      <c r="Q834">
        <f t="shared" ref="Q834:Q897" si="46">IF(H834&gt;300,1,0)</f>
        <v>0</v>
      </c>
      <c r="S834">
        <v>-4.3172360248447195</v>
      </c>
      <c r="T834">
        <v>-0.875</v>
      </c>
      <c r="U834">
        <v>-6.9565217391304346</v>
      </c>
      <c r="V834">
        <v>-1.2</v>
      </c>
      <c r="W834">
        <v>0</v>
      </c>
      <c r="X834">
        <v>4.0000000000000009</v>
      </c>
      <c r="Y834">
        <v>0.7142857142857143</v>
      </c>
    </row>
    <row r="835" spans="1:25" x14ac:dyDescent="0.2">
      <c r="A835" t="s">
        <v>58</v>
      </c>
      <c r="B835" t="s">
        <v>87</v>
      </c>
      <c r="C835">
        <v>650</v>
      </c>
      <c r="D835" s="2">
        <v>0</v>
      </c>
      <c r="E835">
        <v>32</v>
      </c>
      <c r="F835">
        <v>5</v>
      </c>
      <c r="G835">
        <v>0</v>
      </c>
      <c r="H835">
        <v>150</v>
      </c>
      <c r="I835">
        <v>2020</v>
      </c>
      <c r="J835">
        <v>43</v>
      </c>
      <c r="K835">
        <v>0</v>
      </c>
      <c r="L835">
        <v>1</v>
      </c>
      <c r="M835">
        <v>48</v>
      </c>
      <c r="N835">
        <v>608</v>
      </c>
      <c r="O835" s="3">
        <f t="shared" si="44"/>
        <v>7.384615384615385</v>
      </c>
      <c r="P835">
        <f t="shared" si="45"/>
        <v>1</v>
      </c>
      <c r="Q835">
        <f t="shared" si="46"/>
        <v>0</v>
      </c>
      <c r="S835">
        <v>-14.006521739130436</v>
      </c>
      <c r="T835">
        <v>-1.25</v>
      </c>
      <c r="U835">
        <v>-21.956521739130437</v>
      </c>
      <c r="V835">
        <v>-0.4</v>
      </c>
      <c r="W835">
        <v>0</v>
      </c>
      <c r="X835">
        <v>9.6</v>
      </c>
      <c r="Y835">
        <v>0</v>
      </c>
    </row>
    <row r="836" spans="1:25" x14ac:dyDescent="0.2">
      <c r="A836" t="s">
        <v>58</v>
      </c>
      <c r="B836" t="s">
        <v>89</v>
      </c>
      <c r="C836">
        <v>330</v>
      </c>
      <c r="D836" s="2">
        <v>0</v>
      </c>
      <c r="E836">
        <v>16</v>
      </c>
      <c r="F836">
        <v>2.5</v>
      </c>
      <c r="G836">
        <v>0</v>
      </c>
      <c r="H836">
        <v>75</v>
      </c>
      <c r="I836">
        <v>1010</v>
      </c>
      <c r="J836">
        <v>22</v>
      </c>
      <c r="K836">
        <v>0</v>
      </c>
      <c r="L836">
        <v>0</v>
      </c>
      <c r="M836">
        <v>24</v>
      </c>
      <c r="N836">
        <v>309</v>
      </c>
      <c r="O836" s="3">
        <f t="shared" si="44"/>
        <v>7.2727272727272725</v>
      </c>
      <c r="P836">
        <f t="shared" si="45"/>
        <v>1</v>
      </c>
      <c r="Q836">
        <f t="shared" si="46"/>
        <v>0</v>
      </c>
      <c r="S836">
        <v>-6.8032608695652188</v>
      </c>
      <c r="T836">
        <v>-0.625</v>
      </c>
      <c r="U836">
        <v>-10.978260869565219</v>
      </c>
      <c r="V836">
        <v>0</v>
      </c>
      <c r="W836">
        <v>0</v>
      </c>
      <c r="X836">
        <v>4.8</v>
      </c>
      <c r="Y836">
        <v>0</v>
      </c>
    </row>
    <row r="837" spans="1:25" x14ac:dyDescent="0.2">
      <c r="A837" t="s">
        <v>58</v>
      </c>
      <c r="B837" t="s">
        <v>90</v>
      </c>
      <c r="C837">
        <v>600</v>
      </c>
      <c r="D837" s="2">
        <v>0</v>
      </c>
      <c r="E837">
        <v>41</v>
      </c>
      <c r="F837">
        <v>11</v>
      </c>
      <c r="G837">
        <v>0</v>
      </c>
      <c r="H837">
        <v>135</v>
      </c>
      <c r="I837">
        <v>1220</v>
      </c>
      <c r="J837">
        <v>18</v>
      </c>
      <c r="K837">
        <v>7</v>
      </c>
      <c r="L837">
        <v>7</v>
      </c>
      <c r="M837">
        <v>42</v>
      </c>
      <c r="N837">
        <v>576</v>
      </c>
      <c r="O837" s="3">
        <f t="shared" si="44"/>
        <v>7.0000000000000009</v>
      </c>
      <c r="P837">
        <f t="shared" si="45"/>
        <v>1</v>
      </c>
      <c r="Q837">
        <f t="shared" si="46"/>
        <v>0</v>
      </c>
      <c r="S837">
        <v>-7.910869565217391</v>
      </c>
      <c r="T837">
        <v>-2.75</v>
      </c>
      <c r="U837">
        <v>-13.260869565217392</v>
      </c>
      <c r="V837">
        <v>-2.8000000000000003</v>
      </c>
      <c r="W837">
        <v>0</v>
      </c>
      <c r="X837">
        <v>8.4</v>
      </c>
      <c r="Y837">
        <v>2.5</v>
      </c>
    </row>
    <row r="838" spans="1:25" x14ac:dyDescent="0.2">
      <c r="A838" t="s">
        <v>58</v>
      </c>
      <c r="B838" t="s">
        <v>91</v>
      </c>
      <c r="C838">
        <v>300</v>
      </c>
      <c r="D838" s="2">
        <v>0</v>
      </c>
      <c r="E838">
        <v>20</v>
      </c>
      <c r="F838">
        <v>6</v>
      </c>
      <c r="G838">
        <v>0</v>
      </c>
      <c r="H838">
        <v>70</v>
      </c>
      <c r="I838">
        <v>620</v>
      </c>
      <c r="J838">
        <v>10</v>
      </c>
      <c r="K838">
        <v>4</v>
      </c>
      <c r="L838">
        <v>4</v>
      </c>
      <c r="M838">
        <v>21</v>
      </c>
      <c r="N838">
        <v>289</v>
      </c>
      <c r="O838" s="3">
        <f t="shared" si="44"/>
        <v>7.0000000000000009</v>
      </c>
      <c r="P838">
        <f t="shared" si="45"/>
        <v>1</v>
      </c>
      <c r="Q838">
        <f t="shared" si="46"/>
        <v>0</v>
      </c>
      <c r="S838">
        <v>-4.21055900621118</v>
      </c>
      <c r="T838">
        <v>-1.5</v>
      </c>
      <c r="U838">
        <v>-6.7391304347826084</v>
      </c>
      <c r="V838">
        <v>-1.6</v>
      </c>
      <c r="W838">
        <v>0</v>
      </c>
      <c r="X838">
        <v>4.2</v>
      </c>
      <c r="Y838">
        <v>1.4285714285714286</v>
      </c>
    </row>
    <row r="839" spans="1:25" x14ac:dyDescent="0.2">
      <c r="A839" t="s">
        <v>58</v>
      </c>
      <c r="B839" t="s">
        <v>96</v>
      </c>
      <c r="C839">
        <v>560</v>
      </c>
      <c r="D839" s="2">
        <v>0</v>
      </c>
      <c r="E839">
        <v>24</v>
      </c>
      <c r="F839">
        <v>7</v>
      </c>
      <c r="G839">
        <v>0</v>
      </c>
      <c r="H839">
        <v>115</v>
      </c>
      <c r="I839">
        <v>1020</v>
      </c>
      <c r="J839">
        <v>52</v>
      </c>
      <c r="K839">
        <v>7</v>
      </c>
      <c r="L839">
        <v>40</v>
      </c>
      <c r="M839">
        <v>38</v>
      </c>
      <c r="N839">
        <v>569</v>
      </c>
      <c r="O839" s="3">
        <f t="shared" si="44"/>
        <v>6.7857142857142856</v>
      </c>
      <c r="P839">
        <f t="shared" si="45"/>
        <v>1</v>
      </c>
      <c r="Q839">
        <f t="shared" si="46"/>
        <v>0</v>
      </c>
      <c r="S839">
        <v>-18.736956521739131</v>
      </c>
      <c r="T839">
        <v>-1.75</v>
      </c>
      <c r="U839">
        <v>-11.086956521739131</v>
      </c>
      <c r="V839">
        <v>-16.000000000000004</v>
      </c>
      <c r="W839">
        <v>0</v>
      </c>
      <c r="X839">
        <v>7.6000000000000014</v>
      </c>
      <c r="Y839">
        <v>2.5</v>
      </c>
    </row>
    <row r="840" spans="1:25" x14ac:dyDescent="0.2">
      <c r="A840" t="s">
        <v>58</v>
      </c>
      <c r="B840" t="s">
        <v>104</v>
      </c>
      <c r="C840">
        <v>1090</v>
      </c>
      <c r="D840" s="2">
        <v>0</v>
      </c>
      <c r="E840">
        <v>72</v>
      </c>
      <c r="F840">
        <v>30</v>
      </c>
      <c r="G840">
        <v>4</v>
      </c>
      <c r="H840">
        <v>260</v>
      </c>
      <c r="I840">
        <v>1650</v>
      </c>
      <c r="J840">
        <v>43</v>
      </c>
      <c r="K840">
        <v>3</v>
      </c>
      <c r="L840">
        <v>9</v>
      </c>
      <c r="M840">
        <v>71</v>
      </c>
      <c r="N840">
        <v>1058</v>
      </c>
      <c r="O840" s="3">
        <f t="shared" si="44"/>
        <v>6.5137614678899087</v>
      </c>
      <c r="P840">
        <f t="shared" si="45"/>
        <v>1</v>
      </c>
      <c r="Q840">
        <f t="shared" si="46"/>
        <v>0</v>
      </c>
      <c r="S840">
        <v>-13.767354037267081</v>
      </c>
      <c r="T840">
        <v>-7.5</v>
      </c>
      <c r="U840">
        <v>-17.934782608695652</v>
      </c>
      <c r="V840">
        <v>-3.5999999999999996</v>
      </c>
      <c r="W840">
        <v>-4.0000000000000001E-3</v>
      </c>
      <c r="X840">
        <v>14.2</v>
      </c>
      <c r="Y840">
        <v>1.0714285714285714</v>
      </c>
    </row>
    <row r="841" spans="1:25" x14ac:dyDescent="0.2">
      <c r="A841" t="s">
        <v>58</v>
      </c>
      <c r="B841" t="s">
        <v>107</v>
      </c>
      <c r="C841">
        <v>390</v>
      </c>
      <c r="D841" s="2">
        <v>0</v>
      </c>
      <c r="E841">
        <v>21</v>
      </c>
      <c r="F841">
        <v>9</v>
      </c>
      <c r="G841">
        <v>1.5</v>
      </c>
      <c r="H841">
        <v>90</v>
      </c>
      <c r="I841">
        <v>740</v>
      </c>
      <c r="J841">
        <v>26</v>
      </c>
      <c r="K841">
        <v>1</v>
      </c>
      <c r="L841">
        <v>6</v>
      </c>
      <c r="M841">
        <v>25</v>
      </c>
      <c r="N841">
        <v>380</v>
      </c>
      <c r="O841" s="3">
        <f t="shared" si="44"/>
        <v>6.4102564102564097</v>
      </c>
      <c r="P841">
        <f t="shared" si="45"/>
        <v>1</v>
      </c>
      <c r="Q841">
        <f t="shared" si="46"/>
        <v>0</v>
      </c>
      <c r="S841">
        <v>-7.3378354037267082</v>
      </c>
      <c r="T841">
        <v>-2.25</v>
      </c>
      <c r="U841">
        <v>-8.0434782608695645</v>
      </c>
      <c r="V841">
        <v>-2.4</v>
      </c>
      <c r="W841">
        <v>-1.5E-3</v>
      </c>
      <c r="X841">
        <v>5</v>
      </c>
      <c r="Y841">
        <v>0.35714285714285715</v>
      </c>
    </row>
    <row r="842" spans="1:25" x14ac:dyDescent="0.2">
      <c r="A842" t="s">
        <v>58</v>
      </c>
      <c r="B842" t="s">
        <v>111</v>
      </c>
      <c r="C842">
        <v>950</v>
      </c>
      <c r="D842" s="2">
        <v>0</v>
      </c>
      <c r="E842">
        <v>62</v>
      </c>
      <c r="F842">
        <v>24</v>
      </c>
      <c r="G842">
        <v>3</v>
      </c>
      <c r="H842">
        <v>205</v>
      </c>
      <c r="I842">
        <v>1630</v>
      </c>
      <c r="J842">
        <v>40</v>
      </c>
      <c r="K842">
        <v>2</v>
      </c>
      <c r="L842">
        <v>8</v>
      </c>
      <c r="M842">
        <v>59</v>
      </c>
      <c r="N842">
        <v>923</v>
      </c>
      <c r="O842" s="3">
        <f t="shared" si="44"/>
        <v>6.2105263157894743</v>
      </c>
      <c r="P842">
        <f t="shared" si="45"/>
        <v>1</v>
      </c>
      <c r="Q842">
        <f t="shared" si="46"/>
        <v>0</v>
      </c>
      <c r="S842">
        <v>-14.406105590062115</v>
      </c>
      <c r="T842">
        <v>-6</v>
      </c>
      <c r="U842">
        <v>-17.717391304347828</v>
      </c>
      <c r="V842">
        <v>-3.2</v>
      </c>
      <c r="W842">
        <v>-3.0000000000000001E-3</v>
      </c>
      <c r="X842">
        <v>11.799999999999999</v>
      </c>
      <c r="Y842">
        <v>0.7142857142857143</v>
      </c>
    </row>
    <row r="843" spans="1:25" x14ac:dyDescent="0.2">
      <c r="A843" t="s">
        <v>58</v>
      </c>
      <c r="B843" t="s">
        <v>112</v>
      </c>
      <c r="C843">
        <v>810</v>
      </c>
      <c r="D843" s="2">
        <v>0</v>
      </c>
      <c r="E843">
        <v>51</v>
      </c>
      <c r="F843">
        <v>20</v>
      </c>
      <c r="G843">
        <v>3</v>
      </c>
      <c r="H843">
        <v>175</v>
      </c>
      <c r="I843">
        <v>1280</v>
      </c>
      <c r="J843">
        <v>41</v>
      </c>
      <c r="K843">
        <v>3</v>
      </c>
      <c r="L843">
        <v>8</v>
      </c>
      <c r="M843">
        <v>49</v>
      </c>
      <c r="N843">
        <v>789</v>
      </c>
      <c r="O843" s="3">
        <f t="shared" si="44"/>
        <v>6.0493827160493829</v>
      </c>
      <c r="P843">
        <f t="shared" si="45"/>
        <v>1</v>
      </c>
      <c r="Q843">
        <f t="shared" si="46"/>
        <v>0</v>
      </c>
      <c r="S843">
        <v>-11.244614906832295</v>
      </c>
      <c r="T843">
        <v>-5</v>
      </c>
      <c r="U843">
        <v>-13.913043478260869</v>
      </c>
      <c r="V843">
        <v>-3.2</v>
      </c>
      <c r="W843">
        <v>-3.0000000000000001E-3</v>
      </c>
      <c r="X843">
        <v>9.8000000000000007</v>
      </c>
      <c r="Y843">
        <v>1.0714285714285714</v>
      </c>
    </row>
    <row r="844" spans="1:25" x14ac:dyDescent="0.2">
      <c r="A844" t="s">
        <v>58</v>
      </c>
      <c r="B844" t="s">
        <v>121</v>
      </c>
      <c r="C844">
        <v>340</v>
      </c>
      <c r="D844" s="2">
        <v>0</v>
      </c>
      <c r="E844">
        <v>17</v>
      </c>
      <c r="F844">
        <v>4</v>
      </c>
      <c r="G844">
        <v>0</v>
      </c>
      <c r="H844">
        <v>55</v>
      </c>
      <c r="I844">
        <v>550</v>
      </c>
      <c r="J844">
        <v>29</v>
      </c>
      <c r="K844">
        <v>4</v>
      </c>
      <c r="L844">
        <v>22</v>
      </c>
      <c r="M844">
        <v>20</v>
      </c>
      <c r="N844">
        <v>346</v>
      </c>
      <c r="O844" s="3">
        <f t="shared" si="44"/>
        <v>5.8823529411764701</v>
      </c>
      <c r="P844">
        <f t="shared" si="45"/>
        <v>1</v>
      </c>
      <c r="Q844">
        <f t="shared" si="46"/>
        <v>0</v>
      </c>
      <c r="S844">
        <v>-10.349689440993791</v>
      </c>
      <c r="T844">
        <v>-1</v>
      </c>
      <c r="U844">
        <v>-5.9782608695652177</v>
      </c>
      <c r="V844">
        <v>-8.8000000000000007</v>
      </c>
      <c r="W844">
        <v>0</v>
      </c>
      <c r="X844">
        <v>4.0000000000000009</v>
      </c>
      <c r="Y844">
        <v>1.4285714285714286</v>
      </c>
    </row>
    <row r="845" spans="1:25" x14ac:dyDescent="0.2">
      <c r="A845" t="s">
        <v>58</v>
      </c>
      <c r="B845" t="s">
        <v>124</v>
      </c>
      <c r="C845">
        <v>720</v>
      </c>
      <c r="D845" s="2">
        <v>0</v>
      </c>
      <c r="E845">
        <v>42</v>
      </c>
      <c r="F845">
        <v>12</v>
      </c>
      <c r="G845">
        <v>1</v>
      </c>
      <c r="H845">
        <v>150</v>
      </c>
      <c r="I845">
        <v>1680</v>
      </c>
      <c r="J845">
        <v>44</v>
      </c>
      <c r="K845">
        <v>8</v>
      </c>
      <c r="L845">
        <v>6</v>
      </c>
      <c r="M845">
        <v>42</v>
      </c>
      <c r="N845">
        <v>696</v>
      </c>
      <c r="O845" s="3">
        <f t="shared" si="44"/>
        <v>5.833333333333333</v>
      </c>
      <c r="P845">
        <f t="shared" si="45"/>
        <v>1</v>
      </c>
      <c r="Q845">
        <f t="shared" si="46"/>
        <v>0</v>
      </c>
      <c r="S845">
        <v>-12.404726708074532</v>
      </c>
      <c r="T845">
        <v>-3</v>
      </c>
      <c r="U845">
        <v>-18.260869565217391</v>
      </c>
      <c r="V845">
        <v>-2.4</v>
      </c>
      <c r="W845">
        <v>-1E-3</v>
      </c>
      <c r="X845">
        <v>8.4</v>
      </c>
      <c r="Y845">
        <v>2.8571428571428572</v>
      </c>
    </row>
    <row r="846" spans="1:25" x14ac:dyDescent="0.2">
      <c r="A846" t="s">
        <v>58</v>
      </c>
      <c r="B846" t="s">
        <v>130</v>
      </c>
      <c r="C846">
        <v>660</v>
      </c>
      <c r="D846" s="2">
        <v>0</v>
      </c>
      <c r="E846">
        <v>34</v>
      </c>
      <c r="F846">
        <v>9</v>
      </c>
      <c r="G846">
        <v>0</v>
      </c>
      <c r="H846">
        <v>100</v>
      </c>
      <c r="I846">
        <v>1650</v>
      </c>
      <c r="J846">
        <v>52</v>
      </c>
      <c r="K846">
        <v>3</v>
      </c>
      <c r="L846">
        <v>7</v>
      </c>
      <c r="M846">
        <v>38</v>
      </c>
      <c r="N846">
        <v>638</v>
      </c>
      <c r="O846" s="3">
        <f t="shared" si="44"/>
        <v>5.7575757575757578</v>
      </c>
      <c r="P846">
        <f t="shared" si="45"/>
        <v>1</v>
      </c>
      <c r="Q846">
        <f t="shared" si="46"/>
        <v>0</v>
      </c>
      <c r="S846">
        <v>-14.31335403726708</v>
      </c>
      <c r="T846">
        <v>-2.25</v>
      </c>
      <c r="U846">
        <v>-17.934782608695652</v>
      </c>
      <c r="V846">
        <v>-2.8000000000000003</v>
      </c>
      <c r="W846">
        <v>0</v>
      </c>
      <c r="X846">
        <v>7.6000000000000014</v>
      </c>
      <c r="Y846">
        <v>1.0714285714285714</v>
      </c>
    </row>
    <row r="847" spans="1:25" x14ac:dyDescent="0.2">
      <c r="A847" t="s">
        <v>58</v>
      </c>
      <c r="B847" t="s">
        <v>135</v>
      </c>
      <c r="C847">
        <v>280</v>
      </c>
      <c r="D847" s="2">
        <v>0</v>
      </c>
      <c r="E847">
        <v>13</v>
      </c>
      <c r="F847">
        <v>6</v>
      </c>
      <c r="G847">
        <v>1</v>
      </c>
      <c r="H847">
        <v>50</v>
      </c>
      <c r="I847">
        <v>660</v>
      </c>
      <c r="J847">
        <v>26</v>
      </c>
      <c r="K847">
        <v>1</v>
      </c>
      <c r="L847">
        <v>6</v>
      </c>
      <c r="M847">
        <v>16</v>
      </c>
      <c r="N847">
        <v>276</v>
      </c>
      <c r="O847" s="3">
        <f t="shared" si="44"/>
        <v>5.7142857142857144</v>
      </c>
      <c r="P847">
        <f t="shared" si="45"/>
        <v>1</v>
      </c>
      <c r="Q847">
        <f t="shared" si="46"/>
        <v>0</v>
      </c>
      <c r="S847">
        <v>-7.5177701863354045</v>
      </c>
      <c r="T847">
        <v>-1.5</v>
      </c>
      <c r="U847">
        <v>-7.1739130434782608</v>
      </c>
      <c r="V847">
        <v>-2.4</v>
      </c>
      <c r="W847">
        <v>-1E-3</v>
      </c>
      <c r="X847">
        <v>3.2</v>
      </c>
      <c r="Y847">
        <v>0.35714285714285715</v>
      </c>
    </row>
    <row r="848" spans="1:25" x14ac:dyDescent="0.2">
      <c r="A848" t="s">
        <v>58</v>
      </c>
      <c r="B848" t="s">
        <v>138</v>
      </c>
      <c r="C848">
        <v>510</v>
      </c>
      <c r="D848" s="2">
        <v>0</v>
      </c>
      <c r="E848">
        <v>20</v>
      </c>
      <c r="F848">
        <v>3.5</v>
      </c>
      <c r="G848">
        <v>0</v>
      </c>
      <c r="H848">
        <v>65</v>
      </c>
      <c r="I848">
        <v>1030</v>
      </c>
      <c r="J848">
        <v>54</v>
      </c>
      <c r="K848">
        <v>4</v>
      </c>
      <c r="L848">
        <v>6</v>
      </c>
      <c r="M848">
        <v>29</v>
      </c>
      <c r="N848">
        <v>491</v>
      </c>
      <c r="O848" s="3">
        <f t="shared" si="44"/>
        <v>5.6862745098039218</v>
      </c>
      <c r="P848">
        <f t="shared" si="45"/>
        <v>1</v>
      </c>
      <c r="Q848">
        <f t="shared" si="46"/>
        <v>0</v>
      </c>
      <c r="S848">
        <v>-7.2420807453416156</v>
      </c>
      <c r="T848">
        <v>-0.875</v>
      </c>
      <c r="U848">
        <v>-11.195652173913045</v>
      </c>
      <c r="V848">
        <v>-2.4</v>
      </c>
      <c r="W848">
        <v>0</v>
      </c>
      <c r="X848">
        <v>5.8</v>
      </c>
      <c r="Y848">
        <v>1.4285714285714286</v>
      </c>
    </row>
    <row r="849" spans="1:25" x14ac:dyDescent="0.2">
      <c r="A849" t="s">
        <v>58</v>
      </c>
      <c r="B849" t="s">
        <v>140</v>
      </c>
      <c r="C849">
        <v>670</v>
      </c>
      <c r="D849" s="2">
        <v>0</v>
      </c>
      <c r="E849">
        <v>32</v>
      </c>
      <c r="F849">
        <v>9</v>
      </c>
      <c r="G849">
        <v>0</v>
      </c>
      <c r="H849">
        <v>100</v>
      </c>
      <c r="I849">
        <v>1530</v>
      </c>
      <c r="J849">
        <v>55</v>
      </c>
      <c r="K849">
        <v>4</v>
      </c>
      <c r="L849">
        <v>6</v>
      </c>
      <c r="M849">
        <v>38</v>
      </c>
      <c r="N849">
        <v>647</v>
      </c>
      <c r="O849" s="3">
        <f t="shared" si="44"/>
        <v>5.6716417910447765</v>
      </c>
      <c r="P849">
        <f t="shared" si="45"/>
        <v>1</v>
      </c>
      <c r="Q849">
        <f t="shared" si="46"/>
        <v>0</v>
      </c>
      <c r="S849">
        <v>-12.251863354037264</v>
      </c>
      <c r="T849">
        <v>-2.25</v>
      </c>
      <c r="U849">
        <v>-16.630434782608695</v>
      </c>
      <c r="V849">
        <v>-2.4</v>
      </c>
      <c r="W849">
        <v>0</v>
      </c>
      <c r="X849">
        <v>7.6000000000000014</v>
      </c>
      <c r="Y849">
        <v>1.4285714285714286</v>
      </c>
    </row>
    <row r="850" spans="1:25" x14ac:dyDescent="0.2">
      <c r="A850" t="s">
        <v>58</v>
      </c>
      <c r="B850" t="s">
        <v>144</v>
      </c>
      <c r="C850">
        <v>320</v>
      </c>
      <c r="D850" s="2">
        <v>0</v>
      </c>
      <c r="E850">
        <v>17</v>
      </c>
      <c r="F850">
        <v>8</v>
      </c>
      <c r="G850">
        <v>0</v>
      </c>
      <c r="H850">
        <v>245</v>
      </c>
      <c r="I850">
        <v>750</v>
      </c>
      <c r="J850">
        <v>25</v>
      </c>
      <c r="K850">
        <v>1</v>
      </c>
      <c r="L850">
        <v>4</v>
      </c>
      <c r="M850">
        <v>18</v>
      </c>
      <c r="N850">
        <v>314</v>
      </c>
      <c r="O850" s="3">
        <f t="shared" si="44"/>
        <v>5.625</v>
      </c>
      <c r="P850">
        <f t="shared" si="45"/>
        <v>1</v>
      </c>
      <c r="Q850">
        <f t="shared" si="46"/>
        <v>0</v>
      </c>
      <c r="S850">
        <v>-7.7950310559006217</v>
      </c>
      <c r="T850">
        <v>-2</v>
      </c>
      <c r="U850">
        <v>-8.1521739130434785</v>
      </c>
      <c r="V850">
        <v>-1.6</v>
      </c>
      <c r="W850">
        <v>0</v>
      </c>
      <c r="X850">
        <v>3.5999999999999996</v>
      </c>
      <c r="Y850">
        <v>0.35714285714285715</v>
      </c>
    </row>
    <row r="851" spans="1:25" x14ac:dyDescent="0.2">
      <c r="A851" t="s">
        <v>58</v>
      </c>
      <c r="B851" t="s">
        <v>145</v>
      </c>
      <c r="C851">
        <v>410</v>
      </c>
      <c r="D851" s="2">
        <v>0</v>
      </c>
      <c r="E851">
        <v>23</v>
      </c>
      <c r="F851">
        <v>6</v>
      </c>
      <c r="G851">
        <v>0.5</v>
      </c>
      <c r="H851">
        <v>75</v>
      </c>
      <c r="I851">
        <v>930</v>
      </c>
      <c r="J851">
        <v>30</v>
      </c>
      <c r="K851">
        <v>5</v>
      </c>
      <c r="L851">
        <v>4</v>
      </c>
      <c r="M851">
        <v>23</v>
      </c>
      <c r="N851">
        <v>397</v>
      </c>
      <c r="O851" s="3">
        <f t="shared" si="44"/>
        <v>5.6097560975609762</v>
      </c>
      <c r="P851">
        <f t="shared" si="45"/>
        <v>1</v>
      </c>
      <c r="Q851">
        <f t="shared" si="46"/>
        <v>0</v>
      </c>
      <c r="S851">
        <v>-6.8234813664596263</v>
      </c>
      <c r="T851">
        <v>-1.5</v>
      </c>
      <c r="U851">
        <v>-10.108695652173912</v>
      </c>
      <c r="V851">
        <v>-1.6</v>
      </c>
      <c r="W851">
        <v>-5.0000000000000001E-4</v>
      </c>
      <c r="X851">
        <v>4.6000000000000005</v>
      </c>
      <c r="Y851">
        <v>1.785714285714286</v>
      </c>
    </row>
    <row r="852" spans="1:25" x14ac:dyDescent="0.2">
      <c r="A852" t="s">
        <v>58</v>
      </c>
      <c r="B852" t="s">
        <v>152</v>
      </c>
      <c r="C852">
        <v>510</v>
      </c>
      <c r="D852" s="2">
        <v>0</v>
      </c>
      <c r="E852">
        <v>22</v>
      </c>
      <c r="F852">
        <v>4</v>
      </c>
      <c r="G852">
        <v>0</v>
      </c>
      <c r="H852">
        <v>70</v>
      </c>
      <c r="I852">
        <v>1150</v>
      </c>
      <c r="J852">
        <v>51</v>
      </c>
      <c r="K852">
        <v>3</v>
      </c>
      <c r="L852">
        <v>6</v>
      </c>
      <c r="M852">
        <v>28</v>
      </c>
      <c r="N852">
        <v>492</v>
      </c>
      <c r="O852" s="3">
        <f t="shared" si="44"/>
        <v>5.4901960784313726</v>
      </c>
      <c r="P852">
        <f t="shared" si="45"/>
        <v>1</v>
      </c>
      <c r="Q852">
        <f t="shared" si="46"/>
        <v>0</v>
      </c>
      <c r="S852">
        <v>-9.2285714285714295</v>
      </c>
      <c r="T852">
        <v>-1</v>
      </c>
      <c r="U852">
        <v>-12.5</v>
      </c>
      <c r="V852">
        <v>-2.4</v>
      </c>
      <c r="W852">
        <v>0</v>
      </c>
      <c r="X852">
        <v>5.6000000000000005</v>
      </c>
      <c r="Y852">
        <v>1.0714285714285714</v>
      </c>
    </row>
    <row r="853" spans="1:25" x14ac:dyDescent="0.2">
      <c r="A853" t="s">
        <v>58</v>
      </c>
      <c r="B853" t="s">
        <v>155</v>
      </c>
      <c r="C853">
        <v>240</v>
      </c>
      <c r="D853" s="2">
        <v>0</v>
      </c>
      <c r="E853">
        <v>9</v>
      </c>
      <c r="F853">
        <v>3.5</v>
      </c>
      <c r="G853">
        <v>0.5</v>
      </c>
      <c r="H853">
        <v>40</v>
      </c>
      <c r="I853">
        <v>350</v>
      </c>
      <c r="J853">
        <v>24</v>
      </c>
      <c r="K853">
        <v>1</v>
      </c>
      <c r="L853">
        <v>5</v>
      </c>
      <c r="M853">
        <v>13</v>
      </c>
      <c r="N853">
        <v>236</v>
      </c>
      <c r="O853" s="3">
        <f t="shared" si="44"/>
        <v>5.416666666666667</v>
      </c>
      <c r="P853">
        <f t="shared" si="45"/>
        <v>0</v>
      </c>
      <c r="Q853">
        <f t="shared" si="46"/>
        <v>0</v>
      </c>
      <c r="S853">
        <v>-3.722704968944099</v>
      </c>
      <c r="T853">
        <v>-0.875</v>
      </c>
      <c r="U853">
        <v>-3.804347826086957</v>
      </c>
      <c r="V853">
        <v>-2.0000000000000004</v>
      </c>
      <c r="W853">
        <v>-5.0000000000000001E-4</v>
      </c>
      <c r="X853">
        <v>2.6</v>
      </c>
      <c r="Y853">
        <v>0.35714285714285715</v>
      </c>
    </row>
    <row r="854" spans="1:25" x14ac:dyDescent="0.2">
      <c r="A854" t="s">
        <v>58</v>
      </c>
      <c r="B854" t="s">
        <v>156</v>
      </c>
      <c r="C854">
        <v>630</v>
      </c>
      <c r="D854" s="2">
        <v>0</v>
      </c>
      <c r="E854">
        <v>39</v>
      </c>
      <c r="F854">
        <v>15</v>
      </c>
      <c r="G854">
        <v>1.5</v>
      </c>
      <c r="H854">
        <v>125</v>
      </c>
      <c r="I854">
        <v>1280</v>
      </c>
      <c r="J854">
        <v>37</v>
      </c>
      <c r="K854">
        <v>2</v>
      </c>
      <c r="L854">
        <v>7</v>
      </c>
      <c r="M854">
        <v>34</v>
      </c>
      <c r="N854">
        <v>618</v>
      </c>
      <c r="O854" s="3">
        <f t="shared" si="44"/>
        <v>5.3968253968253972</v>
      </c>
      <c r="P854">
        <f t="shared" si="45"/>
        <v>1</v>
      </c>
      <c r="Q854">
        <f t="shared" si="46"/>
        <v>0</v>
      </c>
      <c r="S854">
        <v>-12.950257763975154</v>
      </c>
      <c r="T854">
        <v>-3.75</v>
      </c>
      <c r="U854">
        <v>-13.913043478260869</v>
      </c>
      <c r="V854">
        <v>-2.8000000000000003</v>
      </c>
      <c r="W854">
        <v>-1.5E-3</v>
      </c>
      <c r="X854">
        <v>6.8000000000000007</v>
      </c>
      <c r="Y854">
        <v>0.7142857142857143</v>
      </c>
    </row>
    <row r="855" spans="1:25" x14ac:dyDescent="0.2">
      <c r="A855" t="s">
        <v>58</v>
      </c>
      <c r="B855" t="s">
        <v>163</v>
      </c>
      <c r="C855">
        <v>280</v>
      </c>
      <c r="D855" s="2">
        <v>0</v>
      </c>
      <c r="E855">
        <v>13</v>
      </c>
      <c r="F855">
        <v>6</v>
      </c>
      <c r="G855">
        <v>0.5</v>
      </c>
      <c r="H855">
        <v>50</v>
      </c>
      <c r="I855">
        <v>540</v>
      </c>
      <c r="J855">
        <v>25</v>
      </c>
      <c r="K855">
        <v>1</v>
      </c>
      <c r="L855">
        <v>5</v>
      </c>
      <c r="M855">
        <v>15</v>
      </c>
      <c r="N855">
        <v>276</v>
      </c>
      <c r="O855" s="3">
        <f t="shared" ref="O855:O918" si="47">M855/C855*100</f>
        <v>5.3571428571428568</v>
      </c>
      <c r="P855">
        <f t="shared" si="45"/>
        <v>1</v>
      </c>
      <c r="Q855">
        <f t="shared" si="46"/>
        <v>0</v>
      </c>
      <c r="S855">
        <v>-6.0129223602484485</v>
      </c>
      <c r="T855">
        <v>-1.5</v>
      </c>
      <c r="U855">
        <v>-5.8695652173913047</v>
      </c>
      <c r="V855">
        <v>-2.0000000000000004</v>
      </c>
      <c r="W855">
        <v>-5.0000000000000001E-4</v>
      </c>
      <c r="X855">
        <v>3</v>
      </c>
      <c r="Y855">
        <v>0.35714285714285715</v>
      </c>
    </row>
    <row r="856" spans="1:25" x14ac:dyDescent="0.2">
      <c r="A856" t="s">
        <v>58</v>
      </c>
      <c r="B856" t="s">
        <v>175</v>
      </c>
      <c r="C856">
        <v>170</v>
      </c>
      <c r="D856" s="2">
        <v>0</v>
      </c>
      <c r="E856">
        <v>11</v>
      </c>
      <c r="F856">
        <v>2</v>
      </c>
      <c r="G856">
        <v>0</v>
      </c>
      <c r="H856">
        <v>35</v>
      </c>
      <c r="I856">
        <v>340</v>
      </c>
      <c r="J856">
        <v>10</v>
      </c>
      <c r="K856">
        <v>0</v>
      </c>
      <c r="L856">
        <v>0</v>
      </c>
      <c r="M856">
        <v>9</v>
      </c>
      <c r="N856">
        <v>163</v>
      </c>
      <c r="O856" s="3">
        <f t="shared" si="47"/>
        <v>5.2941176470588234</v>
      </c>
      <c r="P856">
        <f t="shared" si="45"/>
        <v>0</v>
      </c>
      <c r="Q856">
        <f t="shared" si="46"/>
        <v>0</v>
      </c>
      <c r="S856">
        <v>-2.3956521739130432</v>
      </c>
      <c r="T856">
        <v>-0.5</v>
      </c>
      <c r="U856">
        <v>-3.6956521739130435</v>
      </c>
      <c r="V856">
        <v>0</v>
      </c>
      <c r="W856">
        <v>0</v>
      </c>
      <c r="X856">
        <v>1.7999999999999998</v>
      </c>
      <c r="Y856">
        <v>0</v>
      </c>
    </row>
    <row r="857" spans="1:25" x14ac:dyDescent="0.2">
      <c r="A857" t="s">
        <v>58</v>
      </c>
      <c r="B857" t="s">
        <v>176</v>
      </c>
      <c r="C857">
        <v>170</v>
      </c>
      <c r="D857" s="2">
        <v>0</v>
      </c>
      <c r="E857">
        <v>11</v>
      </c>
      <c r="F857">
        <v>2</v>
      </c>
      <c r="G857">
        <v>0</v>
      </c>
      <c r="H857">
        <v>35</v>
      </c>
      <c r="I857">
        <v>340</v>
      </c>
      <c r="J857">
        <v>10</v>
      </c>
      <c r="K857">
        <v>0</v>
      </c>
      <c r="L857">
        <v>0</v>
      </c>
      <c r="M857">
        <v>9</v>
      </c>
      <c r="N857">
        <v>163</v>
      </c>
      <c r="O857" s="3">
        <f t="shared" si="47"/>
        <v>5.2941176470588234</v>
      </c>
      <c r="P857">
        <f t="shared" si="45"/>
        <v>0</v>
      </c>
      <c r="Q857">
        <f t="shared" si="46"/>
        <v>0</v>
      </c>
      <c r="S857">
        <v>-2.3956521739130432</v>
      </c>
      <c r="T857">
        <v>-0.5</v>
      </c>
      <c r="U857">
        <v>-3.6956521739130435</v>
      </c>
      <c r="V857">
        <v>0</v>
      </c>
      <c r="W857">
        <v>0</v>
      </c>
      <c r="X857">
        <v>1.7999999999999998</v>
      </c>
      <c r="Y857">
        <v>0</v>
      </c>
    </row>
    <row r="858" spans="1:25" x14ac:dyDescent="0.2">
      <c r="A858" t="s">
        <v>58</v>
      </c>
      <c r="B858" t="s">
        <v>179</v>
      </c>
      <c r="C858">
        <v>570</v>
      </c>
      <c r="D858" s="2">
        <v>0</v>
      </c>
      <c r="E858">
        <v>34</v>
      </c>
      <c r="F858">
        <v>13</v>
      </c>
      <c r="G858">
        <v>1.5</v>
      </c>
      <c r="H858">
        <v>100</v>
      </c>
      <c r="I858">
        <v>1110</v>
      </c>
      <c r="J858">
        <v>40</v>
      </c>
      <c r="K858">
        <v>3</v>
      </c>
      <c r="L858">
        <v>9</v>
      </c>
      <c r="M858">
        <v>30</v>
      </c>
      <c r="N858">
        <v>562</v>
      </c>
      <c r="O858" s="3">
        <f t="shared" si="47"/>
        <v>5.2631578947368416</v>
      </c>
      <c r="P858">
        <f t="shared" si="45"/>
        <v>1</v>
      </c>
      <c r="Q858">
        <f t="shared" si="46"/>
        <v>0</v>
      </c>
      <c r="S858">
        <v>-11.845288819875774</v>
      </c>
      <c r="T858">
        <v>-3.25</v>
      </c>
      <c r="U858">
        <v>-12.065217391304348</v>
      </c>
      <c r="V858">
        <v>-3.5999999999999996</v>
      </c>
      <c r="W858">
        <v>-1.5E-3</v>
      </c>
      <c r="X858">
        <v>6</v>
      </c>
      <c r="Y858">
        <v>1.0714285714285714</v>
      </c>
    </row>
    <row r="859" spans="1:25" x14ac:dyDescent="0.2">
      <c r="A859" t="s">
        <v>58</v>
      </c>
      <c r="B859" t="s">
        <v>182</v>
      </c>
      <c r="C859">
        <v>420</v>
      </c>
      <c r="D859" s="2">
        <v>0</v>
      </c>
      <c r="E859">
        <v>27</v>
      </c>
      <c r="F859">
        <v>5</v>
      </c>
      <c r="G859">
        <v>0</v>
      </c>
      <c r="H859">
        <v>80</v>
      </c>
      <c r="I859">
        <v>850</v>
      </c>
      <c r="J859">
        <v>24</v>
      </c>
      <c r="K859">
        <v>1</v>
      </c>
      <c r="L859">
        <v>0</v>
      </c>
      <c r="M859">
        <v>22</v>
      </c>
      <c r="N859">
        <v>403</v>
      </c>
      <c r="O859" s="3">
        <f t="shared" si="47"/>
        <v>5.2380952380952381</v>
      </c>
      <c r="P859">
        <f t="shared" si="45"/>
        <v>1</v>
      </c>
      <c r="Q859">
        <f t="shared" si="46"/>
        <v>0</v>
      </c>
      <c r="S859">
        <v>-5.7319875776397504</v>
      </c>
      <c r="T859">
        <v>-1.25</v>
      </c>
      <c r="U859">
        <v>-9.2391304347826075</v>
      </c>
      <c r="V859">
        <v>0</v>
      </c>
      <c r="W859">
        <v>0</v>
      </c>
      <c r="X859">
        <v>4.4000000000000004</v>
      </c>
      <c r="Y859">
        <v>0.35714285714285715</v>
      </c>
    </row>
    <row r="860" spans="1:25" x14ac:dyDescent="0.2">
      <c r="A860" t="s">
        <v>58</v>
      </c>
      <c r="B860" t="s">
        <v>186</v>
      </c>
      <c r="C860">
        <v>250</v>
      </c>
      <c r="D860" s="2">
        <v>0</v>
      </c>
      <c r="E860">
        <v>16</v>
      </c>
      <c r="F860">
        <v>3.5</v>
      </c>
      <c r="G860">
        <v>0</v>
      </c>
      <c r="H860">
        <v>50</v>
      </c>
      <c r="I860">
        <v>510</v>
      </c>
      <c r="J860">
        <v>14</v>
      </c>
      <c r="K860">
        <v>1</v>
      </c>
      <c r="L860">
        <v>0</v>
      </c>
      <c r="M860">
        <v>13</v>
      </c>
      <c r="N860">
        <v>241</v>
      </c>
      <c r="O860" s="3">
        <f t="shared" si="47"/>
        <v>5.2</v>
      </c>
      <c r="P860">
        <f t="shared" si="45"/>
        <v>1</v>
      </c>
      <c r="Q860">
        <f t="shared" si="46"/>
        <v>0</v>
      </c>
      <c r="S860">
        <v>-3.4613354037267081</v>
      </c>
      <c r="T860">
        <v>-0.875</v>
      </c>
      <c r="U860">
        <v>-5.5434782608695654</v>
      </c>
      <c r="V860">
        <v>0</v>
      </c>
      <c r="W860">
        <v>0</v>
      </c>
      <c r="X860">
        <v>2.6</v>
      </c>
      <c r="Y860">
        <v>0.35714285714285715</v>
      </c>
    </row>
    <row r="861" spans="1:25" x14ac:dyDescent="0.2">
      <c r="A861" t="s">
        <v>58</v>
      </c>
      <c r="B861" t="s">
        <v>208</v>
      </c>
      <c r="C861">
        <v>380</v>
      </c>
      <c r="D861" s="2">
        <v>0</v>
      </c>
      <c r="E861">
        <v>22</v>
      </c>
      <c r="F861">
        <v>8</v>
      </c>
      <c r="G861">
        <v>1</v>
      </c>
      <c r="H861">
        <v>65</v>
      </c>
      <c r="I861">
        <v>680</v>
      </c>
      <c r="J861">
        <v>25</v>
      </c>
      <c r="K861">
        <v>1</v>
      </c>
      <c r="L861">
        <v>5</v>
      </c>
      <c r="M861">
        <v>19</v>
      </c>
      <c r="N861">
        <v>374</v>
      </c>
      <c r="O861" s="3">
        <f t="shared" si="47"/>
        <v>5</v>
      </c>
      <c r="P861">
        <f t="shared" si="45"/>
        <v>1</v>
      </c>
      <c r="Q861">
        <f t="shared" si="46"/>
        <v>0</v>
      </c>
      <c r="S861">
        <v>-7.235161490683228</v>
      </c>
      <c r="T861">
        <v>-2</v>
      </c>
      <c r="U861">
        <v>-7.3913043478260869</v>
      </c>
      <c r="V861">
        <v>-2.0000000000000004</v>
      </c>
      <c r="W861">
        <v>-1E-3</v>
      </c>
      <c r="X861">
        <v>3.8000000000000007</v>
      </c>
      <c r="Y861">
        <v>0.35714285714285715</v>
      </c>
    </row>
    <row r="862" spans="1:25" x14ac:dyDescent="0.2">
      <c r="A862" t="s">
        <v>58</v>
      </c>
      <c r="B862" t="s">
        <v>220</v>
      </c>
      <c r="C862">
        <v>370</v>
      </c>
      <c r="D862" s="2">
        <v>0</v>
      </c>
      <c r="E862">
        <v>20</v>
      </c>
      <c r="F862">
        <v>5</v>
      </c>
      <c r="G862">
        <v>0</v>
      </c>
      <c r="H862">
        <v>50</v>
      </c>
      <c r="I862">
        <v>850</v>
      </c>
      <c r="J862">
        <v>30</v>
      </c>
      <c r="K862">
        <v>2</v>
      </c>
      <c r="L862">
        <v>2</v>
      </c>
      <c r="M862">
        <v>18</v>
      </c>
      <c r="N862">
        <v>359</v>
      </c>
      <c r="O862" s="3">
        <f t="shared" si="47"/>
        <v>4.8648648648648649</v>
      </c>
      <c r="P862">
        <f t="shared" si="45"/>
        <v>1</v>
      </c>
      <c r="Q862">
        <f t="shared" si="46"/>
        <v>0</v>
      </c>
      <c r="S862">
        <v>-6.9748447204968942</v>
      </c>
      <c r="T862">
        <v>-1.25</v>
      </c>
      <c r="U862">
        <v>-9.2391304347826075</v>
      </c>
      <c r="V862">
        <v>-0.8</v>
      </c>
      <c r="W862">
        <v>0</v>
      </c>
      <c r="X862">
        <v>3.5999999999999996</v>
      </c>
      <c r="Y862">
        <v>0.7142857142857143</v>
      </c>
    </row>
    <row r="863" spans="1:25" x14ac:dyDescent="0.2">
      <c r="A863" t="s">
        <v>58</v>
      </c>
      <c r="B863" t="s">
        <v>223</v>
      </c>
      <c r="C863">
        <v>660</v>
      </c>
      <c r="D863" s="2">
        <v>0</v>
      </c>
      <c r="E863">
        <v>32</v>
      </c>
      <c r="F863">
        <v>13</v>
      </c>
      <c r="G863">
        <v>1</v>
      </c>
      <c r="H863">
        <v>85</v>
      </c>
      <c r="I863">
        <v>1820</v>
      </c>
      <c r="J863">
        <v>63</v>
      </c>
      <c r="K863">
        <v>10</v>
      </c>
      <c r="L863">
        <v>18</v>
      </c>
      <c r="M863">
        <v>32</v>
      </c>
      <c r="N863">
        <v>659</v>
      </c>
      <c r="O863" s="3">
        <f t="shared" si="47"/>
        <v>4.8484848484848486</v>
      </c>
      <c r="P863">
        <f t="shared" si="45"/>
        <v>1</v>
      </c>
      <c r="Q863">
        <f t="shared" si="46"/>
        <v>0</v>
      </c>
      <c r="S863">
        <v>-20.262180124223601</v>
      </c>
      <c r="T863">
        <v>-3.25</v>
      </c>
      <c r="U863">
        <v>-19.782608695652172</v>
      </c>
      <c r="V863">
        <v>-7.1999999999999993</v>
      </c>
      <c r="W863">
        <v>-1E-3</v>
      </c>
      <c r="X863">
        <v>6.4</v>
      </c>
      <c r="Y863">
        <v>3.5714285714285721</v>
      </c>
    </row>
    <row r="864" spans="1:25" x14ac:dyDescent="0.2">
      <c r="A864" t="s">
        <v>58</v>
      </c>
      <c r="B864" t="s">
        <v>233</v>
      </c>
      <c r="C864">
        <v>420</v>
      </c>
      <c r="D864" s="2">
        <v>0</v>
      </c>
      <c r="E864">
        <v>23</v>
      </c>
      <c r="F864">
        <v>6</v>
      </c>
      <c r="G864">
        <v>0</v>
      </c>
      <c r="H864">
        <v>50</v>
      </c>
      <c r="I864">
        <v>950</v>
      </c>
      <c r="J864">
        <v>35</v>
      </c>
      <c r="K864">
        <v>2</v>
      </c>
      <c r="L864">
        <v>5</v>
      </c>
      <c r="M864">
        <v>20</v>
      </c>
      <c r="N864">
        <v>411</v>
      </c>
      <c r="O864" s="3">
        <f t="shared" si="47"/>
        <v>4.7619047619047619</v>
      </c>
      <c r="P864">
        <f t="shared" si="45"/>
        <v>1</v>
      </c>
      <c r="Q864">
        <f t="shared" si="46"/>
        <v>0</v>
      </c>
      <c r="S864">
        <v>-9.1118012422360248</v>
      </c>
      <c r="T864">
        <v>-1.5</v>
      </c>
      <c r="U864">
        <v>-10.326086956521738</v>
      </c>
      <c r="V864">
        <v>-2.0000000000000004</v>
      </c>
      <c r="W864">
        <v>0</v>
      </c>
      <c r="X864">
        <v>4.0000000000000009</v>
      </c>
      <c r="Y864">
        <v>0.7142857142857143</v>
      </c>
    </row>
    <row r="865" spans="1:25" x14ac:dyDescent="0.2">
      <c r="A865" t="s">
        <v>58</v>
      </c>
      <c r="B865" t="s">
        <v>238</v>
      </c>
      <c r="C865">
        <v>360</v>
      </c>
      <c r="D865" s="2">
        <v>0</v>
      </c>
      <c r="E865">
        <v>20</v>
      </c>
      <c r="F865">
        <v>8</v>
      </c>
      <c r="G865">
        <v>0</v>
      </c>
      <c r="H865">
        <v>210</v>
      </c>
      <c r="I865">
        <v>920</v>
      </c>
      <c r="J865">
        <v>29</v>
      </c>
      <c r="K865">
        <v>1</v>
      </c>
      <c r="L865">
        <v>2</v>
      </c>
      <c r="M865">
        <v>17</v>
      </c>
      <c r="N865">
        <v>353</v>
      </c>
      <c r="O865" s="3">
        <f t="shared" si="47"/>
        <v>4.7222222222222223</v>
      </c>
      <c r="P865">
        <f t="shared" si="45"/>
        <v>1</v>
      </c>
      <c r="Q865">
        <f t="shared" si="46"/>
        <v>0</v>
      </c>
      <c r="S865">
        <v>-9.0428571428571427</v>
      </c>
      <c r="T865">
        <v>-2</v>
      </c>
      <c r="U865">
        <v>-10</v>
      </c>
      <c r="V865">
        <v>-0.8</v>
      </c>
      <c r="W865">
        <v>0</v>
      </c>
      <c r="X865">
        <v>3.4000000000000004</v>
      </c>
      <c r="Y865">
        <v>0.35714285714285715</v>
      </c>
    </row>
    <row r="866" spans="1:25" x14ac:dyDescent="0.2">
      <c r="A866" t="s">
        <v>58</v>
      </c>
      <c r="B866" t="s">
        <v>239</v>
      </c>
      <c r="C866">
        <v>720</v>
      </c>
      <c r="D866" s="2">
        <v>0</v>
      </c>
      <c r="E866">
        <v>41</v>
      </c>
      <c r="F866">
        <v>16</v>
      </c>
      <c r="G866">
        <v>0</v>
      </c>
      <c r="H866">
        <v>420</v>
      </c>
      <c r="I866">
        <v>1830</v>
      </c>
      <c r="J866">
        <v>59</v>
      </c>
      <c r="K866">
        <v>2</v>
      </c>
      <c r="L866">
        <v>5</v>
      </c>
      <c r="M866">
        <v>34</v>
      </c>
      <c r="N866">
        <v>707</v>
      </c>
      <c r="O866" s="3">
        <f t="shared" si="47"/>
        <v>4.7222222222222223</v>
      </c>
      <c r="P866">
        <f t="shared" si="45"/>
        <v>1</v>
      </c>
      <c r="Q866">
        <f t="shared" si="46"/>
        <v>1</v>
      </c>
      <c r="S866">
        <v>-18.37701863354037</v>
      </c>
      <c r="T866">
        <v>-4</v>
      </c>
      <c r="U866">
        <v>-19.891304347826086</v>
      </c>
      <c r="V866">
        <v>-2.0000000000000004</v>
      </c>
      <c r="W866">
        <v>0</v>
      </c>
      <c r="X866">
        <v>6.8000000000000007</v>
      </c>
      <c r="Y866">
        <v>0.7142857142857143</v>
      </c>
    </row>
    <row r="867" spans="1:25" x14ac:dyDescent="0.2">
      <c r="A867" t="s">
        <v>58</v>
      </c>
      <c r="B867" t="s">
        <v>242</v>
      </c>
      <c r="C867">
        <v>340</v>
      </c>
      <c r="D867" s="2">
        <v>0</v>
      </c>
      <c r="E867">
        <v>19</v>
      </c>
      <c r="F867">
        <v>7</v>
      </c>
      <c r="G867">
        <v>1</v>
      </c>
      <c r="H867">
        <v>55</v>
      </c>
      <c r="I867">
        <v>660</v>
      </c>
      <c r="J867">
        <v>27</v>
      </c>
      <c r="K867">
        <v>2</v>
      </c>
      <c r="L867">
        <v>7</v>
      </c>
      <c r="M867">
        <v>16</v>
      </c>
      <c r="N867">
        <v>338</v>
      </c>
      <c r="O867" s="3">
        <f t="shared" si="47"/>
        <v>4.7058823529411766</v>
      </c>
      <c r="P867">
        <f t="shared" si="45"/>
        <v>1</v>
      </c>
      <c r="Q867">
        <f t="shared" si="46"/>
        <v>0</v>
      </c>
      <c r="S867">
        <v>-7.8106273291925463</v>
      </c>
      <c r="T867">
        <v>-1.75</v>
      </c>
      <c r="U867">
        <v>-7.1739130434782608</v>
      </c>
      <c r="V867">
        <v>-2.8000000000000003</v>
      </c>
      <c r="W867">
        <v>-1E-3</v>
      </c>
      <c r="X867">
        <v>3.2</v>
      </c>
      <c r="Y867">
        <v>0.7142857142857143</v>
      </c>
    </row>
    <row r="868" spans="1:25" x14ac:dyDescent="0.2">
      <c r="A868" t="s">
        <v>58</v>
      </c>
      <c r="B868" t="s">
        <v>251</v>
      </c>
      <c r="C868">
        <v>150</v>
      </c>
      <c r="D868" s="2">
        <v>0</v>
      </c>
      <c r="E868">
        <v>2.5</v>
      </c>
      <c r="F868">
        <v>1.5</v>
      </c>
      <c r="G868">
        <v>0</v>
      </c>
      <c r="H868">
        <v>10</v>
      </c>
      <c r="I868">
        <v>170</v>
      </c>
      <c r="J868">
        <v>26</v>
      </c>
      <c r="K868">
        <v>0</v>
      </c>
      <c r="L868">
        <v>23</v>
      </c>
      <c r="M868">
        <v>7</v>
      </c>
      <c r="N868">
        <v>168</v>
      </c>
      <c r="O868" s="3">
        <f t="shared" si="47"/>
        <v>4.666666666666667</v>
      </c>
      <c r="P868">
        <f t="shared" si="45"/>
        <v>0</v>
      </c>
      <c r="Q868">
        <f t="shared" si="46"/>
        <v>0</v>
      </c>
      <c r="S868">
        <v>-10.022826086956522</v>
      </c>
      <c r="T868">
        <v>-0.375</v>
      </c>
      <c r="U868">
        <v>-1.8478260869565217</v>
      </c>
      <c r="V868">
        <v>-9.2000000000000011</v>
      </c>
      <c r="W868">
        <v>0</v>
      </c>
      <c r="X868">
        <v>1.4000000000000001</v>
      </c>
      <c r="Y868">
        <v>0</v>
      </c>
    </row>
    <row r="869" spans="1:25" x14ac:dyDescent="0.2">
      <c r="A869" t="s">
        <v>58</v>
      </c>
      <c r="B869" t="s">
        <v>299</v>
      </c>
      <c r="C869">
        <v>610</v>
      </c>
      <c r="D869" s="2">
        <v>0</v>
      </c>
      <c r="E869">
        <v>40</v>
      </c>
      <c r="F869">
        <v>15</v>
      </c>
      <c r="G869">
        <v>0</v>
      </c>
      <c r="H869">
        <v>290</v>
      </c>
      <c r="I869">
        <v>1400</v>
      </c>
      <c r="J869">
        <v>37</v>
      </c>
      <c r="K869">
        <v>2</v>
      </c>
      <c r="L869">
        <v>7</v>
      </c>
      <c r="M869">
        <v>27</v>
      </c>
      <c r="N869">
        <v>605</v>
      </c>
      <c r="O869" s="3">
        <f t="shared" si="47"/>
        <v>4.4262295081967213</v>
      </c>
      <c r="P869">
        <f t="shared" si="45"/>
        <v>1</v>
      </c>
      <c r="Q869">
        <f t="shared" si="46"/>
        <v>0</v>
      </c>
      <c r="S869">
        <v>-15.653105590062113</v>
      </c>
      <c r="T869">
        <v>-3.75</v>
      </c>
      <c r="U869">
        <v>-15.217391304347828</v>
      </c>
      <c r="V869">
        <v>-2.8000000000000003</v>
      </c>
      <c r="W869">
        <v>0</v>
      </c>
      <c r="X869">
        <v>5.4</v>
      </c>
      <c r="Y869">
        <v>0.7142857142857143</v>
      </c>
    </row>
    <row r="870" spans="1:25" x14ac:dyDescent="0.2">
      <c r="A870" t="s">
        <v>58</v>
      </c>
      <c r="B870" t="s">
        <v>305</v>
      </c>
      <c r="C870">
        <v>480</v>
      </c>
      <c r="D870" s="2">
        <v>0</v>
      </c>
      <c r="E870">
        <v>33</v>
      </c>
      <c r="F870">
        <v>13</v>
      </c>
      <c r="G870">
        <v>0</v>
      </c>
      <c r="H870">
        <v>275</v>
      </c>
      <c r="I870">
        <v>980</v>
      </c>
      <c r="J870">
        <v>27</v>
      </c>
      <c r="K870">
        <v>1</v>
      </c>
      <c r="L870">
        <v>4</v>
      </c>
      <c r="M870">
        <v>21</v>
      </c>
      <c r="N870">
        <v>476</v>
      </c>
      <c r="O870" s="3">
        <f t="shared" si="47"/>
        <v>4.375</v>
      </c>
      <c r="P870">
        <f t="shared" si="45"/>
        <v>1</v>
      </c>
      <c r="Q870">
        <f t="shared" si="46"/>
        <v>0</v>
      </c>
      <c r="S870">
        <v>-10.945031055900621</v>
      </c>
      <c r="T870">
        <v>-3.25</v>
      </c>
      <c r="U870">
        <v>-10.652173913043478</v>
      </c>
      <c r="V870">
        <v>-1.6</v>
      </c>
      <c r="W870">
        <v>0</v>
      </c>
      <c r="X870">
        <v>4.2</v>
      </c>
      <c r="Y870">
        <v>0.35714285714285715</v>
      </c>
    </row>
    <row r="871" spans="1:25" x14ac:dyDescent="0.2">
      <c r="A871" t="s">
        <v>58</v>
      </c>
      <c r="B871" t="s">
        <v>333</v>
      </c>
      <c r="C871">
        <v>330</v>
      </c>
      <c r="D871" s="2">
        <v>0</v>
      </c>
      <c r="E871">
        <v>16</v>
      </c>
      <c r="F871">
        <v>3</v>
      </c>
      <c r="G871">
        <v>0</v>
      </c>
      <c r="H871">
        <v>30</v>
      </c>
      <c r="I871">
        <v>600</v>
      </c>
      <c r="J871">
        <v>33</v>
      </c>
      <c r="K871">
        <v>2</v>
      </c>
      <c r="L871">
        <v>4</v>
      </c>
      <c r="M871">
        <v>14</v>
      </c>
      <c r="N871">
        <v>323</v>
      </c>
      <c r="O871" s="3">
        <f t="shared" si="47"/>
        <v>4.2424242424242431</v>
      </c>
      <c r="P871">
        <f t="shared" si="45"/>
        <v>1</v>
      </c>
      <c r="Q871">
        <f t="shared" si="46"/>
        <v>0</v>
      </c>
      <c r="S871">
        <v>-5.3574534161490677</v>
      </c>
      <c r="T871">
        <v>-0.75</v>
      </c>
      <c r="U871">
        <v>-6.5217391304347823</v>
      </c>
      <c r="V871">
        <v>-1.6</v>
      </c>
      <c r="W871">
        <v>0</v>
      </c>
      <c r="X871">
        <v>2.8000000000000003</v>
      </c>
      <c r="Y871">
        <v>0.7142857142857143</v>
      </c>
    </row>
    <row r="872" spans="1:25" x14ac:dyDescent="0.2">
      <c r="A872" t="s">
        <v>58</v>
      </c>
      <c r="B872" t="s">
        <v>347</v>
      </c>
      <c r="C872">
        <v>460</v>
      </c>
      <c r="D872" s="2">
        <v>0</v>
      </c>
      <c r="E872">
        <v>11</v>
      </c>
      <c r="F872">
        <v>5</v>
      </c>
      <c r="G872">
        <v>0</v>
      </c>
      <c r="H872">
        <v>35</v>
      </c>
      <c r="I872">
        <v>710</v>
      </c>
      <c r="J872">
        <v>71</v>
      </c>
      <c r="K872">
        <v>8</v>
      </c>
      <c r="L872">
        <v>7</v>
      </c>
      <c r="M872">
        <v>19</v>
      </c>
      <c r="N872">
        <v>453</v>
      </c>
      <c r="O872" s="3">
        <f t="shared" si="47"/>
        <v>4.1304347826086953</v>
      </c>
      <c r="P872">
        <f t="shared" si="45"/>
        <v>1</v>
      </c>
      <c r="Q872">
        <f t="shared" si="46"/>
        <v>0</v>
      </c>
      <c r="S872">
        <v>-5.1102484472049685</v>
      </c>
      <c r="T872">
        <v>-1.25</v>
      </c>
      <c r="U872">
        <v>-7.7173913043478262</v>
      </c>
      <c r="V872">
        <v>-2.8000000000000003</v>
      </c>
      <c r="W872">
        <v>0</v>
      </c>
      <c r="X872">
        <v>3.8000000000000007</v>
      </c>
      <c r="Y872">
        <v>2.8571428571428572</v>
      </c>
    </row>
    <row r="873" spans="1:25" x14ac:dyDescent="0.2">
      <c r="A873" t="s">
        <v>58</v>
      </c>
      <c r="B873" t="s">
        <v>367</v>
      </c>
      <c r="C873">
        <v>470</v>
      </c>
      <c r="D873" s="2">
        <v>0</v>
      </c>
      <c r="E873">
        <v>23</v>
      </c>
      <c r="F873">
        <v>8</v>
      </c>
      <c r="G873">
        <v>0.5</v>
      </c>
      <c r="H873">
        <v>45</v>
      </c>
      <c r="I873">
        <v>1320</v>
      </c>
      <c r="J873">
        <v>49</v>
      </c>
      <c r="K873">
        <v>7</v>
      </c>
      <c r="L873">
        <v>12</v>
      </c>
      <c r="M873">
        <v>19</v>
      </c>
      <c r="N873">
        <v>471</v>
      </c>
      <c r="O873" s="3">
        <f t="shared" si="47"/>
        <v>4.042553191489362</v>
      </c>
      <c r="P873">
        <f t="shared" si="45"/>
        <v>1</v>
      </c>
      <c r="Q873">
        <f t="shared" si="46"/>
        <v>0</v>
      </c>
      <c r="S873">
        <v>-14.848326086956522</v>
      </c>
      <c r="T873">
        <v>-2</v>
      </c>
      <c r="U873">
        <v>-14.347826086956522</v>
      </c>
      <c r="V873">
        <v>-4.8</v>
      </c>
      <c r="W873">
        <v>-5.0000000000000001E-4</v>
      </c>
      <c r="X873">
        <v>3.8000000000000007</v>
      </c>
      <c r="Y873">
        <v>2.5</v>
      </c>
    </row>
    <row r="874" spans="1:25" x14ac:dyDescent="0.2">
      <c r="A874" t="s">
        <v>58</v>
      </c>
      <c r="B874" t="s">
        <v>396</v>
      </c>
      <c r="C874">
        <v>440</v>
      </c>
      <c r="D874" s="2">
        <v>0</v>
      </c>
      <c r="E874">
        <v>14</v>
      </c>
      <c r="F874">
        <v>6</v>
      </c>
      <c r="G874">
        <v>0</v>
      </c>
      <c r="H874">
        <v>35</v>
      </c>
      <c r="I874">
        <v>550</v>
      </c>
      <c r="J874">
        <v>64</v>
      </c>
      <c r="K874">
        <v>7</v>
      </c>
      <c r="L874">
        <v>4</v>
      </c>
      <c r="M874">
        <v>17</v>
      </c>
      <c r="N874">
        <v>433</v>
      </c>
      <c r="O874" s="3">
        <f t="shared" si="47"/>
        <v>3.8636363636363633</v>
      </c>
      <c r="P874">
        <f t="shared" si="45"/>
        <v>1</v>
      </c>
      <c r="Q874">
        <f t="shared" si="46"/>
        <v>0</v>
      </c>
      <c r="S874">
        <v>-3.1782608695652179</v>
      </c>
      <c r="T874">
        <v>-1.5</v>
      </c>
      <c r="U874">
        <v>-5.9782608695652177</v>
      </c>
      <c r="V874">
        <v>-1.6</v>
      </c>
      <c r="W874">
        <v>0</v>
      </c>
      <c r="X874">
        <v>3.4000000000000004</v>
      </c>
      <c r="Y874">
        <v>2.5</v>
      </c>
    </row>
    <row r="875" spans="1:25" x14ac:dyDescent="0.2">
      <c r="A875" t="s">
        <v>58</v>
      </c>
      <c r="B875" t="s">
        <v>405</v>
      </c>
      <c r="C875">
        <v>500</v>
      </c>
      <c r="D875" s="2">
        <v>0</v>
      </c>
      <c r="E875">
        <v>26</v>
      </c>
      <c r="F875">
        <v>12</v>
      </c>
      <c r="G875">
        <v>0</v>
      </c>
      <c r="H875">
        <v>50</v>
      </c>
      <c r="I875">
        <v>1120</v>
      </c>
      <c r="J875">
        <v>48</v>
      </c>
      <c r="K875">
        <v>1</v>
      </c>
      <c r="L875">
        <v>9</v>
      </c>
      <c r="M875">
        <v>19</v>
      </c>
      <c r="N875">
        <v>502</v>
      </c>
      <c r="O875" s="3">
        <f t="shared" si="47"/>
        <v>3.8</v>
      </c>
      <c r="P875">
        <f t="shared" si="45"/>
        <v>1</v>
      </c>
      <c r="Q875">
        <f t="shared" si="46"/>
        <v>0</v>
      </c>
      <c r="S875">
        <v>-14.616770186335401</v>
      </c>
      <c r="T875">
        <v>-3</v>
      </c>
      <c r="U875">
        <v>-12.173913043478262</v>
      </c>
      <c r="V875">
        <v>-3.5999999999999996</v>
      </c>
      <c r="W875">
        <v>0</v>
      </c>
      <c r="X875">
        <v>3.8000000000000007</v>
      </c>
      <c r="Y875">
        <v>0.35714285714285715</v>
      </c>
    </row>
    <row r="876" spans="1:25" x14ac:dyDescent="0.2">
      <c r="A876" t="s">
        <v>58</v>
      </c>
      <c r="B876" t="s">
        <v>414</v>
      </c>
      <c r="C876">
        <v>510</v>
      </c>
      <c r="D876" s="2">
        <v>0</v>
      </c>
      <c r="E876">
        <v>28</v>
      </c>
      <c r="F876">
        <v>9</v>
      </c>
      <c r="G876">
        <v>0</v>
      </c>
      <c r="H876">
        <v>245</v>
      </c>
      <c r="I876">
        <v>1390</v>
      </c>
      <c r="J876">
        <v>44</v>
      </c>
      <c r="K876">
        <v>4</v>
      </c>
      <c r="L876">
        <v>2</v>
      </c>
      <c r="M876">
        <v>19</v>
      </c>
      <c r="N876">
        <v>502</v>
      </c>
      <c r="O876" s="3">
        <f t="shared" si="47"/>
        <v>3.7254901960784315</v>
      </c>
      <c r="P876">
        <f t="shared" si="45"/>
        <v>1</v>
      </c>
      <c r="Q876">
        <f t="shared" si="46"/>
        <v>0</v>
      </c>
      <c r="S876">
        <v>-12.930124223602485</v>
      </c>
      <c r="T876">
        <v>-2.25</v>
      </c>
      <c r="U876">
        <v>-15.108695652173912</v>
      </c>
      <c r="V876">
        <v>-0.8</v>
      </c>
      <c r="W876">
        <v>0</v>
      </c>
      <c r="X876">
        <v>3.8000000000000007</v>
      </c>
      <c r="Y876">
        <v>1.4285714285714286</v>
      </c>
    </row>
    <row r="877" spans="1:25" x14ac:dyDescent="0.2">
      <c r="A877" t="s">
        <v>58</v>
      </c>
      <c r="B877" t="s">
        <v>424</v>
      </c>
      <c r="C877">
        <v>410</v>
      </c>
      <c r="D877" s="2">
        <v>0</v>
      </c>
      <c r="E877">
        <v>24</v>
      </c>
      <c r="F877">
        <v>13</v>
      </c>
      <c r="G877">
        <v>0</v>
      </c>
      <c r="H877">
        <v>235</v>
      </c>
      <c r="I877">
        <v>970</v>
      </c>
      <c r="J877">
        <v>34</v>
      </c>
      <c r="K877">
        <v>1</v>
      </c>
      <c r="L877">
        <v>5</v>
      </c>
      <c r="M877">
        <v>15</v>
      </c>
      <c r="N877">
        <v>413</v>
      </c>
      <c r="O877" s="3">
        <f t="shared" si="47"/>
        <v>3.6585365853658534</v>
      </c>
      <c r="P877">
        <f t="shared" si="45"/>
        <v>1</v>
      </c>
      <c r="Q877">
        <f t="shared" si="46"/>
        <v>0</v>
      </c>
      <c r="S877">
        <v>-12.436335403726709</v>
      </c>
      <c r="T877">
        <v>-3.25</v>
      </c>
      <c r="U877">
        <v>-10.543478260869566</v>
      </c>
      <c r="V877">
        <v>-2.0000000000000004</v>
      </c>
      <c r="W877">
        <v>0</v>
      </c>
      <c r="X877">
        <v>3</v>
      </c>
      <c r="Y877">
        <v>0.35714285714285715</v>
      </c>
    </row>
    <row r="878" spans="1:25" x14ac:dyDescent="0.2">
      <c r="A878" t="s">
        <v>58</v>
      </c>
      <c r="B878" t="s">
        <v>443</v>
      </c>
      <c r="C878">
        <v>590</v>
      </c>
      <c r="D878" s="2">
        <v>0</v>
      </c>
      <c r="E878">
        <v>41</v>
      </c>
      <c r="F878">
        <v>19</v>
      </c>
      <c r="G878">
        <v>0</v>
      </c>
      <c r="H878">
        <v>270</v>
      </c>
      <c r="I878">
        <v>1270</v>
      </c>
      <c r="J878">
        <v>36</v>
      </c>
      <c r="K878">
        <v>1</v>
      </c>
      <c r="L878">
        <v>6</v>
      </c>
      <c r="M878">
        <v>20</v>
      </c>
      <c r="N878">
        <v>595</v>
      </c>
      <c r="O878" s="3">
        <f t="shared" si="47"/>
        <v>3.3898305084745761</v>
      </c>
      <c r="P878">
        <f t="shared" si="45"/>
        <v>1</v>
      </c>
      <c r="Q878">
        <f t="shared" si="46"/>
        <v>0</v>
      </c>
      <c r="S878">
        <v>-16.597204968944098</v>
      </c>
      <c r="T878">
        <v>-4.75</v>
      </c>
      <c r="U878">
        <v>-13.804347826086957</v>
      </c>
      <c r="V878">
        <v>-2.4</v>
      </c>
      <c r="W878">
        <v>0</v>
      </c>
      <c r="X878">
        <v>4.0000000000000009</v>
      </c>
      <c r="Y878">
        <v>0.35714285714285715</v>
      </c>
    </row>
    <row r="879" spans="1:25" x14ac:dyDescent="0.2">
      <c r="A879" t="s">
        <v>58</v>
      </c>
      <c r="B879" t="s">
        <v>81</v>
      </c>
      <c r="C879">
        <v>240</v>
      </c>
      <c r="D879" s="2">
        <v>0</v>
      </c>
      <c r="E879">
        <v>15</v>
      </c>
      <c r="F879">
        <v>4</v>
      </c>
      <c r="G879">
        <v>0</v>
      </c>
      <c r="H879">
        <v>30</v>
      </c>
      <c r="I879">
        <v>500</v>
      </c>
      <c r="J879">
        <v>19</v>
      </c>
      <c r="K879">
        <v>3</v>
      </c>
      <c r="L879">
        <v>4</v>
      </c>
      <c r="M879">
        <v>8</v>
      </c>
      <c r="N879">
        <v>240</v>
      </c>
      <c r="O879" s="3">
        <f t="shared" si="47"/>
        <v>3.3333333333333335</v>
      </c>
      <c r="P879">
        <f t="shared" si="45"/>
        <v>1</v>
      </c>
      <c r="Q879">
        <f t="shared" si="46"/>
        <v>0</v>
      </c>
      <c r="S879">
        <v>-5.3633540372670812</v>
      </c>
      <c r="T879">
        <v>-1</v>
      </c>
      <c r="U879">
        <v>-5.4347826086956523</v>
      </c>
      <c r="V879">
        <v>-1.6</v>
      </c>
      <c r="W879">
        <v>0</v>
      </c>
      <c r="X879">
        <v>1.6</v>
      </c>
      <c r="Y879">
        <v>1.0714285714285714</v>
      </c>
    </row>
    <row r="880" spans="1:25" x14ac:dyDescent="0.2">
      <c r="A880" t="s">
        <v>58</v>
      </c>
      <c r="B880" t="s">
        <v>459</v>
      </c>
      <c r="C880">
        <v>640</v>
      </c>
      <c r="D880" s="2">
        <v>0</v>
      </c>
      <c r="E880">
        <v>42</v>
      </c>
      <c r="F880">
        <v>14</v>
      </c>
      <c r="G880">
        <v>0</v>
      </c>
      <c r="H880">
        <v>270</v>
      </c>
      <c r="I880">
        <v>1540</v>
      </c>
      <c r="J880">
        <v>46</v>
      </c>
      <c r="K880">
        <v>4</v>
      </c>
      <c r="L880">
        <v>3</v>
      </c>
      <c r="M880">
        <v>21</v>
      </c>
      <c r="N880">
        <v>636</v>
      </c>
      <c r="O880" s="3">
        <f t="shared" si="47"/>
        <v>3.28125</v>
      </c>
      <c r="P880">
        <f t="shared" si="45"/>
        <v>1</v>
      </c>
      <c r="Q880">
        <f t="shared" si="46"/>
        <v>0</v>
      </c>
      <c r="S880">
        <v>-15.81055900621118</v>
      </c>
      <c r="T880">
        <v>-3.5</v>
      </c>
      <c r="U880">
        <v>-16.739130434782609</v>
      </c>
      <c r="V880">
        <v>-1.2</v>
      </c>
      <c r="W880">
        <v>0</v>
      </c>
      <c r="X880">
        <v>4.2</v>
      </c>
      <c r="Y880">
        <v>1.4285714285714286</v>
      </c>
    </row>
    <row r="881" spans="1:25" x14ac:dyDescent="0.2">
      <c r="A881" t="s">
        <v>58</v>
      </c>
      <c r="B881" t="s">
        <v>460</v>
      </c>
      <c r="C881">
        <v>430</v>
      </c>
      <c r="D881" s="2">
        <v>0</v>
      </c>
      <c r="E881">
        <v>13</v>
      </c>
      <c r="F881">
        <v>7</v>
      </c>
      <c r="G881">
        <v>0</v>
      </c>
      <c r="H881">
        <v>30</v>
      </c>
      <c r="I881">
        <v>560</v>
      </c>
      <c r="J881">
        <v>65</v>
      </c>
      <c r="K881">
        <v>7</v>
      </c>
      <c r="L881">
        <v>5</v>
      </c>
      <c r="M881">
        <v>14</v>
      </c>
      <c r="N881">
        <v>428</v>
      </c>
      <c r="O881" s="3">
        <f t="shared" si="47"/>
        <v>3.2558139534883721</v>
      </c>
      <c r="P881">
        <f t="shared" si="45"/>
        <v>1</v>
      </c>
      <c r="Q881">
        <f t="shared" si="46"/>
        <v>0</v>
      </c>
      <c r="S881">
        <v>-4.5369565217391301</v>
      </c>
      <c r="T881">
        <v>-1.75</v>
      </c>
      <c r="U881">
        <v>-6.0869565217391308</v>
      </c>
      <c r="V881">
        <v>-2.0000000000000004</v>
      </c>
      <c r="W881">
        <v>0</v>
      </c>
      <c r="X881">
        <v>2.8000000000000003</v>
      </c>
      <c r="Y881">
        <v>2.5</v>
      </c>
    </row>
    <row r="882" spans="1:25" x14ac:dyDescent="0.2">
      <c r="A882" t="s">
        <v>58</v>
      </c>
      <c r="B882" t="s">
        <v>465</v>
      </c>
      <c r="C882">
        <v>500</v>
      </c>
      <c r="D882" s="2">
        <v>0</v>
      </c>
      <c r="E882">
        <v>25</v>
      </c>
      <c r="F882">
        <v>8</v>
      </c>
      <c r="G882">
        <v>0.5</v>
      </c>
      <c r="H882">
        <v>35</v>
      </c>
      <c r="I882">
        <v>710</v>
      </c>
      <c r="J882">
        <v>53</v>
      </c>
      <c r="K882">
        <v>6</v>
      </c>
      <c r="L882">
        <v>4</v>
      </c>
      <c r="M882">
        <v>16</v>
      </c>
      <c r="N882">
        <v>496</v>
      </c>
      <c r="O882" s="3">
        <f t="shared" si="47"/>
        <v>3.2</v>
      </c>
      <c r="P882">
        <f t="shared" si="45"/>
        <v>1</v>
      </c>
      <c r="Q882">
        <f t="shared" si="46"/>
        <v>0</v>
      </c>
      <c r="S882">
        <v>-5.975034161490683</v>
      </c>
      <c r="T882">
        <v>-2</v>
      </c>
      <c r="U882">
        <v>-7.7173913043478262</v>
      </c>
      <c r="V882">
        <v>-1.6</v>
      </c>
      <c r="W882">
        <v>-5.0000000000000001E-4</v>
      </c>
      <c r="X882">
        <v>3.2</v>
      </c>
      <c r="Y882">
        <v>2.1428571428571428</v>
      </c>
    </row>
    <row r="883" spans="1:25" x14ac:dyDescent="0.2">
      <c r="A883" t="s">
        <v>58</v>
      </c>
      <c r="B883" t="s">
        <v>496</v>
      </c>
      <c r="C883">
        <v>100</v>
      </c>
      <c r="D883" s="2">
        <v>0</v>
      </c>
      <c r="E883">
        <v>8</v>
      </c>
      <c r="F883">
        <v>5</v>
      </c>
      <c r="G883">
        <v>0</v>
      </c>
      <c r="H883">
        <v>25</v>
      </c>
      <c r="I883">
        <v>45</v>
      </c>
      <c r="J883">
        <v>14</v>
      </c>
      <c r="K883">
        <v>0</v>
      </c>
      <c r="L883">
        <v>0</v>
      </c>
      <c r="M883">
        <v>3</v>
      </c>
      <c r="N883">
        <v>102</v>
      </c>
      <c r="O883" s="3">
        <f t="shared" si="47"/>
        <v>3</v>
      </c>
      <c r="P883">
        <f t="shared" si="45"/>
        <v>0</v>
      </c>
      <c r="Q883">
        <f t="shared" si="46"/>
        <v>0</v>
      </c>
      <c r="S883">
        <v>-1.1391304347826088</v>
      </c>
      <c r="T883">
        <v>-1.25</v>
      </c>
      <c r="U883">
        <v>-0.48913043478260876</v>
      </c>
      <c r="V883">
        <v>0</v>
      </c>
      <c r="W883">
        <v>0</v>
      </c>
      <c r="X883">
        <v>0.6</v>
      </c>
      <c r="Y883">
        <v>0</v>
      </c>
    </row>
    <row r="884" spans="1:25" x14ac:dyDescent="0.2">
      <c r="A884" t="s">
        <v>58</v>
      </c>
      <c r="B884" t="s">
        <v>497</v>
      </c>
      <c r="C884">
        <v>200</v>
      </c>
      <c r="D884" s="2">
        <v>0</v>
      </c>
      <c r="E884">
        <v>5</v>
      </c>
      <c r="F884">
        <v>3</v>
      </c>
      <c r="G884">
        <v>0</v>
      </c>
      <c r="H884">
        <v>20</v>
      </c>
      <c r="I884">
        <v>90</v>
      </c>
      <c r="J884">
        <v>33</v>
      </c>
      <c r="K884">
        <v>0</v>
      </c>
      <c r="L884">
        <v>27</v>
      </c>
      <c r="M884">
        <v>6</v>
      </c>
      <c r="N884">
        <v>224</v>
      </c>
      <c r="O884" s="3">
        <f t="shared" si="47"/>
        <v>3</v>
      </c>
      <c r="P884">
        <f t="shared" si="45"/>
        <v>0</v>
      </c>
      <c r="Q884">
        <f t="shared" si="46"/>
        <v>0</v>
      </c>
      <c r="S884">
        <v>-11.328260869565218</v>
      </c>
      <c r="T884">
        <v>-0.75</v>
      </c>
      <c r="U884">
        <v>-0.97826086956521752</v>
      </c>
      <c r="V884">
        <v>-10.8</v>
      </c>
      <c r="W884">
        <v>0</v>
      </c>
      <c r="X884">
        <v>1.2</v>
      </c>
      <c r="Y884">
        <v>0</v>
      </c>
    </row>
    <row r="885" spans="1:25" x14ac:dyDescent="0.2">
      <c r="A885" t="s">
        <v>58</v>
      </c>
      <c r="B885" t="s">
        <v>504</v>
      </c>
      <c r="C885">
        <v>590</v>
      </c>
      <c r="D885" s="2">
        <v>0</v>
      </c>
      <c r="E885">
        <v>15</v>
      </c>
      <c r="F885">
        <v>10</v>
      </c>
      <c r="G885">
        <v>0.5</v>
      </c>
      <c r="H885">
        <v>60</v>
      </c>
      <c r="I885">
        <v>260</v>
      </c>
      <c r="J885">
        <v>99</v>
      </c>
      <c r="K885">
        <v>0</v>
      </c>
      <c r="L885">
        <v>81</v>
      </c>
      <c r="M885">
        <v>17</v>
      </c>
      <c r="N885">
        <v>664</v>
      </c>
      <c r="O885" s="3">
        <f t="shared" si="47"/>
        <v>2.8813559322033897</v>
      </c>
      <c r="P885">
        <f t="shared" si="45"/>
        <v>0</v>
      </c>
      <c r="Q885">
        <f t="shared" si="46"/>
        <v>0</v>
      </c>
      <c r="S885">
        <v>-34.326586956521751</v>
      </c>
      <c r="T885">
        <v>-2.5</v>
      </c>
      <c r="U885">
        <v>-2.8260869565217392</v>
      </c>
      <c r="V885">
        <v>-32.400000000000006</v>
      </c>
      <c r="W885">
        <v>-5.0000000000000001E-4</v>
      </c>
      <c r="X885">
        <v>3.4000000000000004</v>
      </c>
      <c r="Y885">
        <v>0</v>
      </c>
    </row>
    <row r="886" spans="1:25" x14ac:dyDescent="0.2">
      <c r="A886" t="s">
        <v>58</v>
      </c>
      <c r="B886" t="s">
        <v>510</v>
      </c>
      <c r="C886">
        <v>490</v>
      </c>
      <c r="D886" s="2">
        <v>0</v>
      </c>
      <c r="E886">
        <v>28</v>
      </c>
      <c r="F886">
        <v>9</v>
      </c>
      <c r="G886">
        <v>0</v>
      </c>
      <c r="H886">
        <v>35</v>
      </c>
      <c r="I886">
        <v>550</v>
      </c>
      <c r="J886">
        <v>45</v>
      </c>
      <c r="K886">
        <v>4</v>
      </c>
      <c r="L886">
        <v>2</v>
      </c>
      <c r="M886">
        <v>14</v>
      </c>
      <c r="N886">
        <v>487</v>
      </c>
      <c r="O886" s="3">
        <f t="shared" si="47"/>
        <v>2.8571428571428572</v>
      </c>
      <c r="P886">
        <f t="shared" si="45"/>
        <v>1</v>
      </c>
      <c r="Q886">
        <f t="shared" si="46"/>
        <v>0</v>
      </c>
      <c r="S886">
        <v>-4.7996894409937898</v>
      </c>
      <c r="T886">
        <v>-2.25</v>
      </c>
      <c r="U886">
        <v>-5.9782608695652177</v>
      </c>
      <c r="V886">
        <v>-0.8</v>
      </c>
      <c r="W886">
        <v>0</v>
      </c>
      <c r="X886">
        <v>2.8000000000000003</v>
      </c>
      <c r="Y886">
        <v>1.4285714285714286</v>
      </c>
    </row>
    <row r="887" spans="1:25" x14ac:dyDescent="0.2">
      <c r="A887" t="s">
        <v>58</v>
      </c>
      <c r="B887" t="s">
        <v>511</v>
      </c>
      <c r="C887">
        <v>70</v>
      </c>
      <c r="D887" s="2">
        <v>0</v>
      </c>
      <c r="E887">
        <v>5</v>
      </c>
      <c r="F887">
        <v>3.5</v>
      </c>
      <c r="G887">
        <v>0</v>
      </c>
      <c r="H887">
        <v>15</v>
      </c>
      <c r="I887">
        <v>30</v>
      </c>
      <c r="J887">
        <v>6</v>
      </c>
      <c r="K887">
        <v>0</v>
      </c>
      <c r="L887">
        <v>0</v>
      </c>
      <c r="M887">
        <v>2</v>
      </c>
      <c r="N887">
        <v>72</v>
      </c>
      <c r="O887" s="3">
        <f t="shared" si="47"/>
        <v>2.8571428571428572</v>
      </c>
      <c r="P887">
        <f t="shared" si="45"/>
        <v>0</v>
      </c>
      <c r="Q887">
        <f t="shared" si="46"/>
        <v>0</v>
      </c>
      <c r="S887">
        <v>-0.80108695652173922</v>
      </c>
      <c r="T887">
        <v>-0.875</v>
      </c>
      <c r="U887">
        <v>-0.32608695652173914</v>
      </c>
      <c r="V887">
        <v>0</v>
      </c>
      <c r="W887">
        <v>0</v>
      </c>
      <c r="X887">
        <v>0.4</v>
      </c>
      <c r="Y887">
        <v>0</v>
      </c>
    </row>
    <row r="888" spans="1:25" x14ac:dyDescent="0.2">
      <c r="A888" t="s">
        <v>58</v>
      </c>
      <c r="B888" t="s">
        <v>512</v>
      </c>
      <c r="C888">
        <v>350</v>
      </c>
      <c r="D888" s="2">
        <v>0</v>
      </c>
      <c r="E888">
        <v>9</v>
      </c>
      <c r="F888">
        <v>6</v>
      </c>
      <c r="G888">
        <v>0</v>
      </c>
      <c r="H888">
        <v>35</v>
      </c>
      <c r="I888">
        <v>150</v>
      </c>
      <c r="J888">
        <v>58</v>
      </c>
      <c r="K888">
        <v>0</v>
      </c>
      <c r="L888">
        <v>47</v>
      </c>
      <c r="M888">
        <v>10</v>
      </c>
      <c r="N888">
        <v>393</v>
      </c>
      <c r="O888" s="3">
        <f t="shared" si="47"/>
        <v>2.8571428571428572</v>
      </c>
      <c r="P888">
        <f t="shared" si="45"/>
        <v>0</v>
      </c>
      <c r="Q888">
        <f t="shared" si="46"/>
        <v>0</v>
      </c>
      <c r="S888">
        <v>-19.930434782608696</v>
      </c>
      <c r="T888">
        <v>-1.5</v>
      </c>
      <c r="U888">
        <v>-1.6304347826086956</v>
      </c>
      <c r="V888">
        <v>-18.8</v>
      </c>
      <c r="W888">
        <v>0</v>
      </c>
      <c r="X888">
        <v>2.0000000000000004</v>
      </c>
      <c r="Y888">
        <v>0</v>
      </c>
    </row>
    <row r="889" spans="1:25" x14ac:dyDescent="0.2">
      <c r="A889" t="s">
        <v>58</v>
      </c>
      <c r="B889" t="s">
        <v>518</v>
      </c>
      <c r="C889">
        <v>250</v>
      </c>
      <c r="D889" s="2">
        <v>0</v>
      </c>
      <c r="E889">
        <v>18</v>
      </c>
      <c r="F889">
        <v>4</v>
      </c>
      <c r="G889">
        <v>0</v>
      </c>
      <c r="H889">
        <v>20</v>
      </c>
      <c r="I889">
        <v>460</v>
      </c>
      <c r="J889">
        <v>18</v>
      </c>
      <c r="K889">
        <v>2</v>
      </c>
      <c r="L889">
        <v>4</v>
      </c>
      <c r="M889">
        <v>7</v>
      </c>
      <c r="N889">
        <v>251</v>
      </c>
      <c r="O889" s="3">
        <f t="shared" si="47"/>
        <v>2.8000000000000003</v>
      </c>
      <c r="P889">
        <f t="shared" si="45"/>
        <v>0</v>
      </c>
      <c r="Q889">
        <f t="shared" si="46"/>
        <v>0</v>
      </c>
      <c r="S889">
        <v>-5.4857142857142849</v>
      </c>
      <c r="T889">
        <v>-1</v>
      </c>
      <c r="U889">
        <v>-5</v>
      </c>
      <c r="V889">
        <v>-1.6</v>
      </c>
      <c r="W889">
        <v>0</v>
      </c>
      <c r="X889">
        <v>1.4000000000000001</v>
      </c>
      <c r="Y889">
        <v>0.7142857142857143</v>
      </c>
    </row>
    <row r="890" spans="1:25" x14ac:dyDescent="0.2">
      <c r="A890" t="s">
        <v>58</v>
      </c>
      <c r="B890" t="s">
        <v>526</v>
      </c>
      <c r="C890">
        <v>470</v>
      </c>
      <c r="D890" s="2">
        <v>0</v>
      </c>
      <c r="E890">
        <v>12</v>
      </c>
      <c r="F890">
        <v>8</v>
      </c>
      <c r="G890">
        <v>0.5</v>
      </c>
      <c r="H890">
        <v>50</v>
      </c>
      <c r="I890">
        <v>210</v>
      </c>
      <c r="J890">
        <v>79</v>
      </c>
      <c r="K890">
        <v>0</v>
      </c>
      <c r="L890">
        <v>65</v>
      </c>
      <c r="M890">
        <v>13</v>
      </c>
      <c r="N890">
        <v>530</v>
      </c>
      <c r="O890" s="3">
        <f t="shared" si="47"/>
        <v>2.7659574468085104</v>
      </c>
      <c r="P890">
        <f t="shared" si="45"/>
        <v>0</v>
      </c>
      <c r="Q890">
        <f t="shared" si="46"/>
        <v>0</v>
      </c>
      <c r="S890">
        <v>-27.683108695652169</v>
      </c>
      <c r="T890">
        <v>-2</v>
      </c>
      <c r="U890">
        <v>-2.2826086956521738</v>
      </c>
      <c r="V890">
        <v>-26</v>
      </c>
      <c r="W890">
        <v>-5.0000000000000001E-4</v>
      </c>
      <c r="X890">
        <v>2.6</v>
      </c>
      <c r="Y890">
        <v>0</v>
      </c>
    </row>
    <row r="891" spans="1:25" x14ac:dyDescent="0.2">
      <c r="A891" t="s">
        <v>58</v>
      </c>
      <c r="B891" t="s">
        <v>536</v>
      </c>
      <c r="C891">
        <v>450</v>
      </c>
      <c r="D891" s="2">
        <v>0</v>
      </c>
      <c r="E891">
        <v>12</v>
      </c>
      <c r="F891">
        <v>8</v>
      </c>
      <c r="G891">
        <v>0.5</v>
      </c>
      <c r="H891">
        <v>55</v>
      </c>
      <c r="I891">
        <v>210</v>
      </c>
      <c r="J891">
        <v>75</v>
      </c>
      <c r="K891">
        <v>0</v>
      </c>
      <c r="L891">
        <v>63</v>
      </c>
      <c r="M891">
        <v>12</v>
      </c>
      <c r="N891">
        <v>509</v>
      </c>
      <c r="O891" s="3">
        <f t="shared" si="47"/>
        <v>2.666666666666667</v>
      </c>
      <c r="P891">
        <f t="shared" si="45"/>
        <v>0</v>
      </c>
      <c r="Q891">
        <f t="shared" si="46"/>
        <v>0</v>
      </c>
      <c r="S891">
        <v>-27.083108695652175</v>
      </c>
      <c r="T891">
        <v>-2</v>
      </c>
      <c r="U891">
        <v>-2.2826086956521738</v>
      </c>
      <c r="V891">
        <v>-25.2</v>
      </c>
      <c r="W891">
        <v>-5.0000000000000001E-4</v>
      </c>
      <c r="X891">
        <v>2.4</v>
      </c>
      <c r="Y891">
        <v>0</v>
      </c>
    </row>
    <row r="892" spans="1:25" x14ac:dyDescent="0.2">
      <c r="A892" t="s">
        <v>58</v>
      </c>
      <c r="B892" t="s">
        <v>537</v>
      </c>
      <c r="C892">
        <v>450</v>
      </c>
      <c r="D892" s="2">
        <v>0</v>
      </c>
      <c r="E892">
        <v>22</v>
      </c>
      <c r="F892">
        <v>6</v>
      </c>
      <c r="G892">
        <v>0</v>
      </c>
      <c r="H892">
        <v>220</v>
      </c>
      <c r="I892">
        <v>1260</v>
      </c>
      <c r="J892">
        <v>50</v>
      </c>
      <c r="K892">
        <v>4</v>
      </c>
      <c r="L892">
        <v>2</v>
      </c>
      <c r="M892">
        <v>12</v>
      </c>
      <c r="N892">
        <v>446</v>
      </c>
      <c r="O892" s="3">
        <f t="shared" si="47"/>
        <v>2.666666666666667</v>
      </c>
      <c r="P892">
        <f t="shared" si="45"/>
        <v>1</v>
      </c>
      <c r="Q892">
        <f t="shared" si="46"/>
        <v>0</v>
      </c>
      <c r="S892">
        <v>-12.167080745341615</v>
      </c>
      <c r="T892">
        <v>-1.5</v>
      </c>
      <c r="U892">
        <v>-13.695652173913043</v>
      </c>
      <c r="V892">
        <v>-0.8</v>
      </c>
      <c r="W892">
        <v>0</v>
      </c>
      <c r="X892">
        <v>2.4</v>
      </c>
      <c r="Y892">
        <v>1.4285714285714286</v>
      </c>
    </row>
    <row r="893" spans="1:25" x14ac:dyDescent="0.2">
      <c r="A893" t="s">
        <v>58</v>
      </c>
      <c r="B893" t="s">
        <v>538</v>
      </c>
      <c r="C893">
        <v>340</v>
      </c>
      <c r="D893" s="2">
        <v>0</v>
      </c>
      <c r="E893">
        <v>9</v>
      </c>
      <c r="F893">
        <v>6</v>
      </c>
      <c r="G893">
        <v>0</v>
      </c>
      <c r="H893">
        <v>45</v>
      </c>
      <c r="I893">
        <v>160</v>
      </c>
      <c r="J893">
        <v>56</v>
      </c>
      <c r="K893">
        <v>0</v>
      </c>
      <c r="L893">
        <v>47</v>
      </c>
      <c r="M893">
        <v>9</v>
      </c>
      <c r="N893">
        <v>384</v>
      </c>
      <c r="O893" s="3">
        <f t="shared" si="47"/>
        <v>2.6470588235294117</v>
      </c>
      <c r="P893">
        <f t="shared" si="45"/>
        <v>0</v>
      </c>
      <c r="Q893">
        <f t="shared" si="46"/>
        <v>0</v>
      </c>
      <c r="S893">
        <v>-20.239130434782609</v>
      </c>
      <c r="T893">
        <v>-1.5</v>
      </c>
      <c r="U893">
        <v>-1.7391304347826086</v>
      </c>
      <c r="V893">
        <v>-18.8</v>
      </c>
      <c r="W893">
        <v>0</v>
      </c>
      <c r="X893">
        <v>1.7999999999999998</v>
      </c>
      <c r="Y893">
        <v>0</v>
      </c>
    </row>
    <row r="894" spans="1:25" x14ac:dyDescent="0.2">
      <c r="A894" t="s">
        <v>58</v>
      </c>
      <c r="B894" t="s">
        <v>544</v>
      </c>
      <c r="C894">
        <v>190</v>
      </c>
      <c r="D894" s="2">
        <v>0</v>
      </c>
      <c r="E894">
        <v>5</v>
      </c>
      <c r="F894">
        <v>3.5</v>
      </c>
      <c r="G894">
        <v>0</v>
      </c>
      <c r="H894">
        <v>25</v>
      </c>
      <c r="I894">
        <v>90</v>
      </c>
      <c r="J894">
        <v>32</v>
      </c>
      <c r="K894">
        <v>0</v>
      </c>
      <c r="L894">
        <v>27</v>
      </c>
      <c r="M894">
        <v>5</v>
      </c>
      <c r="N894">
        <v>216</v>
      </c>
      <c r="O894" s="3">
        <f t="shared" si="47"/>
        <v>2.6315789473684208</v>
      </c>
      <c r="P894">
        <f t="shared" si="45"/>
        <v>0</v>
      </c>
      <c r="Q894">
        <f t="shared" si="46"/>
        <v>0</v>
      </c>
      <c r="S894">
        <v>-11.653260869565218</v>
      </c>
      <c r="T894">
        <v>-0.875</v>
      </c>
      <c r="U894">
        <v>-0.97826086956521752</v>
      </c>
      <c r="V894">
        <v>-10.8</v>
      </c>
      <c r="W894">
        <v>0</v>
      </c>
      <c r="X894">
        <v>1.0000000000000002</v>
      </c>
      <c r="Y894">
        <v>0</v>
      </c>
    </row>
    <row r="895" spans="1:25" x14ac:dyDescent="0.2">
      <c r="A895" t="s">
        <v>58</v>
      </c>
      <c r="B895" t="s">
        <v>545</v>
      </c>
      <c r="C895">
        <v>570</v>
      </c>
      <c r="D895" s="2">
        <v>0</v>
      </c>
      <c r="E895">
        <v>15</v>
      </c>
      <c r="F895">
        <v>10</v>
      </c>
      <c r="G895">
        <v>0.5</v>
      </c>
      <c r="H895">
        <v>70</v>
      </c>
      <c r="I895">
        <v>260</v>
      </c>
      <c r="J895">
        <v>94</v>
      </c>
      <c r="K895">
        <v>0</v>
      </c>
      <c r="L895">
        <v>78</v>
      </c>
      <c r="M895">
        <v>15</v>
      </c>
      <c r="N895">
        <v>643</v>
      </c>
      <c r="O895" s="3">
        <f t="shared" si="47"/>
        <v>2.6315789473684208</v>
      </c>
      <c r="P895">
        <f t="shared" si="45"/>
        <v>0</v>
      </c>
      <c r="Q895">
        <f t="shared" si="46"/>
        <v>0</v>
      </c>
      <c r="S895">
        <v>-33.526586956521747</v>
      </c>
      <c r="T895">
        <v>-2.5</v>
      </c>
      <c r="U895">
        <v>-2.8260869565217392</v>
      </c>
      <c r="V895">
        <v>-31.200000000000006</v>
      </c>
      <c r="W895">
        <v>-5.0000000000000001E-4</v>
      </c>
      <c r="X895">
        <v>3</v>
      </c>
      <c r="Y895">
        <v>0</v>
      </c>
    </row>
    <row r="896" spans="1:25" x14ac:dyDescent="0.2">
      <c r="A896" t="s">
        <v>58</v>
      </c>
      <c r="B896" t="s">
        <v>551</v>
      </c>
      <c r="C896">
        <v>270</v>
      </c>
      <c r="D896" s="2">
        <v>0</v>
      </c>
      <c r="E896">
        <v>0</v>
      </c>
      <c r="F896">
        <v>0</v>
      </c>
      <c r="G896">
        <v>0</v>
      </c>
      <c r="H896">
        <v>0</v>
      </c>
      <c r="I896">
        <v>25</v>
      </c>
      <c r="J896">
        <v>61</v>
      </c>
      <c r="K896">
        <v>7</v>
      </c>
      <c r="L896">
        <v>3</v>
      </c>
      <c r="M896">
        <v>7</v>
      </c>
      <c r="N896">
        <v>266</v>
      </c>
      <c r="O896" s="3">
        <f t="shared" si="47"/>
        <v>2.5925925925925926</v>
      </c>
      <c r="P896">
        <f t="shared" si="45"/>
        <v>0</v>
      </c>
      <c r="Q896">
        <f t="shared" si="46"/>
        <v>0</v>
      </c>
      <c r="S896">
        <v>2.4282608695652179</v>
      </c>
      <c r="T896">
        <v>0</v>
      </c>
      <c r="U896">
        <v>-0.27173913043478259</v>
      </c>
      <c r="V896">
        <v>-1.2</v>
      </c>
      <c r="W896">
        <v>0</v>
      </c>
      <c r="X896">
        <v>1.4000000000000001</v>
      </c>
      <c r="Y896">
        <v>2.5</v>
      </c>
    </row>
    <row r="897" spans="1:25" x14ac:dyDescent="0.2">
      <c r="A897" t="s">
        <v>58</v>
      </c>
      <c r="B897" t="s">
        <v>553</v>
      </c>
      <c r="C897">
        <v>310</v>
      </c>
      <c r="D897" s="2">
        <v>0</v>
      </c>
      <c r="E897">
        <v>2.5</v>
      </c>
      <c r="F897">
        <v>2.5</v>
      </c>
      <c r="G897">
        <v>0</v>
      </c>
      <c r="H897">
        <v>10</v>
      </c>
      <c r="I897">
        <v>35</v>
      </c>
      <c r="J897">
        <v>63</v>
      </c>
      <c r="K897">
        <v>7</v>
      </c>
      <c r="L897">
        <v>4</v>
      </c>
      <c r="M897">
        <v>8</v>
      </c>
      <c r="N897">
        <v>309</v>
      </c>
      <c r="O897" s="3">
        <f t="shared" si="47"/>
        <v>2.5806451612903225</v>
      </c>
      <c r="P897">
        <f t="shared" si="45"/>
        <v>0</v>
      </c>
      <c r="Q897">
        <f t="shared" si="46"/>
        <v>0</v>
      </c>
      <c r="S897">
        <v>1.4945652173913042</v>
      </c>
      <c r="T897">
        <v>-0.625</v>
      </c>
      <c r="U897">
        <v>-0.38043478260869568</v>
      </c>
      <c r="V897">
        <v>-1.6</v>
      </c>
      <c r="W897">
        <v>0</v>
      </c>
      <c r="X897">
        <v>1.6</v>
      </c>
      <c r="Y897">
        <v>2.5</v>
      </c>
    </row>
    <row r="898" spans="1:25" x14ac:dyDescent="0.2">
      <c r="A898" t="s">
        <v>58</v>
      </c>
      <c r="B898" t="s">
        <v>509</v>
      </c>
      <c r="C898">
        <v>480</v>
      </c>
      <c r="D898" s="2">
        <v>0</v>
      </c>
      <c r="E898">
        <v>33</v>
      </c>
      <c r="F898">
        <v>15</v>
      </c>
      <c r="G898">
        <v>0</v>
      </c>
      <c r="H898">
        <v>50</v>
      </c>
      <c r="I898">
        <v>1010</v>
      </c>
      <c r="J898">
        <v>35</v>
      </c>
      <c r="K898">
        <v>1</v>
      </c>
      <c r="L898">
        <v>5</v>
      </c>
      <c r="M898">
        <v>12</v>
      </c>
      <c r="N898">
        <v>488</v>
      </c>
      <c r="O898" s="3">
        <f t="shared" si="47"/>
        <v>2.5</v>
      </c>
      <c r="P898">
        <f t="shared" ref="P898:P961" si="48">IF(I898&gt;2300*0.2,1,0)</f>
        <v>1</v>
      </c>
      <c r="Q898">
        <f t="shared" ref="Q898:Q961" si="49">IF(H898&gt;300,1,0)</f>
        <v>0</v>
      </c>
      <c r="S898">
        <v>-13.971118012422361</v>
      </c>
      <c r="T898">
        <v>-3.75</v>
      </c>
      <c r="U898">
        <v>-10.978260869565219</v>
      </c>
      <c r="V898">
        <v>-2.0000000000000004</v>
      </c>
      <c r="W898">
        <v>0</v>
      </c>
      <c r="X898">
        <v>2.4</v>
      </c>
      <c r="Y898">
        <v>0.35714285714285715</v>
      </c>
    </row>
    <row r="899" spans="1:25" x14ac:dyDescent="0.2">
      <c r="A899" t="s">
        <v>58</v>
      </c>
      <c r="B899" t="s">
        <v>570</v>
      </c>
      <c r="C899">
        <v>960</v>
      </c>
      <c r="D899" s="2">
        <v>0</v>
      </c>
      <c r="E899">
        <v>65</v>
      </c>
      <c r="F899">
        <v>31</v>
      </c>
      <c r="G899">
        <v>0</v>
      </c>
      <c r="H899">
        <v>95</v>
      </c>
      <c r="I899">
        <v>2020</v>
      </c>
      <c r="J899">
        <v>70</v>
      </c>
      <c r="K899">
        <v>3</v>
      </c>
      <c r="L899">
        <v>10</v>
      </c>
      <c r="M899">
        <v>23</v>
      </c>
      <c r="N899">
        <v>978</v>
      </c>
      <c r="O899" s="3">
        <f t="shared" si="47"/>
        <v>2.3958333333333335</v>
      </c>
      <c r="P899">
        <f t="shared" si="48"/>
        <v>1</v>
      </c>
      <c r="Q899">
        <f t="shared" si="49"/>
        <v>0</v>
      </c>
      <c r="S899">
        <v>-28.035093167701863</v>
      </c>
      <c r="T899">
        <v>-7.75</v>
      </c>
      <c r="U899">
        <v>-21.956521739130437</v>
      </c>
      <c r="V899">
        <v>-4.0000000000000009</v>
      </c>
      <c r="W899">
        <v>0</v>
      </c>
      <c r="X899">
        <v>4.6000000000000005</v>
      </c>
      <c r="Y899">
        <v>1.0714285714285714</v>
      </c>
    </row>
    <row r="900" spans="1:25" x14ac:dyDescent="0.2">
      <c r="A900" t="s">
        <v>58</v>
      </c>
      <c r="B900" t="s">
        <v>650</v>
      </c>
      <c r="C900">
        <v>490</v>
      </c>
      <c r="D900" s="2">
        <v>0</v>
      </c>
      <c r="E900">
        <v>29</v>
      </c>
      <c r="F900">
        <v>14</v>
      </c>
      <c r="G900">
        <v>0</v>
      </c>
      <c r="H900">
        <v>20</v>
      </c>
      <c r="I900">
        <v>1400</v>
      </c>
      <c r="J900">
        <v>49</v>
      </c>
      <c r="K900">
        <v>2</v>
      </c>
      <c r="L900">
        <v>6</v>
      </c>
      <c r="M900">
        <v>8</v>
      </c>
      <c r="N900">
        <v>502</v>
      </c>
      <c r="O900" s="3">
        <f t="shared" si="47"/>
        <v>1.6326530612244898</v>
      </c>
      <c r="P900">
        <f t="shared" si="48"/>
        <v>1</v>
      </c>
      <c r="Q900">
        <f t="shared" si="49"/>
        <v>0</v>
      </c>
      <c r="S900">
        <v>-18.80310559006211</v>
      </c>
      <c r="T900">
        <v>-3.5</v>
      </c>
      <c r="U900">
        <v>-15.217391304347828</v>
      </c>
      <c r="V900">
        <v>-2.4</v>
      </c>
      <c r="W900">
        <v>0</v>
      </c>
      <c r="X900">
        <v>1.6</v>
      </c>
      <c r="Y900">
        <v>0.7142857142857143</v>
      </c>
    </row>
    <row r="901" spans="1:25" x14ac:dyDescent="0.2">
      <c r="A901" t="s">
        <v>58</v>
      </c>
      <c r="B901" t="s">
        <v>651</v>
      </c>
      <c r="C901">
        <v>250</v>
      </c>
      <c r="D901" s="2">
        <v>0</v>
      </c>
      <c r="E901">
        <v>9</v>
      </c>
      <c r="F901">
        <v>1.5</v>
      </c>
      <c r="G901">
        <v>0</v>
      </c>
      <c r="H901">
        <v>0</v>
      </c>
      <c r="I901">
        <v>750</v>
      </c>
      <c r="J901">
        <v>39</v>
      </c>
      <c r="K901">
        <v>4</v>
      </c>
      <c r="L901">
        <v>1</v>
      </c>
      <c r="M901">
        <v>4</v>
      </c>
      <c r="N901">
        <v>249</v>
      </c>
      <c r="O901" s="3">
        <f t="shared" si="47"/>
        <v>1.6</v>
      </c>
      <c r="P901">
        <f t="shared" si="48"/>
        <v>1</v>
      </c>
      <c r="Q901">
        <f t="shared" si="49"/>
        <v>0</v>
      </c>
      <c r="S901">
        <v>-6.6986024844720493</v>
      </c>
      <c r="T901">
        <v>-0.375</v>
      </c>
      <c r="U901">
        <v>-8.1521739130434785</v>
      </c>
      <c r="V901">
        <v>-0.4</v>
      </c>
      <c r="W901">
        <v>0</v>
      </c>
      <c r="X901">
        <v>0.8</v>
      </c>
      <c r="Y901">
        <v>1.4285714285714286</v>
      </c>
    </row>
    <row r="902" spans="1:25" x14ac:dyDescent="0.2">
      <c r="A902" t="s">
        <v>58</v>
      </c>
      <c r="B902" t="s">
        <v>653</v>
      </c>
      <c r="C902">
        <v>320</v>
      </c>
      <c r="D902" s="2">
        <v>0</v>
      </c>
      <c r="E902">
        <v>15</v>
      </c>
      <c r="F902">
        <v>2.5</v>
      </c>
      <c r="G902">
        <v>0</v>
      </c>
      <c r="H902">
        <v>0</v>
      </c>
      <c r="I902">
        <v>320</v>
      </c>
      <c r="J902">
        <v>43</v>
      </c>
      <c r="K902">
        <v>4</v>
      </c>
      <c r="L902">
        <v>0</v>
      </c>
      <c r="M902">
        <v>5</v>
      </c>
      <c r="N902">
        <v>318</v>
      </c>
      <c r="O902" s="3">
        <f t="shared" si="47"/>
        <v>1.5625</v>
      </c>
      <c r="P902">
        <f t="shared" si="48"/>
        <v>0</v>
      </c>
      <c r="Q902">
        <f t="shared" si="49"/>
        <v>0</v>
      </c>
      <c r="S902">
        <v>-1.6746894409937882</v>
      </c>
      <c r="T902">
        <v>-0.625</v>
      </c>
      <c r="U902">
        <v>-3.4782608695652173</v>
      </c>
      <c r="V902">
        <v>0</v>
      </c>
      <c r="W902">
        <v>0</v>
      </c>
      <c r="X902">
        <v>1.0000000000000002</v>
      </c>
      <c r="Y902">
        <v>1.4285714285714286</v>
      </c>
    </row>
    <row r="903" spans="1:25" x14ac:dyDescent="0.2">
      <c r="A903" t="s">
        <v>58</v>
      </c>
      <c r="B903" t="s">
        <v>664</v>
      </c>
      <c r="C903">
        <v>420</v>
      </c>
      <c r="D903" s="2">
        <v>0</v>
      </c>
      <c r="E903">
        <v>19</v>
      </c>
      <c r="F903">
        <v>3.5</v>
      </c>
      <c r="G903">
        <v>0</v>
      </c>
      <c r="H903">
        <v>0</v>
      </c>
      <c r="I903">
        <v>420</v>
      </c>
      <c r="J903">
        <v>56</v>
      </c>
      <c r="K903">
        <v>5</v>
      </c>
      <c r="L903">
        <v>0</v>
      </c>
      <c r="M903">
        <v>6</v>
      </c>
      <c r="N903">
        <v>418</v>
      </c>
      <c r="O903" s="3">
        <f t="shared" si="47"/>
        <v>1.4285714285714286</v>
      </c>
      <c r="P903">
        <f t="shared" si="48"/>
        <v>0</v>
      </c>
      <c r="Q903">
        <f t="shared" si="49"/>
        <v>0</v>
      </c>
      <c r="S903">
        <v>-2.4545031055900615</v>
      </c>
      <c r="T903">
        <v>-0.875</v>
      </c>
      <c r="U903">
        <v>-4.5652173913043477</v>
      </c>
      <c r="V903">
        <v>0</v>
      </c>
      <c r="W903">
        <v>0</v>
      </c>
      <c r="X903">
        <v>1.2</v>
      </c>
      <c r="Y903">
        <v>1.785714285714286</v>
      </c>
    </row>
    <row r="904" spans="1:25" x14ac:dyDescent="0.2">
      <c r="A904" t="s">
        <v>58</v>
      </c>
      <c r="B904" t="s">
        <v>665</v>
      </c>
      <c r="C904">
        <v>210</v>
      </c>
      <c r="D904" s="2">
        <v>0</v>
      </c>
      <c r="E904">
        <v>8</v>
      </c>
      <c r="F904">
        <v>5</v>
      </c>
      <c r="G904">
        <v>0</v>
      </c>
      <c r="H904">
        <v>25</v>
      </c>
      <c r="I904">
        <v>40</v>
      </c>
      <c r="J904">
        <v>32</v>
      </c>
      <c r="K904">
        <v>0</v>
      </c>
      <c r="L904">
        <v>28</v>
      </c>
      <c r="M904">
        <v>3</v>
      </c>
      <c r="N904">
        <v>240</v>
      </c>
      <c r="O904" s="3">
        <f t="shared" si="47"/>
        <v>1.4285714285714286</v>
      </c>
      <c r="P904">
        <f t="shared" si="48"/>
        <v>0</v>
      </c>
      <c r="Q904">
        <f t="shared" si="49"/>
        <v>0</v>
      </c>
      <c r="S904">
        <v>-12.284782608695654</v>
      </c>
      <c r="T904">
        <v>-1.25</v>
      </c>
      <c r="U904">
        <v>-0.43478260869565216</v>
      </c>
      <c r="V904">
        <v>-11.200000000000001</v>
      </c>
      <c r="W904">
        <v>0</v>
      </c>
      <c r="X904">
        <v>0.6</v>
      </c>
      <c r="Y904">
        <v>0</v>
      </c>
    </row>
    <row r="905" spans="1:25" x14ac:dyDescent="0.2">
      <c r="A905" t="s">
        <v>58</v>
      </c>
      <c r="B905" t="s">
        <v>668</v>
      </c>
      <c r="C905">
        <v>360</v>
      </c>
      <c r="D905" s="2">
        <v>0</v>
      </c>
      <c r="E905">
        <v>13</v>
      </c>
      <c r="F905">
        <v>2.5</v>
      </c>
      <c r="G905">
        <v>0</v>
      </c>
      <c r="H905">
        <v>0</v>
      </c>
      <c r="I905">
        <v>1080</v>
      </c>
      <c r="J905">
        <v>57</v>
      </c>
      <c r="K905">
        <v>6</v>
      </c>
      <c r="L905">
        <v>1</v>
      </c>
      <c r="M905">
        <v>5</v>
      </c>
      <c r="N905">
        <v>359</v>
      </c>
      <c r="O905" s="3">
        <f t="shared" si="47"/>
        <v>1.3888888888888888</v>
      </c>
      <c r="P905">
        <f t="shared" si="48"/>
        <v>1</v>
      </c>
      <c r="Q905">
        <f t="shared" si="49"/>
        <v>0</v>
      </c>
      <c r="S905">
        <v>-9.6212732919254673</v>
      </c>
      <c r="T905">
        <v>-0.625</v>
      </c>
      <c r="U905">
        <v>-11.739130434782609</v>
      </c>
      <c r="V905">
        <v>-0.4</v>
      </c>
      <c r="W905">
        <v>0</v>
      </c>
      <c r="X905">
        <v>1.0000000000000002</v>
      </c>
      <c r="Y905">
        <v>2.1428571428571428</v>
      </c>
    </row>
    <row r="906" spans="1:25" x14ac:dyDescent="0.2">
      <c r="A906" t="s">
        <v>58</v>
      </c>
      <c r="B906" t="s">
        <v>669</v>
      </c>
      <c r="C906">
        <v>290</v>
      </c>
      <c r="D906" s="2">
        <v>0</v>
      </c>
      <c r="E906">
        <v>14</v>
      </c>
      <c r="F906">
        <v>7</v>
      </c>
      <c r="G906">
        <v>0</v>
      </c>
      <c r="H906">
        <v>20</v>
      </c>
      <c r="I906">
        <v>230</v>
      </c>
      <c r="J906">
        <v>39</v>
      </c>
      <c r="K906">
        <v>4</v>
      </c>
      <c r="L906">
        <v>21</v>
      </c>
      <c r="M906">
        <v>4</v>
      </c>
      <c r="N906">
        <v>314</v>
      </c>
      <c r="O906" s="3">
        <f t="shared" si="47"/>
        <v>1.3793103448275863</v>
      </c>
      <c r="P906">
        <f t="shared" si="48"/>
        <v>0</v>
      </c>
      <c r="Q906">
        <f t="shared" si="49"/>
        <v>0</v>
      </c>
      <c r="S906">
        <v>-10.421428571428571</v>
      </c>
      <c r="T906">
        <v>-1.75</v>
      </c>
      <c r="U906">
        <v>-2.5</v>
      </c>
      <c r="V906">
        <v>-8.4</v>
      </c>
      <c r="W906">
        <v>0</v>
      </c>
      <c r="X906">
        <v>0.8</v>
      </c>
      <c r="Y906">
        <v>1.4285714285714286</v>
      </c>
    </row>
    <row r="907" spans="1:25" x14ac:dyDescent="0.2">
      <c r="A907" t="s">
        <v>58</v>
      </c>
      <c r="B907" t="s">
        <v>675</v>
      </c>
      <c r="C907">
        <v>530</v>
      </c>
      <c r="D907" s="2">
        <v>0</v>
      </c>
      <c r="E907">
        <v>24</v>
      </c>
      <c r="F907">
        <v>4.5</v>
      </c>
      <c r="G907">
        <v>0</v>
      </c>
      <c r="H907">
        <v>0</v>
      </c>
      <c r="I907">
        <v>520</v>
      </c>
      <c r="J907">
        <v>70</v>
      </c>
      <c r="K907">
        <v>6</v>
      </c>
      <c r="L907">
        <v>0</v>
      </c>
      <c r="M907">
        <v>7</v>
      </c>
      <c r="N907">
        <v>528</v>
      </c>
      <c r="O907" s="3">
        <f t="shared" si="47"/>
        <v>1.3207547169811322</v>
      </c>
      <c r="P907">
        <f t="shared" si="48"/>
        <v>1</v>
      </c>
      <c r="Q907">
        <f t="shared" si="49"/>
        <v>0</v>
      </c>
      <c r="S907">
        <v>-3.2343167701863353</v>
      </c>
      <c r="T907">
        <v>-1.125</v>
      </c>
      <c r="U907">
        <v>-5.6521739130434785</v>
      </c>
      <c r="V907">
        <v>0</v>
      </c>
      <c r="W907">
        <v>0</v>
      </c>
      <c r="X907">
        <v>1.4000000000000001</v>
      </c>
      <c r="Y907">
        <v>2.1428571428571428</v>
      </c>
    </row>
    <row r="908" spans="1:25" x14ac:dyDescent="0.2">
      <c r="A908" t="s">
        <v>58</v>
      </c>
      <c r="B908" t="s">
        <v>680</v>
      </c>
      <c r="C908">
        <v>230</v>
      </c>
      <c r="D908" s="2">
        <v>0</v>
      </c>
      <c r="E908">
        <v>10</v>
      </c>
      <c r="F908">
        <v>2</v>
      </c>
      <c r="G908">
        <v>0</v>
      </c>
      <c r="H908">
        <v>0</v>
      </c>
      <c r="I908">
        <v>15</v>
      </c>
      <c r="J908">
        <v>30</v>
      </c>
      <c r="K908">
        <v>3</v>
      </c>
      <c r="L908">
        <v>0</v>
      </c>
      <c r="M908">
        <v>3</v>
      </c>
      <c r="N908">
        <v>229</v>
      </c>
      <c r="O908" s="3">
        <f t="shared" si="47"/>
        <v>1.3043478260869565</v>
      </c>
      <c r="P908">
        <f t="shared" si="48"/>
        <v>0</v>
      </c>
      <c r="Q908">
        <f t="shared" si="49"/>
        <v>0</v>
      </c>
      <c r="S908">
        <v>1.0083850931677016</v>
      </c>
      <c r="T908">
        <v>-0.5</v>
      </c>
      <c r="U908">
        <v>-0.16304347826086957</v>
      </c>
      <c r="V908">
        <v>0</v>
      </c>
      <c r="W908">
        <v>0</v>
      </c>
      <c r="X908">
        <v>0.6</v>
      </c>
      <c r="Y908">
        <v>1.0714285714285714</v>
      </c>
    </row>
    <row r="909" spans="1:25" x14ac:dyDescent="0.2">
      <c r="A909" t="s">
        <v>58</v>
      </c>
      <c r="B909" t="s">
        <v>681</v>
      </c>
      <c r="C909">
        <v>230</v>
      </c>
      <c r="D909" s="2">
        <v>0</v>
      </c>
      <c r="E909">
        <v>8</v>
      </c>
      <c r="F909">
        <v>1.5</v>
      </c>
      <c r="G909">
        <v>0</v>
      </c>
      <c r="H909">
        <v>0</v>
      </c>
      <c r="I909">
        <v>680</v>
      </c>
      <c r="J909">
        <v>35</v>
      </c>
      <c r="K909">
        <v>4</v>
      </c>
      <c r="L909">
        <v>0</v>
      </c>
      <c r="M909">
        <v>3</v>
      </c>
      <c r="N909">
        <v>229</v>
      </c>
      <c r="O909" s="3">
        <f t="shared" si="47"/>
        <v>1.3043478260869565</v>
      </c>
      <c r="P909">
        <f t="shared" si="48"/>
        <v>1</v>
      </c>
      <c r="Q909">
        <f t="shared" si="49"/>
        <v>0</v>
      </c>
      <c r="S909">
        <v>-5.7377329192546584</v>
      </c>
      <c r="T909">
        <v>-0.375</v>
      </c>
      <c r="U909">
        <v>-7.3913043478260869</v>
      </c>
      <c r="V909">
        <v>0</v>
      </c>
      <c r="W909">
        <v>0</v>
      </c>
      <c r="X909">
        <v>0.6</v>
      </c>
      <c r="Y909">
        <v>1.4285714285714286</v>
      </c>
    </row>
    <row r="910" spans="1:25" x14ac:dyDescent="0.2">
      <c r="A910" t="s">
        <v>58</v>
      </c>
      <c r="B910" t="s">
        <v>687</v>
      </c>
      <c r="C910">
        <v>240</v>
      </c>
      <c r="D910" s="2">
        <v>0</v>
      </c>
      <c r="E910">
        <v>8</v>
      </c>
      <c r="F910">
        <v>5</v>
      </c>
      <c r="G910">
        <v>0</v>
      </c>
      <c r="H910">
        <v>25</v>
      </c>
      <c r="I910">
        <v>45</v>
      </c>
      <c r="J910">
        <v>40</v>
      </c>
      <c r="K910">
        <v>0</v>
      </c>
      <c r="L910">
        <v>36</v>
      </c>
      <c r="M910">
        <v>3</v>
      </c>
      <c r="N910">
        <v>278</v>
      </c>
      <c r="O910" s="3">
        <f t="shared" si="47"/>
        <v>1.25</v>
      </c>
      <c r="P910">
        <f t="shared" si="48"/>
        <v>0</v>
      </c>
      <c r="Q910">
        <f t="shared" si="49"/>
        <v>0</v>
      </c>
      <c r="S910">
        <v>-15.539130434782608</v>
      </c>
      <c r="T910">
        <v>-1.25</v>
      </c>
      <c r="U910">
        <v>-0.48913043478260876</v>
      </c>
      <c r="V910">
        <v>-14.399999999999999</v>
      </c>
      <c r="W910">
        <v>0</v>
      </c>
      <c r="X910">
        <v>0.6</v>
      </c>
      <c r="Y910">
        <v>0</v>
      </c>
    </row>
    <row r="911" spans="1:25" x14ac:dyDescent="0.2">
      <c r="A911" t="s">
        <v>58</v>
      </c>
      <c r="B911" t="s">
        <v>688</v>
      </c>
      <c r="C911">
        <v>160</v>
      </c>
      <c r="D911" s="2">
        <v>0</v>
      </c>
      <c r="E911">
        <v>6</v>
      </c>
      <c r="F911">
        <v>3.5</v>
      </c>
      <c r="G911">
        <v>0</v>
      </c>
      <c r="H911">
        <v>20</v>
      </c>
      <c r="I911">
        <v>30</v>
      </c>
      <c r="J911">
        <v>26</v>
      </c>
      <c r="K911">
        <v>0</v>
      </c>
      <c r="L911">
        <v>24</v>
      </c>
      <c r="M911">
        <v>2</v>
      </c>
      <c r="N911">
        <v>186</v>
      </c>
      <c r="O911" s="3">
        <f t="shared" si="47"/>
        <v>1.25</v>
      </c>
      <c r="P911">
        <f t="shared" si="48"/>
        <v>0</v>
      </c>
      <c r="Q911">
        <f t="shared" si="49"/>
        <v>0</v>
      </c>
      <c r="S911">
        <v>-10.401086956521739</v>
      </c>
      <c r="T911">
        <v>-0.875</v>
      </c>
      <c r="U911">
        <v>-0.32608695652173914</v>
      </c>
      <c r="V911">
        <v>-9.6</v>
      </c>
      <c r="W911">
        <v>0</v>
      </c>
      <c r="X911">
        <v>0.4</v>
      </c>
      <c r="Y911">
        <v>0</v>
      </c>
    </row>
    <row r="912" spans="1:25" x14ac:dyDescent="0.2">
      <c r="A912" t="s">
        <v>58</v>
      </c>
      <c r="B912" t="s">
        <v>695</v>
      </c>
      <c r="C912">
        <v>250</v>
      </c>
      <c r="D912" s="2">
        <v>0</v>
      </c>
      <c r="E912">
        <v>8</v>
      </c>
      <c r="F912">
        <v>5</v>
      </c>
      <c r="G912">
        <v>0</v>
      </c>
      <c r="H912">
        <v>25</v>
      </c>
      <c r="I912">
        <v>40</v>
      </c>
      <c r="J912">
        <v>42</v>
      </c>
      <c r="K912">
        <v>0</v>
      </c>
      <c r="L912">
        <v>39</v>
      </c>
      <c r="M912">
        <v>3</v>
      </c>
      <c r="N912">
        <v>291</v>
      </c>
      <c r="O912" s="3">
        <f t="shared" si="47"/>
        <v>1.2</v>
      </c>
      <c r="P912">
        <f t="shared" si="48"/>
        <v>0</v>
      </c>
      <c r="Q912">
        <f t="shared" si="49"/>
        <v>0</v>
      </c>
      <c r="S912">
        <v>-16.684782608695652</v>
      </c>
      <c r="T912">
        <v>-1.25</v>
      </c>
      <c r="U912">
        <v>-0.43478260869565216</v>
      </c>
      <c r="V912">
        <v>-15.600000000000003</v>
      </c>
      <c r="W912">
        <v>0</v>
      </c>
      <c r="X912">
        <v>0.6</v>
      </c>
      <c r="Y912">
        <v>0</v>
      </c>
    </row>
    <row r="913" spans="1:25" x14ac:dyDescent="0.2">
      <c r="A913" t="s">
        <v>58</v>
      </c>
      <c r="B913" t="s">
        <v>696</v>
      </c>
      <c r="C913">
        <v>170</v>
      </c>
      <c r="D913" s="2">
        <v>0</v>
      </c>
      <c r="E913">
        <v>6</v>
      </c>
      <c r="F913">
        <v>3.5</v>
      </c>
      <c r="G913">
        <v>0</v>
      </c>
      <c r="H913">
        <v>20</v>
      </c>
      <c r="I913">
        <v>30</v>
      </c>
      <c r="J913">
        <v>28</v>
      </c>
      <c r="K913">
        <v>0</v>
      </c>
      <c r="L913">
        <v>25</v>
      </c>
      <c r="M913">
        <v>2</v>
      </c>
      <c r="N913">
        <v>197</v>
      </c>
      <c r="O913" s="3">
        <f t="shared" si="47"/>
        <v>1.1764705882352942</v>
      </c>
      <c r="P913">
        <f t="shared" si="48"/>
        <v>0</v>
      </c>
      <c r="Q913">
        <f t="shared" si="49"/>
        <v>0</v>
      </c>
      <c r="S913">
        <v>-10.801086956521738</v>
      </c>
      <c r="T913">
        <v>-0.875</v>
      </c>
      <c r="U913">
        <v>-0.32608695652173914</v>
      </c>
      <c r="V913">
        <v>-10</v>
      </c>
      <c r="W913">
        <v>0</v>
      </c>
      <c r="X913">
        <v>0.4</v>
      </c>
      <c r="Y913">
        <v>0</v>
      </c>
    </row>
    <row r="914" spans="1:25" x14ac:dyDescent="0.2">
      <c r="A914" t="s">
        <v>58</v>
      </c>
      <c r="B914" t="s">
        <v>697</v>
      </c>
      <c r="C914">
        <v>170</v>
      </c>
      <c r="D914" s="2">
        <v>0</v>
      </c>
      <c r="E914">
        <v>6</v>
      </c>
      <c r="F914">
        <v>3.5</v>
      </c>
      <c r="G914">
        <v>0</v>
      </c>
      <c r="H914">
        <v>20</v>
      </c>
      <c r="I914">
        <v>30</v>
      </c>
      <c r="J914">
        <v>28</v>
      </c>
      <c r="K914">
        <v>0</v>
      </c>
      <c r="L914">
        <v>26</v>
      </c>
      <c r="M914">
        <v>2</v>
      </c>
      <c r="N914">
        <v>198</v>
      </c>
      <c r="O914" s="3">
        <f t="shared" si="47"/>
        <v>1.1764705882352942</v>
      </c>
      <c r="P914">
        <f t="shared" si="48"/>
        <v>0</v>
      </c>
      <c r="Q914">
        <f t="shared" si="49"/>
        <v>0</v>
      </c>
      <c r="S914">
        <v>-11.20108695652174</v>
      </c>
      <c r="T914">
        <v>-0.875</v>
      </c>
      <c r="U914">
        <v>-0.32608695652173914</v>
      </c>
      <c r="V914">
        <v>-10.4</v>
      </c>
      <c r="W914">
        <v>0</v>
      </c>
      <c r="X914">
        <v>0.4</v>
      </c>
      <c r="Y914">
        <v>0</v>
      </c>
    </row>
    <row r="915" spans="1:25" x14ac:dyDescent="0.2">
      <c r="A915" t="s">
        <v>58</v>
      </c>
      <c r="B915" t="s">
        <v>718</v>
      </c>
      <c r="C915">
        <v>310</v>
      </c>
      <c r="D915" s="2">
        <v>0</v>
      </c>
      <c r="E915">
        <v>16</v>
      </c>
      <c r="F915">
        <v>8</v>
      </c>
      <c r="G915">
        <v>0</v>
      </c>
      <c r="H915">
        <v>20</v>
      </c>
      <c r="I915">
        <v>210</v>
      </c>
      <c r="J915">
        <v>40</v>
      </c>
      <c r="K915">
        <v>2</v>
      </c>
      <c r="L915">
        <v>24</v>
      </c>
      <c r="M915">
        <v>3</v>
      </c>
      <c r="N915">
        <v>339</v>
      </c>
      <c r="O915" s="3">
        <f t="shared" si="47"/>
        <v>0.967741935483871</v>
      </c>
      <c r="P915">
        <f t="shared" si="48"/>
        <v>0</v>
      </c>
      <c r="Q915">
        <f t="shared" si="49"/>
        <v>0</v>
      </c>
      <c r="S915">
        <v>-12.56832298136646</v>
      </c>
      <c r="T915">
        <v>-2</v>
      </c>
      <c r="U915">
        <v>-2.2826086956521738</v>
      </c>
      <c r="V915">
        <v>-9.6</v>
      </c>
      <c r="W915">
        <v>0</v>
      </c>
      <c r="X915">
        <v>0.6</v>
      </c>
      <c r="Y915">
        <v>0.7142857142857143</v>
      </c>
    </row>
    <row r="916" spans="1:25" x14ac:dyDescent="0.2">
      <c r="A916" t="s">
        <v>58</v>
      </c>
      <c r="B916" t="s">
        <v>684</v>
      </c>
      <c r="C916">
        <v>330</v>
      </c>
      <c r="D916" s="2">
        <v>0</v>
      </c>
      <c r="E916">
        <v>16</v>
      </c>
      <c r="F916">
        <v>8</v>
      </c>
      <c r="G916">
        <v>0</v>
      </c>
      <c r="H916">
        <v>25</v>
      </c>
      <c r="I916">
        <v>300</v>
      </c>
      <c r="J916">
        <v>43</v>
      </c>
      <c r="K916">
        <v>1</v>
      </c>
      <c r="L916">
        <v>24</v>
      </c>
      <c r="M916">
        <v>3</v>
      </c>
      <c r="N916">
        <v>359</v>
      </c>
      <c r="O916" s="3">
        <f t="shared" si="47"/>
        <v>0.90909090909090906</v>
      </c>
      <c r="P916">
        <f t="shared" si="48"/>
        <v>0</v>
      </c>
      <c r="Q916">
        <f t="shared" si="49"/>
        <v>0</v>
      </c>
      <c r="S916">
        <v>-13.903726708074533</v>
      </c>
      <c r="T916">
        <v>-2</v>
      </c>
      <c r="U916">
        <v>-3.2608695652173911</v>
      </c>
      <c r="V916">
        <v>-9.6</v>
      </c>
      <c r="W916">
        <v>0</v>
      </c>
      <c r="X916">
        <v>0.6</v>
      </c>
      <c r="Y916">
        <v>0.35714285714285715</v>
      </c>
    </row>
    <row r="917" spans="1:25" x14ac:dyDescent="0.2">
      <c r="A917" t="s">
        <v>58</v>
      </c>
      <c r="B917" t="s">
        <v>735</v>
      </c>
      <c r="C917">
        <v>120</v>
      </c>
      <c r="D917" s="2">
        <v>0</v>
      </c>
      <c r="E917">
        <v>12</v>
      </c>
      <c r="F917">
        <v>2</v>
      </c>
      <c r="G917">
        <v>0</v>
      </c>
      <c r="H917">
        <v>0</v>
      </c>
      <c r="I917">
        <v>170</v>
      </c>
      <c r="J917">
        <v>4</v>
      </c>
      <c r="K917">
        <v>1</v>
      </c>
      <c r="L917">
        <v>3</v>
      </c>
      <c r="M917">
        <v>1</v>
      </c>
      <c r="N917">
        <v>124</v>
      </c>
      <c r="O917" s="3">
        <f t="shared" si="47"/>
        <v>0.83333333333333337</v>
      </c>
      <c r="P917">
        <f t="shared" si="48"/>
        <v>0</v>
      </c>
      <c r="Q917">
        <f t="shared" si="49"/>
        <v>0</v>
      </c>
      <c r="S917">
        <v>-2.9906832298136643</v>
      </c>
      <c r="T917">
        <v>-0.5</v>
      </c>
      <c r="U917">
        <v>-1.8478260869565217</v>
      </c>
      <c r="V917">
        <v>-1.2</v>
      </c>
      <c r="W917">
        <v>0</v>
      </c>
      <c r="X917">
        <v>0.2</v>
      </c>
      <c r="Y917">
        <v>0.35714285714285715</v>
      </c>
    </row>
    <row r="918" spans="1:25" x14ac:dyDescent="0.2">
      <c r="A918" t="s">
        <v>58</v>
      </c>
      <c r="B918" t="s">
        <v>881</v>
      </c>
      <c r="C918">
        <v>35</v>
      </c>
      <c r="D918" s="2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9</v>
      </c>
      <c r="K918">
        <v>2</v>
      </c>
      <c r="L918">
        <v>7</v>
      </c>
      <c r="M918">
        <v>0</v>
      </c>
      <c r="N918">
        <v>42</v>
      </c>
      <c r="O918" s="3">
        <f t="shared" si="47"/>
        <v>0</v>
      </c>
      <c r="P918">
        <f t="shared" si="48"/>
        <v>0</v>
      </c>
      <c r="Q918">
        <f t="shared" si="49"/>
        <v>0</v>
      </c>
      <c r="S918">
        <v>-2.0857142857142859</v>
      </c>
      <c r="T918">
        <v>0</v>
      </c>
      <c r="U918">
        <v>0</v>
      </c>
      <c r="V918">
        <v>-2.8000000000000003</v>
      </c>
      <c r="W918">
        <v>0</v>
      </c>
      <c r="X918">
        <v>0</v>
      </c>
      <c r="Y918">
        <v>0.7142857142857143</v>
      </c>
    </row>
    <row r="919" spans="1:25" x14ac:dyDescent="0.2">
      <c r="A919" t="s">
        <v>58</v>
      </c>
      <c r="B919" t="s">
        <v>882</v>
      </c>
      <c r="C919">
        <v>20</v>
      </c>
      <c r="D919" s="2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5</v>
      </c>
      <c r="K919">
        <v>1</v>
      </c>
      <c r="L919">
        <v>3</v>
      </c>
      <c r="M919">
        <v>0</v>
      </c>
      <c r="N919">
        <v>23</v>
      </c>
      <c r="O919" s="3">
        <f t="shared" ref="O919:O929" si="50">M919/C919*100</f>
        <v>0</v>
      </c>
      <c r="P919">
        <f t="shared" si="48"/>
        <v>0</v>
      </c>
      <c r="Q919">
        <f t="shared" si="49"/>
        <v>0</v>
      </c>
      <c r="S919">
        <v>-0.84285714285714275</v>
      </c>
      <c r="T919">
        <v>0</v>
      </c>
      <c r="U919">
        <v>0</v>
      </c>
      <c r="V919">
        <v>-1.2</v>
      </c>
      <c r="W919">
        <v>0</v>
      </c>
      <c r="X919">
        <v>0</v>
      </c>
      <c r="Y919">
        <v>0.35714285714285715</v>
      </c>
    </row>
    <row r="920" spans="1:25" x14ac:dyDescent="0.2">
      <c r="A920" t="s">
        <v>58</v>
      </c>
      <c r="B920" t="s">
        <v>883</v>
      </c>
      <c r="C920">
        <v>380</v>
      </c>
      <c r="D920" s="2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100</v>
      </c>
      <c r="K920">
        <v>0</v>
      </c>
      <c r="L920">
        <v>93</v>
      </c>
      <c r="M920">
        <v>0</v>
      </c>
      <c r="N920">
        <v>473</v>
      </c>
      <c r="O920" s="3">
        <f t="shared" si="50"/>
        <v>0</v>
      </c>
      <c r="P920">
        <f t="shared" si="48"/>
        <v>0</v>
      </c>
      <c r="Q920">
        <f t="shared" si="49"/>
        <v>0</v>
      </c>
      <c r="S920">
        <v>-37.200000000000003</v>
      </c>
      <c r="T920">
        <v>0</v>
      </c>
      <c r="U920">
        <v>0</v>
      </c>
      <c r="V920">
        <v>-37.200000000000003</v>
      </c>
      <c r="W920">
        <v>0</v>
      </c>
      <c r="X920">
        <v>0</v>
      </c>
      <c r="Y920">
        <v>0</v>
      </c>
    </row>
    <row r="921" spans="1:25" x14ac:dyDescent="0.2">
      <c r="A921" t="s">
        <v>58</v>
      </c>
      <c r="B921" t="s">
        <v>884</v>
      </c>
      <c r="C921">
        <v>330</v>
      </c>
      <c r="D921" s="2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86</v>
      </c>
      <c r="K921">
        <v>0</v>
      </c>
      <c r="L921">
        <v>81</v>
      </c>
      <c r="M921">
        <v>0</v>
      </c>
      <c r="N921">
        <v>411</v>
      </c>
      <c r="O921" s="3">
        <f t="shared" si="50"/>
        <v>0</v>
      </c>
      <c r="P921">
        <f t="shared" si="48"/>
        <v>0</v>
      </c>
      <c r="Q921">
        <f t="shared" si="49"/>
        <v>0</v>
      </c>
      <c r="S921">
        <v>-32.400000000000006</v>
      </c>
      <c r="T921">
        <v>0</v>
      </c>
      <c r="U921">
        <v>0</v>
      </c>
      <c r="V921">
        <v>-32.400000000000006</v>
      </c>
      <c r="W921">
        <v>0</v>
      </c>
      <c r="X921">
        <v>0</v>
      </c>
      <c r="Y921">
        <v>0</v>
      </c>
    </row>
    <row r="922" spans="1:25" x14ac:dyDescent="0.2">
      <c r="A922" t="s">
        <v>58</v>
      </c>
      <c r="B922" t="s">
        <v>885</v>
      </c>
      <c r="C922">
        <v>190</v>
      </c>
      <c r="D922" s="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50</v>
      </c>
      <c r="K922">
        <v>0</v>
      </c>
      <c r="L922">
        <v>47</v>
      </c>
      <c r="M922">
        <v>0</v>
      </c>
      <c r="N922">
        <v>237</v>
      </c>
      <c r="O922" s="3">
        <f t="shared" si="50"/>
        <v>0</v>
      </c>
      <c r="P922">
        <f t="shared" si="48"/>
        <v>0</v>
      </c>
      <c r="Q922">
        <f t="shared" si="49"/>
        <v>0</v>
      </c>
      <c r="S922">
        <v>-18.8</v>
      </c>
      <c r="T922">
        <v>0</v>
      </c>
      <c r="U922">
        <v>0</v>
      </c>
      <c r="V922">
        <v>-18.8</v>
      </c>
      <c r="W922">
        <v>0</v>
      </c>
      <c r="X922">
        <v>0</v>
      </c>
      <c r="Y922">
        <v>0</v>
      </c>
    </row>
    <row r="923" spans="1:25" x14ac:dyDescent="0.2">
      <c r="A923" t="s">
        <v>58</v>
      </c>
      <c r="B923" t="s">
        <v>886</v>
      </c>
      <c r="C923">
        <v>330</v>
      </c>
      <c r="D923" s="2">
        <v>0</v>
      </c>
      <c r="E923">
        <v>0</v>
      </c>
      <c r="F923">
        <v>0</v>
      </c>
      <c r="G923">
        <v>0</v>
      </c>
      <c r="H923">
        <v>0</v>
      </c>
      <c r="I923">
        <v>60</v>
      </c>
      <c r="J923">
        <v>83</v>
      </c>
      <c r="K923">
        <v>0</v>
      </c>
      <c r="L923">
        <v>80</v>
      </c>
      <c r="M923">
        <v>0</v>
      </c>
      <c r="N923">
        <v>410</v>
      </c>
      <c r="O923" s="3">
        <f t="shared" si="50"/>
        <v>0</v>
      </c>
      <c r="P923">
        <f t="shared" si="48"/>
        <v>0</v>
      </c>
      <c r="Q923">
        <f t="shared" si="49"/>
        <v>0</v>
      </c>
      <c r="S923">
        <v>-32.652173913043484</v>
      </c>
      <c r="T923">
        <v>0</v>
      </c>
      <c r="U923">
        <v>-0.65217391304347827</v>
      </c>
      <c r="V923">
        <v>-32.000000000000007</v>
      </c>
      <c r="W923">
        <v>0</v>
      </c>
      <c r="X923">
        <v>0</v>
      </c>
      <c r="Y923">
        <v>0</v>
      </c>
    </row>
    <row r="924" spans="1:25" x14ac:dyDescent="0.2">
      <c r="A924" t="s">
        <v>58</v>
      </c>
      <c r="B924" t="s">
        <v>887</v>
      </c>
      <c r="C924">
        <v>300</v>
      </c>
      <c r="D924" s="2">
        <v>0</v>
      </c>
      <c r="E924">
        <v>0</v>
      </c>
      <c r="F924">
        <v>0</v>
      </c>
      <c r="G924">
        <v>0</v>
      </c>
      <c r="H924">
        <v>0</v>
      </c>
      <c r="I924">
        <v>50</v>
      </c>
      <c r="J924">
        <v>76</v>
      </c>
      <c r="K924">
        <v>0</v>
      </c>
      <c r="L924">
        <v>73</v>
      </c>
      <c r="M924">
        <v>0</v>
      </c>
      <c r="N924">
        <v>373</v>
      </c>
      <c r="O924" s="3">
        <f t="shared" si="50"/>
        <v>0</v>
      </c>
      <c r="P924">
        <f t="shared" si="48"/>
        <v>0</v>
      </c>
      <c r="Q924">
        <f t="shared" si="49"/>
        <v>0</v>
      </c>
      <c r="S924">
        <v>-29.743478260869566</v>
      </c>
      <c r="T924">
        <v>0</v>
      </c>
      <c r="U924">
        <v>-0.54347826086956519</v>
      </c>
      <c r="V924">
        <v>-29.2</v>
      </c>
      <c r="W924">
        <v>0</v>
      </c>
      <c r="X924">
        <v>0</v>
      </c>
      <c r="Y924">
        <v>0</v>
      </c>
    </row>
    <row r="925" spans="1:25" x14ac:dyDescent="0.2">
      <c r="A925" t="s">
        <v>58</v>
      </c>
      <c r="B925" t="s">
        <v>888</v>
      </c>
      <c r="C925">
        <v>170</v>
      </c>
      <c r="D925" s="2">
        <v>0</v>
      </c>
      <c r="E925">
        <v>0</v>
      </c>
      <c r="F925">
        <v>0</v>
      </c>
      <c r="G925">
        <v>0</v>
      </c>
      <c r="H925">
        <v>0</v>
      </c>
      <c r="I925">
        <v>30</v>
      </c>
      <c r="J925">
        <v>44</v>
      </c>
      <c r="K925">
        <v>0</v>
      </c>
      <c r="L925">
        <v>42</v>
      </c>
      <c r="M925">
        <v>0</v>
      </c>
      <c r="N925">
        <v>212</v>
      </c>
      <c r="O925" s="3">
        <f t="shared" si="50"/>
        <v>0</v>
      </c>
      <c r="P925">
        <f t="shared" si="48"/>
        <v>0</v>
      </c>
      <c r="Q925">
        <f t="shared" si="49"/>
        <v>0</v>
      </c>
      <c r="S925">
        <v>-17.126086956521739</v>
      </c>
      <c r="T925">
        <v>0</v>
      </c>
      <c r="U925">
        <v>-0.32608695652173914</v>
      </c>
      <c r="V925">
        <v>-16.8</v>
      </c>
      <c r="W925">
        <v>0</v>
      </c>
      <c r="X925">
        <v>0</v>
      </c>
      <c r="Y925">
        <v>0</v>
      </c>
    </row>
    <row r="926" spans="1:25" x14ac:dyDescent="0.2">
      <c r="A926" t="s">
        <v>58</v>
      </c>
      <c r="B926" t="s">
        <v>889</v>
      </c>
      <c r="C926">
        <v>450</v>
      </c>
      <c r="D926" s="2">
        <v>0</v>
      </c>
      <c r="E926">
        <v>0</v>
      </c>
      <c r="F926">
        <v>0</v>
      </c>
      <c r="G926">
        <v>0</v>
      </c>
      <c r="H926">
        <v>0</v>
      </c>
      <c r="I926">
        <v>180</v>
      </c>
      <c r="J926">
        <v>122</v>
      </c>
      <c r="K926">
        <v>0</v>
      </c>
      <c r="L926">
        <v>122</v>
      </c>
      <c r="M926">
        <v>0</v>
      </c>
      <c r="N926">
        <v>572</v>
      </c>
      <c r="O926" s="3">
        <f t="shared" si="50"/>
        <v>0</v>
      </c>
      <c r="P926">
        <f t="shared" si="48"/>
        <v>0</v>
      </c>
      <c r="Q926">
        <f t="shared" si="49"/>
        <v>0</v>
      </c>
      <c r="S926">
        <v>-50.756521739130434</v>
      </c>
      <c r="T926">
        <v>0</v>
      </c>
      <c r="U926">
        <v>-1.956521739130435</v>
      </c>
      <c r="V926">
        <v>-48.8</v>
      </c>
      <c r="W926">
        <v>0</v>
      </c>
      <c r="X926">
        <v>0</v>
      </c>
      <c r="Y926">
        <v>0</v>
      </c>
    </row>
    <row r="927" spans="1:25" x14ac:dyDescent="0.2">
      <c r="A927" t="s">
        <v>58</v>
      </c>
      <c r="B927" t="s">
        <v>890</v>
      </c>
      <c r="C927">
        <v>360</v>
      </c>
      <c r="D927" s="2">
        <v>0</v>
      </c>
      <c r="E927">
        <v>0</v>
      </c>
      <c r="F927">
        <v>0</v>
      </c>
      <c r="G927">
        <v>0</v>
      </c>
      <c r="H927">
        <v>0</v>
      </c>
      <c r="I927">
        <v>150</v>
      </c>
      <c r="J927">
        <v>98</v>
      </c>
      <c r="K927">
        <v>0</v>
      </c>
      <c r="L927">
        <v>98</v>
      </c>
      <c r="M927">
        <v>0</v>
      </c>
      <c r="N927">
        <v>458</v>
      </c>
      <c r="O927" s="3">
        <f t="shared" si="50"/>
        <v>0</v>
      </c>
      <c r="P927">
        <f t="shared" si="48"/>
        <v>0</v>
      </c>
      <c r="Q927">
        <f t="shared" si="49"/>
        <v>0</v>
      </c>
      <c r="S927">
        <v>-40.830434782608698</v>
      </c>
      <c r="T927">
        <v>0</v>
      </c>
      <c r="U927">
        <v>-1.6304347826086956</v>
      </c>
      <c r="V927">
        <v>-39.200000000000003</v>
      </c>
      <c r="W927">
        <v>0</v>
      </c>
      <c r="X927">
        <v>0</v>
      </c>
      <c r="Y927">
        <v>0</v>
      </c>
    </row>
    <row r="928" spans="1:25" x14ac:dyDescent="0.2">
      <c r="A928" t="s">
        <v>58</v>
      </c>
      <c r="B928" t="s">
        <v>891</v>
      </c>
      <c r="C928">
        <v>220</v>
      </c>
      <c r="D928" s="2">
        <v>0</v>
      </c>
      <c r="E928">
        <v>0</v>
      </c>
      <c r="F928">
        <v>0</v>
      </c>
      <c r="G928">
        <v>0</v>
      </c>
      <c r="H928">
        <v>0</v>
      </c>
      <c r="I928">
        <v>90</v>
      </c>
      <c r="J928">
        <v>61</v>
      </c>
      <c r="K928">
        <v>0</v>
      </c>
      <c r="L928">
        <v>61</v>
      </c>
      <c r="M928">
        <v>0</v>
      </c>
      <c r="N928">
        <v>281</v>
      </c>
      <c r="O928" s="3">
        <f t="shared" si="50"/>
        <v>0</v>
      </c>
      <c r="P928">
        <f t="shared" si="48"/>
        <v>0</v>
      </c>
      <c r="Q928">
        <f t="shared" si="49"/>
        <v>0</v>
      </c>
      <c r="S928">
        <v>-25.378260869565217</v>
      </c>
      <c r="T928">
        <v>0</v>
      </c>
      <c r="U928">
        <v>-0.97826086956521752</v>
      </c>
      <c r="V928">
        <v>-24.4</v>
      </c>
      <c r="W928">
        <v>0</v>
      </c>
      <c r="X928">
        <v>0</v>
      </c>
      <c r="Y928">
        <v>0</v>
      </c>
    </row>
    <row r="929" spans="1:25" x14ac:dyDescent="0.2">
      <c r="A929" t="s">
        <v>58</v>
      </c>
      <c r="B929" t="s">
        <v>892</v>
      </c>
      <c r="C929">
        <v>5</v>
      </c>
      <c r="D929" s="2">
        <v>0</v>
      </c>
      <c r="E929">
        <v>0</v>
      </c>
      <c r="F929">
        <v>0</v>
      </c>
      <c r="G929">
        <v>0</v>
      </c>
      <c r="H929">
        <v>0</v>
      </c>
      <c r="I929">
        <v>25</v>
      </c>
      <c r="J929">
        <v>2</v>
      </c>
      <c r="K929">
        <v>0</v>
      </c>
      <c r="L929">
        <v>0</v>
      </c>
      <c r="M929">
        <v>0</v>
      </c>
      <c r="N929">
        <v>5</v>
      </c>
      <c r="O929" s="3">
        <f t="shared" si="50"/>
        <v>0</v>
      </c>
      <c r="P929">
        <f t="shared" si="48"/>
        <v>0</v>
      </c>
      <c r="Q929">
        <f t="shared" si="49"/>
        <v>0</v>
      </c>
      <c r="S929">
        <v>-0.27173913043478259</v>
      </c>
      <c r="T929">
        <v>0</v>
      </c>
      <c r="U929">
        <v>-0.27173913043478259</v>
      </c>
      <c r="V929">
        <v>0</v>
      </c>
      <c r="W929">
        <v>0</v>
      </c>
      <c r="X929">
        <v>0</v>
      </c>
      <c r="Y929">
        <v>0</v>
      </c>
    </row>
    <row r="930" spans="1:25" x14ac:dyDescent="0.2">
      <c r="A930" t="s">
        <v>58</v>
      </c>
      <c r="B930" t="s">
        <v>893</v>
      </c>
      <c r="C930">
        <v>0</v>
      </c>
      <c r="D930" s="2">
        <v>0</v>
      </c>
      <c r="E930">
        <v>0</v>
      </c>
      <c r="F930">
        <v>0</v>
      </c>
      <c r="G930">
        <v>0</v>
      </c>
      <c r="H930">
        <v>0</v>
      </c>
      <c r="I930">
        <v>15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f t="shared" si="48"/>
        <v>0</v>
      </c>
      <c r="Q930">
        <f t="shared" si="49"/>
        <v>0</v>
      </c>
      <c r="S930">
        <v>-0.16304347826086957</v>
      </c>
      <c r="T930">
        <v>0</v>
      </c>
      <c r="U930">
        <v>-0.16304347826086957</v>
      </c>
      <c r="V930">
        <v>0</v>
      </c>
      <c r="W930">
        <v>0</v>
      </c>
      <c r="X930">
        <v>0</v>
      </c>
      <c r="Y930">
        <v>0</v>
      </c>
    </row>
    <row r="931" spans="1:25" x14ac:dyDescent="0.2">
      <c r="A931" t="s">
        <v>58</v>
      </c>
      <c r="B931" t="s">
        <v>894</v>
      </c>
      <c r="C931">
        <v>0</v>
      </c>
      <c r="D931" s="2">
        <v>0</v>
      </c>
      <c r="E931">
        <v>0</v>
      </c>
      <c r="F931">
        <v>0</v>
      </c>
      <c r="G931">
        <v>0</v>
      </c>
      <c r="H931">
        <v>0</v>
      </c>
      <c r="I931">
        <v>10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f t="shared" si="48"/>
        <v>0</v>
      </c>
      <c r="Q931">
        <f t="shared" si="49"/>
        <v>0</v>
      </c>
      <c r="S931">
        <v>-0.10869565217391304</v>
      </c>
      <c r="T931">
        <v>0</v>
      </c>
      <c r="U931">
        <v>-0.10869565217391304</v>
      </c>
      <c r="V931">
        <v>0</v>
      </c>
      <c r="W931">
        <v>0</v>
      </c>
      <c r="X931">
        <v>0</v>
      </c>
      <c r="Y931">
        <v>0</v>
      </c>
    </row>
    <row r="932" spans="1:25" x14ac:dyDescent="0.2">
      <c r="A932" t="s">
        <v>58</v>
      </c>
      <c r="B932" t="s">
        <v>895</v>
      </c>
      <c r="C932">
        <v>400</v>
      </c>
      <c r="D932" s="2">
        <v>0</v>
      </c>
      <c r="E932">
        <v>0</v>
      </c>
      <c r="F932">
        <v>0</v>
      </c>
      <c r="G932">
        <v>0</v>
      </c>
      <c r="H932">
        <v>0</v>
      </c>
      <c r="I932">
        <v>90</v>
      </c>
      <c r="J932">
        <v>109</v>
      </c>
      <c r="K932">
        <v>0</v>
      </c>
      <c r="L932">
        <v>109</v>
      </c>
      <c r="M932">
        <v>0</v>
      </c>
      <c r="N932">
        <v>509</v>
      </c>
      <c r="O932" s="3">
        <f>M932/C932*100</f>
        <v>0</v>
      </c>
      <c r="P932">
        <f t="shared" si="48"/>
        <v>0</v>
      </c>
      <c r="Q932">
        <f t="shared" si="49"/>
        <v>0</v>
      </c>
      <c r="S932">
        <v>-44.578260869565227</v>
      </c>
      <c r="T932">
        <v>0</v>
      </c>
      <c r="U932">
        <v>-0.97826086956521752</v>
      </c>
      <c r="V932">
        <v>-43.600000000000009</v>
      </c>
      <c r="W932">
        <v>0</v>
      </c>
      <c r="X932">
        <v>0</v>
      </c>
      <c r="Y932">
        <v>0</v>
      </c>
    </row>
    <row r="933" spans="1:25" x14ac:dyDescent="0.2">
      <c r="A933" t="s">
        <v>58</v>
      </c>
      <c r="B933" t="s">
        <v>896</v>
      </c>
      <c r="C933">
        <v>320</v>
      </c>
      <c r="D933" s="2">
        <v>0</v>
      </c>
      <c r="E933">
        <v>0</v>
      </c>
      <c r="F933">
        <v>0</v>
      </c>
      <c r="G933">
        <v>0</v>
      </c>
      <c r="H933">
        <v>0</v>
      </c>
      <c r="I933">
        <v>70</v>
      </c>
      <c r="J933">
        <v>87</v>
      </c>
      <c r="K933">
        <v>0</v>
      </c>
      <c r="L933">
        <v>87</v>
      </c>
      <c r="M933">
        <v>0</v>
      </c>
      <c r="N933">
        <v>407</v>
      </c>
      <c r="O933" s="3">
        <f>M933/C933*100</f>
        <v>0</v>
      </c>
      <c r="P933">
        <f t="shared" si="48"/>
        <v>0</v>
      </c>
      <c r="Q933">
        <f t="shared" si="49"/>
        <v>0</v>
      </c>
      <c r="S933">
        <v>-35.560869565217395</v>
      </c>
      <c r="T933">
        <v>0</v>
      </c>
      <c r="U933">
        <v>-0.76086956521739135</v>
      </c>
      <c r="V933">
        <v>-34.800000000000004</v>
      </c>
      <c r="W933">
        <v>0</v>
      </c>
      <c r="X933">
        <v>0</v>
      </c>
      <c r="Y933">
        <v>0</v>
      </c>
    </row>
    <row r="934" spans="1:25" x14ac:dyDescent="0.2">
      <c r="A934" t="s">
        <v>58</v>
      </c>
      <c r="B934" t="s">
        <v>897</v>
      </c>
      <c r="C934">
        <v>200</v>
      </c>
      <c r="D934" s="2">
        <v>0</v>
      </c>
      <c r="E934">
        <v>0</v>
      </c>
      <c r="F934">
        <v>0</v>
      </c>
      <c r="G934">
        <v>0</v>
      </c>
      <c r="H934">
        <v>0</v>
      </c>
      <c r="I934">
        <v>45</v>
      </c>
      <c r="J934">
        <v>54</v>
      </c>
      <c r="K934">
        <v>0</v>
      </c>
      <c r="L934">
        <v>54</v>
      </c>
      <c r="M934">
        <v>0</v>
      </c>
      <c r="N934">
        <v>254</v>
      </c>
      <c r="O934" s="3">
        <f>M934/C934*100</f>
        <v>0</v>
      </c>
      <c r="P934">
        <f t="shared" si="48"/>
        <v>0</v>
      </c>
      <c r="Q934">
        <f t="shared" si="49"/>
        <v>0</v>
      </c>
      <c r="S934">
        <v>-22.089130434782611</v>
      </c>
      <c r="T934">
        <v>0</v>
      </c>
      <c r="U934">
        <v>-0.48913043478260876</v>
      </c>
      <c r="V934">
        <v>-21.6</v>
      </c>
      <c r="W934">
        <v>0</v>
      </c>
      <c r="X934">
        <v>0</v>
      </c>
      <c r="Y934">
        <v>0</v>
      </c>
    </row>
    <row r="935" spans="1:25" x14ac:dyDescent="0.2">
      <c r="A935" t="s">
        <v>58</v>
      </c>
      <c r="B935" t="s">
        <v>898</v>
      </c>
      <c r="C935">
        <v>0</v>
      </c>
      <c r="D935" s="2">
        <v>0</v>
      </c>
      <c r="E935">
        <v>0</v>
      </c>
      <c r="F935">
        <v>0</v>
      </c>
      <c r="G935">
        <v>0</v>
      </c>
      <c r="H935">
        <v>0</v>
      </c>
      <c r="I935">
        <v>100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f t="shared" si="48"/>
        <v>0</v>
      </c>
      <c r="Q935">
        <f t="shared" si="49"/>
        <v>0</v>
      </c>
      <c r="S935">
        <v>-1.0869565217391304</v>
      </c>
      <c r="T935">
        <v>0</v>
      </c>
      <c r="U935">
        <v>-1.0869565217391304</v>
      </c>
      <c r="V935">
        <v>0</v>
      </c>
      <c r="W935">
        <v>0</v>
      </c>
      <c r="X935">
        <v>0</v>
      </c>
      <c r="Y935">
        <v>0</v>
      </c>
    </row>
    <row r="936" spans="1:25" x14ac:dyDescent="0.2">
      <c r="A936" t="s">
        <v>58</v>
      </c>
      <c r="B936" t="s">
        <v>899</v>
      </c>
      <c r="C936">
        <v>0</v>
      </c>
      <c r="D936" s="2">
        <v>0</v>
      </c>
      <c r="E936">
        <v>0</v>
      </c>
      <c r="F936">
        <v>0</v>
      </c>
      <c r="G936">
        <v>0</v>
      </c>
      <c r="H936">
        <v>0</v>
      </c>
      <c r="I936">
        <v>80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f t="shared" si="48"/>
        <v>0</v>
      </c>
      <c r="Q936">
        <f t="shared" si="49"/>
        <v>0</v>
      </c>
      <c r="S936">
        <v>-0.86956521739130432</v>
      </c>
      <c r="T936">
        <v>0</v>
      </c>
      <c r="U936">
        <v>-0.86956521739130432</v>
      </c>
      <c r="V936">
        <v>0</v>
      </c>
      <c r="W936">
        <v>0</v>
      </c>
      <c r="X936">
        <v>0</v>
      </c>
      <c r="Y936">
        <v>0</v>
      </c>
    </row>
    <row r="937" spans="1:25" x14ac:dyDescent="0.2">
      <c r="A937" t="s">
        <v>58</v>
      </c>
      <c r="B937" t="s">
        <v>900</v>
      </c>
      <c r="C937">
        <v>0</v>
      </c>
      <c r="D937" s="2">
        <v>0</v>
      </c>
      <c r="E937">
        <v>0</v>
      </c>
      <c r="F937">
        <v>0</v>
      </c>
      <c r="G937">
        <v>0</v>
      </c>
      <c r="H937">
        <v>0</v>
      </c>
      <c r="I937">
        <v>50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48"/>
        <v>0</v>
      </c>
      <c r="Q937">
        <f t="shared" si="49"/>
        <v>0</v>
      </c>
      <c r="S937">
        <v>-0.54347826086956519</v>
      </c>
      <c r="T937">
        <v>0</v>
      </c>
      <c r="U937">
        <v>-0.54347826086956519</v>
      </c>
      <c r="V937">
        <v>0</v>
      </c>
      <c r="W937">
        <v>0</v>
      </c>
      <c r="X937">
        <v>0</v>
      </c>
      <c r="Y937">
        <v>0</v>
      </c>
    </row>
    <row r="938" spans="1:25" x14ac:dyDescent="0.2">
      <c r="A938" t="s">
        <v>58</v>
      </c>
      <c r="B938" t="s">
        <v>901</v>
      </c>
      <c r="C938">
        <v>0</v>
      </c>
      <c r="D938" s="2">
        <v>0</v>
      </c>
      <c r="E938">
        <v>0</v>
      </c>
      <c r="F938">
        <v>0</v>
      </c>
      <c r="G938">
        <v>0</v>
      </c>
      <c r="H938">
        <v>0</v>
      </c>
      <c r="I938">
        <v>125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48"/>
        <v>0</v>
      </c>
      <c r="Q938">
        <f t="shared" si="49"/>
        <v>0</v>
      </c>
      <c r="S938">
        <v>-1.3586956521739131</v>
      </c>
      <c r="T938">
        <v>0</v>
      </c>
      <c r="U938">
        <v>-1.3586956521739131</v>
      </c>
      <c r="V938">
        <v>0</v>
      </c>
      <c r="W938">
        <v>0</v>
      </c>
      <c r="X938">
        <v>0</v>
      </c>
      <c r="Y938">
        <v>0</v>
      </c>
    </row>
    <row r="939" spans="1:25" x14ac:dyDescent="0.2">
      <c r="A939" t="s">
        <v>58</v>
      </c>
      <c r="B939" t="s">
        <v>902</v>
      </c>
      <c r="C939">
        <v>0</v>
      </c>
      <c r="D939" s="2">
        <v>0</v>
      </c>
      <c r="E939">
        <v>0</v>
      </c>
      <c r="F939">
        <v>0</v>
      </c>
      <c r="G939">
        <v>0</v>
      </c>
      <c r="H939">
        <v>0</v>
      </c>
      <c r="I939">
        <v>100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f t="shared" si="48"/>
        <v>0</v>
      </c>
      <c r="Q939">
        <f t="shared" si="49"/>
        <v>0</v>
      </c>
      <c r="S939">
        <v>-1.0869565217391304</v>
      </c>
      <c r="T939">
        <v>0</v>
      </c>
      <c r="U939">
        <v>-1.0869565217391304</v>
      </c>
      <c r="V939">
        <v>0</v>
      </c>
      <c r="W939">
        <v>0</v>
      </c>
      <c r="X939">
        <v>0</v>
      </c>
      <c r="Y939">
        <v>0</v>
      </c>
    </row>
    <row r="940" spans="1:25" x14ac:dyDescent="0.2">
      <c r="A940" t="s">
        <v>58</v>
      </c>
      <c r="B940" t="s">
        <v>903</v>
      </c>
      <c r="C940">
        <v>0</v>
      </c>
      <c r="D940" s="2">
        <v>0</v>
      </c>
      <c r="E940">
        <v>0</v>
      </c>
      <c r="F940">
        <v>0</v>
      </c>
      <c r="G940">
        <v>0</v>
      </c>
      <c r="H940">
        <v>0</v>
      </c>
      <c r="I940">
        <v>45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48"/>
        <v>0</v>
      </c>
      <c r="Q940">
        <f t="shared" si="49"/>
        <v>0</v>
      </c>
      <c r="S940">
        <v>-0.48913043478260876</v>
      </c>
      <c r="T940">
        <v>0</v>
      </c>
      <c r="U940">
        <v>-0.48913043478260876</v>
      </c>
      <c r="V940">
        <v>0</v>
      </c>
      <c r="W940">
        <v>0</v>
      </c>
      <c r="X940">
        <v>0</v>
      </c>
      <c r="Y940">
        <v>0</v>
      </c>
    </row>
    <row r="941" spans="1:25" x14ac:dyDescent="0.2">
      <c r="A941" t="s">
        <v>58</v>
      </c>
      <c r="B941" t="s">
        <v>904</v>
      </c>
      <c r="C941">
        <v>240</v>
      </c>
      <c r="D941" s="2">
        <v>0</v>
      </c>
      <c r="E941">
        <v>0</v>
      </c>
      <c r="F941">
        <v>0</v>
      </c>
      <c r="G941">
        <v>0</v>
      </c>
      <c r="H941">
        <v>0</v>
      </c>
      <c r="I941">
        <v>70</v>
      </c>
      <c r="J941">
        <v>66</v>
      </c>
      <c r="K941">
        <v>0</v>
      </c>
      <c r="L941">
        <v>64</v>
      </c>
      <c r="M941">
        <v>0</v>
      </c>
      <c r="N941">
        <v>304</v>
      </c>
      <c r="O941" s="3">
        <f t="shared" ref="O941:O952" si="51">M941/C941*100</f>
        <v>0</v>
      </c>
      <c r="P941">
        <f t="shared" si="48"/>
        <v>0</v>
      </c>
      <c r="Q941">
        <f t="shared" si="49"/>
        <v>0</v>
      </c>
      <c r="S941">
        <v>-26.360869565217392</v>
      </c>
      <c r="T941">
        <v>0</v>
      </c>
      <c r="U941">
        <v>-0.76086956521739135</v>
      </c>
      <c r="V941">
        <v>-25.6</v>
      </c>
      <c r="W941">
        <v>0</v>
      </c>
      <c r="X941">
        <v>0</v>
      </c>
      <c r="Y941">
        <v>0</v>
      </c>
    </row>
    <row r="942" spans="1:25" x14ac:dyDescent="0.2">
      <c r="A942" t="s">
        <v>58</v>
      </c>
      <c r="B942" t="s">
        <v>905</v>
      </c>
      <c r="C942">
        <v>190</v>
      </c>
      <c r="D942" s="2">
        <v>0</v>
      </c>
      <c r="E942">
        <v>0</v>
      </c>
      <c r="F942">
        <v>0</v>
      </c>
      <c r="G942">
        <v>0</v>
      </c>
      <c r="H942">
        <v>0</v>
      </c>
      <c r="I942">
        <v>55</v>
      </c>
      <c r="J942">
        <v>53</v>
      </c>
      <c r="K942">
        <v>0</v>
      </c>
      <c r="L942">
        <v>51</v>
      </c>
      <c r="M942">
        <v>0</v>
      </c>
      <c r="N942">
        <v>241</v>
      </c>
      <c r="O942" s="3">
        <f t="shared" si="51"/>
        <v>0</v>
      </c>
      <c r="P942">
        <f t="shared" si="48"/>
        <v>0</v>
      </c>
      <c r="Q942">
        <f t="shared" si="49"/>
        <v>0</v>
      </c>
      <c r="S942">
        <v>-20.997826086956525</v>
      </c>
      <c r="T942">
        <v>0</v>
      </c>
      <c r="U942">
        <v>-0.59782608695652173</v>
      </c>
      <c r="V942">
        <v>-20.400000000000002</v>
      </c>
      <c r="W942">
        <v>0</v>
      </c>
      <c r="X942">
        <v>0</v>
      </c>
      <c r="Y942">
        <v>0</v>
      </c>
    </row>
    <row r="943" spans="1:25" x14ac:dyDescent="0.2">
      <c r="A943" t="s">
        <v>58</v>
      </c>
      <c r="B943" t="s">
        <v>906</v>
      </c>
      <c r="C943">
        <v>120</v>
      </c>
      <c r="D943" s="2">
        <v>0</v>
      </c>
      <c r="E943">
        <v>0</v>
      </c>
      <c r="F943">
        <v>0</v>
      </c>
      <c r="G943">
        <v>0</v>
      </c>
      <c r="H943">
        <v>0</v>
      </c>
      <c r="I943">
        <v>35</v>
      </c>
      <c r="J943">
        <v>33</v>
      </c>
      <c r="K943">
        <v>0</v>
      </c>
      <c r="L943">
        <v>32</v>
      </c>
      <c r="M943">
        <v>0</v>
      </c>
      <c r="N943">
        <v>152</v>
      </c>
      <c r="O943" s="3">
        <f t="shared" si="51"/>
        <v>0</v>
      </c>
      <c r="P943">
        <f t="shared" si="48"/>
        <v>0</v>
      </c>
      <c r="Q943">
        <f t="shared" si="49"/>
        <v>0</v>
      </c>
      <c r="S943">
        <v>-13.180434782608696</v>
      </c>
      <c r="T943">
        <v>0</v>
      </c>
      <c r="U943">
        <v>-0.38043478260869568</v>
      </c>
      <c r="V943">
        <v>-12.8</v>
      </c>
      <c r="W943">
        <v>0</v>
      </c>
      <c r="X943">
        <v>0</v>
      </c>
      <c r="Y943">
        <v>0</v>
      </c>
    </row>
    <row r="944" spans="1:25" x14ac:dyDescent="0.2">
      <c r="A944" t="s">
        <v>58</v>
      </c>
      <c r="B944" t="s">
        <v>907</v>
      </c>
      <c r="C944">
        <v>430</v>
      </c>
      <c r="D944" s="2">
        <v>0</v>
      </c>
      <c r="E944">
        <v>0</v>
      </c>
      <c r="F944">
        <v>0</v>
      </c>
      <c r="G944">
        <v>0</v>
      </c>
      <c r="H944">
        <v>0</v>
      </c>
      <c r="I944">
        <v>110</v>
      </c>
      <c r="J944">
        <v>117</v>
      </c>
      <c r="K944">
        <v>0</v>
      </c>
      <c r="L944">
        <v>115</v>
      </c>
      <c r="M944">
        <v>0</v>
      </c>
      <c r="N944">
        <v>545</v>
      </c>
      <c r="O944" s="3">
        <f t="shared" si="51"/>
        <v>0</v>
      </c>
      <c r="P944">
        <f t="shared" si="48"/>
        <v>0</v>
      </c>
      <c r="Q944">
        <f t="shared" si="49"/>
        <v>0</v>
      </c>
      <c r="S944">
        <v>-47.195652173913047</v>
      </c>
      <c r="T944">
        <v>0</v>
      </c>
      <c r="U944">
        <v>-1.1956521739130435</v>
      </c>
      <c r="V944">
        <v>-46</v>
      </c>
      <c r="W944">
        <v>0</v>
      </c>
      <c r="X944">
        <v>0</v>
      </c>
      <c r="Y944">
        <v>0</v>
      </c>
    </row>
    <row r="945" spans="1:25" x14ac:dyDescent="0.2">
      <c r="A945" t="s">
        <v>58</v>
      </c>
      <c r="B945" t="s">
        <v>908</v>
      </c>
      <c r="C945">
        <v>340</v>
      </c>
      <c r="D945" s="2">
        <v>0</v>
      </c>
      <c r="E945">
        <v>0</v>
      </c>
      <c r="F945">
        <v>0</v>
      </c>
      <c r="G945">
        <v>0</v>
      </c>
      <c r="H945">
        <v>0</v>
      </c>
      <c r="I945">
        <v>85</v>
      </c>
      <c r="J945">
        <v>94</v>
      </c>
      <c r="K945">
        <v>0</v>
      </c>
      <c r="L945">
        <v>92</v>
      </c>
      <c r="M945">
        <v>0</v>
      </c>
      <c r="N945">
        <v>432</v>
      </c>
      <c r="O945" s="3">
        <f t="shared" si="51"/>
        <v>0</v>
      </c>
      <c r="P945">
        <f t="shared" si="48"/>
        <v>0</v>
      </c>
      <c r="Q945">
        <f t="shared" si="49"/>
        <v>0</v>
      </c>
      <c r="S945">
        <v>-37.723913043478262</v>
      </c>
      <c r="T945">
        <v>0</v>
      </c>
      <c r="U945">
        <v>-0.92391304347826086</v>
      </c>
      <c r="V945">
        <v>-36.800000000000004</v>
      </c>
      <c r="W945">
        <v>0</v>
      </c>
      <c r="X945">
        <v>0</v>
      </c>
      <c r="Y945">
        <v>0</v>
      </c>
    </row>
    <row r="946" spans="1:25" x14ac:dyDescent="0.2">
      <c r="A946" t="s">
        <v>58</v>
      </c>
      <c r="B946" t="s">
        <v>909</v>
      </c>
      <c r="C946">
        <v>210</v>
      </c>
      <c r="D946" s="2">
        <v>0</v>
      </c>
      <c r="E946">
        <v>0</v>
      </c>
      <c r="F946">
        <v>0</v>
      </c>
      <c r="G946">
        <v>0</v>
      </c>
      <c r="H946">
        <v>0</v>
      </c>
      <c r="I946">
        <v>55</v>
      </c>
      <c r="J946">
        <v>59</v>
      </c>
      <c r="K946">
        <v>0</v>
      </c>
      <c r="L946">
        <v>58</v>
      </c>
      <c r="M946">
        <v>0</v>
      </c>
      <c r="N946">
        <v>268</v>
      </c>
      <c r="O946" s="3">
        <f t="shared" si="51"/>
        <v>0</v>
      </c>
      <c r="P946">
        <f t="shared" si="48"/>
        <v>0</v>
      </c>
      <c r="Q946">
        <f t="shared" si="49"/>
        <v>0</v>
      </c>
      <c r="S946">
        <v>-23.797826086956523</v>
      </c>
      <c r="T946">
        <v>0</v>
      </c>
      <c r="U946">
        <v>-0.59782608695652173</v>
      </c>
      <c r="V946">
        <v>-23.2</v>
      </c>
      <c r="W946">
        <v>0</v>
      </c>
      <c r="X946">
        <v>0</v>
      </c>
      <c r="Y946">
        <v>0</v>
      </c>
    </row>
    <row r="947" spans="1:25" x14ac:dyDescent="0.2">
      <c r="A947" t="s">
        <v>58</v>
      </c>
      <c r="B947" t="s">
        <v>910</v>
      </c>
      <c r="C947">
        <v>420</v>
      </c>
      <c r="D947" s="2">
        <v>0</v>
      </c>
      <c r="E947">
        <v>0</v>
      </c>
      <c r="F947">
        <v>0</v>
      </c>
      <c r="G947">
        <v>0</v>
      </c>
      <c r="H947">
        <v>0</v>
      </c>
      <c r="I947">
        <v>140</v>
      </c>
      <c r="J947">
        <v>115</v>
      </c>
      <c r="K947">
        <v>0</v>
      </c>
      <c r="L947">
        <v>113</v>
      </c>
      <c r="M947">
        <v>0</v>
      </c>
      <c r="N947">
        <v>533</v>
      </c>
      <c r="O947" s="3">
        <f t="shared" si="51"/>
        <v>0</v>
      </c>
      <c r="P947">
        <f t="shared" si="48"/>
        <v>0</v>
      </c>
      <c r="Q947">
        <f t="shared" si="49"/>
        <v>0</v>
      </c>
      <c r="S947">
        <v>-46.721739130434777</v>
      </c>
      <c r="T947">
        <v>0</v>
      </c>
      <c r="U947">
        <v>-1.5217391304347827</v>
      </c>
      <c r="V947">
        <v>-45.199999999999996</v>
      </c>
      <c r="W947">
        <v>0</v>
      </c>
      <c r="X947">
        <v>0</v>
      </c>
      <c r="Y947">
        <v>0</v>
      </c>
    </row>
    <row r="948" spans="1:25" x14ac:dyDescent="0.2">
      <c r="A948" t="s">
        <v>58</v>
      </c>
      <c r="B948" t="s">
        <v>911</v>
      </c>
      <c r="C948">
        <v>340</v>
      </c>
      <c r="D948" s="2">
        <v>0</v>
      </c>
      <c r="E948">
        <v>0</v>
      </c>
      <c r="F948">
        <v>0</v>
      </c>
      <c r="G948">
        <v>0</v>
      </c>
      <c r="H948">
        <v>0</v>
      </c>
      <c r="I948">
        <v>115</v>
      </c>
      <c r="J948">
        <v>92</v>
      </c>
      <c r="K948">
        <v>0</v>
      </c>
      <c r="L948">
        <v>90</v>
      </c>
      <c r="M948">
        <v>0</v>
      </c>
      <c r="N948">
        <v>430</v>
      </c>
      <c r="O948" s="3">
        <f t="shared" si="51"/>
        <v>0</v>
      </c>
      <c r="P948">
        <f t="shared" si="48"/>
        <v>0</v>
      </c>
      <c r="Q948">
        <f t="shared" si="49"/>
        <v>0</v>
      </c>
      <c r="S948">
        <v>-37.250000000000007</v>
      </c>
      <c r="T948">
        <v>0</v>
      </c>
      <c r="U948">
        <v>-1.25</v>
      </c>
      <c r="V948">
        <v>-36.000000000000007</v>
      </c>
      <c r="W948">
        <v>0</v>
      </c>
      <c r="X948">
        <v>0</v>
      </c>
      <c r="Y948">
        <v>0</v>
      </c>
    </row>
    <row r="949" spans="1:25" x14ac:dyDescent="0.2">
      <c r="A949" t="s">
        <v>58</v>
      </c>
      <c r="B949" t="s">
        <v>912</v>
      </c>
      <c r="C949">
        <v>210</v>
      </c>
      <c r="D949" s="2">
        <v>0</v>
      </c>
      <c r="E949">
        <v>0</v>
      </c>
      <c r="F949">
        <v>0</v>
      </c>
      <c r="G949">
        <v>0</v>
      </c>
      <c r="H949">
        <v>0</v>
      </c>
      <c r="I949">
        <v>70</v>
      </c>
      <c r="J949">
        <v>58</v>
      </c>
      <c r="K949">
        <v>0</v>
      </c>
      <c r="L949">
        <v>56</v>
      </c>
      <c r="M949">
        <v>0</v>
      </c>
      <c r="N949">
        <v>266</v>
      </c>
      <c r="O949" s="3">
        <f t="shared" si="51"/>
        <v>0</v>
      </c>
      <c r="P949">
        <f t="shared" si="48"/>
        <v>0</v>
      </c>
      <c r="Q949">
        <f t="shared" si="49"/>
        <v>0</v>
      </c>
      <c r="S949">
        <v>-23.160869565217393</v>
      </c>
      <c r="T949">
        <v>0</v>
      </c>
      <c r="U949">
        <v>-0.76086956521739135</v>
      </c>
      <c r="V949">
        <v>-22.400000000000002</v>
      </c>
      <c r="W949">
        <v>0</v>
      </c>
      <c r="X949">
        <v>0</v>
      </c>
      <c r="Y949">
        <v>0</v>
      </c>
    </row>
    <row r="950" spans="1:25" x14ac:dyDescent="0.2">
      <c r="A950" t="s">
        <v>58</v>
      </c>
      <c r="B950" t="s">
        <v>913</v>
      </c>
      <c r="C950">
        <v>110</v>
      </c>
      <c r="D950" s="2">
        <v>0</v>
      </c>
      <c r="E950">
        <v>0</v>
      </c>
      <c r="F950">
        <v>0</v>
      </c>
      <c r="G950">
        <v>0</v>
      </c>
      <c r="H950">
        <v>0</v>
      </c>
      <c r="I950">
        <v>55</v>
      </c>
      <c r="J950">
        <v>29</v>
      </c>
      <c r="K950">
        <v>0</v>
      </c>
      <c r="L950">
        <v>29</v>
      </c>
      <c r="M950">
        <v>0</v>
      </c>
      <c r="N950">
        <v>139</v>
      </c>
      <c r="O950" s="3">
        <f t="shared" si="51"/>
        <v>0</v>
      </c>
      <c r="P950">
        <f t="shared" si="48"/>
        <v>0</v>
      </c>
      <c r="Q950">
        <f t="shared" si="49"/>
        <v>0</v>
      </c>
      <c r="S950">
        <v>-12.197826086956521</v>
      </c>
      <c r="T950">
        <v>0</v>
      </c>
      <c r="U950">
        <v>-0.59782608695652173</v>
      </c>
      <c r="V950">
        <v>-11.6</v>
      </c>
      <c r="W950">
        <v>0</v>
      </c>
      <c r="X950">
        <v>0</v>
      </c>
      <c r="Y950">
        <v>0</v>
      </c>
    </row>
    <row r="951" spans="1:25" x14ac:dyDescent="0.2">
      <c r="A951" t="s">
        <v>58</v>
      </c>
      <c r="B951" t="s">
        <v>914</v>
      </c>
      <c r="C951">
        <v>90</v>
      </c>
      <c r="D951" s="2">
        <v>0</v>
      </c>
      <c r="E951">
        <v>0</v>
      </c>
      <c r="F951">
        <v>0</v>
      </c>
      <c r="G951">
        <v>0</v>
      </c>
      <c r="H951">
        <v>0</v>
      </c>
      <c r="I951">
        <v>40</v>
      </c>
      <c r="J951">
        <v>22</v>
      </c>
      <c r="K951">
        <v>0</v>
      </c>
      <c r="L951">
        <v>22</v>
      </c>
      <c r="M951">
        <v>0</v>
      </c>
      <c r="N951">
        <v>112</v>
      </c>
      <c r="O951" s="3">
        <f t="shared" si="51"/>
        <v>0</v>
      </c>
      <c r="P951">
        <f t="shared" si="48"/>
        <v>0</v>
      </c>
      <c r="Q951">
        <f t="shared" si="49"/>
        <v>0</v>
      </c>
      <c r="S951">
        <v>-9.234782608695653</v>
      </c>
      <c r="T951">
        <v>0</v>
      </c>
      <c r="U951">
        <v>-0.43478260869565216</v>
      </c>
      <c r="V951">
        <v>-8.8000000000000007</v>
      </c>
      <c r="W951">
        <v>0</v>
      </c>
      <c r="X951">
        <v>0</v>
      </c>
      <c r="Y951">
        <v>0</v>
      </c>
    </row>
    <row r="952" spans="1:25" x14ac:dyDescent="0.2">
      <c r="A952" t="s">
        <v>58</v>
      </c>
      <c r="B952" t="s">
        <v>915</v>
      </c>
      <c r="C952">
        <v>60</v>
      </c>
      <c r="D952" s="2">
        <v>0</v>
      </c>
      <c r="E952">
        <v>0</v>
      </c>
      <c r="F952">
        <v>0</v>
      </c>
      <c r="G952">
        <v>0</v>
      </c>
      <c r="H952">
        <v>0</v>
      </c>
      <c r="I952">
        <v>25</v>
      </c>
      <c r="J952">
        <v>14</v>
      </c>
      <c r="K952">
        <v>0</v>
      </c>
      <c r="L952">
        <v>14</v>
      </c>
      <c r="M952">
        <v>0</v>
      </c>
      <c r="N952">
        <v>74</v>
      </c>
      <c r="O952" s="3">
        <f t="shared" si="51"/>
        <v>0</v>
      </c>
      <c r="P952">
        <f t="shared" si="48"/>
        <v>0</v>
      </c>
      <c r="Q952">
        <f t="shared" si="49"/>
        <v>0</v>
      </c>
      <c r="S952">
        <v>-5.8717391304347828</v>
      </c>
      <c r="T952">
        <v>0</v>
      </c>
      <c r="U952">
        <v>-0.27173913043478259</v>
      </c>
      <c r="V952">
        <v>-5.6000000000000005</v>
      </c>
      <c r="W952">
        <v>0</v>
      </c>
      <c r="X952">
        <v>0</v>
      </c>
      <c r="Y952">
        <v>0</v>
      </c>
    </row>
    <row r="953" spans="1:25" x14ac:dyDescent="0.2">
      <c r="A953" t="s">
        <v>58</v>
      </c>
      <c r="B953" t="s">
        <v>916</v>
      </c>
      <c r="C953">
        <v>0</v>
      </c>
      <c r="D953" s="2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f t="shared" si="48"/>
        <v>0</v>
      </c>
      <c r="Q953">
        <f t="shared" si="49"/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">
      <c r="A954" t="s">
        <v>58</v>
      </c>
      <c r="B954" t="s">
        <v>917</v>
      </c>
      <c r="C954">
        <v>460</v>
      </c>
      <c r="D954" s="2">
        <v>0</v>
      </c>
      <c r="E954">
        <v>0</v>
      </c>
      <c r="F954">
        <v>0</v>
      </c>
      <c r="G954">
        <v>0</v>
      </c>
      <c r="H954">
        <v>0</v>
      </c>
      <c r="I954">
        <v>55</v>
      </c>
      <c r="J954">
        <v>117</v>
      </c>
      <c r="K954">
        <v>0</v>
      </c>
      <c r="L954">
        <v>111</v>
      </c>
      <c r="M954">
        <v>0</v>
      </c>
      <c r="N954">
        <v>571</v>
      </c>
      <c r="O954" s="3">
        <f t="shared" ref="O954:O977" si="52">M954/C954*100</f>
        <v>0</v>
      </c>
      <c r="P954">
        <f t="shared" si="48"/>
        <v>0</v>
      </c>
      <c r="Q954">
        <f t="shared" si="49"/>
        <v>0</v>
      </c>
      <c r="S954">
        <v>-44.997826086956529</v>
      </c>
      <c r="T954">
        <v>0</v>
      </c>
      <c r="U954">
        <v>-0.59782608695652173</v>
      </c>
      <c r="V954">
        <v>-44.400000000000006</v>
      </c>
      <c r="W954">
        <v>0</v>
      </c>
      <c r="X954">
        <v>0</v>
      </c>
      <c r="Y954">
        <v>0</v>
      </c>
    </row>
    <row r="955" spans="1:25" x14ac:dyDescent="0.2">
      <c r="A955" t="s">
        <v>58</v>
      </c>
      <c r="B955" t="s">
        <v>918</v>
      </c>
      <c r="C955">
        <v>380</v>
      </c>
      <c r="D955" s="2">
        <v>0</v>
      </c>
      <c r="E955">
        <v>0</v>
      </c>
      <c r="F955">
        <v>0</v>
      </c>
      <c r="G955">
        <v>0</v>
      </c>
      <c r="H955">
        <v>0</v>
      </c>
      <c r="I955">
        <v>45</v>
      </c>
      <c r="J955">
        <v>98</v>
      </c>
      <c r="K955">
        <v>0</v>
      </c>
      <c r="L955">
        <v>93</v>
      </c>
      <c r="M955">
        <v>0</v>
      </c>
      <c r="N955">
        <v>473</v>
      </c>
      <c r="O955" s="3">
        <f t="shared" si="52"/>
        <v>0</v>
      </c>
      <c r="P955">
        <f t="shared" si="48"/>
        <v>0</v>
      </c>
      <c r="Q955">
        <f t="shared" si="49"/>
        <v>0</v>
      </c>
      <c r="S955">
        <v>-37.689130434782612</v>
      </c>
      <c r="T955">
        <v>0</v>
      </c>
      <c r="U955">
        <v>-0.48913043478260876</v>
      </c>
      <c r="V955">
        <v>-37.200000000000003</v>
      </c>
      <c r="W955">
        <v>0</v>
      </c>
      <c r="X955">
        <v>0</v>
      </c>
      <c r="Y955">
        <v>0</v>
      </c>
    </row>
    <row r="956" spans="1:25" x14ac:dyDescent="0.2">
      <c r="A956" t="s">
        <v>58</v>
      </c>
      <c r="B956" t="s">
        <v>919</v>
      </c>
      <c r="C956">
        <v>230</v>
      </c>
      <c r="D956" s="2">
        <v>0</v>
      </c>
      <c r="E956">
        <v>0</v>
      </c>
      <c r="F956">
        <v>0</v>
      </c>
      <c r="G956">
        <v>0</v>
      </c>
      <c r="H956">
        <v>0</v>
      </c>
      <c r="I956">
        <v>30</v>
      </c>
      <c r="J956">
        <v>59</v>
      </c>
      <c r="K956">
        <v>0</v>
      </c>
      <c r="L956">
        <v>56</v>
      </c>
      <c r="M956">
        <v>0</v>
      </c>
      <c r="N956">
        <v>286</v>
      </c>
      <c r="O956" s="3">
        <f t="shared" si="52"/>
        <v>0</v>
      </c>
      <c r="P956">
        <f t="shared" si="48"/>
        <v>0</v>
      </c>
      <c r="Q956">
        <f t="shared" si="49"/>
        <v>0</v>
      </c>
      <c r="S956">
        <v>-22.72608695652174</v>
      </c>
      <c r="T956">
        <v>0</v>
      </c>
      <c r="U956">
        <v>-0.32608695652173914</v>
      </c>
      <c r="V956">
        <v>-22.400000000000002</v>
      </c>
      <c r="W956">
        <v>0</v>
      </c>
      <c r="X956">
        <v>0</v>
      </c>
      <c r="Y956">
        <v>0</v>
      </c>
    </row>
    <row r="957" spans="1:25" x14ac:dyDescent="0.2">
      <c r="A957" t="s">
        <v>58</v>
      </c>
      <c r="B957" t="s">
        <v>920</v>
      </c>
      <c r="C957">
        <v>15</v>
      </c>
      <c r="D957" s="2">
        <v>0</v>
      </c>
      <c r="E957">
        <v>0</v>
      </c>
      <c r="F957">
        <v>0</v>
      </c>
      <c r="G957">
        <v>0</v>
      </c>
      <c r="H957">
        <v>0</v>
      </c>
      <c r="I957">
        <v>10</v>
      </c>
      <c r="J957">
        <v>2</v>
      </c>
      <c r="K957">
        <v>0</v>
      </c>
      <c r="L957">
        <v>0</v>
      </c>
      <c r="M957">
        <v>0</v>
      </c>
      <c r="N957">
        <v>15</v>
      </c>
      <c r="O957" s="3">
        <f t="shared" si="52"/>
        <v>0</v>
      </c>
      <c r="P957">
        <f t="shared" si="48"/>
        <v>0</v>
      </c>
      <c r="Q957">
        <f t="shared" si="49"/>
        <v>0</v>
      </c>
      <c r="S957">
        <v>-0.10869565217391304</v>
      </c>
      <c r="T957">
        <v>0</v>
      </c>
      <c r="U957">
        <v>-0.10869565217391304</v>
      </c>
      <c r="V957">
        <v>0</v>
      </c>
      <c r="W957">
        <v>0</v>
      </c>
      <c r="X957">
        <v>0</v>
      </c>
      <c r="Y957">
        <v>0</v>
      </c>
    </row>
    <row r="958" spans="1:25" x14ac:dyDescent="0.2">
      <c r="A958" t="s">
        <v>58</v>
      </c>
      <c r="B958" t="s">
        <v>921</v>
      </c>
      <c r="C958">
        <v>10</v>
      </c>
      <c r="D958" s="2">
        <v>0</v>
      </c>
      <c r="E958">
        <v>0</v>
      </c>
      <c r="F958">
        <v>0</v>
      </c>
      <c r="G958">
        <v>0</v>
      </c>
      <c r="H958">
        <v>0</v>
      </c>
      <c r="I958">
        <v>10</v>
      </c>
      <c r="J958">
        <v>1</v>
      </c>
      <c r="K958">
        <v>0</v>
      </c>
      <c r="L958">
        <v>0</v>
      </c>
      <c r="M958">
        <v>0</v>
      </c>
      <c r="N958">
        <v>10</v>
      </c>
      <c r="O958" s="3">
        <f t="shared" si="52"/>
        <v>0</v>
      </c>
      <c r="P958">
        <f t="shared" si="48"/>
        <v>0</v>
      </c>
      <c r="Q958">
        <f t="shared" si="49"/>
        <v>0</v>
      </c>
      <c r="S958">
        <v>-0.10869565217391304</v>
      </c>
      <c r="T958">
        <v>0</v>
      </c>
      <c r="U958">
        <v>-0.10869565217391304</v>
      </c>
      <c r="V958">
        <v>0</v>
      </c>
      <c r="W958">
        <v>0</v>
      </c>
      <c r="X958">
        <v>0</v>
      </c>
      <c r="Y958">
        <v>0</v>
      </c>
    </row>
    <row r="959" spans="1:25" x14ac:dyDescent="0.2">
      <c r="A959" t="s">
        <v>58</v>
      </c>
      <c r="B959" t="s">
        <v>922</v>
      </c>
      <c r="C959">
        <v>5</v>
      </c>
      <c r="D959" s="2">
        <v>0</v>
      </c>
      <c r="E959">
        <v>0</v>
      </c>
      <c r="F959">
        <v>0</v>
      </c>
      <c r="G959">
        <v>0</v>
      </c>
      <c r="H959">
        <v>0</v>
      </c>
      <c r="I959">
        <v>5</v>
      </c>
      <c r="J959">
        <v>1</v>
      </c>
      <c r="K959">
        <v>0</v>
      </c>
      <c r="L959">
        <v>0</v>
      </c>
      <c r="M959">
        <v>0</v>
      </c>
      <c r="N959">
        <v>5</v>
      </c>
      <c r="O959" s="3">
        <f t="shared" si="52"/>
        <v>0</v>
      </c>
      <c r="P959">
        <f t="shared" si="48"/>
        <v>0</v>
      </c>
      <c r="Q959">
        <f t="shared" si="49"/>
        <v>0</v>
      </c>
      <c r="S959">
        <v>-5.434782608695652E-2</v>
      </c>
      <c r="T959">
        <v>0</v>
      </c>
      <c r="U959">
        <v>-5.434782608695652E-2</v>
      </c>
      <c r="V959">
        <v>0</v>
      </c>
      <c r="W959">
        <v>0</v>
      </c>
      <c r="X959">
        <v>0</v>
      </c>
      <c r="Y959">
        <v>0</v>
      </c>
    </row>
    <row r="960" spans="1:25" x14ac:dyDescent="0.2">
      <c r="A960" t="s">
        <v>58</v>
      </c>
      <c r="B960" t="s">
        <v>923</v>
      </c>
      <c r="C960">
        <v>320</v>
      </c>
      <c r="D960" s="2">
        <v>0</v>
      </c>
      <c r="E960">
        <v>0</v>
      </c>
      <c r="F960">
        <v>0</v>
      </c>
      <c r="G960">
        <v>0</v>
      </c>
      <c r="H960">
        <v>0</v>
      </c>
      <c r="I960">
        <v>60</v>
      </c>
      <c r="J960">
        <v>82</v>
      </c>
      <c r="K960">
        <v>0</v>
      </c>
      <c r="L960">
        <v>76</v>
      </c>
      <c r="M960">
        <v>0</v>
      </c>
      <c r="N960">
        <v>396</v>
      </c>
      <c r="O960" s="3">
        <f t="shared" si="52"/>
        <v>0</v>
      </c>
      <c r="P960">
        <f t="shared" si="48"/>
        <v>0</v>
      </c>
      <c r="Q960">
        <f t="shared" si="49"/>
        <v>0</v>
      </c>
      <c r="S960">
        <v>-31.052173913043482</v>
      </c>
      <c r="T960">
        <v>0</v>
      </c>
      <c r="U960">
        <v>-0.65217391304347827</v>
      </c>
      <c r="V960">
        <v>-30.400000000000006</v>
      </c>
      <c r="W960">
        <v>0</v>
      </c>
      <c r="X960">
        <v>0</v>
      </c>
      <c r="Y960">
        <v>0</v>
      </c>
    </row>
    <row r="961" spans="1:25" x14ac:dyDescent="0.2">
      <c r="A961" t="s">
        <v>58</v>
      </c>
      <c r="B961" t="s">
        <v>924</v>
      </c>
      <c r="C961">
        <v>300</v>
      </c>
      <c r="D961" s="2">
        <v>0</v>
      </c>
      <c r="E961">
        <v>0</v>
      </c>
      <c r="F961">
        <v>0</v>
      </c>
      <c r="G961">
        <v>0</v>
      </c>
      <c r="H961">
        <v>0</v>
      </c>
      <c r="I961">
        <v>50</v>
      </c>
      <c r="J961">
        <v>76</v>
      </c>
      <c r="K961">
        <v>0</v>
      </c>
      <c r="L961">
        <v>70</v>
      </c>
      <c r="M961">
        <v>0</v>
      </c>
      <c r="N961">
        <v>370</v>
      </c>
      <c r="O961" s="3">
        <f t="shared" si="52"/>
        <v>0</v>
      </c>
      <c r="P961">
        <f t="shared" si="48"/>
        <v>0</v>
      </c>
      <c r="Q961">
        <f t="shared" si="49"/>
        <v>0</v>
      </c>
      <c r="S961">
        <v>-28.543478260869563</v>
      </c>
      <c r="T961">
        <v>0</v>
      </c>
      <c r="U961">
        <v>-0.54347826086956519</v>
      </c>
      <c r="V961">
        <v>-27.999999999999996</v>
      </c>
      <c r="W961">
        <v>0</v>
      </c>
      <c r="X961">
        <v>0</v>
      </c>
      <c r="Y961">
        <v>0</v>
      </c>
    </row>
    <row r="962" spans="1:25" x14ac:dyDescent="0.2">
      <c r="A962" t="s">
        <v>58</v>
      </c>
      <c r="B962" t="s">
        <v>925</v>
      </c>
      <c r="C962">
        <v>170</v>
      </c>
      <c r="D962" s="2">
        <v>0</v>
      </c>
      <c r="E962">
        <v>0</v>
      </c>
      <c r="F962">
        <v>0</v>
      </c>
      <c r="G962">
        <v>0</v>
      </c>
      <c r="H962">
        <v>0</v>
      </c>
      <c r="I962">
        <v>30</v>
      </c>
      <c r="J962">
        <v>44</v>
      </c>
      <c r="K962">
        <v>0</v>
      </c>
      <c r="L962">
        <v>40</v>
      </c>
      <c r="M962">
        <v>0</v>
      </c>
      <c r="N962">
        <v>210</v>
      </c>
      <c r="O962" s="3">
        <f t="shared" si="52"/>
        <v>0</v>
      </c>
      <c r="P962">
        <f t="shared" ref="P962:P977" si="53">IF(I962&gt;2300*0.2,1,0)</f>
        <v>0</v>
      </c>
      <c r="Q962">
        <f t="shared" ref="Q962:Q977" si="54">IF(H962&gt;300,1,0)</f>
        <v>0</v>
      </c>
      <c r="S962">
        <v>-16.326086956521742</v>
      </c>
      <c r="T962">
        <v>0</v>
      </c>
      <c r="U962">
        <v>-0.32608695652173914</v>
      </c>
      <c r="V962">
        <v>-16.000000000000004</v>
      </c>
      <c r="W962">
        <v>0</v>
      </c>
      <c r="X962">
        <v>0</v>
      </c>
      <c r="Y962">
        <v>0</v>
      </c>
    </row>
    <row r="963" spans="1:25" x14ac:dyDescent="0.2">
      <c r="A963" t="s">
        <v>58</v>
      </c>
      <c r="B963" t="s">
        <v>926</v>
      </c>
      <c r="C963">
        <v>200</v>
      </c>
      <c r="D963" s="2">
        <v>0</v>
      </c>
      <c r="E963">
        <v>0</v>
      </c>
      <c r="F963">
        <v>0</v>
      </c>
      <c r="G963">
        <v>0</v>
      </c>
      <c r="H963">
        <v>0</v>
      </c>
      <c r="I963">
        <v>90</v>
      </c>
      <c r="J963">
        <v>53</v>
      </c>
      <c r="K963">
        <v>0</v>
      </c>
      <c r="L963">
        <v>53</v>
      </c>
      <c r="M963">
        <v>0</v>
      </c>
      <c r="N963">
        <v>253</v>
      </c>
      <c r="O963" s="3">
        <f t="shared" si="52"/>
        <v>0</v>
      </c>
      <c r="P963">
        <f t="shared" si="53"/>
        <v>0</v>
      </c>
      <c r="Q963">
        <f t="shared" si="54"/>
        <v>0</v>
      </c>
      <c r="S963">
        <v>-22.178260869565221</v>
      </c>
      <c r="T963">
        <v>0</v>
      </c>
      <c r="U963">
        <v>-0.97826086956521752</v>
      </c>
      <c r="V963">
        <v>-21.200000000000003</v>
      </c>
      <c r="W963">
        <v>0</v>
      </c>
      <c r="X963">
        <v>0</v>
      </c>
      <c r="Y963">
        <v>0</v>
      </c>
    </row>
    <row r="964" spans="1:25" x14ac:dyDescent="0.2">
      <c r="A964" t="s">
        <v>58</v>
      </c>
      <c r="B964" t="s">
        <v>927</v>
      </c>
      <c r="C964">
        <v>390</v>
      </c>
      <c r="D964" s="2">
        <v>0</v>
      </c>
      <c r="E964">
        <v>0</v>
      </c>
      <c r="F964">
        <v>0</v>
      </c>
      <c r="G964">
        <v>0</v>
      </c>
      <c r="H964">
        <v>0</v>
      </c>
      <c r="I964">
        <v>180</v>
      </c>
      <c r="J964">
        <v>105</v>
      </c>
      <c r="K964">
        <v>0</v>
      </c>
      <c r="L964">
        <v>105</v>
      </c>
      <c r="M964">
        <v>0</v>
      </c>
      <c r="N964">
        <v>495</v>
      </c>
      <c r="O964" s="3">
        <f t="shared" si="52"/>
        <v>0</v>
      </c>
      <c r="P964">
        <f t="shared" si="53"/>
        <v>0</v>
      </c>
      <c r="Q964">
        <f t="shared" si="54"/>
        <v>0</v>
      </c>
      <c r="S964">
        <v>-43.956521739130444</v>
      </c>
      <c r="T964">
        <v>0</v>
      </c>
      <c r="U964">
        <v>-1.956521739130435</v>
      </c>
      <c r="V964">
        <v>-42.000000000000007</v>
      </c>
      <c r="W964">
        <v>0</v>
      </c>
      <c r="X964">
        <v>0</v>
      </c>
      <c r="Y964">
        <v>0</v>
      </c>
    </row>
    <row r="965" spans="1:25" x14ac:dyDescent="0.2">
      <c r="A965" t="s">
        <v>58</v>
      </c>
      <c r="B965" t="s">
        <v>928</v>
      </c>
      <c r="C965">
        <v>310</v>
      </c>
      <c r="D965" s="2">
        <v>0</v>
      </c>
      <c r="E965">
        <v>0</v>
      </c>
      <c r="F965">
        <v>0</v>
      </c>
      <c r="G965">
        <v>0</v>
      </c>
      <c r="H965">
        <v>0</v>
      </c>
      <c r="I965">
        <v>140</v>
      </c>
      <c r="J965">
        <v>84</v>
      </c>
      <c r="K965">
        <v>0</v>
      </c>
      <c r="L965">
        <v>84</v>
      </c>
      <c r="M965">
        <v>0</v>
      </c>
      <c r="N965">
        <v>394</v>
      </c>
      <c r="O965" s="3">
        <f t="shared" si="52"/>
        <v>0</v>
      </c>
      <c r="P965">
        <f t="shared" si="53"/>
        <v>0</v>
      </c>
      <c r="Q965">
        <f t="shared" si="54"/>
        <v>0</v>
      </c>
      <c r="S965">
        <v>-35.121739130434783</v>
      </c>
      <c r="T965">
        <v>0</v>
      </c>
      <c r="U965">
        <v>-1.5217391304347827</v>
      </c>
      <c r="V965">
        <v>-33.6</v>
      </c>
      <c r="W965">
        <v>0</v>
      </c>
      <c r="X965">
        <v>0</v>
      </c>
      <c r="Y965">
        <v>0</v>
      </c>
    </row>
    <row r="966" spans="1:25" x14ac:dyDescent="0.2">
      <c r="A966" t="s">
        <v>58</v>
      </c>
      <c r="B966" t="s">
        <v>929</v>
      </c>
      <c r="C966">
        <v>480</v>
      </c>
      <c r="D966" s="2">
        <v>0</v>
      </c>
      <c r="E966">
        <v>0</v>
      </c>
      <c r="F966">
        <v>0</v>
      </c>
      <c r="G966">
        <v>0</v>
      </c>
      <c r="H966">
        <v>0</v>
      </c>
      <c r="I966">
        <v>55</v>
      </c>
      <c r="J966">
        <v>121</v>
      </c>
      <c r="K966">
        <v>0</v>
      </c>
      <c r="L966">
        <v>114</v>
      </c>
      <c r="M966">
        <v>0</v>
      </c>
      <c r="N966">
        <v>594</v>
      </c>
      <c r="O966" s="3">
        <f t="shared" si="52"/>
        <v>0</v>
      </c>
      <c r="P966">
        <f t="shared" si="53"/>
        <v>0</v>
      </c>
      <c r="Q966">
        <f t="shared" si="54"/>
        <v>0</v>
      </c>
      <c r="S966">
        <v>-46.197826086956518</v>
      </c>
      <c r="T966">
        <v>0</v>
      </c>
      <c r="U966">
        <v>-0.59782608695652173</v>
      </c>
      <c r="V966">
        <v>-45.599999999999994</v>
      </c>
      <c r="W966">
        <v>0</v>
      </c>
      <c r="X966">
        <v>0</v>
      </c>
      <c r="Y966">
        <v>0</v>
      </c>
    </row>
    <row r="967" spans="1:25" x14ac:dyDescent="0.2">
      <c r="A967" t="s">
        <v>58</v>
      </c>
      <c r="B967" t="s">
        <v>930</v>
      </c>
      <c r="C967">
        <v>380</v>
      </c>
      <c r="D967" s="2">
        <v>0</v>
      </c>
      <c r="E967">
        <v>0</v>
      </c>
      <c r="F967">
        <v>0</v>
      </c>
      <c r="G967">
        <v>0</v>
      </c>
      <c r="H967">
        <v>0</v>
      </c>
      <c r="I967">
        <v>45</v>
      </c>
      <c r="J967">
        <v>98</v>
      </c>
      <c r="K967">
        <v>0</v>
      </c>
      <c r="L967">
        <v>92</v>
      </c>
      <c r="M967">
        <v>0</v>
      </c>
      <c r="N967">
        <v>472</v>
      </c>
      <c r="O967" s="3">
        <f t="shared" si="52"/>
        <v>0</v>
      </c>
      <c r="P967">
        <f t="shared" si="53"/>
        <v>0</v>
      </c>
      <c r="Q967">
        <f t="shared" si="54"/>
        <v>0</v>
      </c>
      <c r="S967">
        <v>-37.289130434782614</v>
      </c>
      <c r="T967">
        <v>0</v>
      </c>
      <c r="U967">
        <v>-0.48913043478260876</v>
      </c>
      <c r="V967">
        <v>-36.800000000000004</v>
      </c>
      <c r="W967">
        <v>0</v>
      </c>
      <c r="X967">
        <v>0</v>
      </c>
      <c r="Y967">
        <v>0</v>
      </c>
    </row>
    <row r="968" spans="1:25" x14ac:dyDescent="0.2">
      <c r="A968" t="s">
        <v>58</v>
      </c>
      <c r="B968" t="s">
        <v>931</v>
      </c>
      <c r="C968">
        <v>230</v>
      </c>
      <c r="D968" s="2">
        <v>0</v>
      </c>
      <c r="E968">
        <v>0</v>
      </c>
      <c r="F968">
        <v>0</v>
      </c>
      <c r="G968">
        <v>0</v>
      </c>
      <c r="H968">
        <v>0</v>
      </c>
      <c r="I968">
        <v>30</v>
      </c>
      <c r="J968">
        <v>58</v>
      </c>
      <c r="K968">
        <v>0</v>
      </c>
      <c r="L968">
        <v>54</v>
      </c>
      <c r="M968">
        <v>0</v>
      </c>
      <c r="N968">
        <v>284</v>
      </c>
      <c r="O968" s="3">
        <f t="shared" si="52"/>
        <v>0</v>
      </c>
      <c r="P968">
        <f t="shared" si="53"/>
        <v>0</v>
      </c>
      <c r="Q968">
        <f t="shared" si="54"/>
        <v>0</v>
      </c>
      <c r="S968">
        <v>-21.92608695652174</v>
      </c>
      <c r="T968">
        <v>0</v>
      </c>
      <c r="U968">
        <v>-0.32608695652173914</v>
      </c>
      <c r="V968">
        <v>-21.6</v>
      </c>
      <c r="W968">
        <v>0</v>
      </c>
      <c r="X968">
        <v>0</v>
      </c>
      <c r="Y968">
        <v>0</v>
      </c>
    </row>
    <row r="969" spans="1:25" x14ac:dyDescent="0.2">
      <c r="A969" t="s">
        <v>58</v>
      </c>
      <c r="B969" t="s">
        <v>932</v>
      </c>
      <c r="C969">
        <v>270</v>
      </c>
      <c r="D969" s="2">
        <v>0</v>
      </c>
      <c r="E969">
        <v>0</v>
      </c>
      <c r="F969">
        <v>0</v>
      </c>
      <c r="G969">
        <v>0</v>
      </c>
      <c r="H969">
        <v>0</v>
      </c>
      <c r="I969">
        <v>15</v>
      </c>
      <c r="J969">
        <v>69</v>
      </c>
      <c r="K969">
        <v>0</v>
      </c>
      <c r="L969">
        <v>67</v>
      </c>
      <c r="M969">
        <v>0</v>
      </c>
      <c r="N969">
        <v>337</v>
      </c>
      <c r="O969" s="3">
        <f t="shared" si="52"/>
        <v>0</v>
      </c>
      <c r="P969">
        <f t="shared" si="53"/>
        <v>0</v>
      </c>
      <c r="Q969">
        <f t="shared" si="54"/>
        <v>0</v>
      </c>
      <c r="S969">
        <v>-26.963043478260872</v>
      </c>
      <c r="T969">
        <v>0</v>
      </c>
      <c r="U969">
        <v>-0.16304347826086957</v>
      </c>
      <c r="V969">
        <v>-26.8</v>
      </c>
      <c r="W969">
        <v>0</v>
      </c>
      <c r="X969">
        <v>0</v>
      </c>
      <c r="Y969">
        <v>0</v>
      </c>
    </row>
    <row r="970" spans="1:25" x14ac:dyDescent="0.2">
      <c r="A970" t="s">
        <v>58</v>
      </c>
      <c r="B970" t="s">
        <v>933</v>
      </c>
      <c r="C970">
        <v>240</v>
      </c>
      <c r="D970" s="2">
        <v>0</v>
      </c>
      <c r="E970">
        <v>0</v>
      </c>
      <c r="F970">
        <v>0</v>
      </c>
      <c r="G970">
        <v>0</v>
      </c>
      <c r="H970">
        <v>0</v>
      </c>
      <c r="I970">
        <v>15</v>
      </c>
      <c r="J970">
        <v>60</v>
      </c>
      <c r="K970">
        <v>0</v>
      </c>
      <c r="L970">
        <v>59</v>
      </c>
      <c r="M970">
        <v>0</v>
      </c>
      <c r="N970">
        <v>299</v>
      </c>
      <c r="O970" s="3">
        <f t="shared" si="52"/>
        <v>0</v>
      </c>
      <c r="P970">
        <f t="shared" si="53"/>
        <v>0</v>
      </c>
      <c r="Q970">
        <f t="shared" si="54"/>
        <v>0</v>
      </c>
      <c r="S970">
        <v>-23.763043478260869</v>
      </c>
      <c r="T970">
        <v>0</v>
      </c>
      <c r="U970">
        <v>-0.16304347826086957</v>
      </c>
      <c r="V970">
        <v>-23.599999999999998</v>
      </c>
      <c r="W970">
        <v>0</v>
      </c>
      <c r="X970">
        <v>0</v>
      </c>
      <c r="Y970">
        <v>0</v>
      </c>
    </row>
    <row r="971" spans="1:25" x14ac:dyDescent="0.2">
      <c r="A971" t="s">
        <v>58</v>
      </c>
      <c r="B971" t="s">
        <v>934</v>
      </c>
      <c r="C971">
        <v>140</v>
      </c>
      <c r="D971" s="2">
        <v>0</v>
      </c>
      <c r="E971">
        <v>0</v>
      </c>
      <c r="F971">
        <v>0</v>
      </c>
      <c r="G971">
        <v>0</v>
      </c>
      <c r="H971">
        <v>0</v>
      </c>
      <c r="I971">
        <v>10</v>
      </c>
      <c r="J971">
        <v>36</v>
      </c>
      <c r="K971">
        <v>0</v>
      </c>
      <c r="L971">
        <v>35</v>
      </c>
      <c r="M971">
        <v>0</v>
      </c>
      <c r="N971">
        <v>175</v>
      </c>
      <c r="O971" s="3">
        <f t="shared" si="52"/>
        <v>0</v>
      </c>
      <c r="P971">
        <f t="shared" si="53"/>
        <v>0</v>
      </c>
      <c r="Q971">
        <f t="shared" si="54"/>
        <v>0</v>
      </c>
      <c r="S971">
        <v>-14.10869565217391</v>
      </c>
      <c r="T971">
        <v>0</v>
      </c>
      <c r="U971">
        <v>-0.10869565217391304</v>
      </c>
      <c r="V971">
        <v>-13.999999999999998</v>
      </c>
      <c r="W971">
        <v>0</v>
      </c>
      <c r="X971">
        <v>0</v>
      </c>
      <c r="Y971">
        <v>0</v>
      </c>
    </row>
    <row r="972" spans="1:25" x14ac:dyDescent="0.2">
      <c r="A972" t="s">
        <v>58</v>
      </c>
      <c r="B972" t="s">
        <v>935</v>
      </c>
      <c r="C972">
        <v>90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20</v>
      </c>
      <c r="J972">
        <v>22</v>
      </c>
      <c r="K972">
        <v>0</v>
      </c>
      <c r="L972">
        <v>20</v>
      </c>
      <c r="M972">
        <v>0</v>
      </c>
      <c r="N972">
        <v>110</v>
      </c>
      <c r="O972" s="3">
        <f t="shared" si="52"/>
        <v>0</v>
      </c>
      <c r="P972">
        <f t="shared" si="53"/>
        <v>0</v>
      </c>
      <c r="Q972">
        <f t="shared" si="54"/>
        <v>0</v>
      </c>
      <c r="S972">
        <v>-8.2173913043478279</v>
      </c>
      <c r="T972">
        <v>0</v>
      </c>
      <c r="U972">
        <v>-0.21739130434782608</v>
      </c>
      <c r="V972">
        <v>-8.0000000000000018</v>
      </c>
      <c r="W972">
        <v>0</v>
      </c>
      <c r="X972">
        <v>0</v>
      </c>
      <c r="Y972">
        <v>0</v>
      </c>
    </row>
    <row r="973" spans="1:25" x14ac:dyDescent="0.2">
      <c r="A973" t="s">
        <v>58</v>
      </c>
      <c r="B973" t="s">
        <v>936</v>
      </c>
      <c r="C973">
        <v>60</v>
      </c>
      <c r="D973" s="2">
        <v>0</v>
      </c>
      <c r="E973">
        <v>0</v>
      </c>
      <c r="F973">
        <v>0</v>
      </c>
      <c r="G973">
        <v>0</v>
      </c>
      <c r="H973">
        <v>0</v>
      </c>
      <c r="I973">
        <v>15</v>
      </c>
      <c r="J973">
        <v>16</v>
      </c>
      <c r="K973">
        <v>0</v>
      </c>
      <c r="L973">
        <v>14</v>
      </c>
      <c r="M973">
        <v>0</v>
      </c>
      <c r="N973">
        <v>74</v>
      </c>
      <c r="O973" s="3">
        <f t="shared" si="52"/>
        <v>0</v>
      </c>
      <c r="P973">
        <f t="shared" si="53"/>
        <v>0</v>
      </c>
      <c r="Q973">
        <f t="shared" si="54"/>
        <v>0</v>
      </c>
      <c r="S973">
        <v>-5.7630434782608697</v>
      </c>
      <c r="T973">
        <v>0</v>
      </c>
      <c r="U973">
        <v>-0.16304347826086957</v>
      </c>
      <c r="V973">
        <v>-5.6000000000000005</v>
      </c>
      <c r="W973">
        <v>0</v>
      </c>
      <c r="X973">
        <v>0</v>
      </c>
      <c r="Y973">
        <v>0</v>
      </c>
    </row>
    <row r="974" spans="1:25" x14ac:dyDescent="0.2">
      <c r="A974" t="s">
        <v>58</v>
      </c>
      <c r="B974" t="s">
        <v>937</v>
      </c>
      <c r="C974">
        <v>45</v>
      </c>
      <c r="D974" s="2">
        <v>0</v>
      </c>
      <c r="E974">
        <v>0</v>
      </c>
      <c r="F974">
        <v>0</v>
      </c>
      <c r="G974">
        <v>0</v>
      </c>
      <c r="H974">
        <v>0</v>
      </c>
      <c r="I974">
        <v>10</v>
      </c>
      <c r="J974">
        <v>11</v>
      </c>
      <c r="K974">
        <v>0</v>
      </c>
      <c r="L974">
        <v>10</v>
      </c>
      <c r="M974">
        <v>0</v>
      </c>
      <c r="N974">
        <v>55</v>
      </c>
      <c r="O974" s="3">
        <f t="shared" si="52"/>
        <v>0</v>
      </c>
      <c r="P974">
        <f t="shared" si="53"/>
        <v>0</v>
      </c>
      <c r="Q974">
        <f t="shared" si="54"/>
        <v>0</v>
      </c>
      <c r="S974">
        <v>-4.108695652173914</v>
      </c>
      <c r="T974">
        <v>0</v>
      </c>
      <c r="U974">
        <v>-0.10869565217391304</v>
      </c>
      <c r="V974">
        <v>-4.0000000000000009</v>
      </c>
      <c r="W974">
        <v>0</v>
      </c>
      <c r="X974">
        <v>0</v>
      </c>
      <c r="Y974">
        <v>0</v>
      </c>
    </row>
    <row r="975" spans="1:25" x14ac:dyDescent="0.2">
      <c r="A975" t="s">
        <v>58</v>
      </c>
      <c r="B975" t="s">
        <v>938</v>
      </c>
      <c r="C975">
        <v>300</v>
      </c>
      <c r="D975" s="2">
        <v>0</v>
      </c>
      <c r="E975">
        <v>0</v>
      </c>
      <c r="F975">
        <v>0</v>
      </c>
      <c r="G975">
        <v>0</v>
      </c>
      <c r="H975">
        <v>0</v>
      </c>
      <c r="I975">
        <v>25</v>
      </c>
      <c r="J975">
        <v>77</v>
      </c>
      <c r="K975">
        <v>0</v>
      </c>
      <c r="L975">
        <v>75</v>
      </c>
      <c r="M975">
        <v>0</v>
      </c>
      <c r="N975">
        <v>375</v>
      </c>
      <c r="O975" s="3">
        <f t="shared" si="52"/>
        <v>0</v>
      </c>
      <c r="P975">
        <f t="shared" si="53"/>
        <v>0</v>
      </c>
      <c r="Q975">
        <f t="shared" si="54"/>
        <v>0</v>
      </c>
      <c r="S975">
        <v>-30.271739130434785</v>
      </c>
      <c r="T975">
        <v>0</v>
      </c>
      <c r="U975">
        <v>-0.27173913043478259</v>
      </c>
      <c r="V975">
        <v>-30.000000000000004</v>
      </c>
      <c r="W975">
        <v>0</v>
      </c>
      <c r="X975">
        <v>0</v>
      </c>
      <c r="Y975">
        <v>0</v>
      </c>
    </row>
    <row r="976" spans="1:25" x14ac:dyDescent="0.2">
      <c r="A976" t="s">
        <v>58</v>
      </c>
      <c r="B976" t="s">
        <v>939</v>
      </c>
      <c r="C976">
        <v>220</v>
      </c>
      <c r="D976" s="2">
        <v>0</v>
      </c>
      <c r="E976">
        <v>0</v>
      </c>
      <c r="F976">
        <v>0</v>
      </c>
      <c r="G976">
        <v>0</v>
      </c>
      <c r="H976">
        <v>0</v>
      </c>
      <c r="I976">
        <v>20</v>
      </c>
      <c r="J976">
        <v>58</v>
      </c>
      <c r="K976">
        <v>0</v>
      </c>
      <c r="L976">
        <v>56</v>
      </c>
      <c r="M976">
        <v>0</v>
      </c>
      <c r="N976">
        <v>276</v>
      </c>
      <c r="O976" s="3">
        <f t="shared" si="52"/>
        <v>0</v>
      </c>
      <c r="P976">
        <f t="shared" si="53"/>
        <v>0</v>
      </c>
      <c r="Q976">
        <f t="shared" si="54"/>
        <v>0</v>
      </c>
      <c r="S976">
        <v>-22.617391304347827</v>
      </c>
      <c r="T976">
        <v>0</v>
      </c>
      <c r="U976">
        <v>-0.21739130434782608</v>
      </c>
      <c r="V976">
        <v>-22.400000000000002</v>
      </c>
      <c r="W976">
        <v>0</v>
      </c>
      <c r="X976">
        <v>0</v>
      </c>
      <c r="Y976">
        <v>0</v>
      </c>
    </row>
    <row r="977" spans="1:25" x14ac:dyDescent="0.2">
      <c r="A977" t="s">
        <v>58</v>
      </c>
      <c r="B977" t="s">
        <v>940</v>
      </c>
      <c r="C977">
        <v>160</v>
      </c>
      <c r="D977" s="2">
        <v>0</v>
      </c>
      <c r="E977">
        <v>0</v>
      </c>
      <c r="F977">
        <v>0</v>
      </c>
      <c r="G977">
        <v>0</v>
      </c>
      <c r="H977">
        <v>0</v>
      </c>
      <c r="I977">
        <v>10</v>
      </c>
      <c r="J977">
        <v>41</v>
      </c>
      <c r="K977">
        <v>0</v>
      </c>
      <c r="L977">
        <v>40</v>
      </c>
      <c r="M977">
        <v>0</v>
      </c>
      <c r="N977">
        <v>200</v>
      </c>
      <c r="O977" s="3">
        <f t="shared" si="52"/>
        <v>0</v>
      </c>
      <c r="P977">
        <f t="shared" si="53"/>
        <v>0</v>
      </c>
      <c r="Q977">
        <f t="shared" si="54"/>
        <v>0</v>
      </c>
      <c r="S977">
        <v>-16.108695652173918</v>
      </c>
      <c r="T977">
        <v>0</v>
      </c>
      <c r="U977">
        <v>-0.10869565217391304</v>
      </c>
      <c r="V977">
        <v>-16.000000000000004</v>
      </c>
      <c r="W977">
        <v>0</v>
      </c>
      <c r="X977">
        <v>0</v>
      </c>
      <c r="Y977">
        <v>0</v>
      </c>
    </row>
  </sheetData>
  <autoFilter ref="A1:Y1" xr:uid="{5BBA959C-26FC-48E3-A19A-606CDB2A32E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DA47-13B9-4E9D-8309-75196964EF1A}">
  <dimension ref="A1:Y979"/>
  <sheetViews>
    <sheetView workbookViewId="0">
      <pane ySplit="1" topLeftCell="A2" activePane="bottomLeft" state="frozen"/>
      <selection pane="bottomLeft" activeCell="D30" sqref="D30"/>
    </sheetView>
  </sheetViews>
  <sheetFormatPr baseColWidth="10" defaultColWidth="11" defaultRowHeight="16" x14ac:dyDescent="0.2"/>
  <cols>
    <col min="1" max="1" width="15.83203125" customWidth="1"/>
    <col min="2" max="2" width="52.1640625" customWidth="1"/>
    <col min="19" max="19" width="19.1640625" bestFit="1" customWidth="1"/>
    <col min="20" max="20" width="12" bestFit="1" customWidth="1"/>
  </cols>
  <sheetData>
    <row r="1" spans="1:25" ht="51" x14ac:dyDescent="0.2">
      <c r="A1" t="s">
        <v>0</v>
      </c>
      <c r="B1" t="s">
        <v>1</v>
      </c>
      <c r="C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5" t="s">
        <v>12</v>
      </c>
      <c r="N1" s="1" t="s">
        <v>13</v>
      </c>
      <c r="O1" s="4" t="s">
        <v>14</v>
      </c>
      <c r="P1" s="4" t="s">
        <v>1123</v>
      </c>
      <c r="Q1" s="4" t="s">
        <v>1124</v>
      </c>
      <c r="S1">
        <f>T1+U1+V1+W1+X1+Y1</f>
        <v>-0.6</v>
      </c>
      <c r="T1" s="7">
        <v>-0.25</v>
      </c>
      <c r="U1" s="7">
        <v>-0.25</v>
      </c>
      <c r="V1" s="7">
        <v>-0.2</v>
      </c>
      <c r="W1" s="7">
        <v>-0.1</v>
      </c>
      <c r="X1" s="7">
        <v>0.1</v>
      </c>
      <c r="Y1" s="7">
        <v>0.1</v>
      </c>
    </row>
    <row r="2" spans="1:25" x14ac:dyDescent="0.2">
      <c r="A2" t="s">
        <v>1132</v>
      </c>
      <c r="D2" s="1"/>
      <c r="E2" s="5"/>
      <c r="F2" s="1"/>
      <c r="G2" s="1"/>
      <c r="H2" s="1"/>
      <c r="I2" s="1"/>
      <c r="J2" s="5"/>
      <c r="K2" s="5"/>
      <c r="L2" s="1"/>
      <c r="M2" s="5"/>
      <c r="N2" s="1"/>
      <c r="O2" s="4"/>
      <c r="P2" s="4"/>
      <c r="Q2" s="4"/>
      <c r="S2" s="6"/>
    </row>
    <row r="3" spans="1:25" x14ac:dyDescent="0.2">
      <c r="D3" s="1"/>
      <c r="E3" s="5"/>
      <c r="F3" s="1"/>
      <c r="G3" s="1"/>
      <c r="H3" s="1"/>
      <c r="I3" s="1"/>
      <c r="J3" s="5"/>
      <c r="K3" s="5"/>
      <c r="L3" s="1"/>
      <c r="M3" s="5"/>
      <c r="N3" s="1"/>
      <c r="O3" s="4"/>
      <c r="P3" s="4"/>
      <c r="Q3" s="4"/>
      <c r="S3" s="6" t="s">
        <v>1133</v>
      </c>
      <c r="T3" t="s">
        <v>1126</v>
      </c>
      <c r="U3" t="s">
        <v>1127</v>
      </c>
      <c r="V3" t="s">
        <v>1128</v>
      </c>
      <c r="W3" t="s">
        <v>1129</v>
      </c>
      <c r="X3" t="s">
        <v>1130</v>
      </c>
      <c r="Y3" t="s">
        <v>1131</v>
      </c>
    </row>
    <row r="4" spans="1:25" x14ac:dyDescent="0.2">
      <c r="A4" t="s">
        <v>51</v>
      </c>
      <c r="B4" t="s">
        <v>52</v>
      </c>
      <c r="C4">
        <v>90</v>
      </c>
      <c r="D4">
        <v>0</v>
      </c>
      <c r="E4">
        <v>0</v>
      </c>
      <c r="F4">
        <v>0</v>
      </c>
      <c r="G4">
        <v>0</v>
      </c>
      <c r="H4">
        <v>5</v>
      </c>
      <c r="I4">
        <v>125</v>
      </c>
      <c r="J4">
        <v>13</v>
      </c>
      <c r="K4">
        <v>0</v>
      </c>
      <c r="L4">
        <v>12</v>
      </c>
      <c r="M4">
        <v>9</v>
      </c>
      <c r="N4">
        <v>93</v>
      </c>
      <c r="O4" s="3">
        <f t="shared" ref="O4:O35" si="0">M4/C4*100</f>
        <v>10</v>
      </c>
      <c r="P4">
        <f t="shared" ref="P4:P67" si="1">IF(I4&gt;2300*0.2,1,0)</f>
        <v>0</v>
      </c>
      <c r="Q4">
        <f t="shared" ref="Q4:Q67" si="2">IF(H4&gt;300,1,0)</f>
        <v>0</v>
      </c>
      <c r="S4">
        <f t="shared" ref="S4:S67" si="3">T4+U4+V4+W4+X4+Y4</f>
        <v>-4.3586956521739131</v>
      </c>
      <c r="T4">
        <f t="shared" ref="T4:T67" si="4">$T$1*F4</f>
        <v>0</v>
      </c>
      <c r="U4">
        <f t="shared" ref="U4:U67" si="5">($U$1*(I4/2300))*100</f>
        <v>-1.3586956521739131</v>
      </c>
      <c r="V4">
        <f t="shared" ref="V4:V67" si="6">((L4/50)*$V$1)*100</f>
        <v>-4.8</v>
      </c>
      <c r="W4">
        <f t="shared" ref="W4:W67" si="7">(G4/100)*$W$1</f>
        <v>0</v>
      </c>
      <c r="X4">
        <f t="shared" ref="X4:X67" si="8">($X$1*(M4/50))*100</f>
        <v>1.7999999999999998</v>
      </c>
      <c r="Y4">
        <f t="shared" ref="Y4:Y67" si="9">($Y$1*(K4/28))*100</f>
        <v>0</v>
      </c>
    </row>
    <row r="5" spans="1:25" x14ac:dyDescent="0.2">
      <c r="A5" t="s">
        <v>51</v>
      </c>
      <c r="B5" t="s">
        <v>99</v>
      </c>
      <c r="C5">
        <v>60</v>
      </c>
      <c r="D5">
        <v>35</v>
      </c>
      <c r="E5">
        <v>4</v>
      </c>
      <c r="F5">
        <v>2.5</v>
      </c>
      <c r="G5">
        <v>0</v>
      </c>
      <c r="H5">
        <v>10</v>
      </c>
      <c r="I5">
        <v>95</v>
      </c>
      <c r="J5">
        <v>3</v>
      </c>
      <c r="K5">
        <v>1</v>
      </c>
      <c r="L5">
        <v>2</v>
      </c>
      <c r="M5">
        <v>4</v>
      </c>
      <c r="N5">
        <v>61</v>
      </c>
      <c r="O5" s="3">
        <f t="shared" si="0"/>
        <v>6.666666666666667</v>
      </c>
      <c r="P5">
        <f t="shared" si="1"/>
        <v>0</v>
      </c>
      <c r="Q5">
        <f t="shared" si="2"/>
        <v>0</v>
      </c>
      <c r="S5">
        <f t="shared" si="3"/>
        <v>-1.3004658385093164</v>
      </c>
      <c r="T5">
        <f t="shared" si="4"/>
        <v>-0.625</v>
      </c>
      <c r="U5">
        <f t="shared" si="5"/>
        <v>-1.0326086956521738</v>
      </c>
      <c r="V5">
        <f t="shared" si="6"/>
        <v>-0.8</v>
      </c>
      <c r="W5">
        <f t="shared" si="7"/>
        <v>0</v>
      </c>
      <c r="X5">
        <f t="shared" si="8"/>
        <v>0.8</v>
      </c>
      <c r="Y5">
        <f t="shared" si="9"/>
        <v>0.35714285714285715</v>
      </c>
    </row>
    <row r="6" spans="1:25" x14ac:dyDescent="0.2">
      <c r="A6" t="s">
        <v>51</v>
      </c>
      <c r="B6" t="s">
        <v>110</v>
      </c>
      <c r="C6">
        <v>900</v>
      </c>
      <c r="D6">
        <v>480</v>
      </c>
      <c r="E6">
        <v>54</v>
      </c>
      <c r="F6">
        <v>25</v>
      </c>
      <c r="G6">
        <v>3</v>
      </c>
      <c r="H6">
        <v>210</v>
      </c>
      <c r="I6">
        <v>1740</v>
      </c>
      <c r="J6">
        <v>50</v>
      </c>
      <c r="K6">
        <v>2</v>
      </c>
      <c r="L6">
        <v>11</v>
      </c>
      <c r="M6">
        <v>56</v>
      </c>
      <c r="N6">
        <v>880</v>
      </c>
      <c r="O6" s="3">
        <f t="shared" si="0"/>
        <v>6.2222222222222223</v>
      </c>
      <c r="P6">
        <f t="shared" si="1"/>
        <v>1</v>
      </c>
      <c r="Q6">
        <f t="shared" si="2"/>
        <v>0</v>
      </c>
      <c r="S6">
        <f t="shared" si="3"/>
        <v>-17.651757763975148</v>
      </c>
      <c r="T6">
        <f t="shared" si="4"/>
        <v>-6.25</v>
      </c>
      <c r="U6">
        <f t="shared" si="5"/>
        <v>-18.913043478260867</v>
      </c>
      <c r="V6">
        <f t="shared" si="6"/>
        <v>-4.4000000000000004</v>
      </c>
      <c r="W6">
        <f t="shared" si="7"/>
        <v>-3.0000000000000001E-3</v>
      </c>
      <c r="X6">
        <f t="shared" si="8"/>
        <v>11.200000000000001</v>
      </c>
      <c r="Y6">
        <f t="shared" si="9"/>
        <v>0.7142857142857143</v>
      </c>
    </row>
    <row r="7" spans="1:25" x14ac:dyDescent="0.2">
      <c r="A7" t="s">
        <v>51</v>
      </c>
      <c r="B7" t="s">
        <v>117</v>
      </c>
      <c r="C7">
        <v>350</v>
      </c>
      <c r="D7">
        <v>160</v>
      </c>
      <c r="E7">
        <v>18</v>
      </c>
      <c r="F7">
        <v>7</v>
      </c>
      <c r="G7">
        <v>1</v>
      </c>
      <c r="H7">
        <v>70</v>
      </c>
      <c r="I7">
        <v>410</v>
      </c>
      <c r="J7">
        <v>26</v>
      </c>
      <c r="K7">
        <v>1</v>
      </c>
      <c r="L7">
        <v>6</v>
      </c>
      <c r="M7">
        <v>21</v>
      </c>
      <c r="N7">
        <v>342</v>
      </c>
      <c r="O7" s="3">
        <f t="shared" si="0"/>
        <v>6</v>
      </c>
      <c r="P7">
        <f t="shared" si="1"/>
        <v>0</v>
      </c>
      <c r="Q7">
        <f t="shared" si="2"/>
        <v>0</v>
      </c>
      <c r="S7">
        <f t="shared" si="3"/>
        <v>-4.0503788819875766</v>
      </c>
      <c r="T7">
        <f t="shared" si="4"/>
        <v>-1.75</v>
      </c>
      <c r="U7">
        <f t="shared" si="5"/>
        <v>-4.4565217391304346</v>
      </c>
      <c r="V7">
        <f t="shared" si="6"/>
        <v>-2.4</v>
      </c>
      <c r="W7">
        <f t="shared" si="7"/>
        <v>-1E-3</v>
      </c>
      <c r="X7">
        <f t="shared" si="8"/>
        <v>4.2</v>
      </c>
      <c r="Y7">
        <f t="shared" si="9"/>
        <v>0.35714285714285715</v>
      </c>
    </row>
    <row r="8" spans="1:25" x14ac:dyDescent="0.2">
      <c r="A8" t="s">
        <v>51</v>
      </c>
      <c r="B8" t="s">
        <v>118</v>
      </c>
      <c r="C8">
        <v>420</v>
      </c>
      <c r="D8">
        <v>210</v>
      </c>
      <c r="E8">
        <v>24</v>
      </c>
      <c r="F8">
        <v>10</v>
      </c>
      <c r="G8">
        <v>1.5</v>
      </c>
      <c r="H8">
        <v>90</v>
      </c>
      <c r="I8">
        <v>740</v>
      </c>
      <c r="J8">
        <v>27</v>
      </c>
      <c r="K8">
        <v>1</v>
      </c>
      <c r="L8">
        <v>7</v>
      </c>
      <c r="M8">
        <v>25</v>
      </c>
      <c r="N8">
        <v>412</v>
      </c>
      <c r="O8" s="3">
        <f t="shared" si="0"/>
        <v>5.9523809523809517</v>
      </c>
      <c r="P8">
        <f t="shared" si="1"/>
        <v>1</v>
      </c>
      <c r="Q8">
        <f t="shared" si="2"/>
        <v>0</v>
      </c>
      <c r="S8">
        <f t="shared" si="3"/>
        <v>-7.9878354037267085</v>
      </c>
      <c r="T8">
        <f t="shared" si="4"/>
        <v>-2.5</v>
      </c>
      <c r="U8">
        <f t="shared" si="5"/>
        <v>-8.0434782608695645</v>
      </c>
      <c r="V8">
        <f t="shared" si="6"/>
        <v>-2.8000000000000003</v>
      </c>
      <c r="W8">
        <f t="shared" si="7"/>
        <v>-1.5E-3</v>
      </c>
      <c r="X8">
        <f t="shared" si="8"/>
        <v>5</v>
      </c>
      <c r="Y8">
        <f t="shared" si="9"/>
        <v>0.35714285714285715</v>
      </c>
    </row>
    <row r="9" spans="1:25" x14ac:dyDescent="0.2">
      <c r="A9" t="s">
        <v>51</v>
      </c>
      <c r="B9" t="s">
        <v>119</v>
      </c>
      <c r="C9">
        <v>1130</v>
      </c>
      <c r="D9">
        <v>680</v>
      </c>
      <c r="E9">
        <v>75</v>
      </c>
      <c r="F9">
        <v>28</v>
      </c>
      <c r="G9">
        <v>4</v>
      </c>
      <c r="H9">
        <v>255</v>
      </c>
      <c r="I9">
        <v>1120</v>
      </c>
      <c r="J9">
        <v>49</v>
      </c>
      <c r="K9">
        <v>2</v>
      </c>
      <c r="L9">
        <v>11</v>
      </c>
      <c r="M9">
        <v>67</v>
      </c>
      <c r="N9">
        <v>1102</v>
      </c>
      <c r="O9" s="3">
        <f t="shared" si="0"/>
        <v>5.9292035398230087</v>
      </c>
      <c r="P9">
        <f t="shared" si="1"/>
        <v>1</v>
      </c>
      <c r="Q9">
        <f t="shared" si="2"/>
        <v>0</v>
      </c>
      <c r="S9">
        <f t="shared" si="3"/>
        <v>-9.4636273291925512</v>
      </c>
      <c r="T9">
        <f t="shared" si="4"/>
        <v>-7</v>
      </c>
      <c r="U9">
        <f t="shared" si="5"/>
        <v>-12.173913043478262</v>
      </c>
      <c r="V9">
        <f t="shared" si="6"/>
        <v>-4.4000000000000004</v>
      </c>
      <c r="W9">
        <f t="shared" si="7"/>
        <v>-4.0000000000000001E-3</v>
      </c>
      <c r="X9">
        <f t="shared" si="8"/>
        <v>13.4</v>
      </c>
      <c r="Y9">
        <f t="shared" si="9"/>
        <v>0.7142857142857143</v>
      </c>
    </row>
    <row r="10" spans="1:25" x14ac:dyDescent="0.2">
      <c r="A10" t="s">
        <v>51</v>
      </c>
      <c r="B10" t="s">
        <v>120</v>
      </c>
      <c r="C10">
        <v>390</v>
      </c>
      <c r="D10">
        <v>190</v>
      </c>
      <c r="E10">
        <v>21</v>
      </c>
      <c r="F10">
        <v>9</v>
      </c>
      <c r="G10">
        <v>1.5</v>
      </c>
      <c r="H10">
        <v>85</v>
      </c>
      <c r="I10">
        <v>590</v>
      </c>
      <c r="J10">
        <v>27</v>
      </c>
      <c r="K10">
        <v>1</v>
      </c>
      <c r="L10">
        <v>7</v>
      </c>
      <c r="M10">
        <v>23</v>
      </c>
      <c r="N10">
        <v>383</v>
      </c>
      <c r="O10" s="3">
        <f t="shared" si="0"/>
        <v>5.8974358974358969</v>
      </c>
      <c r="P10">
        <f t="shared" si="1"/>
        <v>1</v>
      </c>
      <c r="Q10">
        <f t="shared" si="2"/>
        <v>0</v>
      </c>
      <c r="S10">
        <f t="shared" si="3"/>
        <v>-6.5074006211180144</v>
      </c>
      <c r="T10">
        <f t="shared" si="4"/>
        <v>-2.25</v>
      </c>
      <c r="U10">
        <f t="shared" si="5"/>
        <v>-6.4130434782608701</v>
      </c>
      <c r="V10">
        <f t="shared" si="6"/>
        <v>-2.8000000000000003</v>
      </c>
      <c r="W10">
        <f t="shared" si="7"/>
        <v>-1.5E-3</v>
      </c>
      <c r="X10">
        <f t="shared" si="8"/>
        <v>4.6000000000000005</v>
      </c>
      <c r="Y10">
        <f t="shared" si="9"/>
        <v>0.35714285714285715</v>
      </c>
    </row>
    <row r="11" spans="1:25" x14ac:dyDescent="0.2">
      <c r="A11" t="s">
        <v>51</v>
      </c>
      <c r="B11" t="s">
        <v>126</v>
      </c>
      <c r="C11">
        <v>1220</v>
      </c>
      <c r="D11">
        <v>740</v>
      </c>
      <c r="E11">
        <v>82</v>
      </c>
      <c r="F11">
        <v>32</v>
      </c>
      <c r="G11">
        <v>4.5</v>
      </c>
      <c r="H11">
        <v>280</v>
      </c>
      <c r="I11">
        <v>1470</v>
      </c>
      <c r="J11">
        <v>50</v>
      </c>
      <c r="K11">
        <v>2</v>
      </c>
      <c r="L11">
        <v>11</v>
      </c>
      <c r="M11">
        <v>71</v>
      </c>
      <c r="N11">
        <v>1192</v>
      </c>
      <c r="O11" s="3">
        <f t="shared" si="0"/>
        <v>5.8196721311475406</v>
      </c>
      <c r="P11">
        <f t="shared" si="1"/>
        <v>1</v>
      </c>
      <c r="Q11">
        <f t="shared" si="2"/>
        <v>0</v>
      </c>
      <c r="S11">
        <f t="shared" si="3"/>
        <v>-13.468475155279505</v>
      </c>
      <c r="T11">
        <f t="shared" si="4"/>
        <v>-8</v>
      </c>
      <c r="U11">
        <f t="shared" si="5"/>
        <v>-15.978260869565217</v>
      </c>
      <c r="V11">
        <f t="shared" si="6"/>
        <v>-4.4000000000000004</v>
      </c>
      <c r="W11">
        <f t="shared" si="7"/>
        <v>-4.4999999999999997E-3</v>
      </c>
      <c r="X11">
        <f t="shared" si="8"/>
        <v>14.2</v>
      </c>
      <c r="Y11">
        <f t="shared" si="9"/>
        <v>0.7142857142857143</v>
      </c>
    </row>
    <row r="12" spans="1:25" x14ac:dyDescent="0.2">
      <c r="A12" t="s">
        <v>51</v>
      </c>
      <c r="B12" t="s">
        <v>127</v>
      </c>
      <c r="C12">
        <v>1050</v>
      </c>
      <c r="D12">
        <v>610</v>
      </c>
      <c r="E12">
        <v>68</v>
      </c>
      <c r="F12">
        <v>28</v>
      </c>
      <c r="G12">
        <v>3.5</v>
      </c>
      <c r="H12">
        <v>235</v>
      </c>
      <c r="I12">
        <v>1870</v>
      </c>
      <c r="J12">
        <v>49</v>
      </c>
      <c r="K12">
        <v>1</v>
      </c>
      <c r="L12">
        <v>11</v>
      </c>
      <c r="M12">
        <v>61</v>
      </c>
      <c r="N12">
        <v>1028</v>
      </c>
      <c r="O12" s="3">
        <f t="shared" si="0"/>
        <v>5.8095238095238093</v>
      </c>
      <c r="P12">
        <f t="shared" si="1"/>
        <v>1</v>
      </c>
      <c r="Q12">
        <f t="shared" si="2"/>
        <v>0</v>
      </c>
      <c r="S12">
        <f t="shared" si="3"/>
        <v>-19.172444099378882</v>
      </c>
      <c r="T12">
        <f t="shared" si="4"/>
        <v>-7</v>
      </c>
      <c r="U12">
        <f t="shared" si="5"/>
        <v>-20.326086956521738</v>
      </c>
      <c r="V12">
        <f t="shared" si="6"/>
        <v>-4.4000000000000004</v>
      </c>
      <c r="W12">
        <f t="shared" si="7"/>
        <v>-3.5000000000000005E-3</v>
      </c>
      <c r="X12">
        <f t="shared" si="8"/>
        <v>12.2</v>
      </c>
      <c r="Y12">
        <f t="shared" si="9"/>
        <v>0.35714285714285715</v>
      </c>
    </row>
    <row r="13" spans="1:25" x14ac:dyDescent="0.2">
      <c r="A13" t="s">
        <v>51</v>
      </c>
      <c r="B13" t="s">
        <v>132</v>
      </c>
      <c r="C13">
        <v>540</v>
      </c>
      <c r="D13">
        <v>300</v>
      </c>
      <c r="E13">
        <v>33</v>
      </c>
      <c r="F13">
        <v>10</v>
      </c>
      <c r="G13">
        <v>0</v>
      </c>
      <c r="H13">
        <v>95</v>
      </c>
      <c r="I13">
        <v>1380</v>
      </c>
      <c r="J13">
        <v>31</v>
      </c>
      <c r="K13">
        <v>3</v>
      </c>
      <c r="L13">
        <v>5</v>
      </c>
      <c r="M13">
        <v>31</v>
      </c>
      <c r="N13">
        <v>524</v>
      </c>
      <c r="O13" s="3">
        <f t="shared" si="0"/>
        <v>5.7407407407407405</v>
      </c>
      <c r="P13">
        <f t="shared" si="1"/>
        <v>1</v>
      </c>
      <c r="Q13">
        <f t="shared" si="2"/>
        <v>0</v>
      </c>
      <c r="S13">
        <f t="shared" si="3"/>
        <v>-12.22857142857143</v>
      </c>
      <c r="T13">
        <f t="shared" si="4"/>
        <v>-2.5</v>
      </c>
      <c r="U13">
        <f t="shared" si="5"/>
        <v>-15</v>
      </c>
      <c r="V13">
        <f t="shared" si="6"/>
        <v>-2.0000000000000004</v>
      </c>
      <c r="W13">
        <f t="shared" si="7"/>
        <v>0</v>
      </c>
      <c r="X13">
        <f t="shared" si="8"/>
        <v>6.2</v>
      </c>
      <c r="Y13">
        <f t="shared" si="9"/>
        <v>1.0714285714285714</v>
      </c>
    </row>
    <row r="14" spans="1:25" x14ac:dyDescent="0.2">
      <c r="A14" t="s">
        <v>51</v>
      </c>
      <c r="B14" t="s">
        <v>139</v>
      </c>
      <c r="C14">
        <v>440</v>
      </c>
      <c r="D14">
        <v>220</v>
      </c>
      <c r="E14">
        <v>25</v>
      </c>
      <c r="F14">
        <v>7</v>
      </c>
      <c r="G14">
        <v>0</v>
      </c>
      <c r="H14">
        <v>75</v>
      </c>
      <c r="I14">
        <v>930</v>
      </c>
      <c r="J14">
        <v>31</v>
      </c>
      <c r="K14">
        <v>3</v>
      </c>
      <c r="L14">
        <v>4</v>
      </c>
      <c r="M14">
        <v>25</v>
      </c>
      <c r="N14">
        <v>426</v>
      </c>
      <c r="O14" s="3">
        <f t="shared" si="0"/>
        <v>5.6818181818181817</v>
      </c>
      <c r="P14">
        <f t="shared" si="1"/>
        <v>1</v>
      </c>
      <c r="Q14">
        <f t="shared" si="2"/>
        <v>0</v>
      </c>
      <c r="S14">
        <f t="shared" si="3"/>
        <v>-7.3872670807453407</v>
      </c>
      <c r="T14">
        <f t="shared" si="4"/>
        <v>-1.75</v>
      </c>
      <c r="U14">
        <f t="shared" si="5"/>
        <v>-10.108695652173912</v>
      </c>
      <c r="V14">
        <f t="shared" si="6"/>
        <v>-1.6</v>
      </c>
      <c r="W14">
        <f t="shared" si="7"/>
        <v>0</v>
      </c>
      <c r="X14">
        <f t="shared" si="8"/>
        <v>5</v>
      </c>
      <c r="Y14">
        <f t="shared" si="9"/>
        <v>1.0714285714285714</v>
      </c>
    </row>
    <row r="15" spans="1:25" x14ac:dyDescent="0.2">
      <c r="A15" t="s">
        <v>51</v>
      </c>
      <c r="B15" t="s">
        <v>151</v>
      </c>
      <c r="C15">
        <v>580</v>
      </c>
      <c r="D15">
        <v>260</v>
      </c>
      <c r="E15">
        <v>29</v>
      </c>
      <c r="F15">
        <v>13</v>
      </c>
      <c r="G15">
        <v>1.5</v>
      </c>
      <c r="H15">
        <v>105</v>
      </c>
      <c r="I15">
        <v>1310</v>
      </c>
      <c r="J15">
        <v>49</v>
      </c>
      <c r="K15">
        <v>2</v>
      </c>
      <c r="L15">
        <v>10</v>
      </c>
      <c r="M15">
        <v>32</v>
      </c>
      <c r="N15">
        <v>571</v>
      </c>
      <c r="O15" s="3">
        <f t="shared" si="0"/>
        <v>5.5172413793103452</v>
      </c>
      <c r="P15">
        <f t="shared" si="1"/>
        <v>1</v>
      </c>
      <c r="Q15">
        <f t="shared" si="2"/>
        <v>0</v>
      </c>
      <c r="S15">
        <f t="shared" si="3"/>
        <v>-14.376344720496895</v>
      </c>
      <c r="T15">
        <f t="shared" si="4"/>
        <v>-3.25</v>
      </c>
      <c r="U15">
        <f t="shared" si="5"/>
        <v>-14.239130434782609</v>
      </c>
      <c r="V15">
        <f t="shared" si="6"/>
        <v>-4.0000000000000009</v>
      </c>
      <c r="W15">
        <f t="shared" si="7"/>
        <v>-1.5E-3</v>
      </c>
      <c r="X15">
        <f t="shared" si="8"/>
        <v>6.4</v>
      </c>
      <c r="Y15">
        <f t="shared" si="9"/>
        <v>0.7142857142857143</v>
      </c>
    </row>
    <row r="16" spans="1:25" x14ac:dyDescent="0.2">
      <c r="A16" t="s">
        <v>51</v>
      </c>
      <c r="B16" t="s">
        <v>154</v>
      </c>
      <c r="C16">
        <v>240</v>
      </c>
      <c r="D16">
        <v>90</v>
      </c>
      <c r="E16">
        <v>10</v>
      </c>
      <c r="F16">
        <v>3.5</v>
      </c>
      <c r="G16">
        <v>0.5</v>
      </c>
      <c r="H16">
        <v>35</v>
      </c>
      <c r="I16">
        <v>380</v>
      </c>
      <c r="J16">
        <v>26</v>
      </c>
      <c r="K16">
        <v>1</v>
      </c>
      <c r="L16">
        <v>6</v>
      </c>
      <c r="M16">
        <v>13</v>
      </c>
      <c r="N16">
        <v>237</v>
      </c>
      <c r="O16" s="3">
        <f t="shared" si="0"/>
        <v>5.416666666666667</v>
      </c>
      <c r="P16">
        <f t="shared" si="1"/>
        <v>0</v>
      </c>
      <c r="Q16">
        <f t="shared" si="2"/>
        <v>0</v>
      </c>
      <c r="S16">
        <f t="shared" si="3"/>
        <v>-4.4487919254658381</v>
      </c>
      <c r="T16">
        <f t="shared" si="4"/>
        <v>-0.875</v>
      </c>
      <c r="U16">
        <f t="shared" si="5"/>
        <v>-4.1304347826086953</v>
      </c>
      <c r="V16">
        <f t="shared" si="6"/>
        <v>-2.4</v>
      </c>
      <c r="W16">
        <f t="shared" si="7"/>
        <v>-5.0000000000000001E-4</v>
      </c>
      <c r="X16">
        <f t="shared" si="8"/>
        <v>2.6</v>
      </c>
      <c r="Y16">
        <f t="shared" si="9"/>
        <v>0.35714285714285715</v>
      </c>
    </row>
    <row r="17" spans="1:25" x14ac:dyDescent="0.2">
      <c r="A17" t="s">
        <v>51</v>
      </c>
      <c r="B17" t="s">
        <v>161</v>
      </c>
      <c r="C17">
        <v>1190</v>
      </c>
      <c r="D17">
        <v>750</v>
      </c>
      <c r="E17">
        <v>84</v>
      </c>
      <c r="F17">
        <v>33</v>
      </c>
      <c r="G17">
        <v>3.5</v>
      </c>
      <c r="H17">
        <v>235</v>
      </c>
      <c r="I17">
        <v>1930</v>
      </c>
      <c r="J17">
        <v>50</v>
      </c>
      <c r="K17">
        <v>2</v>
      </c>
      <c r="L17">
        <v>11</v>
      </c>
      <c r="M17">
        <v>64</v>
      </c>
      <c r="N17">
        <v>1170</v>
      </c>
      <c r="O17" s="3">
        <f t="shared" si="0"/>
        <v>5.3781512605042021</v>
      </c>
      <c r="P17">
        <f t="shared" si="1"/>
        <v>1</v>
      </c>
      <c r="Q17">
        <f t="shared" si="2"/>
        <v>0</v>
      </c>
      <c r="S17">
        <f t="shared" si="3"/>
        <v>-20.117475155279504</v>
      </c>
      <c r="T17">
        <f t="shared" si="4"/>
        <v>-8.25</v>
      </c>
      <c r="U17">
        <f t="shared" si="5"/>
        <v>-20.978260869565219</v>
      </c>
      <c r="V17">
        <f t="shared" si="6"/>
        <v>-4.4000000000000004</v>
      </c>
      <c r="W17">
        <f t="shared" si="7"/>
        <v>-3.5000000000000005E-3</v>
      </c>
      <c r="X17">
        <f t="shared" si="8"/>
        <v>12.8</v>
      </c>
      <c r="Y17">
        <f t="shared" si="9"/>
        <v>0.7142857142857143</v>
      </c>
    </row>
    <row r="18" spans="1:25" x14ac:dyDescent="0.2">
      <c r="A18" t="s">
        <v>51</v>
      </c>
      <c r="B18" t="s">
        <v>162</v>
      </c>
      <c r="C18">
        <v>280</v>
      </c>
      <c r="D18">
        <v>120</v>
      </c>
      <c r="E18">
        <v>13</v>
      </c>
      <c r="F18">
        <v>6</v>
      </c>
      <c r="G18">
        <v>0.5</v>
      </c>
      <c r="H18">
        <v>45</v>
      </c>
      <c r="I18">
        <v>560</v>
      </c>
      <c r="J18">
        <v>27</v>
      </c>
      <c r="K18">
        <v>1</v>
      </c>
      <c r="L18">
        <v>7</v>
      </c>
      <c r="M18">
        <v>15</v>
      </c>
      <c r="N18">
        <v>278</v>
      </c>
      <c r="O18" s="3">
        <f t="shared" si="0"/>
        <v>5.3571428571428568</v>
      </c>
      <c r="P18">
        <f t="shared" si="1"/>
        <v>1</v>
      </c>
      <c r="Q18">
        <f t="shared" si="2"/>
        <v>0</v>
      </c>
      <c r="S18">
        <f t="shared" si="3"/>
        <v>-7.0303136645962754</v>
      </c>
      <c r="T18">
        <f t="shared" si="4"/>
        <v>-1.5</v>
      </c>
      <c r="U18">
        <f t="shared" si="5"/>
        <v>-6.0869565217391308</v>
      </c>
      <c r="V18">
        <f t="shared" si="6"/>
        <v>-2.8000000000000003</v>
      </c>
      <c r="W18">
        <f t="shared" si="7"/>
        <v>-5.0000000000000001E-4</v>
      </c>
      <c r="X18">
        <f t="shared" si="8"/>
        <v>3</v>
      </c>
      <c r="Y18">
        <f t="shared" si="9"/>
        <v>0.35714285714285715</v>
      </c>
    </row>
    <row r="19" spans="1:25" x14ac:dyDescent="0.2">
      <c r="A19" t="s">
        <v>51</v>
      </c>
      <c r="B19" t="s">
        <v>168</v>
      </c>
      <c r="C19">
        <v>900</v>
      </c>
      <c r="D19">
        <v>520</v>
      </c>
      <c r="E19">
        <v>58</v>
      </c>
      <c r="F19">
        <v>20</v>
      </c>
      <c r="G19">
        <v>3</v>
      </c>
      <c r="H19">
        <v>175</v>
      </c>
      <c r="I19">
        <v>1050</v>
      </c>
      <c r="J19">
        <v>49</v>
      </c>
      <c r="K19">
        <v>2</v>
      </c>
      <c r="L19">
        <v>11</v>
      </c>
      <c r="M19">
        <v>48</v>
      </c>
      <c r="N19">
        <v>883</v>
      </c>
      <c r="O19" s="3">
        <f t="shared" si="0"/>
        <v>5.3333333333333339</v>
      </c>
      <c r="P19">
        <f t="shared" si="1"/>
        <v>1</v>
      </c>
      <c r="Q19">
        <f t="shared" si="2"/>
        <v>0</v>
      </c>
      <c r="S19">
        <f t="shared" si="3"/>
        <v>-10.501757763975153</v>
      </c>
      <c r="T19">
        <f t="shared" si="4"/>
        <v>-5</v>
      </c>
      <c r="U19">
        <f t="shared" si="5"/>
        <v>-11.413043478260869</v>
      </c>
      <c r="V19">
        <f t="shared" si="6"/>
        <v>-4.4000000000000004</v>
      </c>
      <c r="W19">
        <f t="shared" si="7"/>
        <v>-3.0000000000000001E-3</v>
      </c>
      <c r="X19">
        <f t="shared" si="8"/>
        <v>9.6</v>
      </c>
      <c r="Y19">
        <f t="shared" si="9"/>
        <v>0.7142857142857143</v>
      </c>
    </row>
    <row r="20" spans="1:25" x14ac:dyDescent="0.2">
      <c r="A20" t="s">
        <v>51</v>
      </c>
      <c r="B20" t="s">
        <v>170</v>
      </c>
      <c r="C20">
        <v>320</v>
      </c>
      <c r="D20">
        <v>140</v>
      </c>
      <c r="E20">
        <v>16</v>
      </c>
      <c r="F20">
        <v>7</v>
      </c>
      <c r="G20">
        <v>0.5</v>
      </c>
      <c r="H20">
        <v>55</v>
      </c>
      <c r="I20">
        <v>710</v>
      </c>
      <c r="J20">
        <v>27</v>
      </c>
      <c r="K20">
        <v>1</v>
      </c>
      <c r="L20">
        <v>7</v>
      </c>
      <c r="M20">
        <v>17</v>
      </c>
      <c r="N20">
        <v>317</v>
      </c>
      <c r="O20" s="3">
        <f t="shared" si="0"/>
        <v>5.3125</v>
      </c>
      <c r="P20">
        <f t="shared" si="1"/>
        <v>1</v>
      </c>
      <c r="Q20">
        <f t="shared" si="2"/>
        <v>0</v>
      </c>
      <c r="S20">
        <f t="shared" si="3"/>
        <v>-8.5107484472049695</v>
      </c>
      <c r="T20">
        <f t="shared" si="4"/>
        <v>-1.75</v>
      </c>
      <c r="U20">
        <f t="shared" si="5"/>
        <v>-7.7173913043478262</v>
      </c>
      <c r="V20">
        <f t="shared" si="6"/>
        <v>-2.8000000000000003</v>
      </c>
      <c r="W20">
        <f t="shared" si="7"/>
        <v>-5.0000000000000001E-4</v>
      </c>
      <c r="X20">
        <f t="shared" si="8"/>
        <v>3.4000000000000004</v>
      </c>
      <c r="Y20">
        <f t="shared" si="9"/>
        <v>0.35714285714285715</v>
      </c>
    </row>
    <row r="21" spans="1:25" x14ac:dyDescent="0.2">
      <c r="A21" t="s">
        <v>51</v>
      </c>
      <c r="B21" t="s">
        <v>171</v>
      </c>
      <c r="C21">
        <v>980</v>
      </c>
      <c r="D21">
        <v>580</v>
      </c>
      <c r="E21">
        <v>64</v>
      </c>
      <c r="F21">
        <v>24</v>
      </c>
      <c r="G21">
        <v>3</v>
      </c>
      <c r="H21">
        <v>195</v>
      </c>
      <c r="I21">
        <v>1410</v>
      </c>
      <c r="J21">
        <v>50</v>
      </c>
      <c r="K21">
        <v>2</v>
      </c>
      <c r="L21">
        <v>11</v>
      </c>
      <c r="M21">
        <v>52</v>
      </c>
      <c r="N21">
        <v>963</v>
      </c>
      <c r="O21" s="3">
        <f t="shared" si="0"/>
        <v>5.3061224489795915</v>
      </c>
      <c r="P21">
        <f t="shared" si="1"/>
        <v>1</v>
      </c>
      <c r="Q21">
        <f t="shared" si="2"/>
        <v>0</v>
      </c>
      <c r="S21">
        <f t="shared" si="3"/>
        <v>-14.614801242236027</v>
      </c>
      <c r="T21">
        <f t="shared" si="4"/>
        <v>-6</v>
      </c>
      <c r="U21">
        <f t="shared" si="5"/>
        <v>-15.32608695652174</v>
      </c>
      <c r="V21">
        <f t="shared" si="6"/>
        <v>-4.4000000000000004</v>
      </c>
      <c r="W21">
        <f t="shared" si="7"/>
        <v>-3.0000000000000001E-3</v>
      </c>
      <c r="X21">
        <f t="shared" si="8"/>
        <v>10.4</v>
      </c>
      <c r="Y21">
        <f t="shared" si="9"/>
        <v>0.7142857142857143</v>
      </c>
    </row>
    <row r="22" spans="1:25" x14ac:dyDescent="0.2">
      <c r="A22" t="s">
        <v>51</v>
      </c>
      <c r="B22" t="s">
        <v>172</v>
      </c>
      <c r="C22">
        <v>1150</v>
      </c>
      <c r="D22">
        <v>710</v>
      </c>
      <c r="E22">
        <v>79</v>
      </c>
      <c r="F22">
        <v>31</v>
      </c>
      <c r="G22">
        <v>3.5</v>
      </c>
      <c r="H22">
        <v>240</v>
      </c>
      <c r="I22">
        <v>2150</v>
      </c>
      <c r="J22">
        <v>49</v>
      </c>
      <c r="K22">
        <v>2</v>
      </c>
      <c r="L22">
        <v>10</v>
      </c>
      <c r="M22">
        <v>61</v>
      </c>
      <c r="N22">
        <v>1130</v>
      </c>
      <c r="O22" s="3">
        <f t="shared" si="0"/>
        <v>5.304347826086957</v>
      </c>
      <c r="P22">
        <f t="shared" si="1"/>
        <v>1</v>
      </c>
      <c r="Q22">
        <f t="shared" si="2"/>
        <v>0</v>
      </c>
      <c r="S22">
        <f t="shared" si="3"/>
        <v>-22.208779503105593</v>
      </c>
      <c r="T22">
        <f t="shared" si="4"/>
        <v>-7.75</v>
      </c>
      <c r="U22">
        <f t="shared" si="5"/>
        <v>-23.369565217391305</v>
      </c>
      <c r="V22">
        <f t="shared" si="6"/>
        <v>-4.0000000000000009</v>
      </c>
      <c r="W22">
        <f t="shared" si="7"/>
        <v>-3.5000000000000005E-3</v>
      </c>
      <c r="X22">
        <f t="shared" si="8"/>
        <v>12.2</v>
      </c>
      <c r="Y22">
        <f t="shared" si="9"/>
        <v>0.7142857142857143</v>
      </c>
    </row>
    <row r="23" spans="1:25" x14ac:dyDescent="0.2">
      <c r="A23" t="s">
        <v>51</v>
      </c>
      <c r="B23" t="s">
        <v>205</v>
      </c>
      <c r="C23">
        <v>700</v>
      </c>
      <c r="D23">
        <v>380</v>
      </c>
      <c r="E23">
        <v>42</v>
      </c>
      <c r="F23">
        <v>16</v>
      </c>
      <c r="G23">
        <v>2</v>
      </c>
      <c r="H23">
        <v>125</v>
      </c>
      <c r="I23">
        <v>1360</v>
      </c>
      <c r="J23">
        <v>48</v>
      </c>
      <c r="K23">
        <v>1</v>
      </c>
      <c r="L23">
        <v>10</v>
      </c>
      <c r="M23">
        <v>35</v>
      </c>
      <c r="N23">
        <v>691</v>
      </c>
      <c r="O23" s="3">
        <f t="shared" si="0"/>
        <v>5</v>
      </c>
      <c r="P23">
        <f t="shared" si="1"/>
        <v>1</v>
      </c>
      <c r="Q23">
        <f t="shared" si="2"/>
        <v>0</v>
      </c>
      <c r="S23">
        <f t="shared" si="3"/>
        <v>-15.427465838509313</v>
      </c>
      <c r="T23">
        <f t="shared" si="4"/>
        <v>-4</v>
      </c>
      <c r="U23">
        <f t="shared" si="5"/>
        <v>-14.782608695652174</v>
      </c>
      <c r="V23">
        <f t="shared" si="6"/>
        <v>-4.0000000000000009</v>
      </c>
      <c r="W23">
        <f t="shared" si="7"/>
        <v>-2E-3</v>
      </c>
      <c r="X23">
        <f t="shared" si="8"/>
        <v>6.9999999999999991</v>
      </c>
      <c r="Y23">
        <f t="shared" si="9"/>
        <v>0.35714285714285715</v>
      </c>
    </row>
    <row r="24" spans="1:25" x14ac:dyDescent="0.2">
      <c r="A24" t="s">
        <v>51</v>
      </c>
      <c r="B24" t="s">
        <v>206</v>
      </c>
      <c r="C24">
        <v>160</v>
      </c>
      <c r="D24">
        <v>25</v>
      </c>
      <c r="E24">
        <v>2.5</v>
      </c>
      <c r="F24">
        <v>1.5</v>
      </c>
      <c r="G24">
        <v>0</v>
      </c>
      <c r="H24">
        <v>15</v>
      </c>
      <c r="I24">
        <v>150</v>
      </c>
      <c r="J24">
        <v>26</v>
      </c>
      <c r="K24">
        <v>0</v>
      </c>
      <c r="L24">
        <v>25</v>
      </c>
      <c r="M24">
        <v>8</v>
      </c>
      <c r="N24">
        <v>179</v>
      </c>
      <c r="O24" s="3">
        <f t="shared" si="0"/>
        <v>5</v>
      </c>
      <c r="P24">
        <f t="shared" si="1"/>
        <v>0</v>
      </c>
      <c r="Q24">
        <f t="shared" si="2"/>
        <v>0</v>
      </c>
      <c r="S24">
        <f t="shared" si="3"/>
        <v>-10.405434782608696</v>
      </c>
      <c r="T24">
        <f t="shared" si="4"/>
        <v>-0.375</v>
      </c>
      <c r="U24">
        <f t="shared" si="5"/>
        <v>-1.6304347826086956</v>
      </c>
      <c r="V24">
        <f t="shared" si="6"/>
        <v>-10</v>
      </c>
      <c r="W24">
        <f t="shared" si="7"/>
        <v>0</v>
      </c>
      <c r="X24">
        <f t="shared" si="8"/>
        <v>1.6</v>
      </c>
      <c r="Y24">
        <f t="shared" si="9"/>
        <v>0</v>
      </c>
    </row>
    <row r="25" spans="1:25" x14ac:dyDescent="0.2">
      <c r="A25" t="s">
        <v>51</v>
      </c>
      <c r="B25" t="s">
        <v>207</v>
      </c>
      <c r="C25">
        <v>40</v>
      </c>
      <c r="D25">
        <v>30</v>
      </c>
      <c r="E25">
        <v>3.5</v>
      </c>
      <c r="F25">
        <v>2</v>
      </c>
      <c r="G25">
        <v>0</v>
      </c>
      <c r="H25">
        <v>10</v>
      </c>
      <c r="I25">
        <v>180</v>
      </c>
      <c r="J25">
        <v>1</v>
      </c>
      <c r="K25">
        <v>0</v>
      </c>
      <c r="L25">
        <v>0</v>
      </c>
      <c r="M25">
        <v>2</v>
      </c>
      <c r="N25">
        <v>40</v>
      </c>
      <c r="O25" s="3">
        <f t="shared" si="0"/>
        <v>5</v>
      </c>
      <c r="P25">
        <f t="shared" si="1"/>
        <v>0</v>
      </c>
      <c r="Q25">
        <f t="shared" si="2"/>
        <v>0</v>
      </c>
      <c r="S25">
        <f t="shared" si="3"/>
        <v>-2.0565217391304351</v>
      </c>
      <c r="T25">
        <f t="shared" si="4"/>
        <v>-0.5</v>
      </c>
      <c r="U25">
        <f t="shared" si="5"/>
        <v>-1.956521739130435</v>
      </c>
      <c r="V25">
        <f t="shared" si="6"/>
        <v>0</v>
      </c>
      <c r="W25">
        <f t="shared" si="7"/>
        <v>0</v>
      </c>
      <c r="X25">
        <f t="shared" si="8"/>
        <v>0.4</v>
      </c>
      <c r="Y25">
        <f t="shared" si="9"/>
        <v>0</v>
      </c>
    </row>
    <row r="26" spans="1:25" x14ac:dyDescent="0.2">
      <c r="A26" t="s">
        <v>51</v>
      </c>
      <c r="B26" t="s">
        <v>241</v>
      </c>
      <c r="C26">
        <v>170</v>
      </c>
      <c r="D26">
        <v>100</v>
      </c>
      <c r="E26">
        <v>11</v>
      </c>
      <c r="F26">
        <v>1.5</v>
      </c>
      <c r="G26">
        <v>0</v>
      </c>
      <c r="H26">
        <v>25</v>
      </c>
      <c r="I26">
        <v>310</v>
      </c>
      <c r="J26">
        <v>11</v>
      </c>
      <c r="K26">
        <v>1</v>
      </c>
      <c r="L26">
        <v>0</v>
      </c>
      <c r="M26">
        <v>8</v>
      </c>
      <c r="N26">
        <v>164</v>
      </c>
      <c r="O26" s="3">
        <f t="shared" si="0"/>
        <v>4.7058823529411766</v>
      </c>
      <c r="P26">
        <f t="shared" si="1"/>
        <v>0</v>
      </c>
      <c r="Q26">
        <f t="shared" si="2"/>
        <v>0</v>
      </c>
      <c r="S26">
        <f t="shared" si="3"/>
        <v>-1.7874223602484469</v>
      </c>
      <c r="T26">
        <f t="shared" si="4"/>
        <v>-0.375</v>
      </c>
      <c r="U26">
        <f t="shared" si="5"/>
        <v>-3.3695652173913042</v>
      </c>
      <c r="V26">
        <f t="shared" si="6"/>
        <v>0</v>
      </c>
      <c r="W26">
        <f t="shared" si="7"/>
        <v>0</v>
      </c>
      <c r="X26">
        <f t="shared" si="8"/>
        <v>1.6</v>
      </c>
      <c r="Y26">
        <f t="shared" si="9"/>
        <v>0.35714285714285715</v>
      </c>
    </row>
    <row r="27" spans="1:25" x14ac:dyDescent="0.2">
      <c r="A27" t="s">
        <v>51</v>
      </c>
      <c r="B27" t="s">
        <v>257</v>
      </c>
      <c r="C27">
        <v>580</v>
      </c>
      <c r="D27">
        <v>340</v>
      </c>
      <c r="E27">
        <v>38</v>
      </c>
      <c r="F27">
        <v>16</v>
      </c>
      <c r="G27">
        <v>0.5</v>
      </c>
      <c r="H27">
        <v>220</v>
      </c>
      <c r="I27">
        <v>1530</v>
      </c>
      <c r="J27">
        <v>31</v>
      </c>
      <c r="K27">
        <v>1</v>
      </c>
      <c r="L27">
        <v>5</v>
      </c>
      <c r="M27">
        <v>27</v>
      </c>
      <c r="N27">
        <v>574</v>
      </c>
      <c r="O27" s="3">
        <f t="shared" si="0"/>
        <v>4.6551724137931041</v>
      </c>
      <c r="P27">
        <f t="shared" si="1"/>
        <v>1</v>
      </c>
      <c r="Q27">
        <f t="shared" si="2"/>
        <v>0</v>
      </c>
      <c r="S27">
        <f t="shared" si="3"/>
        <v>-16.873791925465834</v>
      </c>
      <c r="T27">
        <f t="shared" si="4"/>
        <v>-4</v>
      </c>
      <c r="U27">
        <f t="shared" si="5"/>
        <v>-16.630434782608695</v>
      </c>
      <c r="V27">
        <f t="shared" si="6"/>
        <v>-2.0000000000000004</v>
      </c>
      <c r="W27">
        <f t="shared" si="7"/>
        <v>-5.0000000000000001E-4</v>
      </c>
      <c r="X27">
        <f t="shared" si="8"/>
        <v>5.4</v>
      </c>
      <c r="Y27">
        <f t="shared" si="9"/>
        <v>0.35714285714285715</v>
      </c>
    </row>
    <row r="28" spans="1:25" x14ac:dyDescent="0.2">
      <c r="A28" t="s">
        <v>51</v>
      </c>
      <c r="B28" t="s">
        <v>258</v>
      </c>
      <c r="C28">
        <v>430</v>
      </c>
      <c r="D28">
        <v>240</v>
      </c>
      <c r="E28">
        <v>27</v>
      </c>
      <c r="F28">
        <v>4.5</v>
      </c>
      <c r="G28">
        <v>0</v>
      </c>
      <c r="H28">
        <v>55</v>
      </c>
      <c r="I28">
        <v>780</v>
      </c>
      <c r="J28">
        <v>27</v>
      </c>
      <c r="K28">
        <v>2</v>
      </c>
      <c r="L28">
        <v>0</v>
      </c>
      <c r="M28">
        <v>20</v>
      </c>
      <c r="N28">
        <v>415</v>
      </c>
      <c r="O28" s="3">
        <f t="shared" si="0"/>
        <v>4.6511627906976747</v>
      </c>
      <c r="P28">
        <f t="shared" si="1"/>
        <v>1</v>
      </c>
      <c r="Q28">
        <f t="shared" si="2"/>
        <v>0</v>
      </c>
      <c r="S28">
        <f t="shared" si="3"/>
        <v>-4.8889751552795015</v>
      </c>
      <c r="T28">
        <f t="shared" si="4"/>
        <v>-1.125</v>
      </c>
      <c r="U28">
        <f t="shared" si="5"/>
        <v>-8.4782608695652169</v>
      </c>
      <c r="V28">
        <f t="shared" si="6"/>
        <v>0</v>
      </c>
      <c r="W28">
        <f t="shared" si="7"/>
        <v>0</v>
      </c>
      <c r="X28">
        <f t="shared" si="8"/>
        <v>4.0000000000000009</v>
      </c>
      <c r="Y28">
        <f t="shared" si="9"/>
        <v>0.7142857142857143</v>
      </c>
    </row>
    <row r="29" spans="1:25" x14ac:dyDescent="0.2">
      <c r="A29" t="s">
        <v>51</v>
      </c>
      <c r="B29" t="s">
        <v>260</v>
      </c>
      <c r="C29">
        <v>280</v>
      </c>
      <c r="D29">
        <v>150</v>
      </c>
      <c r="E29">
        <v>17</v>
      </c>
      <c r="F29">
        <v>2.5</v>
      </c>
      <c r="G29">
        <v>0</v>
      </c>
      <c r="H29">
        <v>35</v>
      </c>
      <c r="I29">
        <v>850</v>
      </c>
      <c r="J29">
        <v>20</v>
      </c>
      <c r="K29">
        <v>1</v>
      </c>
      <c r="L29">
        <v>1</v>
      </c>
      <c r="M29">
        <v>13</v>
      </c>
      <c r="N29">
        <v>271</v>
      </c>
      <c r="O29" s="3">
        <f t="shared" si="0"/>
        <v>4.6428571428571432</v>
      </c>
      <c r="P29">
        <f t="shared" si="1"/>
        <v>1</v>
      </c>
      <c r="Q29">
        <f t="shared" si="2"/>
        <v>0</v>
      </c>
      <c r="S29">
        <f t="shared" si="3"/>
        <v>-7.3069875776397515</v>
      </c>
      <c r="T29">
        <f t="shared" si="4"/>
        <v>-0.625</v>
      </c>
      <c r="U29">
        <f t="shared" si="5"/>
        <v>-9.2391304347826075</v>
      </c>
      <c r="V29">
        <f t="shared" si="6"/>
        <v>-0.4</v>
      </c>
      <c r="W29">
        <f t="shared" si="7"/>
        <v>0</v>
      </c>
      <c r="X29">
        <f t="shared" si="8"/>
        <v>2.6</v>
      </c>
      <c r="Y29">
        <f t="shared" si="9"/>
        <v>0.35714285714285715</v>
      </c>
    </row>
    <row r="30" spans="1:25" x14ac:dyDescent="0.2">
      <c r="A30" t="s">
        <v>51</v>
      </c>
      <c r="B30" t="s">
        <v>265</v>
      </c>
      <c r="C30">
        <v>260</v>
      </c>
      <c r="D30">
        <v>150</v>
      </c>
      <c r="E30">
        <v>16</v>
      </c>
      <c r="F30">
        <v>2.5</v>
      </c>
      <c r="G30">
        <v>0</v>
      </c>
      <c r="H30">
        <v>35</v>
      </c>
      <c r="I30">
        <v>470</v>
      </c>
      <c r="J30">
        <v>16</v>
      </c>
      <c r="K30">
        <v>1</v>
      </c>
      <c r="L30">
        <v>0</v>
      </c>
      <c r="M30">
        <v>12</v>
      </c>
      <c r="N30">
        <v>251</v>
      </c>
      <c r="O30" s="3">
        <f t="shared" si="0"/>
        <v>4.6153846153846159</v>
      </c>
      <c r="P30">
        <f t="shared" si="1"/>
        <v>1</v>
      </c>
      <c r="Q30">
        <f t="shared" si="2"/>
        <v>0</v>
      </c>
      <c r="S30">
        <f t="shared" si="3"/>
        <v>-2.976552795031056</v>
      </c>
      <c r="T30">
        <f t="shared" si="4"/>
        <v>-0.625</v>
      </c>
      <c r="U30">
        <f t="shared" si="5"/>
        <v>-5.1086956521739131</v>
      </c>
      <c r="V30">
        <f t="shared" si="6"/>
        <v>0</v>
      </c>
      <c r="W30">
        <f t="shared" si="7"/>
        <v>0</v>
      </c>
      <c r="X30">
        <f t="shared" si="8"/>
        <v>2.4</v>
      </c>
      <c r="Y30">
        <f t="shared" si="9"/>
        <v>0.35714285714285715</v>
      </c>
    </row>
    <row r="31" spans="1:25" x14ac:dyDescent="0.2">
      <c r="A31" t="s">
        <v>51</v>
      </c>
      <c r="B31" t="s">
        <v>270</v>
      </c>
      <c r="C31">
        <v>630</v>
      </c>
      <c r="D31">
        <v>330</v>
      </c>
      <c r="E31">
        <v>37</v>
      </c>
      <c r="F31">
        <v>14</v>
      </c>
      <c r="G31">
        <v>1.5</v>
      </c>
      <c r="H31">
        <v>100</v>
      </c>
      <c r="I31">
        <v>1050</v>
      </c>
      <c r="J31">
        <v>45</v>
      </c>
      <c r="K31">
        <v>2</v>
      </c>
      <c r="L31">
        <v>9</v>
      </c>
      <c r="M31">
        <v>29</v>
      </c>
      <c r="N31">
        <v>624</v>
      </c>
      <c r="O31" s="3">
        <f t="shared" si="0"/>
        <v>4.6031746031746037</v>
      </c>
      <c r="P31">
        <f t="shared" si="1"/>
        <v>1</v>
      </c>
      <c r="Q31">
        <f t="shared" si="2"/>
        <v>0</v>
      </c>
      <c r="S31">
        <f t="shared" si="3"/>
        <v>-12.000257763975155</v>
      </c>
      <c r="T31">
        <f t="shared" si="4"/>
        <v>-3.5</v>
      </c>
      <c r="U31">
        <f t="shared" si="5"/>
        <v>-11.413043478260869</v>
      </c>
      <c r="V31">
        <f t="shared" si="6"/>
        <v>-3.5999999999999996</v>
      </c>
      <c r="W31">
        <f t="shared" si="7"/>
        <v>-1.5E-3</v>
      </c>
      <c r="X31">
        <f t="shared" si="8"/>
        <v>5.8</v>
      </c>
      <c r="Y31">
        <f t="shared" si="9"/>
        <v>0.7142857142857143</v>
      </c>
    </row>
    <row r="32" spans="1:25" x14ac:dyDescent="0.2">
      <c r="A32" t="s">
        <v>51</v>
      </c>
      <c r="B32" t="s">
        <v>271</v>
      </c>
      <c r="C32">
        <v>370</v>
      </c>
      <c r="D32">
        <v>170</v>
      </c>
      <c r="E32">
        <v>19</v>
      </c>
      <c r="F32">
        <v>8</v>
      </c>
      <c r="G32">
        <v>0</v>
      </c>
      <c r="H32">
        <v>175</v>
      </c>
      <c r="I32">
        <v>1030</v>
      </c>
      <c r="J32">
        <v>30</v>
      </c>
      <c r="K32">
        <v>1</v>
      </c>
      <c r="L32">
        <v>5</v>
      </c>
      <c r="M32">
        <v>17</v>
      </c>
      <c r="N32">
        <v>366</v>
      </c>
      <c r="O32" s="3">
        <f t="shared" si="0"/>
        <v>4.5945945945945947</v>
      </c>
      <c r="P32">
        <f t="shared" si="1"/>
        <v>1</v>
      </c>
      <c r="Q32">
        <f t="shared" si="2"/>
        <v>0</v>
      </c>
      <c r="S32">
        <f t="shared" si="3"/>
        <v>-11.438509316770187</v>
      </c>
      <c r="T32">
        <f t="shared" si="4"/>
        <v>-2</v>
      </c>
      <c r="U32">
        <f t="shared" si="5"/>
        <v>-11.195652173913045</v>
      </c>
      <c r="V32">
        <f t="shared" si="6"/>
        <v>-2.0000000000000004</v>
      </c>
      <c r="W32">
        <f t="shared" si="7"/>
        <v>0</v>
      </c>
      <c r="X32">
        <f t="shared" si="8"/>
        <v>3.4000000000000004</v>
      </c>
      <c r="Y32">
        <f t="shared" si="9"/>
        <v>0.35714285714285715</v>
      </c>
    </row>
    <row r="33" spans="1:25" x14ac:dyDescent="0.2">
      <c r="A33" t="s">
        <v>51</v>
      </c>
      <c r="B33" t="s">
        <v>273</v>
      </c>
      <c r="C33">
        <v>610</v>
      </c>
      <c r="D33">
        <v>360</v>
      </c>
      <c r="E33">
        <v>40</v>
      </c>
      <c r="F33">
        <v>17</v>
      </c>
      <c r="G33">
        <v>0.5</v>
      </c>
      <c r="H33">
        <v>225</v>
      </c>
      <c r="I33">
        <v>1680</v>
      </c>
      <c r="J33">
        <v>31</v>
      </c>
      <c r="K33">
        <v>1</v>
      </c>
      <c r="L33">
        <v>5</v>
      </c>
      <c r="M33">
        <v>28</v>
      </c>
      <c r="N33">
        <v>604</v>
      </c>
      <c r="O33" s="3">
        <f t="shared" si="0"/>
        <v>4.5901639344262293</v>
      </c>
      <c r="P33">
        <f t="shared" si="1"/>
        <v>1</v>
      </c>
      <c r="Q33">
        <f t="shared" si="2"/>
        <v>0</v>
      </c>
      <c r="S33">
        <f t="shared" si="3"/>
        <v>-18.55422670807453</v>
      </c>
      <c r="T33">
        <f t="shared" si="4"/>
        <v>-4.25</v>
      </c>
      <c r="U33">
        <f t="shared" si="5"/>
        <v>-18.260869565217391</v>
      </c>
      <c r="V33">
        <f t="shared" si="6"/>
        <v>-2.0000000000000004</v>
      </c>
      <c r="W33">
        <f t="shared" si="7"/>
        <v>-5.0000000000000001E-4</v>
      </c>
      <c r="X33">
        <f t="shared" si="8"/>
        <v>5.6000000000000005</v>
      </c>
      <c r="Y33">
        <f t="shared" si="9"/>
        <v>0.35714285714285715</v>
      </c>
    </row>
    <row r="34" spans="1:25" x14ac:dyDescent="0.2">
      <c r="A34" t="s">
        <v>51</v>
      </c>
      <c r="B34" t="s">
        <v>281</v>
      </c>
      <c r="C34">
        <v>860</v>
      </c>
      <c r="D34">
        <v>490</v>
      </c>
      <c r="E34">
        <v>54</v>
      </c>
      <c r="F34">
        <v>9</v>
      </c>
      <c r="G34">
        <v>0</v>
      </c>
      <c r="H34">
        <v>115</v>
      </c>
      <c r="I34">
        <v>1570</v>
      </c>
      <c r="J34">
        <v>53</v>
      </c>
      <c r="K34">
        <v>3</v>
      </c>
      <c r="L34">
        <v>1</v>
      </c>
      <c r="M34">
        <v>39</v>
      </c>
      <c r="N34">
        <v>831</v>
      </c>
      <c r="O34" s="3">
        <f t="shared" si="0"/>
        <v>4.5348837209302326</v>
      </c>
      <c r="P34">
        <f t="shared" si="1"/>
        <v>1</v>
      </c>
      <c r="Q34">
        <f t="shared" si="2"/>
        <v>0</v>
      </c>
      <c r="S34">
        <f t="shared" si="3"/>
        <v>-10.843788819875774</v>
      </c>
      <c r="T34">
        <f t="shared" si="4"/>
        <v>-2.25</v>
      </c>
      <c r="U34">
        <f t="shared" si="5"/>
        <v>-17.065217391304348</v>
      </c>
      <c r="V34">
        <f t="shared" si="6"/>
        <v>-0.4</v>
      </c>
      <c r="W34">
        <f t="shared" si="7"/>
        <v>0</v>
      </c>
      <c r="X34">
        <f t="shared" si="8"/>
        <v>7.8000000000000016</v>
      </c>
      <c r="Y34">
        <f t="shared" si="9"/>
        <v>1.0714285714285714</v>
      </c>
    </row>
    <row r="35" spans="1:25" x14ac:dyDescent="0.2">
      <c r="A35" t="s">
        <v>51</v>
      </c>
      <c r="B35" t="s">
        <v>297</v>
      </c>
      <c r="C35">
        <v>790</v>
      </c>
      <c r="D35">
        <v>460</v>
      </c>
      <c r="E35">
        <v>51</v>
      </c>
      <c r="F35">
        <v>17</v>
      </c>
      <c r="G35">
        <v>2</v>
      </c>
      <c r="H35">
        <v>125</v>
      </c>
      <c r="I35">
        <v>1560</v>
      </c>
      <c r="J35">
        <v>50</v>
      </c>
      <c r="K35">
        <v>2</v>
      </c>
      <c r="L35">
        <v>11</v>
      </c>
      <c r="M35">
        <v>35</v>
      </c>
      <c r="N35">
        <v>783</v>
      </c>
      <c r="O35" s="3">
        <f t="shared" si="0"/>
        <v>4.4303797468354427</v>
      </c>
      <c r="P35">
        <f t="shared" si="1"/>
        <v>1</v>
      </c>
      <c r="Q35">
        <f t="shared" si="2"/>
        <v>0</v>
      </c>
      <c r="S35">
        <f t="shared" si="3"/>
        <v>-17.894236024844719</v>
      </c>
      <c r="T35">
        <f t="shared" si="4"/>
        <v>-4.25</v>
      </c>
      <c r="U35">
        <f t="shared" si="5"/>
        <v>-16.956521739130434</v>
      </c>
      <c r="V35">
        <f t="shared" si="6"/>
        <v>-4.4000000000000004</v>
      </c>
      <c r="W35">
        <f t="shared" si="7"/>
        <v>-2E-3</v>
      </c>
      <c r="X35">
        <f t="shared" si="8"/>
        <v>6.9999999999999991</v>
      </c>
      <c r="Y35">
        <f t="shared" si="9"/>
        <v>0.7142857142857143</v>
      </c>
    </row>
    <row r="36" spans="1:25" x14ac:dyDescent="0.2">
      <c r="A36" t="s">
        <v>51</v>
      </c>
      <c r="B36" t="s">
        <v>304</v>
      </c>
      <c r="C36">
        <v>640</v>
      </c>
      <c r="D36">
        <v>400</v>
      </c>
      <c r="E36">
        <v>45</v>
      </c>
      <c r="F36">
        <v>20</v>
      </c>
      <c r="G36">
        <v>0</v>
      </c>
      <c r="H36">
        <v>225</v>
      </c>
      <c r="I36">
        <v>2190</v>
      </c>
      <c r="J36">
        <v>31</v>
      </c>
      <c r="K36">
        <v>1</v>
      </c>
      <c r="L36">
        <v>4</v>
      </c>
      <c r="M36">
        <v>28</v>
      </c>
      <c r="N36">
        <v>636</v>
      </c>
      <c r="O36" s="3">
        <f t="shared" ref="O36:O67" si="10">M36/C36*100</f>
        <v>4.375</v>
      </c>
      <c r="P36">
        <f t="shared" si="1"/>
        <v>1</v>
      </c>
      <c r="Q36">
        <f t="shared" si="2"/>
        <v>0</v>
      </c>
      <c r="S36">
        <f t="shared" si="3"/>
        <v>-24.447204968944099</v>
      </c>
      <c r="T36">
        <f t="shared" si="4"/>
        <v>-5</v>
      </c>
      <c r="U36">
        <f t="shared" si="5"/>
        <v>-23.804347826086957</v>
      </c>
      <c r="V36">
        <f t="shared" si="6"/>
        <v>-1.6</v>
      </c>
      <c r="W36">
        <f t="shared" si="7"/>
        <v>0</v>
      </c>
      <c r="X36">
        <f t="shared" si="8"/>
        <v>5.6000000000000005</v>
      </c>
      <c r="Y36">
        <f t="shared" si="9"/>
        <v>0.35714285714285715</v>
      </c>
    </row>
    <row r="37" spans="1:25" x14ac:dyDescent="0.2">
      <c r="A37" t="s">
        <v>51</v>
      </c>
      <c r="B37" t="s">
        <v>316</v>
      </c>
      <c r="C37">
        <v>740</v>
      </c>
      <c r="D37">
        <v>420</v>
      </c>
      <c r="E37">
        <v>46</v>
      </c>
      <c r="F37">
        <v>16</v>
      </c>
      <c r="G37">
        <v>2</v>
      </c>
      <c r="H37">
        <v>115</v>
      </c>
      <c r="I37">
        <v>1340</v>
      </c>
      <c r="J37">
        <v>50</v>
      </c>
      <c r="K37">
        <v>2</v>
      </c>
      <c r="L37">
        <v>11</v>
      </c>
      <c r="M37">
        <v>32</v>
      </c>
      <c r="N37">
        <v>735</v>
      </c>
      <c r="O37" s="3">
        <f t="shared" si="10"/>
        <v>4.3243243243243246</v>
      </c>
      <c r="P37">
        <f t="shared" si="1"/>
        <v>1</v>
      </c>
      <c r="Q37">
        <f t="shared" si="2"/>
        <v>0</v>
      </c>
      <c r="S37">
        <f t="shared" si="3"/>
        <v>-15.852931677018633</v>
      </c>
      <c r="T37">
        <f t="shared" si="4"/>
        <v>-4</v>
      </c>
      <c r="U37">
        <f t="shared" si="5"/>
        <v>-14.565217391304348</v>
      </c>
      <c r="V37">
        <f t="shared" si="6"/>
        <v>-4.4000000000000004</v>
      </c>
      <c r="W37">
        <f t="shared" si="7"/>
        <v>-2E-3</v>
      </c>
      <c r="X37">
        <f t="shared" si="8"/>
        <v>6.4</v>
      </c>
      <c r="Y37">
        <f t="shared" si="9"/>
        <v>0.7142857142857143</v>
      </c>
    </row>
    <row r="38" spans="1:25" x14ac:dyDescent="0.2">
      <c r="A38" t="s">
        <v>51</v>
      </c>
      <c r="B38" t="s">
        <v>328</v>
      </c>
      <c r="C38">
        <v>400</v>
      </c>
      <c r="D38">
        <v>210</v>
      </c>
      <c r="E38">
        <v>24</v>
      </c>
      <c r="F38">
        <v>12</v>
      </c>
      <c r="G38">
        <v>0</v>
      </c>
      <c r="H38">
        <v>175</v>
      </c>
      <c r="I38">
        <v>1550</v>
      </c>
      <c r="J38">
        <v>29</v>
      </c>
      <c r="K38">
        <v>1</v>
      </c>
      <c r="L38">
        <v>3</v>
      </c>
      <c r="M38">
        <v>17</v>
      </c>
      <c r="N38">
        <v>398</v>
      </c>
      <c r="O38" s="3">
        <f t="shared" si="10"/>
        <v>4.25</v>
      </c>
      <c r="P38">
        <f t="shared" si="1"/>
        <v>1</v>
      </c>
      <c r="Q38">
        <f t="shared" si="2"/>
        <v>0</v>
      </c>
      <c r="S38">
        <f t="shared" si="3"/>
        <v>-17.290683229813663</v>
      </c>
      <c r="T38">
        <f t="shared" si="4"/>
        <v>-3</v>
      </c>
      <c r="U38">
        <f t="shared" si="5"/>
        <v>-16.847826086956523</v>
      </c>
      <c r="V38">
        <f t="shared" si="6"/>
        <v>-1.2</v>
      </c>
      <c r="W38">
        <f t="shared" si="7"/>
        <v>0</v>
      </c>
      <c r="X38">
        <f t="shared" si="8"/>
        <v>3.4000000000000004</v>
      </c>
      <c r="Y38">
        <f t="shared" si="9"/>
        <v>0.35714285714285715</v>
      </c>
    </row>
    <row r="39" spans="1:25" x14ac:dyDescent="0.2">
      <c r="A39" t="s">
        <v>51</v>
      </c>
      <c r="B39" t="s">
        <v>331</v>
      </c>
      <c r="C39">
        <v>660</v>
      </c>
      <c r="D39">
        <v>360</v>
      </c>
      <c r="E39">
        <v>40</v>
      </c>
      <c r="F39">
        <v>12</v>
      </c>
      <c r="G39">
        <v>1.5</v>
      </c>
      <c r="H39">
        <v>90</v>
      </c>
      <c r="I39">
        <v>980</v>
      </c>
      <c r="J39">
        <v>49</v>
      </c>
      <c r="K39">
        <v>2</v>
      </c>
      <c r="L39">
        <v>11</v>
      </c>
      <c r="M39">
        <v>28</v>
      </c>
      <c r="N39">
        <v>655</v>
      </c>
      <c r="O39" s="3">
        <f t="shared" si="10"/>
        <v>4.2424242424242431</v>
      </c>
      <c r="P39">
        <f t="shared" si="1"/>
        <v>1</v>
      </c>
      <c r="Q39">
        <f t="shared" si="2"/>
        <v>0</v>
      </c>
      <c r="S39">
        <f t="shared" si="3"/>
        <v>-11.739388198757764</v>
      </c>
      <c r="T39">
        <f t="shared" si="4"/>
        <v>-3</v>
      </c>
      <c r="U39">
        <f t="shared" si="5"/>
        <v>-10.652173913043478</v>
      </c>
      <c r="V39">
        <f t="shared" si="6"/>
        <v>-4.4000000000000004</v>
      </c>
      <c r="W39">
        <f t="shared" si="7"/>
        <v>-1.5E-3</v>
      </c>
      <c r="X39">
        <f t="shared" si="8"/>
        <v>5.6000000000000005</v>
      </c>
      <c r="Y39">
        <f t="shared" si="9"/>
        <v>0.7142857142857143</v>
      </c>
    </row>
    <row r="40" spans="1:25" x14ac:dyDescent="0.2">
      <c r="A40" t="s">
        <v>51</v>
      </c>
      <c r="B40" t="s">
        <v>332</v>
      </c>
      <c r="C40">
        <v>660</v>
      </c>
      <c r="D40">
        <v>360</v>
      </c>
      <c r="E40">
        <v>40</v>
      </c>
      <c r="F40">
        <v>7</v>
      </c>
      <c r="G40">
        <v>0</v>
      </c>
      <c r="H40">
        <v>75</v>
      </c>
      <c r="I40">
        <v>1170</v>
      </c>
      <c r="J40">
        <v>48</v>
      </c>
      <c r="K40">
        <v>2</v>
      </c>
      <c r="L40">
        <v>5</v>
      </c>
      <c r="M40">
        <v>28</v>
      </c>
      <c r="N40">
        <v>644</v>
      </c>
      <c r="O40" s="3">
        <f t="shared" si="10"/>
        <v>4.2424242424242431</v>
      </c>
      <c r="P40">
        <f t="shared" si="1"/>
        <v>1</v>
      </c>
      <c r="Q40">
        <f t="shared" si="2"/>
        <v>0</v>
      </c>
      <c r="S40">
        <f t="shared" si="3"/>
        <v>-10.153105590062109</v>
      </c>
      <c r="T40">
        <f t="shared" si="4"/>
        <v>-1.75</v>
      </c>
      <c r="U40">
        <f t="shared" si="5"/>
        <v>-12.717391304347824</v>
      </c>
      <c r="V40">
        <f t="shared" si="6"/>
        <v>-2.0000000000000004</v>
      </c>
      <c r="W40">
        <f t="shared" si="7"/>
        <v>0</v>
      </c>
      <c r="X40">
        <f t="shared" si="8"/>
        <v>5.6000000000000005</v>
      </c>
      <c r="Y40">
        <f t="shared" si="9"/>
        <v>0.7142857142857143</v>
      </c>
    </row>
    <row r="41" spans="1:25" x14ac:dyDescent="0.2">
      <c r="A41" t="s">
        <v>51</v>
      </c>
      <c r="B41" t="s">
        <v>341</v>
      </c>
      <c r="C41">
        <v>310</v>
      </c>
      <c r="D41">
        <v>160</v>
      </c>
      <c r="E41">
        <v>18</v>
      </c>
      <c r="F41">
        <v>5</v>
      </c>
      <c r="G41">
        <v>0.5</v>
      </c>
      <c r="H41">
        <v>40</v>
      </c>
      <c r="I41">
        <v>390</v>
      </c>
      <c r="J41">
        <v>27</v>
      </c>
      <c r="K41">
        <v>1</v>
      </c>
      <c r="L41">
        <v>7</v>
      </c>
      <c r="M41">
        <v>13</v>
      </c>
      <c r="N41">
        <v>309</v>
      </c>
      <c r="O41" s="3">
        <f t="shared" si="10"/>
        <v>4.1935483870967749</v>
      </c>
      <c r="P41">
        <f t="shared" si="1"/>
        <v>0</v>
      </c>
      <c r="Q41">
        <f t="shared" si="2"/>
        <v>0</v>
      </c>
      <c r="S41">
        <f t="shared" si="3"/>
        <v>-5.3324875776397525</v>
      </c>
      <c r="T41">
        <f t="shared" si="4"/>
        <v>-1.25</v>
      </c>
      <c r="U41">
        <f t="shared" si="5"/>
        <v>-4.2391304347826084</v>
      </c>
      <c r="V41">
        <f t="shared" si="6"/>
        <v>-2.8000000000000003</v>
      </c>
      <c r="W41">
        <f t="shared" si="7"/>
        <v>-5.0000000000000001E-4</v>
      </c>
      <c r="X41">
        <f t="shared" si="8"/>
        <v>2.6</v>
      </c>
      <c r="Y41">
        <f t="shared" si="9"/>
        <v>0.35714285714285715</v>
      </c>
    </row>
    <row r="42" spans="1:25" x14ac:dyDescent="0.2">
      <c r="A42" t="s">
        <v>51</v>
      </c>
      <c r="B42" t="s">
        <v>353</v>
      </c>
      <c r="C42">
        <v>780</v>
      </c>
      <c r="D42">
        <v>380</v>
      </c>
      <c r="E42">
        <v>42</v>
      </c>
      <c r="F42">
        <v>15</v>
      </c>
      <c r="G42">
        <v>0</v>
      </c>
      <c r="H42">
        <v>355</v>
      </c>
      <c r="I42">
        <v>1960</v>
      </c>
      <c r="J42">
        <v>68</v>
      </c>
      <c r="K42">
        <v>3</v>
      </c>
      <c r="L42">
        <v>4</v>
      </c>
      <c r="M42">
        <v>32</v>
      </c>
      <c r="N42">
        <v>767</v>
      </c>
      <c r="O42" s="3">
        <f t="shared" si="10"/>
        <v>4.1025641025641022</v>
      </c>
      <c r="P42">
        <f t="shared" si="1"/>
        <v>1</v>
      </c>
      <c r="Q42">
        <f t="shared" si="2"/>
        <v>1</v>
      </c>
      <c r="S42">
        <f t="shared" si="3"/>
        <v>-19.182919254658383</v>
      </c>
      <c r="T42">
        <f t="shared" si="4"/>
        <v>-3.75</v>
      </c>
      <c r="U42">
        <f t="shared" si="5"/>
        <v>-21.304347826086957</v>
      </c>
      <c r="V42">
        <f t="shared" si="6"/>
        <v>-1.6</v>
      </c>
      <c r="W42">
        <f t="shared" si="7"/>
        <v>0</v>
      </c>
      <c r="X42">
        <f t="shared" si="8"/>
        <v>6.4</v>
      </c>
      <c r="Y42">
        <f t="shared" si="9"/>
        <v>1.0714285714285714</v>
      </c>
    </row>
    <row r="43" spans="1:25" x14ac:dyDescent="0.2">
      <c r="A43" t="s">
        <v>51</v>
      </c>
      <c r="B43" t="s">
        <v>360</v>
      </c>
      <c r="C43">
        <v>710</v>
      </c>
      <c r="D43">
        <v>470</v>
      </c>
      <c r="E43">
        <v>52</v>
      </c>
      <c r="F43">
        <v>20</v>
      </c>
      <c r="G43">
        <v>0.5</v>
      </c>
      <c r="H43">
        <v>240</v>
      </c>
      <c r="I43">
        <v>1420</v>
      </c>
      <c r="J43">
        <v>31</v>
      </c>
      <c r="K43">
        <v>1</v>
      </c>
      <c r="L43">
        <v>5</v>
      </c>
      <c r="M43">
        <v>29</v>
      </c>
      <c r="N43">
        <v>706</v>
      </c>
      <c r="O43" s="3">
        <f t="shared" si="10"/>
        <v>4.084507042253521</v>
      </c>
      <c r="P43">
        <f t="shared" si="1"/>
        <v>1</v>
      </c>
      <c r="Q43">
        <f t="shared" si="2"/>
        <v>0</v>
      </c>
      <c r="S43">
        <f t="shared" si="3"/>
        <v>-16.278139751552793</v>
      </c>
      <c r="T43">
        <f t="shared" si="4"/>
        <v>-5</v>
      </c>
      <c r="U43">
        <f t="shared" si="5"/>
        <v>-15.434782608695652</v>
      </c>
      <c r="V43">
        <f t="shared" si="6"/>
        <v>-2.0000000000000004</v>
      </c>
      <c r="W43">
        <f t="shared" si="7"/>
        <v>-5.0000000000000001E-4</v>
      </c>
      <c r="X43">
        <f t="shared" si="8"/>
        <v>5.8</v>
      </c>
      <c r="Y43">
        <f t="shared" si="9"/>
        <v>0.35714285714285715</v>
      </c>
    </row>
    <row r="44" spans="1:25" x14ac:dyDescent="0.2">
      <c r="A44" t="s">
        <v>51</v>
      </c>
      <c r="B44" t="s">
        <v>365</v>
      </c>
      <c r="C44">
        <v>370</v>
      </c>
      <c r="D44">
        <v>210</v>
      </c>
      <c r="E44">
        <v>23</v>
      </c>
      <c r="F44">
        <v>8</v>
      </c>
      <c r="G44">
        <v>0</v>
      </c>
      <c r="H44">
        <v>150</v>
      </c>
      <c r="I44">
        <v>930</v>
      </c>
      <c r="J44">
        <v>27</v>
      </c>
      <c r="K44">
        <v>3</v>
      </c>
      <c r="L44">
        <v>2</v>
      </c>
      <c r="M44">
        <v>15</v>
      </c>
      <c r="N44">
        <v>365</v>
      </c>
      <c r="O44" s="3">
        <f t="shared" si="10"/>
        <v>4.0540540540540544</v>
      </c>
      <c r="P44">
        <f t="shared" si="1"/>
        <v>1</v>
      </c>
      <c r="Q44">
        <f t="shared" si="2"/>
        <v>0</v>
      </c>
      <c r="S44">
        <f t="shared" si="3"/>
        <v>-8.8372670807453417</v>
      </c>
      <c r="T44">
        <f t="shared" si="4"/>
        <v>-2</v>
      </c>
      <c r="U44">
        <f t="shared" si="5"/>
        <v>-10.108695652173912</v>
      </c>
      <c r="V44">
        <f t="shared" si="6"/>
        <v>-0.8</v>
      </c>
      <c r="W44">
        <f t="shared" si="7"/>
        <v>0</v>
      </c>
      <c r="X44">
        <f t="shared" si="8"/>
        <v>3</v>
      </c>
      <c r="Y44">
        <f t="shared" si="9"/>
        <v>1.0714285714285714</v>
      </c>
    </row>
    <row r="45" spans="1:25" x14ac:dyDescent="0.2">
      <c r="A45" t="s">
        <v>51</v>
      </c>
      <c r="B45" t="s">
        <v>387</v>
      </c>
      <c r="C45">
        <v>630</v>
      </c>
      <c r="D45">
        <v>310</v>
      </c>
      <c r="E45">
        <v>34</v>
      </c>
      <c r="F45">
        <v>11</v>
      </c>
      <c r="G45">
        <v>0</v>
      </c>
      <c r="H45">
        <v>10</v>
      </c>
      <c r="I45">
        <v>1080</v>
      </c>
      <c r="J45">
        <v>58</v>
      </c>
      <c r="K45">
        <v>4</v>
      </c>
      <c r="L45">
        <v>12</v>
      </c>
      <c r="M45">
        <v>25</v>
      </c>
      <c r="N45">
        <v>628</v>
      </c>
      <c r="O45" s="3">
        <f t="shared" si="10"/>
        <v>3.9682539682539679</v>
      </c>
      <c r="P45">
        <f t="shared" si="1"/>
        <v>1</v>
      </c>
      <c r="Q45">
        <f t="shared" si="2"/>
        <v>0</v>
      </c>
      <c r="S45">
        <f t="shared" si="3"/>
        <v>-12.860559006211181</v>
      </c>
      <c r="T45">
        <f t="shared" si="4"/>
        <v>-2.75</v>
      </c>
      <c r="U45">
        <f t="shared" si="5"/>
        <v>-11.739130434782609</v>
      </c>
      <c r="V45">
        <f t="shared" si="6"/>
        <v>-4.8</v>
      </c>
      <c r="W45">
        <f t="shared" si="7"/>
        <v>0</v>
      </c>
      <c r="X45">
        <f t="shared" si="8"/>
        <v>5</v>
      </c>
      <c r="Y45">
        <f t="shared" si="9"/>
        <v>1.4285714285714286</v>
      </c>
    </row>
    <row r="46" spans="1:25" x14ac:dyDescent="0.2">
      <c r="A46" t="s">
        <v>51</v>
      </c>
      <c r="B46" t="s">
        <v>388</v>
      </c>
      <c r="C46">
        <v>580</v>
      </c>
      <c r="D46">
        <v>340</v>
      </c>
      <c r="E46">
        <v>40</v>
      </c>
      <c r="F46">
        <v>16</v>
      </c>
      <c r="G46">
        <v>0.5</v>
      </c>
      <c r="H46">
        <v>215</v>
      </c>
      <c r="I46">
        <v>1260</v>
      </c>
      <c r="J46">
        <v>31</v>
      </c>
      <c r="K46">
        <v>1</v>
      </c>
      <c r="L46">
        <v>5</v>
      </c>
      <c r="M46">
        <v>23</v>
      </c>
      <c r="N46">
        <v>578</v>
      </c>
      <c r="O46" s="3">
        <f t="shared" si="10"/>
        <v>3.9655172413793105</v>
      </c>
      <c r="P46">
        <f t="shared" si="1"/>
        <v>1</v>
      </c>
      <c r="Q46">
        <f t="shared" si="2"/>
        <v>0</v>
      </c>
      <c r="S46">
        <f t="shared" si="3"/>
        <v>-14.739009316770183</v>
      </c>
      <c r="T46">
        <f t="shared" si="4"/>
        <v>-4</v>
      </c>
      <c r="U46">
        <f t="shared" si="5"/>
        <v>-13.695652173913043</v>
      </c>
      <c r="V46">
        <f t="shared" si="6"/>
        <v>-2.0000000000000004</v>
      </c>
      <c r="W46">
        <f t="shared" si="7"/>
        <v>-5.0000000000000001E-4</v>
      </c>
      <c r="X46">
        <f t="shared" si="8"/>
        <v>4.6000000000000005</v>
      </c>
      <c r="Y46">
        <f t="shared" si="9"/>
        <v>0.35714285714285715</v>
      </c>
    </row>
    <row r="47" spans="1:25" x14ac:dyDescent="0.2">
      <c r="A47" t="s">
        <v>51</v>
      </c>
      <c r="B47" t="s">
        <v>401</v>
      </c>
      <c r="C47">
        <v>210</v>
      </c>
      <c r="D47">
        <v>130</v>
      </c>
      <c r="E47">
        <v>15</v>
      </c>
      <c r="F47">
        <v>3</v>
      </c>
      <c r="G47">
        <v>0</v>
      </c>
      <c r="H47">
        <v>20</v>
      </c>
      <c r="I47">
        <v>570</v>
      </c>
      <c r="J47">
        <v>11</v>
      </c>
      <c r="K47">
        <v>2</v>
      </c>
      <c r="L47">
        <v>0</v>
      </c>
      <c r="M47">
        <v>8</v>
      </c>
      <c r="N47">
        <v>205</v>
      </c>
      <c r="O47" s="3">
        <f t="shared" si="10"/>
        <v>3.8095238095238098</v>
      </c>
      <c r="P47">
        <f t="shared" si="1"/>
        <v>1</v>
      </c>
      <c r="Q47">
        <f t="shared" si="2"/>
        <v>0</v>
      </c>
      <c r="S47">
        <f t="shared" si="3"/>
        <v>-4.631366459627329</v>
      </c>
      <c r="T47">
        <f t="shared" si="4"/>
        <v>-0.75</v>
      </c>
      <c r="U47">
        <f t="shared" si="5"/>
        <v>-6.1956521739130439</v>
      </c>
      <c r="V47">
        <f t="shared" si="6"/>
        <v>0</v>
      </c>
      <c r="W47">
        <f t="shared" si="7"/>
        <v>0</v>
      </c>
      <c r="X47">
        <f t="shared" si="8"/>
        <v>1.6</v>
      </c>
      <c r="Y47">
        <f t="shared" si="9"/>
        <v>0.7142857142857143</v>
      </c>
    </row>
    <row r="48" spans="1:25" x14ac:dyDescent="0.2">
      <c r="A48" t="s">
        <v>51</v>
      </c>
      <c r="B48" t="s">
        <v>402</v>
      </c>
      <c r="C48">
        <v>1050</v>
      </c>
      <c r="D48">
        <v>670</v>
      </c>
      <c r="E48">
        <v>74</v>
      </c>
      <c r="F48">
        <v>15</v>
      </c>
      <c r="G48">
        <v>0</v>
      </c>
      <c r="H48">
        <v>110</v>
      </c>
      <c r="I48">
        <v>2840</v>
      </c>
      <c r="J48">
        <v>56</v>
      </c>
      <c r="K48">
        <v>9</v>
      </c>
      <c r="L48">
        <v>1</v>
      </c>
      <c r="M48">
        <v>40</v>
      </c>
      <c r="N48">
        <v>1026</v>
      </c>
      <c r="O48" s="3">
        <f t="shared" si="10"/>
        <v>3.8095238095238098</v>
      </c>
      <c r="P48">
        <f t="shared" si="1"/>
        <v>1</v>
      </c>
      <c r="Q48">
        <f t="shared" si="2"/>
        <v>0</v>
      </c>
      <c r="S48">
        <f t="shared" si="3"/>
        <v>-23.805279503105588</v>
      </c>
      <c r="T48">
        <f t="shared" si="4"/>
        <v>-3.75</v>
      </c>
      <c r="U48">
        <f t="shared" si="5"/>
        <v>-30.869565217391305</v>
      </c>
      <c r="V48">
        <f t="shared" si="6"/>
        <v>-0.4</v>
      </c>
      <c r="W48">
        <f t="shared" si="7"/>
        <v>0</v>
      </c>
      <c r="X48">
        <f t="shared" si="8"/>
        <v>8.0000000000000018</v>
      </c>
      <c r="Y48">
        <f t="shared" si="9"/>
        <v>3.2142857142857149</v>
      </c>
    </row>
    <row r="49" spans="1:25" x14ac:dyDescent="0.2">
      <c r="A49" t="s">
        <v>51</v>
      </c>
      <c r="B49" t="s">
        <v>404</v>
      </c>
      <c r="C49">
        <v>500</v>
      </c>
      <c r="D49">
        <v>300</v>
      </c>
      <c r="E49">
        <v>33</v>
      </c>
      <c r="F49">
        <v>13</v>
      </c>
      <c r="G49">
        <v>0</v>
      </c>
      <c r="H49">
        <v>195</v>
      </c>
      <c r="I49">
        <v>930</v>
      </c>
      <c r="J49">
        <v>30</v>
      </c>
      <c r="K49">
        <v>1</v>
      </c>
      <c r="L49">
        <v>4</v>
      </c>
      <c r="M49">
        <v>19</v>
      </c>
      <c r="N49">
        <v>498</v>
      </c>
      <c r="O49" s="3">
        <f t="shared" si="10"/>
        <v>3.8</v>
      </c>
      <c r="P49">
        <f t="shared" si="1"/>
        <v>1</v>
      </c>
      <c r="Q49">
        <f t="shared" si="2"/>
        <v>0</v>
      </c>
      <c r="S49">
        <f t="shared" si="3"/>
        <v>-10.801552795031053</v>
      </c>
      <c r="T49">
        <f t="shared" si="4"/>
        <v>-3.25</v>
      </c>
      <c r="U49">
        <f t="shared" si="5"/>
        <v>-10.108695652173912</v>
      </c>
      <c r="V49">
        <f t="shared" si="6"/>
        <v>-1.6</v>
      </c>
      <c r="W49">
        <f t="shared" si="7"/>
        <v>0</v>
      </c>
      <c r="X49">
        <f t="shared" si="8"/>
        <v>3.8000000000000007</v>
      </c>
      <c r="Y49">
        <f t="shared" si="9"/>
        <v>0.35714285714285715</v>
      </c>
    </row>
    <row r="50" spans="1:25" x14ac:dyDescent="0.2">
      <c r="A50" t="s">
        <v>51</v>
      </c>
      <c r="B50" t="s">
        <v>408</v>
      </c>
      <c r="C50">
        <v>370</v>
      </c>
      <c r="D50">
        <v>190</v>
      </c>
      <c r="E50">
        <v>21</v>
      </c>
      <c r="F50">
        <v>9</v>
      </c>
      <c r="G50">
        <v>0</v>
      </c>
      <c r="H50">
        <v>170</v>
      </c>
      <c r="I50">
        <v>760</v>
      </c>
      <c r="J50">
        <v>30</v>
      </c>
      <c r="K50">
        <v>1</v>
      </c>
      <c r="L50">
        <v>4</v>
      </c>
      <c r="M50">
        <v>14</v>
      </c>
      <c r="N50">
        <v>369</v>
      </c>
      <c r="O50" s="3">
        <f t="shared" si="10"/>
        <v>3.7837837837837842</v>
      </c>
      <c r="P50">
        <f t="shared" si="1"/>
        <v>1</v>
      </c>
      <c r="Q50">
        <f t="shared" si="2"/>
        <v>0</v>
      </c>
      <c r="S50">
        <f t="shared" si="3"/>
        <v>-8.953726708074532</v>
      </c>
      <c r="T50">
        <f t="shared" si="4"/>
        <v>-2.25</v>
      </c>
      <c r="U50">
        <f t="shared" si="5"/>
        <v>-8.2608695652173907</v>
      </c>
      <c r="V50">
        <f t="shared" si="6"/>
        <v>-1.6</v>
      </c>
      <c r="W50">
        <f t="shared" si="7"/>
        <v>0</v>
      </c>
      <c r="X50">
        <f t="shared" si="8"/>
        <v>2.8000000000000003</v>
      </c>
      <c r="Y50">
        <f t="shared" si="9"/>
        <v>0.35714285714285715</v>
      </c>
    </row>
    <row r="51" spans="1:25" x14ac:dyDescent="0.2">
      <c r="A51" t="s">
        <v>51</v>
      </c>
      <c r="B51" t="s">
        <v>409</v>
      </c>
      <c r="C51">
        <v>530</v>
      </c>
      <c r="D51">
        <v>330</v>
      </c>
      <c r="E51">
        <v>37</v>
      </c>
      <c r="F51">
        <v>7</v>
      </c>
      <c r="G51">
        <v>0</v>
      </c>
      <c r="H51">
        <v>55</v>
      </c>
      <c r="I51">
        <v>1420</v>
      </c>
      <c r="J51">
        <v>28</v>
      </c>
      <c r="K51">
        <v>4</v>
      </c>
      <c r="L51">
        <v>1</v>
      </c>
      <c r="M51">
        <v>20</v>
      </c>
      <c r="N51">
        <v>518</v>
      </c>
      <c r="O51" s="3">
        <f t="shared" si="10"/>
        <v>3.7735849056603774</v>
      </c>
      <c r="P51">
        <f t="shared" si="1"/>
        <v>1</v>
      </c>
      <c r="Q51">
        <f t="shared" si="2"/>
        <v>0</v>
      </c>
      <c r="S51">
        <f t="shared" si="3"/>
        <v>-12.156211180124222</v>
      </c>
      <c r="T51">
        <f t="shared" si="4"/>
        <v>-1.75</v>
      </c>
      <c r="U51">
        <f t="shared" si="5"/>
        <v>-15.434782608695652</v>
      </c>
      <c r="V51">
        <f t="shared" si="6"/>
        <v>-0.4</v>
      </c>
      <c r="W51">
        <f t="shared" si="7"/>
        <v>0</v>
      </c>
      <c r="X51">
        <f t="shared" si="8"/>
        <v>4.0000000000000009</v>
      </c>
      <c r="Y51">
        <f t="shared" si="9"/>
        <v>1.4285714285714286</v>
      </c>
    </row>
    <row r="52" spans="1:25" x14ac:dyDescent="0.2">
      <c r="A52" t="s">
        <v>51</v>
      </c>
      <c r="B52" t="s">
        <v>412</v>
      </c>
      <c r="C52">
        <v>800</v>
      </c>
      <c r="D52">
        <v>460</v>
      </c>
      <c r="E52">
        <v>52</v>
      </c>
      <c r="F52">
        <v>13</v>
      </c>
      <c r="G52">
        <v>1</v>
      </c>
      <c r="H52">
        <v>95</v>
      </c>
      <c r="I52">
        <v>1650</v>
      </c>
      <c r="J52">
        <v>55</v>
      </c>
      <c r="K52">
        <v>2</v>
      </c>
      <c r="L52">
        <v>8</v>
      </c>
      <c r="M52">
        <v>30</v>
      </c>
      <c r="N52">
        <v>791</v>
      </c>
      <c r="O52" s="3">
        <f t="shared" si="10"/>
        <v>3.75</v>
      </c>
      <c r="P52">
        <f t="shared" si="1"/>
        <v>1</v>
      </c>
      <c r="Q52">
        <f t="shared" si="2"/>
        <v>0</v>
      </c>
      <c r="S52">
        <f t="shared" si="3"/>
        <v>-17.671496894409938</v>
      </c>
      <c r="T52">
        <f t="shared" si="4"/>
        <v>-3.25</v>
      </c>
      <c r="U52">
        <f t="shared" si="5"/>
        <v>-17.934782608695652</v>
      </c>
      <c r="V52">
        <f t="shared" si="6"/>
        <v>-3.2</v>
      </c>
      <c r="W52">
        <f t="shared" si="7"/>
        <v>-1E-3</v>
      </c>
      <c r="X52">
        <f t="shared" si="8"/>
        <v>6</v>
      </c>
      <c r="Y52">
        <f t="shared" si="9"/>
        <v>0.7142857142857143</v>
      </c>
    </row>
    <row r="53" spans="1:25" x14ac:dyDescent="0.2">
      <c r="A53" t="s">
        <v>51</v>
      </c>
      <c r="B53" t="s">
        <v>413</v>
      </c>
      <c r="C53">
        <v>320</v>
      </c>
      <c r="D53">
        <v>200</v>
      </c>
      <c r="E53">
        <v>22</v>
      </c>
      <c r="F53">
        <v>4.5</v>
      </c>
      <c r="G53">
        <v>0</v>
      </c>
      <c r="H53">
        <v>35</v>
      </c>
      <c r="I53">
        <v>850</v>
      </c>
      <c r="J53">
        <v>17</v>
      </c>
      <c r="K53">
        <v>3</v>
      </c>
      <c r="L53">
        <v>0</v>
      </c>
      <c r="M53">
        <v>12</v>
      </c>
      <c r="N53">
        <v>313</v>
      </c>
      <c r="O53" s="3">
        <f t="shared" si="10"/>
        <v>3.75</v>
      </c>
      <c r="P53">
        <f t="shared" si="1"/>
        <v>1</v>
      </c>
      <c r="Q53">
        <f t="shared" si="2"/>
        <v>0</v>
      </c>
      <c r="S53">
        <f t="shared" si="3"/>
        <v>-6.892701863354036</v>
      </c>
      <c r="T53">
        <f t="shared" si="4"/>
        <v>-1.125</v>
      </c>
      <c r="U53">
        <f t="shared" si="5"/>
        <v>-9.2391304347826075</v>
      </c>
      <c r="V53">
        <f t="shared" si="6"/>
        <v>0</v>
      </c>
      <c r="W53">
        <f t="shared" si="7"/>
        <v>0</v>
      </c>
      <c r="X53">
        <f t="shared" si="8"/>
        <v>2.4</v>
      </c>
      <c r="Y53">
        <f t="shared" si="9"/>
        <v>1.0714285714285714</v>
      </c>
    </row>
    <row r="54" spans="1:25" x14ac:dyDescent="0.2">
      <c r="A54" t="s">
        <v>51</v>
      </c>
      <c r="B54" t="s">
        <v>423</v>
      </c>
      <c r="C54">
        <v>300</v>
      </c>
      <c r="D54">
        <v>140</v>
      </c>
      <c r="E54">
        <v>16</v>
      </c>
      <c r="F54">
        <v>3</v>
      </c>
      <c r="G54">
        <v>0</v>
      </c>
      <c r="H54">
        <v>0</v>
      </c>
      <c r="I54">
        <v>290</v>
      </c>
      <c r="J54">
        <v>33</v>
      </c>
      <c r="K54">
        <v>4</v>
      </c>
      <c r="L54">
        <v>11</v>
      </c>
      <c r="M54">
        <v>11</v>
      </c>
      <c r="N54">
        <v>303</v>
      </c>
      <c r="O54" s="3">
        <f t="shared" si="10"/>
        <v>3.6666666666666665</v>
      </c>
      <c r="P54">
        <f t="shared" si="1"/>
        <v>0</v>
      </c>
      <c r="Q54">
        <f t="shared" si="2"/>
        <v>0</v>
      </c>
      <c r="S54">
        <f t="shared" si="3"/>
        <v>-4.6736024844720498</v>
      </c>
      <c r="T54">
        <f t="shared" si="4"/>
        <v>-0.75</v>
      </c>
      <c r="U54">
        <f t="shared" si="5"/>
        <v>-3.152173913043478</v>
      </c>
      <c r="V54">
        <f t="shared" si="6"/>
        <v>-4.4000000000000004</v>
      </c>
      <c r="W54">
        <f t="shared" si="7"/>
        <v>0</v>
      </c>
      <c r="X54">
        <f t="shared" si="8"/>
        <v>2.2000000000000002</v>
      </c>
      <c r="Y54">
        <f t="shared" si="9"/>
        <v>1.4285714285714286</v>
      </c>
    </row>
    <row r="55" spans="1:25" x14ac:dyDescent="0.2">
      <c r="A55" t="s">
        <v>51</v>
      </c>
      <c r="B55" t="s">
        <v>429</v>
      </c>
      <c r="C55">
        <v>530</v>
      </c>
      <c r="D55">
        <v>340</v>
      </c>
      <c r="E55">
        <v>38</v>
      </c>
      <c r="F55">
        <v>17</v>
      </c>
      <c r="G55">
        <v>0</v>
      </c>
      <c r="H55">
        <v>195</v>
      </c>
      <c r="I55">
        <v>1440</v>
      </c>
      <c r="J55">
        <v>29</v>
      </c>
      <c r="K55">
        <v>1</v>
      </c>
      <c r="L55">
        <v>3</v>
      </c>
      <c r="M55">
        <v>19</v>
      </c>
      <c r="N55">
        <v>531</v>
      </c>
      <c r="O55" s="3">
        <f t="shared" si="10"/>
        <v>3.5849056603773586</v>
      </c>
      <c r="P55">
        <f t="shared" si="1"/>
        <v>1</v>
      </c>
      <c r="Q55">
        <f t="shared" si="2"/>
        <v>0</v>
      </c>
      <c r="S55">
        <f t="shared" si="3"/>
        <v>-16.945031055900621</v>
      </c>
      <c r="T55">
        <f t="shared" si="4"/>
        <v>-4.25</v>
      </c>
      <c r="U55">
        <f t="shared" si="5"/>
        <v>-15.65217391304348</v>
      </c>
      <c r="V55">
        <f t="shared" si="6"/>
        <v>-1.2</v>
      </c>
      <c r="W55">
        <f t="shared" si="7"/>
        <v>0</v>
      </c>
      <c r="X55">
        <f t="shared" si="8"/>
        <v>3.8000000000000007</v>
      </c>
      <c r="Y55">
        <f t="shared" si="9"/>
        <v>0.35714285714285715</v>
      </c>
    </row>
    <row r="56" spans="1:25" x14ac:dyDescent="0.2">
      <c r="A56" t="s">
        <v>51</v>
      </c>
      <c r="B56" t="s">
        <v>433</v>
      </c>
      <c r="C56">
        <v>700</v>
      </c>
      <c r="D56">
        <v>370</v>
      </c>
      <c r="E56">
        <v>42</v>
      </c>
      <c r="F56">
        <v>7</v>
      </c>
      <c r="G56">
        <v>0</v>
      </c>
      <c r="H56">
        <v>65</v>
      </c>
      <c r="I56">
        <v>1140</v>
      </c>
      <c r="J56">
        <v>57</v>
      </c>
      <c r="K56">
        <v>3</v>
      </c>
      <c r="L56">
        <v>8</v>
      </c>
      <c r="M56">
        <v>25</v>
      </c>
      <c r="N56">
        <v>690</v>
      </c>
      <c r="O56" s="3">
        <f t="shared" si="10"/>
        <v>3.5714285714285712</v>
      </c>
      <c r="P56">
        <f t="shared" si="1"/>
        <v>1</v>
      </c>
      <c r="Q56">
        <f t="shared" si="2"/>
        <v>0</v>
      </c>
      <c r="S56">
        <f t="shared" si="3"/>
        <v>-11.269875776397518</v>
      </c>
      <c r="T56">
        <f t="shared" si="4"/>
        <v>-1.75</v>
      </c>
      <c r="U56">
        <f t="shared" si="5"/>
        <v>-12.391304347826088</v>
      </c>
      <c r="V56">
        <f t="shared" si="6"/>
        <v>-3.2</v>
      </c>
      <c r="W56">
        <f t="shared" si="7"/>
        <v>0</v>
      </c>
      <c r="X56">
        <f t="shared" si="8"/>
        <v>5</v>
      </c>
      <c r="Y56">
        <f t="shared" si="9"/>
        <v>1.0714285714285714</v>
      </c>
    </row>
    <row r="57" spans="1:25" x14ac:dyDescent="0.2">
      <c r="A57" t="s">
        <v>51</v>
      </c>
      <c r="B57" t="s">
        <v>437</v>
      </c>
      <c r="C57">
        <v>790</v>
      </c>
      <c r="D57">
        <v>440</v>
      </c>
      <c r="E57">
        <v>49</v>
      </c>
      <c r="F57">
        <v>10</v>
      </c>
      <c r="G57">
        <v>0.5</v>
      </c>
      <c r="H57">
        <v>80</v>
      </c>
      <c r="I57">
        <v>1630</v>
      </c>
      <c r="J57">
        <v>60</v>
      </c>
      <c r="K57">
        <v>2</v>
      </c>
      <c r="L57">
        <v>13</v>
      </c>
      <c r="M57">
        <v>28</v>
      </c>
      <c r="N57">
        <v>785</v>
      </c>
      <c r="O57" s="3">
        <f t="shared" si="10"/>
        <v>3.5443037974683547</v>
      </c>
      <c r="P57">
        <f t="shared" si="1"/>
        <v>1</v>
      </c>
      <c r="Q57">
        <f t="shared" si="2"/>
        <v>0</v>
      </c>
      <c r="S57">
        <f t="shared" si="3"/>
        <v>-19.103605590062109</v>
      </c>
      <c r="T57">
        <f t="shared" si="4"/>
        <v>-2.5</v>
      </c>
      <c r="U57">
        <f t="shared" si="5"/>
        <v>-17.717391304347828</v>
      </c>
      <c r="V57">
        <f t="shared" si="6"/>
        <v>-5.2</v>
      </c>
      <c r="W57">
        <f t="shared" si="7"/>
        <v>-5.0000000000000001E-4</v>
      </c>
      <c r="X57">
        <f t="shared" si="8"/>
        <v>5.6000000000000005</v>
      </c>
      <c r="Y57">
        <f t="shared" si="9"/>
        <v>0.7142857142857143</v>
      </c>
    </row>
    <row r="58" spans="1:25" x14ac:dyDescent="0.2">
      <c r="A58" t="s">
        <v>51</v>
      </c>
      <c r="B58" t="s">
        <v>439</v>
      </c>
      <c r="C58">
        <v>340</v>
      </c>
      <c r="D58">
        <v>170</v>
      </c>
      <c r="E58">
        <v>18</v>
      </c>
      <c r="F58">
        <v>8</v>
      </c>
      <c r="G58">
        <v>0</v>
      </c>
      <c r="H58">
        <v>160</v>
      </c>
      <c r="I58">
        <v>610</v>
      </c>
      <c r="J58">
        <v>29</v>
      </c>
      <c r="K58">
        <v>1</v>
      </c>
      <c r="L58">
        <v>4</v>
      </c>
      <c r="M58">
        <v>12</v>
      </c>
      <c r="N58">
        <v>340</v>
      </c>
      <c r="O58" s="3">
        <f t="shared" si="10"/>
        <v>3.5294117647058822</v>
      </c>
      <c r="P58">
        <f t="shared" si="1"/>
        <v>1</v>
      </c>
      <c r="Q58">
        <f t="shared" si="2"/>
        <v>0</v>
      </c>
      <c r="S58">
        <f t="shared" si="3"/>
        <v>-7.4732919254658379</v>
      </c>
      <c r="T58">
        <f t="shared" si="4"/>
        <v>-2</v>
      </c>
      <c r="U58">
        <f t="shared" si="5"/>
        <v>-6.6304347826086962</v>
      </c>
      <c r="V58">
        <f t="shared" si="6"/>
        <v>-1.6</v>
      </c>
      <c r="W58">
        <f t="shared" si="7"/>
        <v>0</v>
      </c>
      <c r="X58">
        <f t="shared" si="8"/>
        <v>2.4</v>
      </c>
      <c r="Y58">
        <f t="shared" si="9"/>
        <v>0.35714285714285715</v>
      </c>
    </row>
    <row r="59" spans="1:25" x14ac:dyDescent="0.2">
      <c r="A59" t="s">
        <v>51</v>
      </c>
      <c r="B59" t="s">
        <v>333</v>
      </c>
      <c r="C59">
        <v>670</v>
      </c>
      <c r="D59">
        <v>370</v>
      </c>
      <c r="E59">
        <v>41</v>
      </c>
      <c r="F59">
        <v>7</v>
      </c>
      <c r="G59">
        <v>0</v>
      </c>
      <c r="H59">
        <v>60</v>
      </c>
      <c r="I59">
        <v>1080</v>
      </c>
      <c r="J59">
        <v>54</v>
      </c>
      <c r="K59">
        <v>2</v>
      </c>
      <c r="L59">
        <v>8</v>
      </c>
      <c r="M59">
        <v>23</v>
      </c>
      <c r="N59">
        <v>662</v>
      </c>
      <c r="O59" s="3">
        <f t="shared" si="10"/>
        <v>3.4328358208955225</v>
      </c>
      <c r="P59">
        <f t="shared" si="1"/>
        <v>1</v>
      </c>
      <c r="Q59">
        <f t="shared" si="2"/>
        <v>0</v>
      </c>
      <c r="S59">
        <f t="shared" si="3"/>
        <v>-11.374844720496894</v>
      </c>
      <c r="T59">
        <f t="shared" si="4"/>
        <v>-1.75</v>
      </c>
      <c r="U59">
        <f t="shared" si="5"/>
        <v>-11.739130434782609</v>
      </c>
      <c r="V59">
        <f t="shared" si="6"/>
        <v>-3.2</v>
      </c>
      <c r="W59">
        <f t="shared" si="7"/>
        <v>0</v>
      </c>
      <c r="X59">
        <f t="shared" si="8"/>
        <v>4.6000000000000005</v>
      </c>
      <c r="Y59">
        <f t="shared" si="9"/>
        <v>0.7142857142857143</v>
      </c>
    </row>
    <row r="60" spans="1:25" x14ac:dyDescent="0.2">
      <c r="A60" t="s">
        <v>51</v>
      </c>
      <c r="B60" t="s">
        <v>461</v>
      </c>
      <c r="C60">
        <v>400</v>
      </c>
      <c r="D60">
        <v>230</v>
      </c>
      <c r="E60">
        <v>26</v>
      </c>
      <c r="F60">
        <v>13</v>
      </c>
      <c r="G60">
        <v>0</v>
      </c>
      <c r="H60">
        <v>170</v>
      </c>
      <c r="I60">
        <v>1270</v>
      </c>
      <c r="J60">
        <v>29</v>
      </c>
      <c r="K60">
        <v>1</v>
      </c>
      <c r="L60">
        <v>3</v>
      </c>
      <c r="M60">
        <v>13</v>
      </c>
      <c r="N60">
        <v>403</v>
      </c>
      <c r="O60" s="3">
        <f t="shared" si="10"/>
        <v>3.25</v>
      </c>
      <c r="P60">
        <f t="shared" si="1"/>
        <v>1</v>
      </c>
      <c r="Q60">
        <f t="shared" si="2"/>
        <v>0</v>
      </c>
      <c r="S60">
        <f t="shared" si="3"/>
        <v>-15.297204968944099</v>
      </c>
      <c r="T60">
        <f t="shared" si="4"/>
        <v>-3.25</v>
      </c>
      <c r="U60">
        <f t="shared" si="5"/>
        <v>-13.804347826086957</v>
      </c>
      <c r="V60">
        <f t="shared" si="6"/>
        <v>-1.2</v>
      </c>
      <c r="W60">
        <f t="shared" si="7"/>
        <v>0</v>
      </c>
      <c r="X60">
        <f t="shared" si="8"/>
        <v>2.6</v>
      </c>
      <c r="Y60">
        <f t="shared" si="9"/>
        <v>0.35714285714285715</v>
      </c>
    </row>
    <row r="61" spans="1:25" x14ac:dyDescent="0.2">
      <c r="A61" t="s">
        <v>51</v>
      </c>
      <c r="B61" t="s">
        <v>474</v>
      </c>
      <c r="C61">
        <v>510</v>
      </c>
      <c r="D61">
        <v>250</v>
      </c>
      <c r="E61">
        <v>28</v>
      </c>
      <c r="F61">
        <v>4.5</v>
      </c>
      <c r="G61">
        <v>0</v>
      </c>
      <c r="H61">
        <v>30</v>
      </c>
      <c r="I61">
        <v>1180</v>
      </c>
      <c r="J61">
        <v>51</v>
      </c>
      <c r="K61">
        <v>2</v>
      </c>
      <c r="L61">
        <v>7</v>
      </c>
      <c r="M61">
        <v>16</v>
      </c>
      <c r="N61">
        <v>506</v>
      </c>
      <c r="O61" s="3">
        <f t="shared" si="10"/>
        <v>3.1372549019607843</v>
      </c>
      <c r="P61">
        <f t="shared" si="1"/>
        <v>1</v>
      </c>
      <c r="Q61">
        <f t="shared" si="2"/>
        <v>0</v>
      </c>
      <c r="S61">
        <f t="shared" si="3"/>
        <v>-12.836801242236026</v>
      </c>
      <c r="T61">
        <f t="shared" si="4"/>
        <v>-1.125</v>
      </c>
      <c r="U61">
        <f t="shared" si="5"/>
        <v>-12.82608695652174</v>
      </c>
      <c r="V61">
        <f t="shared" si="6"/>
        <v>-2.8000000000000003</v>
      </c>
      <c r="W61">
        <f t="shared" si="7"/>
        <v>0</v>
      </c>
      <c r="X61">
        <f t="shared" si="8"/>
        <v>3.2</v>
      </c>
      <c r="Y61">
        <f t="shared" si="9"/>
        <v>0.7142857142857143</v>
      </c>
    </row>
    <row r="62" spans="1:25" x14ac:dyDescent="0.2">
      <c r="A62" t="s">
        <v>51</v>
      </c>
      <c r="B62" t="s">
        <v>479</v>
      </c>
      <c r="C62">
        <v>390</v>
      </c>
      <c r="D62">
        <v>190</v>
      </c>
      <c r="E62">
        <v>21</v>
      </c>
      <c r="F62">
        <v>3.5</v>
      </c>
      <c r="G62">
        <v>0</v>
      </c>
      <c r="H62">
        <v>30</v>
      </c>
      <c r="I62">
        <v>740</v>
      </c>
      <c r="J62">
        <v>37</v>
      </c>
      <c r="K62">
        <v>2</v>
      </c>
      <c r="L62">
        <v>6</v>
      </c>
      <c r="M62">
        <v>12</v>
      </c>
      <c r="N62">
        <v>388</v>
      </c>
      <c r="O62" s="3">
        <f t="shared" si="10"/>
        <v>3.0769230769230771</v>
      </c>
      <c r="P62">
        <f t="shared" si="1"/>
        <v>1</v>
      </c>
      <c r="Q62">
        <f t="shared" si="2"/>
        <v>0</v>
      </c>
      <c r="S62">
        <f t="shared" si="3"/>
        <v>-8.204192546583851</v>
      </c>
      <c r="T62">
        <f t="shared" si="4"/>
        <v>-0.875</v>
      </c>
      <c r="U62">
        <f t="shared" si="5"/>
        <v>-8.0434782608695645</v>
      </c>
      <c r="V62">
        <f t="shared" si="6"/>
        <v>-2.4</v>
      </c>
      <c r="W62">
        <f t="shared" si="7"/>
        <v>0</v>
      </c>
      <c r="X62">
        <f t="shared" si="8"/>
        <v>2.4</v>
      </c>
      <c r="Y62">
        <f t="shared" si="9"/>
        <v>0.7142857142857143</v>
      </c>
    </row>
    <row r="63" spans="1:25" x14ac:dyDescent="0.2">
      <c r="A63" t="s">
        <v>51</v>
      </c>
      <c r="B63" t="s">
        <v>498</v>
      </c>
      <c r="C63">
        <v>170</v>
      </c>
      <c r="D63">
        <v>80</v>
      </c>
      <c r="E63">
        <v>9</v>
      </c>
      <c r="F63">
        <v>3</v>
      </c>
      <c r="G63">
        <v>0</v>
      </c>
      <c r="H63">
        <v>10</v>
      </c>
      <c r="I63">
        <v>410</v>
      </c>
      <c r="J63">
        <v>19</v>
      </c>
      <c r="K63">
        <v>2</v>
      </c>
      <c r="L63">
        <v>1</v>
      </c>
      <c r="M63">
        <v>5</v>
      </c>
      <c r="N63">
        <v>169</v>
      </c>
      <c r="O63" s="3">
        <f t="shared" si="10"/>
        <v>2.9411764705882351</v>
      </c>
      <c r="P63">
        <f t="shared" si="1"/>
        <v>0</v>
      </c>
      <c r="Q63">
        <f t="shared" si="2"/>
        <v>0</v>
      </c>
      <c r="S63">
        <f t="shared" si="3"/>
        <v>-3.8922360248447205</v>
      </c>
      <c r="T63">
        <f t="shared" si="4"/>
        <v>-0.75</v>
      </c>
      <c r="U63">
        <f t="shared" si="5"/>
        <v>-4.4565217391304346</v>
      </c>
      <c r="V63">
        <f t="shared" si="6"/>
        <v>-0.4</v>
      </c>
      <c r="W63">
        <f t="shared" si="7"/>
        <v>0</v>
      </c>
      <c r="X63">
        <f t="shared" si="8"/>
        <v>1.0000000000000002</v>
      </c>
      <c r="Y63">
        <f t="shared" si="9"/>
        <v>0.7142857142857143</v>
      </c>
    </row>
    <row r="64" spans="1:25" x14ac:dyDescent="0.2">
      <c r="A64" t="s">
        <v>51</v>
      </c>
      <c r="B64" t="s">
        <v>499</v>
      </c>
      <c r="C64">
        <v>170</v>
      </c>
      <c r="D64">
        <v>40</v>
      </c>
      <c r="E64">
        <v>4.5</v>
      </c>
      <c r="F64">
        <v>3</v>
      </c>
      <c r="G64">
        <v>0</v>
      </c>
      <c r="H64">
        <v>20</v>
      </c>
      <c r="I64">
        <v>150</v>
      </c>
      <c r="J64">
        <v>28</v>
      </c>
      <c r="K64">
        <v>0</v>
      </c>
      <c r="L64">
        <v>24</v>
      </c>
      <c r="M64">
        <v>5</v>
      </c>
      <c r="N64">
        <v>192</v>
      </c>
      <c r="O64" s="3">
        <f t="shared" si="10"/>
        <v>2.9411764705882351</v>
      </c>
      <c r="P64">
        <f t="shared" si="1"/>
        <v>0</v>
      </c>
      <c r="Q64">
        <f t="shared" si="2"/>
        <v>0</v>
      </c>
      <c r="S64">
        <f t="shared" si="3"/>
        <v>-10.980434782608695</v>
      </c>
      <c r="T64">
        <f t="shared" si="4"/>
        <v>-0.75</v>
      </c>
      <c r="U64">
        <f t="shared" si="5"/>
        <v>-1.6304347826086956</v>
      </c>
      <c r="V64">
        <f t="shared" si="6"/>
        <v>-9.6</v>
      </c>
      <c r="W64">
        <f t="shared" si="7"/>
        <v>0</v>
      </c>
      <c r="X64">
        <f t="shared" si="8"/>
        <v>1.0000000000000002</v>
      </c>
      <c r="Y64">
        <f t="shared" si="9"/>
        <v>0</v>
      </c>
    </row>
    <row r="65" spans="1:25" x14ac:dyDescent="0.2">
      <c r="A65" t="s">
        <v>51</v>
      </c>
      <c r="B65" t="s">
        <v>509</v>
      </c>
      <c r="C65">
        <v>420</v>
      </c>
      <c r="D65">
        <v>250</v>
      </c>
      <c r="E65">
        <v>28</v>
      </c>
      <c r="F65">
        <v>6</v>
      </c>
      <c r="G65">
        <v>0</v>
      </c>
      <c r="H65">
        <v>35</v>
      </c>
      <c r="I65">
        <v>1050</v>
      </c>
      <c r="J65">
        <v>28</v>
      </c>
      <c r="K65">
        <v>1</v>
      </c>
      <c r="L65">
        <v>2</v>
      </c>
      <c r="M65">
        <v>12</v>
      </c>
      <c r="N65">
        <v>416</v>
      </c>
      <c r="O65" s="3">
        <f t="shared" si="10"/>
        <v>2.8571428571428572</v>
      </c>
      <c r="P65">
        <f t="shared" si="1"/>
        <v>1</v>
      </c>
      <c r="Q65">
        <f t="shared" si="2"/>
        <v>0</v>
      </c>
      <c r="S65">
        <f t="shared" si="3"/>
        <v>-10.955900621118012</v>
      </c>
      <c r="T65">
        <f t="shared" si="4"/>
        <v>-1.5</v>
      </c>
      <c r="U65">
        <f t="shared" si="5"/>
        <v>-11.413043478260869</v>
      </c>
      <c r="V65">
        <f t="shared" si="6"/>
        <v>-0.8</v>
      </c>
      <c r="W65">
        <f t="shared" si="7"/>
        <v>0</v>
      </c>
      <c r="X65">
        <f t="shared" si="8"/>
        <v>2.4</v>
      </c>
      <c r="Y65">
        <f t="shared" si="9"/>
        <v>0.35714285714285715</v>
      </c>
    </row>
    <row r="66" spans="1:25" x14ac:dyDescent="0.2">
      <c r="A66" t="s">
        <v>51</v>
      </c>
      <c r="B66" t="s">
        <v>524</v>
      </c>
      <c r="C66">
        <v>900</v>
      </c>
      <c r="D66">
        <v>420</v>
      </c>
      <c r="E66">
        <v>46</v>
      </c>
      <c r="F66">
        <v>12</v>
      </c>
      <c r="G66">
        <v>0</v>
      </c>
      <c r="H66">
        <v>380</v>
      </c>
      <c r="I66">
        <v>1760</v>
      </c>
      <c r="J66">
        <v>95</v>
      </c>
      <c r="K66">
        <v>5</v>
      </c>
      <c r="L66">
        <v>31</v>
      </c>
      <c r="M66">
        <v>25</v>
      </c>
      <c r="N66">
        <v>918</v>
      </c>
      <c r="O66" s="3">
        <f t="shared" si="10"/>
        <v>2.7777777777777777</v>
      </c>
      <c r="P66">
        <f t="shared" si="1"/>
        <v>1</v>
      </c>
      <c r="Q66">
        <f t="shared" si="2"/>
        <v>1</v>
      </c>
      <c r="S66">
        <f t="shared" si="3"/>
        <v>-27.744720496894409</v>
      </c>
      <c r="T66">
        <f t="shared" si="4"/>
        <v>-3</v>
      </c>
      <c r="U66">
        <f t="shared" si="5"/>
        <v>-19.130434782608695</v>
      </c>
      <c r="V66">
        <f t="shared" si="6"/>
        <v>-12.4</v>
      </c>
      <c r="W66">
        <f t="shared" si="7"/>
        <v>0</v>
      </c>
      <c r="X66">
        <f t="shared" si="8"/>
        <v>5</v>
      </c>
      <c r="Y66">
        <f t="shared" si="9"/>
        <v>1.785714285714286</v>
      </c>
    </row>
    <row r="67" spans="1:25" x14ac:dyDescent="0.2">
      <c r="A67" t="s">
        <v>51</v>
      </c>
      <c r="B67" t="s">
        <v>535</v>
      </c>
      <c r="C67">
        <v>450</v>
      </c>
      <c r="D67">
        <v>270</v>
      </c>
      <c r="E67">
        <v>30</v>
      </c>
      <c r="F67">
        <v>5</v>
      </c>
      <c r="G67">
        <v>0</v>
      </c>
      <c r="H67">
        <v>30</v>
      </c>
      <c r="I67">
        <v>780</v>
      </c>
      <c r="J67">
        <v>34</v>
      </c>
      <c r="K67">
        <v>2</v>
      </c>
      <c r="L67">
        <v>5</v>
      </c>
      <c r="M67">
        <v>12</v>
      </c>
      <c r="N67">
        <v>448</v>
      </c>
      <c r="O67" s="3">
        <f t="shared" si="10"/>
        <v>2.666666666666667</v>
      </c>
      <c r="P67">
        <f t="shared" si="1"/>
        <v>1</v>
      </c>
      <c r="Q67">
        <f t="shared" si="2"/>
        <v>0</v>
      </c>
      <c r="S67">
        <f t="shared" si="3"/>
        <v>-8.613975155279503</v>
      </c>
      <c r="T67">
        <f t="shared" si="4"/>
        <v>-1.25</v>
      </c>
      <c r="U67">
        <f t="shared" si="5"/>
        <v>-8.4782608695652169</v>
      </c>
      <c r="V67">
        <f t="shared" si="6"/>
        <v>-2.0000000000000004</v>
      </c>
      <c r="W67">
        <f t="shared" si="7"/>
        <v>0</v>
      </c>
      <c r="X67">
        <f t="shared" si="8"/>
        <v>2.4</v>
      </c>
      <c r="Y67">
        <f t="shared" si="9"/>
        <v>0.7142857142857143</v>
      </c>
    </row>
    <row r="68" spans="1:25" x14ac:dyDescent="0.2">
      <c r="A68" t="s">
        <v>51</v>
      </c>
      <c r="B68" t="s">
        <v>543</v>
      </c>
      <c r="C68">
        <v>190</v>
      </c>
      <c r="D68">
        <v>40</v>
      </c>
      <c r="E68">
        <v>4.5</v>
      </c>
      <c r="F68">
        <v>3</v>
      </c>
      <c r="G68">
        <v>0</v>
      </c>
      <c r="H68">
        <v>20</v>
      </c>
      <c r="I68">
        <v>150</v>
      </c>
      <c r="J68">
        <v>32</v>
      </c>
      <c r="K68">
        <v>0</v>
      </c>
      <c r="L68">
        <v>24</v>
      </c>
      <c r="M68">
        <v>5</v>
      </c>
      <c r="N68">
        <v>212</v>
      </c>
      <c r="O68" s="3">
        <f t="shared" ref="O68:O99" si="11">M68/C68*100</f>
        <v>2.6315789473684208</v>
      </c>
      <c r="P68">
        <f t="shared" ref="P68:P131" si="12">IF(I68&gt;2300*0.2,1,0)</f>
        <v>0</v>
      </c>
      <c r="Q68">
        <f t="shared" ref="Q68:Q131" si="13">IF(H68&gt;300,1,0)</f>
        <v>0</v>
      </c>
      <c r="S68">
        <f t="shared" ref="S68:S131" si="14">T68+U68+V68+W68+X68+Y68</f>
        <v>-10.980434782608695</v>
      </c>
      <c r="T68">
        <f t="shared" ref="T68:T131" si="15">$T$1*F68</f>
        <v>-0.75</v>
      </c>
      <c r="U68">
        <f t="shared" ref="U68:U131" si="16">($U$1*(I68/2300))*100</f>
        <v>-1.6304347826086956</v>
      </c>
      <c r="V68">
        <f t="shared" ref="V68:V131" si="17">((L68/50)*$V$1)*100</f>
        <v>-9.6</v>
      </c>
      <c r="W68">
        <f t="shared" ref="W68:W131" si="18">(G68/100)*$W$1</f>
        <v>0</v>
      </c>
      <c r="X68">
        <f t="shared" ref="X68:X131" si="19">($X$1*(M68/50))*100</f>
        <v>1.0000000000000002</v>
      </c>
      <c r="Y68">
        <f t="shared" ref="Y68:Y131" si="20">($Y$1*(K68/28))*100</f>
        <v>0</v>
      </c>
    </row>
    <row r="69" spans="1:25" x14ac:dyDescent="0.2">
      <c r="A69" t="s">
        <v>51</v>
      </c>
      <c r="B69" t="s">
        <v>552</v>
      </c>
      <c r="C69">
        <v>930</v>
      </c>
      <c r="D69">
        <v>390</v>
      </c>
      <c r="E69">
        <v>44</v>
      </c>
      <c r="F69">
        <v>11</v>
      </c>
      <c r="G69">
        <v>0</v>
      </c>
      <c r="H69">
        <v>390</v>
      </c>
      <c r="I69">
        <v>2230</v>
      </c>
      <c r="J69">
        <v>110</v>
      </c>
      <c r="K69">
        <v>4</v>
      </c>
      <c r="L69">
        <v>40</v>
      </c>
      <c r="M69">
        <v>24</v>
      </c>
      <c r="N69">
        <v>957</v>
      </c>
      <c r="O69" s="3">
        <f t="shared" si="11"/>
        <v>2.5806451612903225</v>
      </c>
      <c r="P69">
        <f t="shared" si="12"/>
        <v>1</v>
      </c>
      <c r="Q69">
        <f t="shared" si="13"/>
        <v>1</v>
      </c>
      <c r="S69">
        <f t="shared" si="14"/>
        <v>-36.760559006211182</v>
      </c>
      <c r="T69">
        <f t="shared" si="15"/>
        <v>-2.75</v>
      </c>
      <c r="U69">
        <f t="shared" si="16"/>
        <v>-24.239130434782609</v>
      </c>
      <c r="V69">
        <f t="shared" si="17"/>
        <v>-16.000000000000004</v>
      </c>
      <c r="W69">
        <f t="shared" si="18"/>
        <v>0</v>
      </c>
      <c r="X69">
        <f t="shared" si="19"/>
        <v>4.8</v>
      </c>
      <c r="Y69">
        <f t="shared" si="20"/>
        <v>1.4285714285714286</v>
      </c>
    </row>
    <row r="70" spans="1:25" x14ac:dyDescent="0.2">
      <c r="A70" t="s">
        <v>51</v>
      </c>
      <c r="B70" t="s">
        <v>569</v>
      </c>
      <c r="C70">
        <v>580</v>
      </c>
      <c r="D70">
        <v>140</v>
      </c>
      <c r="E70">
        <v>15</v>
      </c>
      <c r="F70">
        <v>10</v>
      </c>
      <c r="G70">
        <v>0</v>
      </c>
      <c r="H70">
        <v>60</v>
      </c>
      <c r="I70">
        <v>420</v>
      </c>
      <c r="J70">
        <v>98</v>
      </c>
      <c r="K70">
        <v>0</v>
      </c>
      <c r="L70">
        <v>85</v>
      </c>
      <c r="M70">
        <v>14</v>
      </c>
      <c r="N70">
        <v>661</v>
      </c>
      <c r="O70" s="3">
        <f t="shared" si="11"/>
        <v>2.4137931034482758</v>
      </c>
      <c r="P70">
        <f t="shared" si="12"/>
        <v>0</v>
      </c>
      <c r="Q70">
        <f t="shared" si="13"/>
        <v>0</v>
      </c>
      <c r="S70">
        <f t="shared" si="14"/>
        <v>-38.265217391304347</v>
      </c>
      <c r="T70">
        <f t="shared" si="15"/>
        <v>-2.5</v>
      </c>
      <c r="U70">
        <f t="shared" si="16"/>
        <v>-4.5652173913043477</v>
      </c>
      <c r="V70">
        <f t="shared" si="17"/>
        <v>-34</v>
      </c>
      <c r="W70">
        <f t="shared" si="18"/>
        <v>0</v>
      </c>
      <c r="X70">
        <f t="shared" si="19"/>
        <v>2.8000000000000003</v>
      </c>
      <c r="Y70">
        <f t="shared" si="20"/>
        <v>0</v>
      </c>
    </row>
    <row r="71" spans="1:25" x14ac:dyDescent="0.2">
      <c r="A71" t="s">
        <v>51</v>
      </c>
      <c r="B71" t="s">
        <v>576</v>
      </c>
      <c r="C71">
        <v>170</v>
      </c>
      <c r="D71">
        <v>30</v>
      </c>
      <c r="E71">
        <v>3</v>
      </c>
      <c r="F71">
        <v>1.5</v>
      </c>
      <c r="G71">
        <v>0</v>
      </c>
      <c r="H71">
        <v>5</v>
      </c>
      <c r="I71">
        <v>260</v>
      </c>
      <c r="J71">
        <v>32</v>
      </c>
      <c r="K71">
        <v>3</v>
      </c>
      <c r="L71">
        <v>12</v>
      </c>
      <c r="M71">
        <v>4</v>
      </c>
      <c r="N71">
        <v>180</v>
      </c>
      <c r="O71" s="3">
        <f t="shared" si="11"/>
        <v>2.3529411764705883</v>
      </c>
      <c r="P71">
        <f t="shared" si="12"/>
        <v>0</v>
      </c>
      <c r="Q71">
        <f t="shared" si="13"/>
        <v>0</v>
      </c>
      <c r="S71">
        <f t="shared" si="14"/>
        <v>-6.1296583850931681</v>
      </c>
      <c r="T71">
        <f t="shared" si="15"/>
        <v>-0.375</v>
      </c>
      <c r="U71">
        <f t="shared" si="16"/>
        <v>-2.8260869565217392</v>
      </c>
      <c r="V71">
        <f t="shared" si="17"/>
        <v>-4.8</v>
      </c>
      <c r="W71">
        <f t="shared" si="18"/>
        <v>0</v>
      </c>
      <c r="X71">
        <f t="shared" si="19"/>
        <v>0.8</v>
      </c>
      <c r="Y71">
        <f t="shared" si="20"/>
        <v>1.0714285714285714</v>
      </c>
    </row>
    <row r="72" spans="1:25" x14ac:dyDescent="0.2">
      <c r="A72" t="s">
        <v>51</v>
      </c>
      <c r="B72" t="s">
        <v>577</v>
      </c>
      <c r="C72">
        <v>510</v>
      </c>
      <c r="D72">
        <v>110</v>
      </c>
      <c r="E72">
        <v>13</v>
      </c>
      <c r="F72">
        <v>8</v>
      </c>
      <c r="G72">
        <v>0</v>
      </c>
      <c r="H72">
        <v>50</v>
      </c>
      <c r="I72">
        <v>350</v>
      </c>
      <c r="J72">
        <v>87</v>
      </c>
      <c r="K72">
        <v>1</v>
      </c>
      <c r="L72">
        <v>71</v>
      </c>
      <c r="M72">
        <v>12</v>
      </c>
      <c r="N72">
        <v>577</v>
      </c>
      <c r="O72" s="3">
        <f t="shared" si="11"/>
        <v>2.3529411764705883</v>
      </c>
      <c r="P72">
        <f t="shared" si="12"/>
        <v>0</v>
      </c>
      <c r="Q72">
        <f t="shared" si="13"/>
        <v>0</v>
      </c>
      <c r="S72">
        <f t="shared" si="14"/>
        <v>-31.447204968944103</v>
      </c>
      <c r="T72">
        <f t="shared" si="15"/>
        <v>-2</v>
      </c>
      <c r="U72">
        <f t="shared" si="16"/>
        <v>-3.804347826086957</v>
      </c>
      <c r="V72">
        <f t="shared" si="17"/>
        <v>-28.4</v>
      </c>
      <c r="W72">
        <f t="shared" si="18"/>
        <v>0</v>
      </c>
      <c r="X72">
        <f t="shared" si="19"/>
        <v>2.4</v>
      </c>
      <c r="Y72">
        <f t="shared" si="20"/>
        <v>0.35714285714285715</v>
      </c>
    </row>
    <row r="73" spans="1:25" x14ac:dyDescent="0.2">
      <c r="A73" t="s">
        <v>51</v>
      </c>
      <c r="B73" t="s">
        <v>581</v>
      </c>
      <c r="C73">
        <v>300</v>
      </c>
      <c r="D73">
        <v>80</v>
      </c>
      <c r="E73">
        <v>8</v>
      </c>
      <c r="F73">
        <v>5</v>
      </c>
      <c r="G73">
        <v>0</v>
      </c>
      <c r="H73">
        <v>30</v>
      </c>
      <c r="I73">
        <v>200</v>
      </c>
      <c r="J73">
        <v>50</v>
      </c>
      <c r="K73">
        <v>1</v>
      </c>
      <c r="L73">
        <v>41</v>
      </c>
      <c r="M73">
        <v>7</v>
      </c>
      <c r="N73">
        <v>339</v>
      </c>
      <c r="O73" s="3">
        <f t="shared" si="11"/>
        <v>2.3333333333333335</v>
      </c>
      <c r="P73">
        <f t="shared" si="12"/>
        <v>0</v>
      </c>
      <c r="Q73">
        <f t="shared" si="13"/>
        <v>0</v>
      </c>
      <c r="S73">
        <f t="shared" si="14"/>
        <v>-18.066770186335408</v>
      </c>
      <c r="T73">
        <f t="shared" si="15"/>
        <v>-1.25</v>
      </c>
      <c r="U73">
        <f t="shared" si="16"/>
        <v>-2.1739130434782608</v>
      </c>
      <c r="V73">
        <f t="shared" si="17"/>
        <v>-16.400000000000002</v>
      </c>
      <c r="W73">
        <f t="shared" si="18"/>
        <v>0</v>
      </c>
      <c r="X73">
        <f t="shared" si="19"/>
        <v>1.4000000000000001</v>
      </c>
      <c r="Y73">
        <f t="shared" si="20"/>
        <v>0.35714285714285715</v>
      </c>
    </row>
    <row r="74" spans="1:25" x14ac:dyDescent="0.2">
      <c r="A74" t="s">
        <v>51</v>
      </c>
      <c r="B74" t="s">
        <v>582</v>
      </c>
      <c r="C74">
        <v>300</v>
      </c>
      <c r="D74">
        <v>80</v>
      </c>
      <c r="E74">
        <v>8</v>
      </c>
      <c r="F74">
        <v>5</v>
      </c>
      <c r="G74">
        <v>0</v>
      </c>
      <c r="H74">
        <v>35</v>
      </c>
      <c r="I74">
        <v>210</v>
      </c>
      <c r="J74">
        <v>50</v>
      </c>
      <c r="K74">
        <v>0</v>
      </c>
      <c r="L74">
        <v>41</v>
      </c>
      <c r="M74">
        <v>7</v>
      </c>
      <c r="N74">
        <v>339</v>
      </c>
      <c r="O74" s="3">
        <f t="shared" si="11"/>
        <v>2.3333333333333335</v>
      </c>
      <c r="P74">
        <f t="shared" si="12"/>
        <v>0</v>
      </c>
      <c r="Q74">
        <f t="shared" si="13"/>
        <v>0</v>
      </c>
      <c r="S74">
        <f t="shared" si="14"/>
        <v>-18.532608695652179</v>
      </c>
      <c r="T74">
        <f t="shared" si="15"/>
        <v>-1.25</v>
      </c>
      <c r="U74">
        <f t="shared" si="16"/>
        <v>-2.2826086956521738</v>
      </c>
      <c r="V74">
        <f t="shared" si="17"/>
        <v>-16.400000000000002</v>
      </c>
      <c r="W74">
        <f t="shared" si="18"/>
        <v>0</v>
      </c>
      <c r="X74">
        <f t="shared" si="19"/>
        <v>1.4000000000000001</v>
      </c>
      <c r="Y74">
        <f t="shared" si="20"/>
        <v>0</v>
      </c>
    </row>
    <row r="75" spans="1:25" x14ac:dyDescent="0.2">
      <c r="A75" t="s">
        <v>51</v>
      </c>
      <c r="B75" t="s">
        <v>588</v>
      </c>
      <c r="C75">
        <v>740</v>
      </c>
      <c r="D75">
        <v>190</v>
      </c>
      <c r="E75">
        <v>22</v>
      </c>
      <c r="F75">
        <v>13</v>
      </c>
      <c r="G75">
        <v>0.5</v>
      </c>
      <c r="H75">
        <v>70</v>
      </c>
      <c r="I75">
        <v>680</v>
      </c>
      <c r="J75">
        <v>121</v>
      </c>
      <c r="K75">
        <v>1</v>
      </c>
      <c r="L75">
        <v>101</v>
      </c>
      <c r="M75">
        <v>17</v>
      </c>
      <c r="N75">
        <v>837</v>
      </c>
      <c r="O75" s="3">
        <f t="shared" si="11"/>
        <v>2.2972972972972974</v>
      </c>
      <c r="P75">
        <f t="shared" si="12"/>
        <v>1</v>
      </c>
      <c r="Q75">
        <f t="shared" si="13"/>
        <v>0</v>
      </c>
      <c r="S75">
        <f t="shared" si="14"/>
        <v>-47.284661490683241</v>
      </c>
      <c r="T75">
        <f t="shared" si="15"/>
        <v>-3.25</v>
      </c>
      <c r="U75">
        <f t="shared" si="16"/>
        <v>-7.3913043478260869</v>
      </c>
      <c r="V75">
        <f t="shared" si="17"/>
        <v>-40.400000000000006</v>
      </c>
      <c r="W75">
        <f t="shared" si="18"/>
        <v>-5.0000000000000001E-4</v>
      </c>
      <c r="X75">
        <f t="shared" si="19"/>
        <v>3.4000000000000004</v>
      </c>
      <c r="Y75">
        <f t="shared" si="20"/>
        <v>0.35714285714285715</v>
      </c>
    </row>
    <row r="76" spans="1:25" x14ac:dyDescent="0.2">
      <c r="A76" t="s">
        <v>51</v>
      </c>
      <c r="B76" t="s">
        <v>589</v>
      </c>
      <c r="C76">
        <v>610</v>
      </c>
      <c r="D76">
        <v>140</v>
      </c>
      <c r="E76">
        <v>16</v>
      </c>
      <c r="F76">
        <v>10</v>
      </c>
      <c r="G76">
        <v>0</v>
      </c>
      <c r="H76">
        <v>60</v>
      </c>
      <c r="I76">
        <v>500</v>
      </c>
      <c r="J76">
        <v>103</v>
      </c>
      <c r="K76">
        <v>1</v>
      </c>
      <c r="L76">
        <v>88</v>
      </c>
      <c r="M76">
        <v>14</v>
      </c>
      <c r="N76">
        <v>694</v>
      </c>
      <c r="O76" s="3">
        <f t="shared" si="11"/>
        <v>2.2950819672131146</v>
      </c>
      <c r="P76">
        <f t="shared" si="12"/>
        <v>1</v>
      </c>
      <c r="Q76">
        <f t="shared" si="13"/>
        <v>0</v>
      </c>
      <c r="S76">
        <f t="shared" si="14"/>
        <v>-39.977639751552807</v>
      </c>
      <c r="T76">
        <f t="shared" si="15"/>
        <v>-2.5</v>
      </c>
      <c r="U76">
        <f t="shared" si="16"/>
        <v>-5.4347826086956523</v>
      </c>
      <c r="V76">
        <f t="shared" si="17"/>
        <v>-35.200000000000003</v>
      </c>
      <c r="W76">
        <f t="shared" si="18"/>
        <v>0</v>
      </c>
      <c r="X76">
        <f t="shared" si="19"/>
        <v>2.8000000000000003</v>
      </c>
      <c r="Y76">
        <f t="shared" si="20"/>
        <v>0.35714285714285715</v>
      </c>
    </row>
    <row r="77" spans="1:25" x14ac:dyDescent="0.2">
      <c r="A77" t="s">
        <v>51</v>
      </c>
      <c r="B77" t="s">
        <v>596</v>
      </c>
      <c r="C77">
        <v>400</v>
      </c>
      <c r="D77">
        <v>90</v>
      </c>
      <c r="E77">
        <v>10</v>
      </c>
      <c r="F77">
        <v>7</v>
      </c>
      <c r="G77">
        <v>0</v>
      </c>
      <c r="H77">
        <v>40</v>
      </c>
      <c r="I77">
        <v>270</v>
      </c>
      <c r="J77">
        <v>68</v>
      </c>
      <c r="K77">
        <v>1</v>
      </c>
      <c r="L77">
        <v>58</v>
      </c>
      <c r="M77">
        <v>9</v>
      </c>
      <c r="N77">
        <v>456</v>
      </c>
      <c r="O77" s="3">
        <f t="shared" si="11"/>
        <v>2.25</v>
      </c>
      <c r="P77">
        <f t="shared" si="12"/>
        <v>0</v>
      </c>
      <c r="Q77">
        <f t="shared" si="13"/>
        <v>0</v>
      </c>
      <c r="S77">
        <f t="shared" si="14"/>
        <v>-25.727639751552793</v>
      </c>
      <c r="T77">
        <f t="shared" si="15"/>
        <v>-1.75</v>
      </c>
      <c r="U77">
        <f t="shared" si="16"/>
        <v>-2.9347826086956523</v>
      </c>
      <c r="V77">
        <f t="shared" si="17"/>
        <v>-23.2</v>
      </c>
      <c r="W77">
        <f t="shared" si="18"/>
        <v>0</v>
      </c>
      <c r="X77">
        <f t="shared" si="19"/>
        <v>1.7999999999999998</v>
      </c>
      <c r="Y77">
        <f t="shared" si="20"/>
        <v>0.35714285714285715</v>
      </c>
    </row>
    <row r="78" spans="1:25" x14ac:dyDescent="0.2">
      <c r="A78" t="s">
        <v>51</v>
      </c>
      <c r="B78" t="s">
        <v>597</v>
      </c>
      <c r="C78">
        <v>400</v>
      </c>
      <c r="D78">
        <v>90</v>
      </c>
      <c r="E78">
        <v>10</v>
      </c>
      <c r="F78">
        <v>7</v>
      </c>
      <c r="G78">
        <v>0</v>
      </c>
      <c r="H78">
        <v>40</v>
      </c>
      <c r="I78">
        <v>280</v>
      </c>
      <c r="J78">
        <v>68</v>
      </c>
      <c r="K78">
        <v>0</v>
      </c>
      <c r="L78">
        <v>56</v>
      </c>
      <c r="M78">
        <v>9</v>
      </c>
      <c r="N78">
        <v>454</v>
      </c>
      <c r="O78" s="3">
        <f t="shared" si="11"/>
        <v>2.25</v>
      </c>
      <c r="P78">
        <f t="shared" si="12"/>
        <v>0</v>
      </c>
      <c r="Q78">
        <f t="shared" si="13"/>
        <v>0</v>
      </c>
      <c r="S78">
        <f t="shared" si="14"/>
        <v>-25.393478260869568</v>
      </c>
      <c r="T78">
        <f t="shared" si="15"/>
        <v>-1.75</v>
      </c>
      <c r="U78">
        <f t="shared" si="16"/>
        <v>-3.0434782608695654</v>
      </c>
      <c r="V78">
        <f t="shared" si="17"/>
        <v>-22.400000000000002</v>
      </c>
      <c r="W78">
        <f t="shared" si="18"/>
        <v>0</v>
      </c>
      <c r="X78">
        <f t="shared" si="19"/>
        <v>1.7999999999999998</v>
      </c>
      <c r="Y78">
        <f t="shared" si="20"/>
        <v>0</v>
      </c>
    </row>
    <row r="79" spans="1:25" x14ac:dyDescent="0.2">
      <c r="A79" t="s">
        <v>51</v>
      </c>
      <c r="B79" t="s">
        <v>604</v>
      </c>
      <c r="C79">
        <v>720</v>
      </c>
      <c r="D79">
        <v>180</v>
      </c>
      <c r="E79">
        <v>20</v>
      </c>
      <c r="F79">
        <v>12</v>
      </c>
      <c r="G79">
        <v>0.5</v>
      </c>
      <c r="H79">
        <v>65</v>
      </c>
      <c r="I79">
        <v>540</v>
      </c>
      <c r="J79">
        <v>118</v>
      </c>
      <c r="K79">
        <v>1</v>
      </c>
      <c r="L79">
        <v>98</v>
      </c>
      <c r="M79">
        <v>16</v>
      </c>
      <c r="N79">
        <v>814</v>
      </c>
      <c r="O79" s="3">
        <f t="shared" si="11"/>
        <v>2.2222222222222223</v>
      </c>
      <c r="P79">
        <f t="shared" si="12"/>
        <v>1</v>
      </c>
      <c r="Q79">
        <f t="shared" si="13"/>
        <v>0</v>
      </c>
      <c r="S79">
        <f t="shared" si="14"/>
        <v>-44.512922360248453</v>
      </c>
      <c r="T79">
        <f t="shared" si="15"/>
        <v>-3</v>
      </c>
      <c r="U79">
        <f t="shared" si="16"/>
        <v>-5.8695652173913047</v>
      </c>
      <c r="V79">
        <f t="shared" si="17"/>
        <v>-39.200000000000003</v>
      </c>
      <c r="W79">
        <f t="shared" si="18"/>
        <v>-5.0000000000000001E-4</v>
      </c>
      <c r="X79">
        <f t="shared" si="19"/>
        <v>3.2</v>
      </c>
      <c r="Y79">
        <f t="shared" si="20"/>
        <v>0.35714285714285715</v>
      </c>
    </row>
    <row r="80" spans="1:25" x14ac:dyDescent="0.2">
      <c r="A80" t="s">
        <v>51</v>
      </c>
      <c r="B80" t="s">
        <v>606</v>
      </c>
      <c r="C80">
        <v>500</v>
      </c>
      <c r="D80">
        <v>110</v>
      </c>
      <c r="E80">
        <v>12</v>
      </c>
      <c r="F80">
        <v>8</v>
      </c>
      <c r="G80">
        <v>0</v>
      </c>
      <c r="H80">
        <v>50</v>
      </c>
      <c r="I80">
        <v>350</v>
      </c>
      <c r="J80">
        <v>86</v>
      </c>
      <c r="K80">
        <v>0</v>
      </c>
      <c r="L80">
        <v>71</v>
      </c>
      <c r="M80">
        <v>11</v>
      </c>
      <c r="N80">
        <v>568</v>
      </c>
      <c r="O80" s="3">
        <f t="shared" si="11"/>
        <v>2.1999999999999997</v>
      </c>
      <c r="P80">
        <f t="shared" si="12"/>
        <v>0</v>
      </c>
      <c r="Q80">
        <f t="shared" si="13"/>
        <v>0</v>
      </c>
      <c r="S80">
        <f t="shared" si="14"/>
        <v>-32.004347826086956</v>
      </c>
      <c r="T80">
        <f t="shared" si="15"/>
        <v>-2</v>
      </c>
      <c r="U80">
        <f t="shared" si="16"/>
        <v>-3.804347826086957</v>
      </c>
      <c r="V80">
        <f t="shared" si="17"/>
        <v>-28.4</v>
      </c>
      <c r="W80">
        <f t="shared" si="18"/>
        <v>0</v>
      </c>
      <c r="X80">
        <f t="shared" si="19"/>
        <v>2.2000000000000002</v>
      </c>
      <c r="Y80">
        <f t="shared" si="20"/>
        <v>0</v>
      </c>
    </row>
    <row r="81" spans="1:25" x14ac:dyDescent="0.2">
      <c r="A81" t="s">
        <v>51</v>
      </c>
      <c r="B81" t="s">
        <v>607</v>
      </c>
      <c r="C81">
        <v>640</v>
      </c>
      <c r="D81">
        <v>140</v>
      </c>
      <c r="E81">
        <v>15</v>
      </c>
      <c r="F81">
        <v>10</v>
      </c>
      <c r="G81">
        <v>0</v>
      </c>
      <c r="H81">
        <v>60</v>
      </c>
      <c r="I81">
        <v>440</v>
      </c>
      <c r="J81">
        <v>113</v>
      </c>
      <c r="K81">
        <v>0</v>
      </c>
      <c r="L81">
        <v>99</v>
      </c>
      <c r="M81">
        <v>14</v>
      </c>
      <c r="N81">
        <v>735</v>
      </c>
      <c r="O81" s="3">
        <f t="shared" si="11"/>
        <v>2.1875</v>
      </c>
      <c r="P81">
        <f t="shared" si="12"/>
        <v>0</v>
      </c>
      <c r="Q81">
        <f t="shared" si="13"/>
        <v>0</v>
      </c>
      <c r="S81">
        <f t="shared" si="14"/>
        <v>-44.082608695652176</v>
      </c>
      <c r="T81">
        <f t="shared" si="15"/>
        <v>-2.5</v>
      </c>
      <c r="U81">
        <f t="shared" si="16"/>
        <v>-4.7826086956521738</v>
      </c>
      <c r="V81">
        <f t="shared" si="17"/>
        <v>-39.6</v>
      </c>
      <c r="W81">
        <f t="shared" si="18"/>
        <v>0</v>
      </c>
      <c r="X81">
        <f t="shared" si="19"/>
        <v>2.8000000000000003</v>
      </c>
      <c r="Y81">
        <f t="shared" si="20"/>
        <v>0</v>
      </c>
    </row>
    <row r="82" spans="1:25" x14ac:dyDescent="0.2">
      <c r="A82" t="s">
        <v>51</v>
      </c>
      <c r="B82" t="s">
        <v>621</v>
      </c>
      <c r="C82">
        <v>240</v>
      </c>
      <c r="D82">
        <v>50</v>
      </c>
      <c r="E82">
        <v>5</v>
      </c>
      <c r="F82">
        <v>3.5</v>
      </c>
      <c r="G82">
        <v>0</v>
      </c>
      <c r="H82">
        <v>20</v>
      </c>
      <c r="I82">
        <v>210</v>
      </c>
      <c r="J82">
        <v>42</v>
      </c>
      <c r="K82">
        <v>0</v>
      </c>
      <c r="L82">
        <v>33</v>
      </c>
      <c r="M82">
        <v>5</v>
      </c>
      <c r="N82">
        <v>272</v>
      </c>
      <c r="O82" s="3">
        <f t="shared" si="11"/>
        <v>2.083333333333333</v>
      </c>
      <c r="P82">
        <f t="shared" si="12"/>
        <v>0</v>
      </c>
      <c r="Q82">
        <f t="shared" si="13"/>
        <v>0</v>
      </c>
      <c r="S82">
        <f t="shared" si="14"/>
        <v>-15.357608695652175</v>
      </c>
      <c r="T82">
        <f t="shared" si="15"/>
        <v>-0.875</v>
      </c>
      <c r="U82">
        <f t="shared" si="16"/>
        <v>-2.2826086956521738</v>
      </c>
      <c r="V82">
        <f t="shared" si="17"/>
        <v>-13.200000000000001</v>
      </c>
      <c r="W82">
        <f t="shared" si="18"/>
        <v>0</v>
      </c>
      <c r="X82">
        <f t="shared" si="19"/>
        <v>1.0000000000000002</v>
      </c>
      <c r="Y82">
        <f t="shared" si="20"/>
        <v>0</v>
      </c>
    </row>
    <row r="83" spans="1:25" x14ac:dyDescent="0.2">
      <c r="A83" t="s">
        <v>51</v>
      </c>
      <c r="B83" t="s">
        <v>628</v>
      </c>
      <c r="C83">
        <v>610</v>
      </c>
      <c r="D83">
        <v>280</v>
      </c>
      <c r="E83">
        <v>31</v>
      </c>
      <c r="F83">
        <v>9</v>
      </c>
      <c r="G83">
        <v>0</v>
      </c>
      <c r="H83">
        <v>80</v>
      </c>
      <c r="I83">
        <v>1010</v>
      </c>
      <c r="J83">
        <v>72</v>
      </c>
      <c r="K83">
        <v>1</v>
      </c>
      <c r="L83">
        <v>30</v>
      </c>
      <c r="M83">
        <v>12</v>
      </c>
      <c r="N83">
        <v>637</v>
      </c>
      <c r="O83" s="3">
        <f t="shared" si="11"/>
        <v>1.9672131147540985</v>
      </c>
      <c r="P83">
        <f t="shared" si="12"/>
        <v>1</v>
      </c>
      <c r="Q83">
        <f t="shared" si="13"/>
        <v>0</v>
      </c>
      <c r="S83">
        <f t="shared" si="14"/>
        <v>-22.471118012422362</v>
      </c>
      <c r="T83">
        <f t="shared" si="15"/>
        <v>-2.25</v>
      </c>
      <c r="U83">
        <f t="shared" si="16"/>
        <v>-10.978260869565219</v>
      </c>
      <c r="V83">
        <f t="shared" si="17"/>
        <v>-12</v>
      </c>
      <c r="W83">
        <f t="shared" si="18"/>
        <v>0</v>
      </c>
      <c r="X83">
        <f t="shared" si="19"/>
        <v>2.4</v>
      </c>
      <c r="Y83">
        <f t="shared" si="20"/>
        <v>0.35714285714285715</v>
      </c>
    </row>
    <row r="84" spans="1:25" x14ac:dyDescent="0.2">
      <c r="A84" t="s">
        <v>51</v>
      </c>
      <c r="B84" t="s">
        <v>632</v>
      </c>
      <c r="C84">
        <v>260</v>
      </c>
      <c r="D84">
        <v>45</v>
      </c>
      <c r="E84">
        <v>5</v>
      </c>
      <c r="F84">
        <v>3</v>
      </c>
      <c r="G84">
        <v>0</v>
      </c>
      <c r="H84">
        <v>20</v>
      </c>
      <c r="I84">
        <v>160</v>
      </c>
      <c r="J84">
        <v>49</v>
      </c>
      <c r="K84">
        <v>1</v>
      </c>
      <c r="L84">
        <v>43</v>
      </c>
      <c r="M84">
        <v>5</v>
      </c>
      <c r="N84">
        <v>301</v>
      </c>
      <c r="O84" s="3">
        <f t="shared" si="11"/>
        <v>1.9230769230769231</v>
      </c>
      <c r="P84">
        <f t="shared" si="12"/>
        <v>0</v>
      </c>
      <c r="Q84">
        <f t="shared" si="13"/>
        <v>0</v>
      </c>
      <c r="S84">
        <f t="shared" si="14"/>
        <v>-18.331987577639755</v>
      </c>
      <c r="T84">
        <f t="shared" si="15"/>
        <v>-0.75</v>
      </c>
      <c r="U84">
        <f t="shared" si="16"/>
        <v>-1.7391304347826086</v>
      </c>
      <c r="V84">
        <f t="shared" si="17"/>
        <v>-17.200000000000003</v>
      </c>
      <c r="W84">
        <f t="shared" si="18"/>
        <v>0</v>
      </c>
      <c r="X84">
        <f t="shared" si="19"/>
        <v>1.0000000000000002</v>
      </c>
      <c r="Y84">
        <f t="shared" si="20"/>
        <v>0.35714285714285715</v>
      </c>
    </row>
    <row r="85" spans="1:25" x14ac:dyDescent="0.2">
      <c r="A85" t="s">
        <v>51</v>
      </c>
      <c r="B85" t="s">
        <v>643</v>
      </c>
      <c r="C85">
        <v>350</v>
      </c>
      <c r="D85">
        <v>170</v>
      </c>
      <c r="E85">
        <v>18</v>
      </c>
      <c r="F85">
        <v>8</v>
      </c>
      <c r="G85">
        <v>0</v>
      </c>
      <c r="H85">
        <v>35</v>
      </c>
      <c r="I85">
        <v>310</v>
      </c>
      <c r="J85">
        <v>41</v>
      </c>
      <c r="K85">
        <v>1</v>
      </c>
      <c r="L85">
        <v>25</v>
      </c>
      <c r="M85">
        <v>6</v>
      </c>
      <c r="N85">
        <v>377</v>
      </c>
      <c r="O85" s="3">
        <f t="shared" si="11"/>
        <v>1.7142857142857144</v>
      </c>
      <c r="P85">
        <f t="shared" si="12"/>
        <v>0</v>
      </c>
      <c r="Q85">
        <f t="shared" si="13"/>
        <v>0</v>
      </c>
      <c r="S85">
        <f t="shared" si="14"/>
        <v>-13.812422360248448</v>
      </c>
      <c r="T85">
        <f t="shared" si="15"/>
        <v>-2</v>
      </c>
      <c r="U85">
        <f t="shared" si="16"/>
        <v>-3.3695652173913042</v>
      </c>
      <c r="V85">
        <f t="shared" si="17"/>
        <v>-10</v>
      </c>
      <c r="W85">
        <f t="shared" si="18"/>
        <v>0</v>
      </c>
      <c r="X85">
        <f t="shared" si="19"/>
        <v>1.2</v>
      </c>
      <c r="Y85">
        <f t="shared" si="20"/>
        <v>0.35714285714285715</v>
      </c>
    </row>
    <row r="86" spans="1:25" x14ac:dyDescent="0.2">
      <c r="A86" t="s">
        <v>51</v>
      </c>
      <c r="B86" t="s">
        <v>648</v>
      </c>
      <c r="C86">
        <v>60</v>
      </c>
      <c r="D86">
        <v>20</v>
      </c>
      <c r="E86">
        <v>2.5</v>
      </c>
      <c r="F86">
        <v>0</v>
      </c>
      <c r="G86">
        <v>0</v>
      </c>
      <c r="H86">
        <v>10</v>
      </c>
      <c r="I86">
        <v>180</v>
      </c>
      <c r="J86">
        <v>9</v>
      </c>
      <c r="K86">
        <v>0</v>
      </c>
      <c r="L86">
        <v>1</v>
      </c>
      <c r="M86">
        <v>1</v>
      </c>
      <c r="N86">
        <v>60</v>
      </c>
      <c r="O86" s="3">
        <f t="shared" si="11"/>
        <v>1.6666666666666667</v>
      </c>
      <c r="P86">
        <f t="shared" si="12"/>
        <v>0</v>
      </c>
      <c r="Q86">
        <f t="shared" si="13"/>
        <v>0</v>
      </c>
      <c r="S86">
        <f t="shared" si="14"/>
        <v>-2.1565217391304348</v>
      </c>
      <c r="T86">
        <f t="shared" si="15"/>
        <v>0</v>
      </c>
      <c r="U86">
        <f t="shared" si="16"/>
        <v>-1.956521739130435</v>
      </c>
      <c r="V86">
        <f t="shared" si="17"/>
        <v>-0.4</v>
      </c>
      <c r="W86">
        <f t="shared" si="18"/>
        <v>0</v>
      </c>
      <c r="X86">
        <f t="shared" si="19"/>
        <v>0.2</v>
      </c>
      <c r="Y86">
        <f t="shared" si="20"/>
        <v>0</v>
      </c>
    </row>
    <row r="87" spans="1:25" x14ac:dyDescent="0.2">
      <c r="A87" t="s">
        <v>51</v>
      </c>
      <c r="B87" t="s">
        <v>663</v>
      </c>
      <c r="C87">
        <v>140</v>
      </c>
      <c r="D87">
        <v>0</v>
      </c>
      <c r="E87">
        <v>0</v>
      </c>
      <c r="F87">
        <v>0</v>
      </c>
      <c r="G87">
        <v>0</v>
      </c>
      <c r="H87">
        <v>0</v>
      </c>
      <c r="I87">
        <v>20</v>
      </c>
      <c r="J87">
        <v>33</v>
      </c>
      <c r="K87">
        <v>0</v>
      </c>
      <c r="L87">
        <v>30</v>
      </c>
      <c r="M87">
        <v>2</v>
      </c>
      <c r="N87">
        <v>168</v>
      </c>
      <c r="O87" s="3">
        <f t="shared" si="11"/>
        <v>1.4285714285714286</v>
      </c>
      <c r="P87">
        <f t="shared" si="12"/>
        <v>0</v>
      </c>
      <c r="Q87">
        <f t="shared" si="13"/>
        <v>0</v>
      </c>
      <c r="S87">
        <f t="shared" si="14"/>
        <v>-11.817391304347826</v>
      </c>
      <c r="T87">
        <f t="shared" si="15"/>
        <v>0</v>
      </c>
      <c r="U87">
        <f t="shared" si="16"/>
        <v>-0.21739130434782608</v>
      </c>
      <c r="V87">
        <f t="shared" si="17"/>
        <v>-12</v>
      </c>
      <c r="W87">
        <f t="shared" si="18"/>
        <v>0</v>
      </c>
      <c r="X87">
        <f t="shared" si="19"/>
        <v>0.4</v>
      </c>
      <c r="Y87">
        <f t="shared" si="20"/>
        <v>0</v>
      </c>
    </row>
    <row r="88" spans="1:25" x14ac:dyDescent="0.2">
      <c r="A88" t="s">
        <v>51</v>
      </c>
      <c r="B88" t="s">
        <v>676</v>
      </c>
      <c r="C88">
        <v>380</v>
      </c>
      <c r="D88">
        <v>160</v>
      </c>
      <c r="E88">
        <v>18</v>
      </c>
      <c r="F88">
        <v>3</v>
      </c>
      <c r="G88">
        <v>0</v>
      </c>
      <c r="H88">
        <v>0</v>
      </c>
      <c r="I88">
        <v>430</v>
      </c>
      <c r="J88">
        <v>49</v>
      </c>
      <c r="K88">
        <v>2</v>
      </c>
      <c r="L88">
        <v>13</v>
      </c>
      <c r="M88">
        <v>5</v>
      </c>
      <c r="N88">
        <v>391</v>
      </c>
      <c r="O88" s="3">
        <f t="shared" si="11"/>
        <v>1.3157894736842104</v>
      </c>
      <c r="P88">
        <f t="shared" si="12"/>
        <v>0</v>
      </c>
      <c r="Q88">
        <f t="shared" si="13"/>
        <v>0</v>
      </c>
      <c r="S88">
        <f t="shared" si="14"/>
        <v>-8.9096273291925474</v>
      </c>
      <c r="T88">
        <f t="shared" si="15"/>
        <v>-0.75</v>
      </c>
      <c r="U88">
        <f t="shared" si="16"/>
        <v>-4.6739130434782608</v>
      </c>
      <c r="V88">
        <f t="shared" si="17"/>
        <v>-5.2</v>
      </c>
      <c r="W88">
        <f t="shared" si="18"/>
        <v>0</v>
      </c>
      <c r="X88">
        <f t="shared" si="19"/>
        <v>1.0000000000000002</v>
      </c>
      <c r="Y88">
        <f t="shared" si="20"/>
        <v>0.7142857142857143</v>
      </c>
    </row>
    <row r="89" spans="1:25" x14ac:dyDescent="0.2">
      <c r="A89" t="s">
        <v>51</v>
      </c>
      <c r="B89" t="s">
        <v>679</v>
      </c>
      <c r="C89">
        <v>230</v>
      </c>
      <c r="D89">
        <v>100</v>
      </c>
      <c r="E89">
        <v>11</v>
      </c>
      <c r="F89">
        <v>2</v>
      </c>
      <c r="G89">
        <v>0</v>
      </c>
      <c r="H89">
        <v>0</v>
      </c>
      <c r="I89">
        <v>260</v>
      </c>
      <c r="J89">
        <v>29</v>
      </c>
      <c r="K89">
        <v>1</v>
      </c>
      <c r="L89">
        <v>8</v>
      </c>
      <c r="M89">
        <v>3</v>
      </c>
      <c r="N89">
        <v>237</v>
      </c>
      <c r="O89" s="3">
        <f t="shared" si="11"/>
        <v>1.3043478260869565</v>
      </c>
      <c r="P89">
        <f t="shared" si="12"/>
        <v>0</v>
      </c>
      <c r="Q89">
        <f t="shared" si="13"/>
        <v>0</v>
      </c>
      <c r="S89">
        <f t="shared" si="14"/>
        <v>-5.568944099378883</v>
      </c>
      <c r="T89">
        <f t="shared" si="15"/>
        <v>-0.5</v>
      </c>
      <c r="U89">
        <f t="shared" si="16"/>
        <v>-2.8260869565217392</v>
      </c>
      <c r="V89">
        <f t="shared" si="17"/>
        <v>-3.2</v>
      </c>
      <c r="W89">
        <f t="shared" si="18"/>
        <v>0</v>
      </c>
      <c r="X89">
        <f t="shared" si="19"/>
        <v>0.6</v>
      </c>
      <c r="Y89">
        <f t="shared" si="20"/>
        <v>0.35714285714285715</v>
      </c>
    </row>
    <row r="90" spans="1:25" x14ac:dyDescent="0.2">
      <c r="A90" t="s">
        <v>51</v>
      </c>
      <c r="B90" t="s">
        <v>682</v>
      </c>
      <c r="C90">
        <v>310</v>
      </c>
      <c r="D90">
        <v>10</v>
      </c>
      <c r="E90">
        <v>1</v>
      </c>
      <c r="F90">
        <v>0</v>
      </c>
      <c r="G90">
        <v>0</v>
      </c>
      <c r="H90">
        <v>0</v>
      </c>
      <c r="I90">
        <v>55</v>
      </c>
      <c r="J90">
        <v>71</v>
      </c>
      <c r="K90">
        <v>3</v>
      </c>
      <c r="L90">
        <v>50</v>
      </c>
      <c r="M90">
        <v>4</v>
      </c>
      <c r="N90">
        <v>356</v>
      </c>
      <c r="O90" s="3">
        <f t="shared" si="11"/>
        <v>1.2903225806451613</v>
      </c>
      <c r="P90">
        <f t="shared" si="12"/>
        <v>0</v>
      </c>
      <c r="Q90">
        <f t="shared" si="13"/>
        <v>0</v>
      </c>
      <c r="S90">
        <f t="shared" si="14"/>
        <v>-18.72639751552795</v>
      </c>
      <c r="T90">
        <f t="shared" si="15"/>
        <v>0</v>
      </c>
      <c r="U90">
        <f t="shared" si="16"/>
        <v>-0.59782608695652173</v>
      </c>
      <c r="V90">
        <f t="shared" si="17"/>
        <v>-20</v>
      </c>
      <c r="W90">
        <f t="shared" si="18"/>
        <v>0</v>
      </c>
      <c r="X90">
        <f t="shared" si="19"/>
        <v>0.8</v>
      </c>
      <c r="Y90">
        <f t="shared" si="20"/>
        <v>1.0714285714285714</v>
      </c>
    </row>
    <row r="91" spans="1:25" x14ac:dyDescent="0.2">
      <c r="A91" t="s">
        <v>51</v>
      </c>
      <c r="B91" t="s">
        <v>685</v>
      </c>
      <c r="C91">
        <v>320</v>
      </c>
      <c r="D91">
        <v>120</v>
      </c>
      <c r="E91">
        <v>13</v>
      </c>
      <c r="F91">
        <v>2</v>
      </c>
      <c r="G91">
        <v>0</v>
      </c>
      <c r="H91">
        <v>0</v>
      </c>
      <c r="I91">
        <v>300</v>
      </c>
      <c r="J91">
        <v>49</v>
      </c>
      <c r="K91">
        <v>5</v>
      </c>
      <c r="L91">
        <v>1</v>
      </c>
      <c r="M91">
        <v>4</v>
      </c>
      <c r="N91">
        <v>319</v>
      </c>
      <c r="O91" s="3">
        <f t="shared" si="11"/>
        <v>1.25</v>
      </c>
      <c r="P91">
        <f t="shared" si="12"/>
        <v>0</v>
      </c>
      <c r="Q91">
        <f t="shared" si="13"/>
        <v>0</v>
      </c>
      <c r="S91">
        <f t="shared" si="14"/>
        <v>-1.5751552795031052</v>
      </c>
      <c r="T91">
        <f t="shared" si="15"/>
        <v>-0.5</v>
      </c>
      <c r="U91">
        <f t="shared" si="16"/>
        <v>-3.2608695652173911</v>
      </c>
      <c r="V91">
        <f t="shared" si="17"/>
        <v>-0.4</v>
      </c>
      <c r="W91">
        <f t="shared" si="18"/>
        <v>0</v>
      </c>
      <c r="X91">
        <f t="shared" si="19"/>
        <v>0.8</v>
      </c>
      <c r="Y91">
        <f t="shared" si="20"/>
        <v>1.785714285714286</v>
      </c>
    </row>
    <row r="92" spans="1:25" x14ac:dyDescent="0.2">
      <c r="A92" t="s">
        <v>51</v>
      </c>
      <c r="B92" t="s">
        <v>686</v>
      </c>
      <c r="C92">
        <v>160</v>
      </c>
      <c r="D92">
        <v>70</v>
      </c>
      <c r="E92">
        <v>8</v>
      </c>
      <c r="F92">
        <v>4</v>
      </c>
      <c r="G92">
        <v>0</v>
      </c>
      <c r="H92">
        <v>10</v>
      </c>
      <c r="I92">
        <v>125</v>
      </c>
      <c r="J92">
        <v>24</v>
      </c>
      <c r="K92">
        <v>1</v>
      </c>
      <c r="L92">
        <v>15</v>
      </c>
      <c r="M92">
        <v>2</v>
      </c>
      <c r="N92">
        <v>177</v>
      </c>
      <c r="O92" s="3">
        <f t="shared" si="11"/>
        <v>1.25</v>
      </c>
      <c r="P92">
        <f t="shared" si="12"/>
        <v>0</v>
      </c>
      <c r="Q92">
        <f t="shared" si="13"/>
        <v>0</v>
      </c>
      <c r="S92">
        <f t="shared" si="14"/>
        <v>-7.6015527950310569</v>
      </c>
      <c r="T92">
        <f t="shared" si="15"/>
        <v>-1</v>
      </c>
      <c r="U92">
        <f t="shared" si="16"/>
        <v>-1.3586956521739131</v>
      </c>
      <c r="V92">
        <f t="shared" si="17"/>
        <v>-6</v>
      </c>
      <c r="W92">
        <f t="shared" si="18"/>
        <v>0</v>
      </c>
      <c r="X92">
        <f t="shared" si="19"/>
        <v>0.4</v>
      </c>
      <c r="Y92">
        <f t="shared" si="20"/>
        <v>0.35714285714285715</v>
      </c>
    </row>
    <row r="93" spans="1:25" x14ac:dyDescent="0.2">
      <c r="A93" t="s">
        <v>51</v>
      </c>
      <c r="B93" t="s">
        <v>698</v>
      </c>
      <c r="C93">
        <v>430</v>
      </c>
      <c r="D93">
        <v>160</v>
      </c>
      <c r="E93">
        <v>18</v>
      </c>
      <c r="F93">
        <v>2.5</v>
      </c>
      <c r="G93">
        <v>0</v>
      </c>
      <c r="H93">
        <v>0</v>
      </c>
      <c r="I93">
        <v>410</v>
      </c>
      <c r="J93">
        <v>66</v>
      </c>
      <c r="K93">
        <v>7</v>
      </c>
      <c r="L93">
        <v>2</v>
      </c>
      <c r="M93">
        <v>5</v>
      </c>
      <c r="N93">
        <v>430</v>
      </c>
      <c r="O93" s="3">
        <f t="shared" si="11"/>
        <v>1.1627906976744187</v>
      </c>
      <c r="P93">
        <f t="shared" si="12"/>
        <v>0</v>
      </c>
      <c r="Q93">
        <f t="shared" si="13"/>
        <v>0</v>
      </c>
      <c r="S93">
        <f t="shared" si="14"/>
        <v>-2.3815217391304344</v>
      </c>
      <c r="T93">
        <f t="shared" si="15"/>
        <v>-0.625</v>
      </c>
      <c r="U93">
        <f t="shared" si="16"/>
        <v>-4.4565217391304346</v>
      </c>
      <c r="V93">
        <f t="shared" si="17"/>
        <v>-0.8</v>
      </c>
      <c r="W93">
        <f t="shared" si="18"/>
        <v>0</v>
      </c>
      <c r="X93">
        <f t="shared" si="19"/>
        <v>1.0000000000000002</v>
      </c>
      <c r="Y93">
        <f t="shared" si="20"/>
        <v>2.5</v>
      </c>
    </row>
    <row r="94" spans="1:25" x14ac:dyDescent="0.2">
      <c r="A94" t="s">
        <v>51</v>
      </c>
      <c r="B94" t="s">
        <v>700</v>
      </c>
      <c r="C94">
        <v>180</v>
      </c>
      <c r="D94">
        <v>70</v>
      </c>
      <c r="E94">
        <v>8</v>
      </c>
      <c r="F94">
        <v>4</v>
      </c>
      <c r="G94">
        <v>0</v>
      </c>
      <c r="H94">
        <v>25</v>
      </c>
      <c r="I94">
        <v>40</v>
      </c>
      <c r="J94">
        <v>27</v>
      </c>
      <c r="K94">
        <v>1</v>
      </c>
      <c r="L94">
        <v>25</v>
      </c>
      <c r="M94">
        <v>2</v>
      </c>
      <c r="N94">
        <v>207</v>
      </c>
      <c r="O94" s="3">
        <f t="shared" si="11"/>
        <v>1.1111111111111112</v>
      </c>
      <c r="P94">
        <f t="shared" si="12"/>
        <v>0</v>
      </c>
      <c r="Q94">
        <f t="shared" si="13"/>
        <v>0</v>
      </c>
      <c r="S94">
        <f t="shared" si="14"/>
        <v>-10.677639751552794</v>
      </c>
      <c r="T94">
        <f t="shared" si="15"/>
        <v>-1</v>
      </c>
      <c r="U94">
        <f t="shared" si="16"/>
        <v>-0.43478260869565216</v>
      </c>
      <c r="V94">
        <f t="shared" si="17"/>
        <v>-10</v>
      </c>
      <c r="W94">
        <f t="shared" si="18"/>
        <v>0</v>
      </c>
      <c r="X94">
        <f t="shared" si="19"/>
        <v>0.4</v>
      </c>
      <c r="Y94">
        <f t="shared" si="20"/>
        <v>0.35714285714285715</v>
      </c>
    </row>
    <row r="95" spans="1:25" x14ac:dyDescent="0.2">
      <c r="A95" t="s">
        <v>51</v>
      </c>
      <c r="B95" t="s">
        <v>702</v>
      </c>
      <c r="C95">
        <v>370</v>
      </c>
      <c r="D95">
        <v>180</v>
      </c>
      <c r="E95">
        <v>20</v>
      </c>
      <c r="F95">
        <v>13</v>
      </c>
      <c r="G95">
        <v>0</v>
      </c>
      <c r="H95">
        <v>10</v>
      </c>
      <c r="I95">
        <v>330</v>
      </c>
      <c r="J95">
        <v>45</v>
      </c>
      <c r="K95">
        <v>1</v>
      </c>
      <c r="L95">
        <v>30</v>
      </c>
      <c r="M95">
        <v>4</v>
      </c>
      <c r="N95">
        <v>409</v>
      </c>
      <c r="O95" s="3">
        <f t="shared" si="11"/>
        <v>1.0810810810810811</v>
      </c>
      <c r="P95">
        <f t="shared" si="12"/>
        <v>0</v>
      </c>
      <c r="Q95">
        <f t="shared" si="13"/>
        <v>0</v>
      </c>
      <c r="S95">
        <f t="shared" si="14"/>
        <v>-17.679813664596274</v>
      </c>
      <c r="T95">
        <f t="shared" si="15"/>
        <v>-3.25</v>
      </c>
      <c r="U95">
        <f t="shared" si="16"/>
        <v>-3.5869565217391304</v>
      </c>
      <c r="V95">
        <f t="shared" si="17"/>
        <v>-12</v>
      </c>
      <c r="W95">
        <f t="shared" si="18"/>
        <v>0</v>
      </c>
      <c r="X95">
        <f t="shared" si="19"/>
        <v>0.8</v>
      </c>
      <c r="Y95">
        <f t="shared" si="20"/>
        <v>0.35714285714285715</v>
      </c>
    </row>
    <row r="96" spans="1:25" x14ac:dyDescent="0.2">
      <c r="A96" t="s">
        <v>51</v>
      </c>
      <c r="B96" t="s">
        <v>708</v>
      </c>
      <c r="C96">
        <v>380</v>
      </c>
      <c r="D96">
        <v>140</v>
      </c>
      <c r="E96">
        <v>16</v>
      </c>
      <c r="F96">
        <v>2</v>
      </c>
      <c r="G96">
        <v>0</v>
      </c>
      <c r="H96">
        <v>0</v>
      </c>
      <c r="I96">
        <v>360</v>
      </c>
      <c r="J96">
        <v>58</v>
      </c>
      <c r="K96">
        <v>6</v>
      </c>
      <c r="L96">
        <v>1</v>
      </c>
      <c r="M96">
        <v>4</v>
      </c>
      <c r="N96">
        <v>379</v>
      </c>
      <c r="O96" s="3">
        <f t="shared" si="11"/>
        <v>1.0526315789473684</v>
      </c>
      <c r="P96">
        <f t="shared" si="12"/>
        <v>0</v>
      </c>
      <c r="Q96">
        <f t="shared" si="13"/>
        <v>0</v>
      </c>
      <c r="S96">
        <f t="shared" si="14"/>
        <v>-1.8701863354037278</v>
      </c>
      <c r="T96">
        <f t="shared" si="15"/>
        <v>-0.5</v>
      </c>
      <c r="U96">
        <f t="shared" si="16"/>
        <v>-3.9130434782608701</v>
      </c>
      <c r="V96">
        <f t="shared" si="17"/>
        <v>-0.4</v>
      </c>
      <c r="W96">
        <f t="shared" si="18"/>
        <v>0</v>
      </c>
      <c r="X96">
        <f t="shared" si="19"/>
        <v>0.8</v>
      </c>
      <c r="Y96">
        <f t="shared" si="20"/>
        <v>2.1428571428571428</v>
      </c>
    </row>
    <row r="97" spans="1:25" x14ac:dyDescent="0.2">
      <c r="A97" t="s">
        <v>51</v>
      </c>
      <c r="B97" t="s">
        <v>711</v>
      </c>
      <c r="C97">
        <v>500</v>
      </c>
      <c r="D97">
        <v>230</v>
      </c>
      <c r="E97">
        <v>25</v>
      </c>
      <c r="F97">
        <v>4.5</v>
      </c>
      <c r="G97">
        <v>0</v>
      </c>
      <c r="H97">
        <v>0</v>
      </c>
      <c r="I97">
        <v>1310</v>
      </c>
      <c r="J97">
        <v>64</v>
      </c>
      <c r="K97">
        <v>5</v>
      </c>
      <c r="L97">
        <v>7</v>
      </c>
      <c r="M97">
        <v>5</v>
      </c>
      <c r="N97">
        <v>507</v>
      </c>
      <c r="O97" s="3">
        <f t="shared" si="11"/>
        <v>1</v>
      </c>
      <c r="P97">
        <f t="shared" si="12"/>
        <v>1</v>
      </c>
      <c r="Q97">
        <f t="shared" si="13"/>
        <v>0</v>
      </c>
      <c r="S97">
        <f t="shared" si="14"/>
        <v>-15.378416149068324</v>
      </c>
      <c r="T97">
        <f t="shared" si="15"/>
        <v>-1.125</v>
      </c>
      <c r="U97">
        <f t="shared" si="16"/>
        <v>-14.239130434782609</v>
      </c>
      <c r="V97">
        <f t="shared" si="17"/>
        <v>-2.8000000000000003</v>
      </c>
      <c r="W97">
        <f t="shared" si="18"/>
        <v>0</v>
      </c>
      <c r="X97">
        <f t="shared" si="19"/>
        <v>1.0000000000000002</v>
      </c>
      <c r="Y97">
        <f t="shared" si="20"/>
        <v>1.785714285714286</v>
      </c>
    </row>
    <row r="98" spans="1:25" x14ac:dyDescent="0.2">
      <c r="A98" t="s">
        <v>51</v>
      </c>
      <c r="B98" t="s">
        <v>712</v>
      </c>
      <c r="C98">
        <v>200</v>
      </c>
      <c r="D98">
        <v>90</v>
      </c>
      <c r="E98">
        <v>10</v>
      </c>
      <c r="F98">
        <v>5</v>
      </c>
      <c r="G98">
        <v>0</v>
      </c>
      <c r="H98">
        <v>30</v>
      </c>
      <c r="I98">
        <v>40</v>
      </c>
      <c r="J98">
        <v>27</v>
      </c>
      <c r="K98">
        <v>0</v>
      </c>
      <c r="L98">
        <v>27</v>
      </c>
      <c r="M98">
        <v>2</v>
      </c>
      <c r="N98">
        <v>230</v>
      </c>
      <c r="O98" s="3">
        <f t="shared" si="11"/>
        <v>1</v>
      </c>
      <c r="P98">
        <f t="shared" si="12"/>
        <v>0</v>
      </c>
      <c r="Q98">
        <f t="shared" si="13"/>
        <v>0</v>
      </c>
      <c r="S98">
        <f t="shared" si="14"/>
        <v>-12.084782608695653</v>
      </c>
      <c r="T98">
        <f t="shared" si="15"/>
        <v>-1.25</v>
      </c>
      <c r="U98">
        <f t="shared" si="16"/>
        <v>-0.43478260869565216</v>
      </c>
      <c r="V98">
        <f t="shared" si="17"/>
        <v>-10.8</v>
      </c>
      <c r="W98">
        <f t="shared" si="18"/>
        <v>0</v>
      </c>
      <c r="X98">
        <f t="shared" si="19"/>
        <v>0.4</v>
      </c>
      <c r="Y98">
        <f t="shared" si="20"/>
        <v>0</v>
      </c>
    </row>
    <row r="99" spans="1:25" x14ac:dyDescent="0.2">
      <c r="A99" t="s">
        <v>51</v>
      </c>
      <c r="B99" t="s">
        <v>713</v>
      </c>
      <c r="C99">
        <v>300</v>
      </c>
      <c r="D99">
        <v>120</v>
      </c>
      <c r="E99">
        <v>13</v>
      </c>
      <c r="F99">
        <v>7</v>
      </c>
      <c r="G99">
        <v>0</v>
      </c>
      <c r="H99">
        <v>40</v>
      </c>
      <c r="I99">
        <v>70</v>
      </c>
      <c r="J99">
        <v>45</v>
      </c>
      <c r="K99">
        <v>2</v>
      </c>
      <c r="L99">
        <v>41</v>
      </c>
      <c r="M99">
        <v>3</v>
      </c>
      <c r="N99">
        <v>345</v>
      </c>
      <c r="O99" s="3">
        <f t="shared" si="11"/>
        <v>1</v>
      </c>
      <c r="P99">
        <f t="shared" si="12"/>
        <v>0</v>
      </c>
      <c r="Q99">
        <f t="shared" si="13"/>
        <v>0</v>
      </c>
      <c r="S99">
        <f t="shared" si="14"/>
        <v>-17.596583850931676</v>
      </c>
      <c r="T99">
        <f t="shared" si="15"/>
        <v>-1.75</v>
      </c>
      <c r="U99">
        <f t="shared" si="16"/>
        <v>-0.76086956521739135</v>
      </c>
      <c r="V99">
        <f t="shared" si="17"/>
        <v>-16.400000000000002</v>
      </c>
      <c r="W99">
        <f t="shared" si="18"/>
        <v>0</v>
      </c>
      <c r="X99">
        <f t="shared" si="19"/>
        <v>0.6</v>
      </c>
      <c r="Y99">
        <f t="shared" si="20"/>
        <v>0.7142857142857143</v>
      </c>
    </row>
    <row r="100" spans="1:25" x14ac:dyDescent="0.2">
      <c r="A100" t="s">
        <v>51</v>
      </c>
      <c r="B100" t="s">
        <v>716</v>
      </c>
      <c r="C100">
        <v>410</v>
      </c>
      <c r="D100">
        <v>190</v>
      </c>
      <c r="E100">
        <v>21</v>
      </c>
      <c r="F100">
        <v>3.5</v>
      </c>
      <c r="G100">
        <v>0</v>
      </c>
      <c r="H100">
        <v>0</v>
      </c>
      <c r="I100">
        <v>1080</v>
      </c>
      <c r="J100">
        <v>53</v>
      </c>
      <c r="K100">
        <v>4</v>
      </c>
      <c r="L100">
        <v>5</v>
      </c>
      <c r="M100">
        <v>4</v>
      </c>
      <c r="N100">
        <v>415</v>
      </c>
      <c r="O100" s="3">
        <f t="shared" ref="O100:O131" si="21">M100/C100*100</f>
        <v>0.97560975609756095</v>
      </c>
      <c r="P100">
        <f t="shared" si="12"/>
        <v>1</v>
      </c>
      <c r="Q100">
        <f t="shared" si="13"/>
        <v>0</v>
      </c>
      <c r="S100">
        <f t="shared" si="14"/>
        <v>-12.38555900621118</v>
      </c>
      <c r="T100">
        <f t="shared" si="15"/>
        <v>-0.875</v>
      </c>
      <c r="U100">
        <f t="shared" si="16"/>
        <v>-11.739130434782609</v>
      </c>
      <c r="V100">
        <f t="shared" si="17"/>
        <v>-2.0000000000000004</v>
      </c>
      <c r="W100">
        <f t="shared" si="18"/>
        <v>0</v>
      </c>
      <c r="X100">
        <f t="shared" si="19"/>
        <v>0.8</v>
      </c>
      <c r="Y100">
        <f t="shared" si="20"/>
        <v>1.4285714285714286</v>
      </c>
    </row>
    <row r="101" spans="1:25" x14ac:dyDescent="0.2">
      <c r="A101" t="s">
        <v>51</v>
      </c>
      <c r="B101" t="s">
        <v>717</v>
      </c>
      <c r="C101">
        <v>310</v>
      </c>
      <c r="D101">
        <v>170</v>
      </c>
      <c r="E101">
        <v>19</v>
      </c>
      <c r="F101">
        <v>12</v>
      </c>
      <c r="G101">
        <v>0</v>
      </c>
      <c r="H101">
        <v>10</v>
      </c>
      <c r="I101">
        <v>220</v>
      </c>
      <c r="J101">
        <v>32</v>
      </c>
      <c r="K101">
        <v>1</v>
      </c>
      <c r="L101">
        <v>22</v>
      </c>
      <c r="M101">
        <v>3</v>
      </c>
      <c r="N101">
        <v>341</v>
      </c>
      <c r="O101" s="3">
        <f t="shared" si="21"/>
        <v>0.967741935483871</v>
      </c>
      <c r="P101">
        <f t="shared" si="12"/>
        <v>0</v>
      </c>
      <c r="Q101">
        <f t="shared" si="13"/>
        <v>0</v>
      </c>
      <c r="S101">
        <f t="shared" si="14"/>
        <v>-13.234161490683229</v>
      </c>
      <c r="T101">
        <f t="shared" si="15"/>
        <v>-3</v>
      </c>
      <c r="U101">
        <f t="shared" si="16"/>
        <v>-2.3913043478260869</v>
      </c>
      <c r="V101">
        <f t="shared" si="17"/>
        <v>-8.8000000000000007</v>
      </c>
      <c r="W101">
        <f t="shared" si="18"/>
        <v>0</v>
      </c>
      <c r="X101">
        <f t="shared" si="19"/>
        <v>0.6</v>
      </c>
      <c r="Y101">
        <f t="shared" si="20"/>
        <v>0.35714285714285715</v>
      </c>
    </row>
    <row r="102" spans="1:25" x14ac:dyDescent="0.2">
      <c r="A102" t="s">
        <v>51</v>
      </c>
      <c r="B102" t="s">
        <v>725</v>
      </c>
      <c r="C102">
        <v>320</v>
      </c>
      <c r="D102">
        <v>150</v>
      </c>
      <c r="E102">
        <v>16</v>
      </c>
      <c r="F102">
        <v>3</v>
      </c>
      <c r="G102">
        <v>0</v>
      </c>
      <c r="H102">
        <v>0</v>
      </c>
      <c r="I102">
        <v>840</v>
      </c>
      <c r="J102">
        <v>41</v>
      </c>
      <c r="K102">
        <v>3</v>
      </c>
      <c r="L102">
        <v>4</v>
      </c>
      <c r="M102">
        <v>3</v>
      </c>
      <c r="N102">
        <v>324</v>
      </c>
      <c r="O102" s="3">
        <f t="shared" si="21"/>
        <v>0.9375</v>
      </c>
      <c r="P102">
        <f t="shared" si="12"/>
        <v>1</v>
      </c>
      <c r="Q102">
        <f t="shared" si="13"/>
        <v>0</v>
      </c>
      <c r="S102">
        <f t="shared" si="14"/>
        <v>-9.8090062111801242</v>
      </c>
      <c r="T102">
        <f t="shared" si="15"/>
        <v>-0.75</v>
      </c>
      <c r="U102">
        <f t="shared" si="16"/>
        <v>-9.1304347826086953</v>
      </c>
      <c r="V102">
        <f t="shared" si="17"/>
        <v>-1.6</v>
      </c>
      <c r="W102">
        <f t="shared" si="18"/>
        <v>0</v>
      </c>
      <c r="X102">
        <f t="shared" si="19"/>
        <v>0.6</v>
      </c>
      <c r="Y102">
        <f t="shared" si="20"/>
        <v>1.0714285714285714</v>
      </c>
    </row>
    <row r="103" spans="1:25" x14ac:dyDescent="0.2">
      <c r="A103" t="s">
        <v>51</v>
      </c>
      <c r="B103" t="s">
        <v>727</v>
      </c>
      <c r="C103">
        <v>220</v>
      </c>
      <c r="D103">
        <v>80</v>
      </c>
      <c r="E103">
        <v>9</v>
      </c>
      <c r="F103">
        <v>1.5</v>
      </c>
      <c r="G103">
        <v>0</v>
      </c>
      <c r="H103">
        <v>0</v>
      </c>
      <c r="I103">
        <v>210</v>
      </c>
      <c r="J103">
        <v>34</v>
      </c>
      <c r="K103">
        <v>3</v>
      </c>
      <c r="L103">
        <v>1</v>
      </c>
      <c r="M103">
        <v>2</v>
      </c>
      <c r="N103">
        <v>221</v>
      </c>
      <c r="O103" s="3">
        <f t="shared" si="21"/>
        <v>0.90909090909090906</v>
      </c>
      <c r="P103">
        <f t="shared" si="12"/>
        <v>0</v>
      </c>
      <c r="Q103">
        <f t="shared" si="13"/>
        <v>0</v>
      </c>
      <c r="S103">
        <f t="shared" si="14"/>
        <v>-1.5861801242236024</v>
      </c>
      <c r="T103">
        <f t="shared" si="15"/>
        <v>-0.375</v>
      </c>
      <c r="U103">
        <f t="shared" si="16"/>
        <v>-2.2826086956521738</v>
      </c>
      <c r="V103">
        <f t="shared" si="17"/>
        <v>-0.4</v>
      </c>
      <c r="W103">
        <f t="shared" si="18"/>
        <v>0</v>
      </c>
      <c r="X103">
        <f t="shared" si="19"/>
        <v>0.4</v>
      </c>
      <c r="Y103">
        <f t="shared" si="20"/>
        <v>1.0714285714285714</v>
      </c>
    </row>
    <row r="104" spans="1:25" x14ac:dyDescent="0.2">
      <c r="A104" t="s">
        <v>51</v>
      </c>
      <c r="B104" t="s">
        <v>732</v>
      </c>
      <c r="C104">
        <v>340</v>
      </c>
      <c r="D104">
        <v>130</v>
      </c>
      <c r="E104">
        <v>14</v>
      </c>
      <c r="F104">
        <v>6</v>
      </c>
      <c r="G104">
        <v>0</v>
      </c>
      <c r="H104">
        <v>0</v>
      </c>
      <c r="I104">
        <v>310</v>
      </c>
      <c r="J104">
        <v>51</v>
      </c>
      <c r="K104">
        <v>1</v>
      </c>
      <c r="L104">
        <v>25</v>
      </c>
      <c r="M104">
        <v>3</v>
      </c>
      <c r="N104">
        <v>368</v>
      </c>
      <c r="O104" s="3">
        <f t="shared" si="21"/>
        <v>0.88235294117647056</v>
      </c>
      <c r="P104">
        <f t="shared" si="12"/>
        <v>0</v>
      </c>
      <c r="Q104">
        <f t="shared" si="13"/>
        <v>0</v>
      </c>
      <c r="S104">
        <f t="shared" si="14"/>
        <v>-13.912422360248447</v>
      </c>
      <c r="T104">
        <f t="shared" si="15"/>
        <v>-1.5</v>
      </c>
      <c r="U104">
        <f t="shared" si="16"/>
        <v>-3.3695652173913042</v>
      </c>
      <c r="V104">
        <f t="shared" si="17"/>
        <v>-10</v>
      </c>
      <c r="W104">
        <f t="shared" si="18"/>
        <v>0</v>
      </c>
      <c r="X104">
        <f t="shared" si="19"/>
        <v>0.6</v>
      </c>
      <c r="Y104">
        <f t="shared" si="20"/>
        <v>0.35714285714285715</v>
      </c>
    </row>
    <row r="105" spans="1:25" x14ac:dyDescent="0.2">
      <c r="A105" t="s">
        <v>51</v>
      </c>
      <c r="B105" t="s">
        <v>734</v>
      </c>
      <c r="C105">
        <v>240</v>
      </c>
      <c r="D105">
        <v>90</v>
      </c>
      <c r="E105">
        <v>10</v>
      </c>
      <c r="F105">
        <v>6</v>
      </c>
      <c r="G105">
        <v>0</v>
      </c>
      <c r="H105">
        <v>30</v>
      </c>
      <c r="I105">
        <v>55</v>
      </c>
      <c r="J105">
        <v>35</v>
      </c>
      <c r="K105">
        <v>1</v>
      </c>
      <c r="L105">
        <v>32</v>
      </c>
      <c r="M105">
        <v>2</v>
      </c>
      <c r="N105">
        <v>276</v>
      </c>
      <c r="O105" s="3">
        <f t="shared" si="21"/>
        <v>0.83333333333333337</v>
      </c>
      <c r="P105">
        <f t="shared" si="12"/>
        <v>0</v>
      </c>
      <c r="Q105">
        <f t="shared" si="13"/>
        <v>0</v>
      </c>
      <c r="S105">
        <f t="shared" si="14"/>
        <v>-14.140683229813664</v>
      </c>
      <c r="T105">
        <f t="shared" si="15"/>
        <v>-1.5</v>
      </c>
      <c r="U105">
        <f t="shared" si="16"/>
        <v>-0.59782608695652173</v>
      </c>
      <c r="V105">
        <f t="shared" si="17"/>
        <v>-12.8</v>
      </c>
      <c r="W105">
        <f t="shared" si="18"/>
        <v>0</v>
      </c>
      <c r="X105">
        <f t="shared" si="19"/>
        <v>0.4</v>
      </c>
      <c r="Y105">
        <f t="shared" si="20"/>
        <v>0.35714285714285715</v>
      </c>
    </row>
    <row r="106" spans="1:25" x14ac:dyDescent="0.2">
      <c r="A106" t="s">
        <v>51</v>
      </c>
      <c r="B106" t="s">
        <v>737</v>
      </c>
      <c r="C106">
        <v>250</v>
      </c>
      <c r="D106">
        <v>150</v>
      </c>
      <c r="E106">
        <v>16</v>
      </c>
      <c r="F106">
        <v>3.5</v>
      </c>
      <c r="G106">
        <v>0</v>
      </c>
      <c r="H106">
        <v>0</v>
      </c>
      <c r="I106">
        <v>580</v>
      </c>
      <c r="J106">
        <v>24</v>
      </c>
      <c r="K106">
        <v>3</v>
      </c>
      <c r="L106">
        <v>0</v>
      </c>
      <c r="M106">
        <v>2</v>
      </c>
      <c r="N106">
        <v>252</v>
      </c>
      <c r="O106" s="3">
        <f t="shared" si="21"/>
        <v>0.8</v>
      </c>
      <c r="P106">
        <f t="shared" si="12"/>
        <v>1</v>
      </c>
      <c r="Q106">
        <f t="shared" si="13"/>
        <v>0</v>
      </c>
      <c r="S106">
        <f t="shared" si="14"/>
        <v>-5.7079192546583846</v>
      </c>
      <c r="T106">
        <f t="shared" si="15"/>
        <v>-0.875</v>
      </c>
      <c r="U106">
        <f t="shared" si="16"/>
        <v>-6.3043478260869561</v>
      </c>
      <c r="V106">
        <f t="shared" si="17"/>
        <v>0</v>
      </c>
      <c r="W106">
        <f t="shared" si="18"/>
        <v>0</v>
      </c>
      <c r="X106">
        <f t="shared" si="19"/>
        <v>0.4</v>
      </c>
      <c r="Y106">
        <f t="shared" si="20"/>
        <v>1.0714285714285714</v>
      </c>
    </row>
    <row r="107" spans="1:25" x14ac:dyDescent="0.2">
      <c r="A107" t="s">
        <v>51</v>
      </c>
      <c r="B107" t="s">
        <v>738</v>
      </c>
      <c r="C107">
        <v>500</v>
      </c>
      <c r="D107">
        <v>290</v>
      </c>
      <c r="E107">
        <v>33</v>
      </c>
      <c r="F107">
        <v>7</v>
      </c>
      <c r="G107">
        <v>0</v>
      </c>
      <c r="H107">
        <v>0</v>
      </c>
      <c r="I107">
        <v>1140</v>
      </c>
      <c r="J107">
        <v>48</v>
      </c>
      <c r="K107">
        <v>7</v>
      </c>
      <c r="L107">
        <v>0</v>
      </c>
      <c r="M107">
        <v>4</v>
      </c>
      <c r="N107">
        <v>503</v>
      </c>
      <c r="O107" s="3">
        <f t="shared" si="21"/>
        <v>0.8</v>
      </c>
      <c r="P107">
        <f t="shared" si="12"/>
        <v>1</v>
      </c>
      <c r="Q107">
        <f t="shared" si="13"/>
        <v>0</v>
      </c>
      <c r="S107">
        <f t="shared" si="14"/>
        <v>-10.841304347826087</v>
      </c>
      <c r="T107">
        <f t="shared" si="15"/>
        <v>-1.75</v>
      </c>
      <c r="U107">
        <f t="shared" si="16"/>
        <v>-12.391304347826088</v>
      </c>
      <c r="V107">
        <f t="shared" si="17"/>
        <v>0</v>
      </c>
      <c r="W107">
        <f t="shared" si="18"/>
        <v>0</v>
      </c>
      <c r="X107">
        <f t="shared" si="19"/>
        <v>0.8</v>
      </c>
      <c r="Y107">
        <f t="shared" si="20"/>
        <v>2.5</v>
      </c>
    </row>
    <row r="108" spans="1:25" x14ac:dyDescent="0.2">
      <c r="A108" t="s">
        <v>51</v>
      </c>
      <c r="B108" t="s">
        <v>743</v>
      </c>
      <c r="C108">
        <v>260</v>
      </c>
      <c r="D108">
        <v>110</v>
      </c>
      <c r="E108">
        <v>13</v>
      </c>
      <c r="F108">
        <v>7</v>
      </c>
      <c r="G108">
        <v>0</v>
      </c>
      <c r="H108">
        <v>40</v>
      </c>
      <c r="I108">
        <v>50</v>
      </c>
      <c r="J108">
        <v>34</v>
      </c>
      <c r="K108">
        <v>0</v>
      </c>
      <c r="L108">
        <v>34</v>
      </c>
      <c r="M108">
        <v>2</v>
      </c>
      <c r="N108">
        <v>299</v>
      </c>
      <c r="O108" s="3">
        <f t="shared" si="21"/>
        <v>0.76923076923076927</v>
      </c>
      <c r="P108">
        <f t="shared" si="12"/>
        <v>0</v>
      </c>
      <c r="Q108">
        <f t="shared" si="13"/>
        <v>0</v>
      </c>
      <c r="S108">
        <f t="shared" si="14"/>
        <v>-15.493478260869567</v>
      </c>
      <c r="T108">
        <f t="shared" si="15"/>
        <v>-1.75</v>
      </c>
      <c r="U108">
        <f t="shared" si="16"/>
        <v>-0.54347826086956519</v>
      </c>
      <c r="V108">
        <f t="shared" si="17"/>
        <v>-13.600000000000001</v>
      </c>
      <c r="W108">
        <f t="shared" si="18"/>
        <v>0</v>
      </c>
      <c r="X108">
        <f t="shared" si="19"/>
        <v>0.4</v>
      </c>
      <c r="Y108">
        <f t="shared" si="20"/>
        <v>0</v>
      </c>
    </row>
    <row r="109" spans="1:25" x14ac:dyDescent="0.2">
      <c r="A109" t="s">
        <v>51</v>
      </c>
      <c r="B109" t="s">
        <v>745</v>
      </c>
      <c r="C109">
        <v>670</v>
      </c>
      <c r="D109">
        <v>390</v>
      </c>
      <c r="E109">
        <v>44</v>
      </c>
      <c r="F109">
        <v>9</v>
      </c>
      <c r="G109">
        <v>0</v>
      </c>
      <c r="H109">
        <v>0</v>
      </c>
      <c r="I109">
        <v>1530</v>
      </c>
      <c r="J109">
        <v>65</v>
      </c>
      <c r="K109">
        <v>9</v>
      </c>
      <c r="L109">
        <v>0</v>
      </c>
      <c r="M109">
        <v>5</v>
      </c>
      <c r="N109">
        <v>674</v>
      </c>
      <c r="O109" s="3">
        <f t="shared" si="21"/>
        <v>0.74626865671641784</v>
      </c>
      <c r="P109">
        <f t="shared" si="12"/>
        <v>1</v>
      </c>
      <c r="Q109">
        <f t="shared" si="13"/>
        <v>0</v>
      </c>
      <c r="S109">
        <f t="shared" si="14"/>
        <v>-14.66614906832298</v>
      </c>
      <c r="T109">
        <f t="shared" si="15"/>
        <v>-2.25</v>
      </c>
      <c r="U109">
        <f t="shared" si="16"/>
        <v>-16.630434782608695</v>
      </c>
      <c r="V109">
        <f t="shared" si="17"/>
        <v>0</v>
      </c>
      <c r="W109">
        <f t="shared" si="18"/>
        <v>0</v>
      </c>
      <c r="X109">
        <f t="shared" si="19"/>
        <v>1.0000000000000002</v>
      </c>
      <c r="Y109">
        <f t="shared" si="20"/>
        <v>3.2142857142857149</v>
      </c>
    </row>
    <row r="110" spans="1:25" x14ac:dyDescent="0.2">
      <c r="A110" t="s">
        <v>51</v>
      </c>
      <c r="B110" t="s">
        <v>751</v>
      </c>
      <c r="C110">
        <v>140</v>
      </c>
      <c r="D110">
        <v>140</v>
      </c>
      <c r="E110">
        <v>15</v>
      </c>
      <c r="F110">
        <v>2.5</v>
      </c>
      <c r="G110">
        <v>0</v>
      </c>
      <c r="H110">
        <v>10</v>
      </c>
      <c r="I110">
        <v>85</v>
      </c>
      <c r="J110">
        <v>1</v>
      </c>
      <c r="K110">
        <v>0</v>
      </c>
      <c r="L110">
        <v>1</v>
      </c>
      <c r="M110">
        <v>1</v>
      </c>
      <c r="N110">
        <v>143</v>
      </c>
      <c r="O110" s="3">
        <f t="shared" si="21"/>
        <v>0.7142857142857143</v>
      </c>
      <c r="P110">
        <f t="shared" si="12"/>
        <v>0</v>
      </c>
      <c r="Q110">
        <f t="shared" si="13"/>
        <v>0</v>
      </c>
      <c r="S110">
        <f t="shared" si="14"/>
        <v>-1.7489130434782607</v>
      </c>
      <c r="T110">
        <f t="shared" si="15"/>
        <v>-0.625</v>
      </c>
      <c r="U110">
        <f t="shared" si="16"/>
        <v>-0.92391304347826086</v>
      </c>
      <c r="V110">
        <f t="shared" si="17"/>
        <v>-0.4</v>
      </c>
      <c r="W110">
        <f t="shared" si="18"/>
        <v>0</v>
      </c>
      <c r="X110">
        <f t="shared" si="19"/>
        <v>0.2</v>
      </c>
      <c r="Y110">
        <f t="shared" si="20"/>
        <v>0</v>
      </c>
    </row>
    <row r="111" spans="1:25" x14ac:dyDescent="0.2">
      <c r="A111" t="s">
        <v>51</v>
      </c>
      <c r="B111" t="s">
        <v>755</v>
      </c>
      <c r="C111">
        <v>150</v>
      </c>
      <c r="D111">
        <v>70</v>
      </c>
      <c r="E111">
        <v>8</v>
      </c>
      <c r="F111">
        <v>1.5</v>
      </c>
      <c r="G111">
        <v>0</v>
      </c>
      <c r="H111">
        <v>0</v>
      </c>
      <c r="I111">
        <v>400</v>
      </c>
      <c r="J111">
        <v>19</v>
      </c>
      <c r="K111">
        <v>1</v>
      </c>
      <c r="L111">
        <v>2</v>
      </c>
      <c r="M111">
        <v>1</v>
      </c>
      <c r="N111">
        <v>153</v>
      </c>
      <c r="O111" s="3">
        <f t="shared" si="21"/>
        <v>0.66666666666666674</v>
      </c>
      <c r="P111">
        <f t="shared" si="12"/>
        <v>0</v>
      </c>
      <c r="Q111">
        <f t="shared" si="13"/>
        <v>0</v>
      </c>
      <c r="S111">
        <f t="shared" si="14"/>
        <v>-4.9656832298136644</v>
      </c>
      <c r="T111">
        <f t="shared" si="15"/>
        <v>-0.375</v>
      </c>
      <c r="U111">
        <f t="shared" si="16"/>
        <v>-4.3478260869565215</v>
      </c>
      <c r="V111">
        <f t="shared" si="17"/>
        <v>-0.8</v>
      </c>
      <c r="W111">
        <f t="shared" si="18"/>
        <v>0</v>
      </c>
      <c r="X111">
        <f t="shared" si="19"/>
        <v>0.2</v>
      </c>
      <c r="Y111">
        <f t="shared" si="20"/>
        <v>0.35714285714285715</v>
      </c>
    </row>
    <row r="112" spans="1:25" x14ac:dyDescent="0.2">
      <c r="A112" t="s">
        <v>51</v>
      </c>
      <c r="B112" t="s">
        <v>756</v>
      </c>
      <c r="C112">
        <v>150</v>
      </c>
      <c r="D112">
        <v>70</v>
      </c>
      <c r="E112">
        <v>8</v>
      </c>
      <c r="F112">
        <v>4</v>
      </c>
      <c r="G112">
        <v>0</v>
      </c>
      <c r="H112">
        <v>25</v>
      </c>
      <c r="I112">
        <v>30</v>
      </c>
      <c r="J112">
        <v>21</v>
      </c>
      <c r="K112">
        <v>0</v>
      </c>
      <c r="L112">
        <v>21</v>
      </c>
      <c r="M112">
        <v>1</v>
      </c>
      <c r="N112">
        <v>174</v>
      </c>
      <c r="O112" s="3">
        <f t="shared" si="21"/>
        <v>0.66666666666666674</v>
      </c>
      <c r="P112">
        <f t="shared" si="12"/>
        <v>0</v>
      </c>
      <c r="Q112">
        <f t="shared" si="13"/>
        <v>0</v>
      </c>
      <c r="S112">
        <f t="shared" si="14"/>
        <v>-9.5260869565217412</v>
      </c>
      <c r="T112">
        <f t="shared" si="15"/>
        <v>-1</v>
      </c>
      <c r="U112">
        <f t="shared" si="16"/>
        <v>-0.32608695652173914</v>
      </c>
      <c r="V112">
        <f t="shared" si="17"/>
        <v>-8.4</v>
      </c>
      <c r="W112">
        <f t="shared" si="18"/>
        <v>0</v>
      </c>
      <c r="X112">
        <f t="shared" si="19"/>
        <v>0.2</v>
      </c>
      <c r="Y112">
        <f t="shared" si="20"/>
        <v>0</v>
      </c>
    </row>
    <row r="113" spans="1:25" x14ac:dyDescent="0.2">
      <c r="A113" t="s">
        <v>51</v>
      </c>
      <c r="B113" t="s">
        <v>768</v>
      </c>
      <c r="C113">
        <v>260</v>
      </c>
      <c r="D113">
        <v>250</v>
      </c>
      <c r="E113">
        <v>28</v>
      </c>
      <c r="F113">
        <v>4</v>
      </c>
      <c r="G113">
        <v>0</v>
      </c>
      <c r="H113">
        <v>10</v>
      </c>
      <c r="I113">
        <v>240</v>
      </c>
      <c r="J113">
        <v>2</v>
      </c>
      <c r="K113">
        <v>0</v>
      </c>
      <c r="L113">
        <v>2</v>
      </c>
      <c r="M113">
        <v>1</v>
      </c>
      <c r="N113">
        <v>265</v>
      </c>
      <c r="O113" s="3">
        <f t="shared" si="21"/>
        <v>0.38461538461538464</v>
      </c>
      <c r="P113">
        <f t="shared" si="12"/>
        <v>0</v>
      </c>
      <c r="Q113">
        <f t="shared" si="13"/>
        <v>0</v>
      </c>
      <c r="S113">
        <f t="shared" si="14"/>
        <v>-4.2086956521739127</v>
      </c>
      <c r="T113">
        <f t="shared" si="15"/>
        <v>-1</v>
      </c>
      <c r="U113">
        <f t="shared" si="16"/>
        <v>-2.6086956521739131</v>
      </c>
      <c r="V113">
        <f t="shared" si="17"/>
        <v>-0.8</v>
      </c>
      <c r="W113">
        <f t="shared" si="18"/>
        <v>0</v>
      </c>
      <c r="X113">
        <f t="shared" si="19"/>
        <v>0.2</v>
      </c>
      <c r="Y113">
        <f t="shared" si="20"/>
        <v>0</v>
      </c>
    </row>
    <row r="114" spans="1:25" x14ac:dyDescent="0.2">
      <c r="A114" t="s">
        <v>51</v>
      </c>
      <c r="B114" t="s">
        <v>819</v>
      </c>
      <c r="C114">
        <v>160</v>
      </c>
      <c r="D114">
        <v>150</v>
      </c>
      <c r="E114">
        <v>17</v>
      </c>
      <c r="F114">
        <v>2.5</v>
      </c>
      <c r="G114">
        <v>0</v>
      </c>
      <c r="H114">
        <v>0</v>
      </c>
      <c r="I114">
        <v>380</v>
      </c>
      <c r="J114">
        <v>4</v>
      </c>
      <c r="K114">
        <v>0</v>
      </c>
      <c r="L114">
        <v>3</v>
      </c>
      <c r="M114">
        <v>0</v>
      </c>
      <c r="N114">
        <v>166</v>
      </c>
      <c r="O114" s="3">
        <f t="shared" si="21"/>
        <v>0</v>
      </c>
      <c r="P114">
        <f t="shared" si="12"/>
        <v>0</v>
      </c>
      <c r="Q114">
        <f t="shared" si="13"/>
        <v>0</v>
      </c>
      <c r="S114">
        <f t="shared" si="14"/>
        <v>-5.9554347826086955</v>
      </c>
      <c r="T114">
        <f t="shared" si="15"/>
        <v>-0.625</v>
      </c>
      <c r="U114">
        <f t="shared" si="16"/>
        <v>-4.1304347826086953</v>
      </c>
      <c r="V114">
        <f t="shared" si="17"/>
        <v>-1.2</v>
      </c>
      <c r="W114">
        <f t="shared" si="18"/>
        <v>0</v>
      </c>
      <c r="X114">
        <f t="shared" si="19"/>
        <v>0</v>
      </c>
      <c r="Y114">
        <f t="shared" si="20"/>
        <v>0</v>
      </c>
    </row>
    <row r="115" spans="1:25" x14ac:dyDescent="0.2">
      <c r="A115" t="s">
        <v>51</v>
      </c>
      <c r="B115" t="s">
        <v>820</v>
      </c>
      <c r="C115">
        <v>120</v>
      </c>
      <c r="D115">
        <v>70</v>
      </c>
      <c r="E115">
        <v>8</v>
      </c>
      <c r="F115">
        <v>1</v>
      </c>
      <c r="G115">
        <v>0</v>
      </c>
      <c r="H115">
        <v>0</v>
      </c>
      <c r="I115">
        <v>220</v>
      </c>
      <c r="J115">
        <v>14</v>
      </c>
      <c r="K115">
        <v>0</v>
      </c>
      <c r="L115">
        <v>11</v>
      </c>
      <c r="M115">
        <v>0</v>
      </c>
      <c r="N115">
        <v>132</v>
      </c>
      <c r="O115" s="3">
        <f t="shared" si="21"/>
        <v>0</v>
      </c>
      <c r="P115">
        <f t="shared" si="12"/>
        <v>0</v>
      </c>
      <c r="Q115">
        <f t="shared" si="13"/>
        <v>0</v>
      </c>
      <c r="S115">
        <f t="shared" si="14"/>
        <v>-7.0413043478260873</v>
      </c>
      <c r="T115">
        <f t="shared" si="15"/>
        <v>-0.25</v>
      </c>
      <c r="U115">
        <f t="shared" si="16"/>
        <v>-2.3913043478260869</v>
      </c>
      <c r="V115">
        <f t="shared" si="17"/>
        <v>-4.4000000000000004</v>
      </c>
      <c r="W115">
        <f t="shared" si="18"/>
        <v>0</v>
      </c>
      <c r="X115">
        <f t="shared" si="19"/>
        <v>0</v>
      </c>
      <c r="Y115">
        <f t="shared" si="20"/>
        <v>0</v>
      </c>
    </row>
    <row r="116" spans="1:25" x14ac:dyDescent="0.2">
      <c r="A116" t="s">
        <v>51</v>
      </c>
      <c r="B116" t="s">
        <v>821</v>
      </c>
      <c r="C116">
        <v>50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</v>
      </c>
      <c r="K116">
        <v>1</v>
      </c>
      <c r="L116">
        <v>11</v>
      </c>
      <c r="M116">
        <v>0</v>
      </c>
      <c r="N116">
        <v>61</v>
      </c>
      <c r="O116" s="3">
        <f t="shared" si="21"/>
        <v>0</v>
      </c>
      <c r="P116">
        <f t="shared" si="12"/>
        <v>0</v>
      </c>
      <c r="Q116">
        <f t="shared" si="13"/>
        <v>0</v>
      </c>
      <c r="S116">
        <f t="shared" si="14"/>
        <v>-4.0428571428571436</v>
      </c>
      <c r="T116">
        <f t="shared" si="15"/>
        <v>0</v>
      </c>
      <c r="U116">
        <f t="shared" si="16"/>
        <v>0</v>
      </c>
      <c r="V116">
        <f t="shared" si="17"/>
        <v>-4.4000000000000004</v>
      </c>
      <c r="W116">
        <f t="shared" si="18"/>
        <v>0</v>
      </c>
      <c r="X116">
        <f t="shared" si="19"/>
        <v>0</v>
      </c>
      <c r="Y116">
        <f t="shared" si="20"/>
        <v>0.35714285714285715</v>
      </c>
    </row>
    <row r="117" spans="1:25" x14ac:dyDescent="0.2">
      <c r="A117" t="s">
        <v>51</v>
      </c>
      <c r="B117" t="s">
        <v>822</v>
      </c>
      <c r="C117">
        <v>80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25</v>
      </c>
      <c r="J117">
        <v>20</v>
      </c>
      <c r="K117">
        <v>0</v>
      </c>
      <c r="L117">
        <v>20</v>
      </c>
      <c r="M117">
        <v>0</v>
      </c>
      <c r="N117">
        <v>100</v>
      </c>
      <c r="O117" s="3">
        <f t="shared" si="21"/>
        <v>0</v>
      </c>
      <c r="P117">
        <f t="shared" si="12"/>
        <v>0</v>
      </c>
      <c r="Q117">
        <f t="shared" si="13"/>
        <v>0</v>
      </c>
      <c r="S117">
        <f t="shared" si="14"/>
        <v>-8.2717391304347849</v>
      </c>
      <c r="T117">
        <f t="shared" si="15"/>
        <v>0</v>
      </c>
      <c r="U117">
        <f t="shared" si="16"/>
        <v>-0.27173913043478259</v>
      </c>
      <c r="V117">
        <f t="shared" si="17"/>
        <v>-8.0000000000000018</v>
      </c>
      <c r="W117">
        <f t="shared" si="18"/>
        <v>0</v>
      </c>
      <c r="X117">
        <f t="shared" si="19"/>
        <v>0</v>
      </c>
      <c r="Y117">
        <f t="shared" si="20"/>
        <v>0</v>
      </c>
    </row>
    <row r="118" spans="1:25" x14ac:dyDescent="0.2">
      <c r="A118" t="s">
        <v>51</v>
      </c>
      <c r="B118" t="s">
        <v>823</v>
      </c>
      <c r="C118">
        <v>10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125</v>
      </c>
      <c r="J118">
        <v>3</v>
      </c>
      <c r="K118">
        <v>0</v>
      </c>
      <c r="L118">
        <v>2</v>
      </c>
      <c r="M118">
        <v>0</v>
      </c>
      <c r="N118">
        <v>12</v>
      </c>
      <c r="O118" s="3">
        <f t="shared" si="21"/>
        <v>0</v>
      </c>
      <c r="P118">
        <f t="shared" si="12"/>
        <v>0</v>
      </c>
      <c r="Q118">
        <f t="shared" si="13"/>
        <v>0</v>
      </c>
      <c r="S118">
        <f t="shared" si="14"/>
        <v>-2.1586956521739129</v>
      </c>
      <c r="T118">
        <f t="shared" si="15"/>
        <v>0</v>
      </c>
      <c r="U118">
        <f t="shared" si="16"/>
        <v>-1.3586956521739131</v>
      </c>
      <c r="V118">
        <f t="shared" si="17"/>
        <v>-0.8</v>
      </c>
      <c r="W118">
        <f t="shared" si="18"/>
        <v>0</v>
      </c>
      <c r="X118">
        <f t="shared" si="19"/>
        <v>0</v>
      </c>
      <c r="Y118">
        <f t="shared" si="20"/>
        <v>0</v>
      </c>
    </row>
    <row r="119" spans="1:25" x14ac:dyDescent="0.2">
      <c r="A119" t="s">
        <v>51</v>
      </c>
      <c r="B119" t="s">
        <v>824</v>
      </c>
      <c r="C119">
        <v>80</v>
      </c>
      <c r="D119">
        <v>80</v>
      </c>
      <c r="E119">
        <v>9</v>
      </c>
      <c r="F119">
        <v>0.5</v>
      </c>
      <c r="G119">
        <v>0</v>
      </c>
      <c r="H119">
        <v>10</v>
      </c>
      <c r="I119">
        <v>75</v>
      </c>
      <c r="J119">
        <v>1</v>
      </c>
      <c r="K119">
        <v>0</v>
      </c>
      <c r="L119">
        <v>0</v>
      </c>
      <c r="M119">
        <v>0</v>
      </c>
      <c r="N119">
        <v>81</v>
      </c>
      <c r="O119" s="3">
        <f t="shared" si="21"/>
        <v>0</v>
      </c>
      <c r="P119">
        <f t="shared" si="12"/>
        <v>0</v>
      </c>
      <c r="Q119">
        <f t="shared" si="13"/>
        <v>0</v>
      </c>
      <c r="S119">
        <f t="shared" si="14"/>
        <v>-0.94021739130434778</v>
      </c>
      <c r="T119">
        <f t="shared" si="15"/>
        <v>-0.125</v>
      </c>
      <c r="U119">
        <f t="shared" si="16"/>
        <v>-0.81521739130434778</v>
      </c>
      <c r="V119">
        <f t="shared" si="17"/>
        <v>0</v>
      </c>
      <c r="W119">
        <f t="shared" si="18"/>
        <v>0</v>
      </c>
      <c r="X119">
        <f t="shared" si="19"/>
        <v>0</v>
      </c>
      <c r="Y119">
        <f t="shared" si="20"/>
        <v>0</v>
      </c>
    </row>
    <row r="120" spans="1:25" x14ac:dyDescent="0.2">
      <c r="A120" t="s">
        <v>51</v>
      </c>
      <c r="B120" t="s">
        <v>825</v>
      </c>
      <c r="C120">
        <v>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7</v>
      </c>
      <c r="K120">
        <v>0</v>
      </c>
      <c r="L120">
        <v>6</v>
      </c>
      <c r="M120">
        <v>0</v>
      </c>
      <c r="N120">
        <v>36</v>
      </c>
      <c r="O120" s="3">
        <f t="shared" si="21"/>
        <v>0</v>
      </c>
      <c r="P120">
        <f t="shared" si="12"/>
        <v>0</v>
      </c>
      <c r="Q120">
        <f t="shared" si="13"/>
        <v>0</v>
      </c>
      <c r="S120">
        <f t="shared" si="14"/>
        <v>-2.4</v>
      </c>
      <c r="T120">
        <f t="shared" si="15"/>
        <v>0</v>
      </c>
      <c r="U120">
        <f t="shared" si="16"/>
        <v>0</v>
      </c>
      <c r="V120">
        <f t="shared" si="17"/>
        <v>-2.4</v>
      </c>
      <c r="W120">
        <f t="shared" si="18"/>
        <v>0</v>
      </c>
      <c r="X120">
        <f t="shared" si="19"/>
        <v>0</v>
      </c>
      <c r="Y120">
        <f t="shared" si="20"/>
        <v>0</v>
      </c>
    </row>
    <row r="121" spans="1:25" x14ac:dyDescent="0.2">
      <c r="A121" t="s">
        <v>51</v>
      </c>
      <c r="B121" t="s">
        <v>826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15</v>
      </c>
      <c r="J121">
        <v>30</v>
      </c>
      <c r="K121">
        <v>0</v>
      </c>
      <c r="L121">
        <v>18</v>
      </c>
      <c r="M121">
        <v>0</v>
      </c>
      <c r="N121">
        <v>138</v>
      </c>
      <c r="O121" s="3">
        <f t="shared" si="21"/>
        <v>0</v>
      </c>
      <c r="P121">
        <f t="shared" si="12"/>
        <v>0</v>
      </c>
      <c r="Q121">
        <f t="shared" si="13"/>
        <v>0</v>
      </c>
      <c r="S121">
        <f t="shared" si="14"/>
        <v>-7.3630434782608685</v>
      </c>
      <c r="T121">
        <f t="shared" si="15"/>
        <v>0</v>
      </c>
      <c r="U121">
        <f t="shared" si="16"/>
        <v>-0.16304347826086957</v>
      </c>
      <c r="V121">
        <f t="shared" si="17"/>
        <v>-7.1999999999999993</v>
      </c>
      <c r="W121">
        <f t="shared" si="18"/>
        <v>0</v>
      </c>
      <c r="X121">
        <f t="shared" si="19"/>
        <v>0</v>
      </c>
      <c r="Y121">
        <f t="shared" si="20"/>
        <v>0</v>
      </c>
    </row>
    <row r="122" spans="1:25" x14ac:dyDescent="0.2">
      <c r="A122" t="s">
        <v>51</v>
      </c>
      <c r="B122" t="s">
        <v>827</v>
      </c>
      <c r="C122">
        <v>40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310</v>
      </c>
      <c r="J122">
        <v>11</v>
      </c>
      <c r="K122">
        <v>0</v>
      </c>
      <c r="L122">
        <v>10</v>
      </c>
      <c r="M122">
        <v>0</v>
      </c>
      <c r="N122">
        <v>50</v>
      </c>
      <c r="O122" s="3">
        <f t="shared" si="21"/>
        <v>0</v>
      </c>
      <c r="P122">
        <f t="shared" si="12"/>
        <v>0</v>
      </c>
      <c r="Q122">
        <f t="shared" si="13"/>
        <v>0</v>
      </c>
      <c r="S122">
        <f t="shared" si="14"/>
        <v>-7.3695652173913047</v>
      </c>
      <c r="T122">
        <f t="shared" si="15"/>
        <v>0</v>
      </c>
      <c r="U122">
        <f t="shared" si="16"/>
        <v>-3.3695652173913042</v>
      </c>
      <c r="V122">
        <f t="shared" si="17"/>
        <v>-4.0000000000000009</v>
      </c>
      <c r="W122">
        <f t="shared" si="18"/>
        <v>0</v>
      </c>
      <c r="X122">
        <f t="shared" si="19"/>
        <v>0</v>
      </c>
      <c r="Y122">
        <f t="shared" si="20"/>
        <v>0</v>
      </c>
    </row>
    <row r="123" spans="1:25" x14ac:dyDescent="0.2">
      <c r="A123" t="s">
        <v>51</v>
      </c>
      <c r="B123" t="s">
        <v>828</v>
      </c>
      <c r="C123">
        <v>80</v>
      </c>
      <c r="D123">
        <v>70</v>
      </c>
      <c r="E123">
        <v>8</v>
      </c>
      <c r="F123">
        <v>1.5</v>
      </c>
      <c r="G123">
        <v>0</v>
      </c>
      <c r="H123">
        <v>5</v>
      </c>
      <c r="I123">
        <v>360</v>
      </c>
      <c r="J123">
        <v>2</v>
      </c>
      <c r="K123">
        <v>0</v>
      </c>
      <c r="L123">
        <v>1</v>
      </c>
      <c r="M123">
        <v>0</v>
      </c>
      <c r="N123">
        <v>83</v>
      </c>
      <c r="O123" s="3">
        <f t="shared" si="21"/>
        <v>0</v>
      </c>
      <c r="P123">
        <f t="shared" si="12"/>
        <v>0</v>
      </c>
      <c r="Q123">
        <f t="shared" si="13"/>
        <v>0</v>
      </c>
      <c r="S123">
        <f t="shared" si="14"/>
        <v>-4.6880434782608704</v>
      </c>
      <c r="T123">
        <f t="shared" si="15"/>
        <v>-0.375</v>
      </c>
      <c r="U123">
        <f t="shared" si="16"/>
        <v>-3.9130434782608701</v>
      </c>
      <c r="V123">
        <f t="shared" si="17"/>
        <v>-0.4</v>
      </c>
      <c r="W123">
        <f t="shared" si="18"/>
        <v>0</v>
      </c>
      <c r="X123">
        <f t="shared" si="19"/>
        <v>0</v>
      </c>
      <c r="Y123">
        <f t="shared" si="20"/>
        <v>0</v>
      </c>
    </row>
    <row r="124" spans="1:25" x14ac:dyDescent="0.2">
      <c r="A124" t="s">
        <v>51</v>
      </c>
      <c r="B124" t="s">
        <v>829</v>
      </c>
      <c r="C124">
        <v>150</v>
      </c>
      <c r="D124">
        <v>140</v>
      </c>
      <c r="E124">
        <v>15</v>
      </c>
      <c r="F124">
        <v>2.5</v>
      </c>
      <c r="G124">
        <v>0</v>
      </c>
      <c r="H124">
        <v>20</v>
      </c>
      <c r="I124">
        <v>240</v>
      </c>
      <c r="J124">
        <v>3</v>
      </c>
      <c r="K124">
        <v>0</v>
      </c>
      <c r="L124">
        <v>0</v>
      </c>
      <c r="M124">
        <v>0</v>
      </c>
      <c r="N124">
        <v>153</v>
      </c>
      <c r="O124" s="3">
        <f t="shared" si="21"/>
        <v>0</v>
      </c>
      <c r="P124">
        <f t="shared" si="12"/>
        <v>0</v>
      </c>
      <c r="Q124">
        <f t="shared" si="13"/>
        <v>0</v>
      </c>
      <c r="S124">
        <f t="shared" si="14"/>
        <v>-3.2336956521739131</v>
      </c>
      <c r="T124">
        <f t="shared" si="15"/>
        <v>-0.625</v>
      </c>
      <c r="U124">
        <f t="shared" si="16"/>
        <v>-2.6086956521739131</v>
      </c>
      <c r="V124">
        <f t="shared" si="17"/>
        <v>0</v>
      </c>
      <c r="W124">
        <f t="shared" si="18"/>
        <v>0</v>
      </c>
      <c r="X124">
        <f t="shared" si="19"/>
        <v>0</v>
      </c>
      <c r="Y124">
        <f t="shared" si="20"/>
        <v>0</v>
      </c>
    </row>
    <row r="125" spans="1:25" x14ac:dyDescent="0.2">
      <c r="A125" t="s">
        <v>51</v>
      </c>
      <c r="B125" t="s">
        <v>830</v>
      </c>
      <c r="C125">
        <v>90</v>
      </c>
      <c r="D125">
        <v>60</v>
      </c>
      <c r="E125">
        <v>6</v>
      </c>
      <c r="F125">
        <v>1</v>
      </c>
      <c r="G125">
        <v>0</v>
      </c>
      <c r="H125">
        <v>10</v>
      </c>
      <c r="I125">
        <v>180</v>
      </c>
      <c r="J125">
        <v>8</v>
      </c>
      <c r="K125">
        <v>0</v>
      </c>
      <c r="L125">
        <v>7</v>
      </c>
      <c r="M125">
        <v>0</v>
      </c>
      <c r="N125">
        <v>98</v>
      </c>
      <c r="O125" s="3">
        <f t="shared" si="21"/>
        <v>0</v>
      </c>
      <c r="P125">
        <f t="shared" si="12"/>
        <v>0</v>
      </c>
      <c r="Q125">
        <f t="shared" si="13"/>
        <v>0</v>
      </c>
      <c r="S125">
        <f t="shared" si="14"/>
        <v>-5.0065217391304353</v>
      </c>
      <c r="T125">
        <f t="shared" si="15"/>
        <v>-0.25</v>
      </c>
      <c r="U125">
        <f t="shared" si="16"/>
        <v>-1.956521739130435</v>
      </c>
      <c r="V125">
        <f t="shared" si="17"/>
        <v>-2.8000000000000003</v>
      </c>
      <c r="W125">
        <f t="shared" si="18"/>
        <v>0</v>
      </c>
      <c r="X125">
        <f t="shared" si="19"/>
        <v>0</v>
      </c>
      <c r="Y125">
        <f t="shared" si="20"/>
        <v>0</v>
      </c>
    </row>
    <row r="126" spans="1:25" x14ac:dyDescent="0.2">
      <c r="A126" t="s">
        <v>51</v>
      </c>
      <c r="B126" t="s">
        <v>831</v>
      </c>
      <c r="C126">
        <v>210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50</v>
      </c>
      <c r="J126">
        <v>58</v>
      </c>
      <c r="K126">
        <v>0</v>
      </c>
      <c r="L126">
        <v>58</v>
      </c>
      <c r="M126">
        <v>0</v>
      </c>
      <c r="N126">
        <v>268</v>
      </c>
      <c r="O126" s="3">
        <f t="shared" si="21"/>
        <v>0</v>
      </c>
      <c r="P126">
        <f t="shared" si="12"/>
        <v>0</v>
      </c>
      <c r="Q126">
        <f t="shared" si="13"/>
        <v>0</v>
      </c>
      <c r="S126">
        <f t="shared" si="14"/>
        <v>-23.743478260869566</v>
      </c>
      <c r="T126">
        <f t="shared" si="15"/>
        <v>0</v>
      </c>
      <c r="U126">
        <f t="shared" si="16"/>
        <v>-0.54347826086956519</v>
      </c>
      <c r="V126">
        <f t="shared" si="17"/>
        <v>-23.2</v>
      </c>
      <c r="W126">
        <f t="shared" si="18"/>
        <v>0</v>
      </c>
      <c r="X126">
        <f t="shared" si="19"/>
        <v>0</v>
      </c>
      <c r="Y126">
        <f t="shared" si="20"/>
        <v>0</v>
      </c>
    </row>
    <row r="127" spans="1:25" x14ac:dyDescent="0.2">
      <c r="A127" t="s">
        <v>51</v>
      </c>
      <c r="B127" t="s">
        <v>832</v>
      </c>
      <c r="C127">
        <v>270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60</v>
      </c>
      <c r="J127">
        <v>73</v>
      </c>
      <c r="K127">
        <v>0</v>
      </c>
      <c r="L127">
        <v>73</v>
      </c>
      <c r="M127">
        <v>0</v>
      </c>
      <c r="N127">
        <v>343</v>
      </c>
      <c r="O127" s="3">
        <f t="shared" si="21"/>
        <v>0</v>
      </c>
      <c r="P127">
        <f t="shared" si="12"/>
        <v>0</v>
      </c>
      <c r="Q127">
        <f t="shared" si="13"/>
        <v>0</v>
      </c>
      <c r="S127">
        <f t="shared" si="14"/>
        <v>-29.852173913043476</v>
      </c>
      <c r="T127">
        <f t="shared" si="15"/>
        <v>0</v>
      </c>
      <c r="U127">
        <f t="shared" si="16"/>
        <v>-0.65217391304347827</v>
      </c>
      <c r="V127">
        <f t="shared" si="17"/>
        <v>-29.2</v>
      </c>
      <c r="W127">
        <f t="shared" si="18"/>
        <v>0</v>
      </c>
      <c r="X127">
        <f t="shared" si="19"/>
        <v>0</v>
      </c>
      <c r="Y127">
        <f t="shared" si="20"/>
        <v>0</v>
      </c>
    </row>
    <row r="128" spans="1:25" x14ac:dyDescent="0.2">
      <c r="A128" t="s">
        <v>51</v>
      </c>
      <c r="B128" t="s">
        <v>833</v>
      </c>
      <c r="C128">
        <v>290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85</v>
      </c>
      <c r="J128">
        <v>105</v>
      </c>
      <c r="K128">
        <v>0</v>
      </c>
      <c r="L128">
        <v>105</v>
      </c>
      <c r="M128">
        <v>0</v>
      </c>
      <c r="N128">
        <v>395</v>
      </c>
      <c r="O128" s="3">
        <f t="shared" si="21"/>
        <v>0</v>
      </c>
      <c r="P128">
        <f t="shared" si="12"/>
        <v>0</v>
      </c>
      <c r="Q128">
        <f t="shared" si="13"/>
        <v>0</v>
      </c>
      <c r="S128">
        <f t="shared" si="14"/>
        <v>-42.923913043478265</v>
      </c>
      <c r="T128">
        <f t="shared" si="15"/>
        <v>0</v>
      </c>
      <c r="U128">
        <f t="shared" si="16"/>
        <v>-0.92391304347826086</v>
      </c>
      <c r="V128">
        <f t="shared" si="17"/>
        <v>-42.000000000000007</v>
      </c>
      <c r="W128">
        <f t="shared" si="18"/>
        <v>0</v>
      </c>
      <c r="X128">
        <f t="shared" si="19"/>
        <v>0</v>
      </c>
      <c r="Y128">
        <f t="shared" si="20"/>
        <v>0</v>
      </c>
    </row>
    <row r="129" spans="1:25" x14ac:dyDescent="0.2">
      <c r="A129" t="s">
        <v>51</v>
      </c>
      <c r="B129" t="s">
        <v>834</v>
      </c>
      <c r="C129">
        <v>510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115</v>
      </c>
      <c r="J129">
        <v>138</v>
      </c>
      <c r="K129">
        <v>0</v>
      </c>
      <c r="L129">
        <v>138</v>
      </c>
      <c r="M129">
        <v>0</v>
      </c>
      <c r="N129">
        <v>648</v>
      </c>
      <c r="O129" s="3">
        <f t="shared" si="21"/>
        <v>0</v>
      </c>
      <c r="P129">
        <f t="shared" si="12"/>
        <v>0</v>
      </c>
      <c r="Q129">
        <f t="shared" si="13"/>
        <v>0</v>
      </c>
      <c r="S129">
        <f t="shared" si="14"/>
        <v>-56.449999999999996</v>
      </c>
      <c r="T129">
        <f t="shared" si="15"/>
        <v>0</v>
      </c>
      <c r="U129">
        <f t="shared" si="16"/>
        <v>-1.25</v>
      </c>
      <c r="V129">
        <f t="shared" si="17"/>
        <v>-55.199999999999996</v>
      </c>
      <c r="W129">
        <f t="shared" si="18"/>
        <v>0</v>
      </c>
      <c r="X129">
        <f t="shared" si="19"/>
        <v>0</v>
      </c>
      <c r="Y129">
        <f t="shared" si="20"/>
        <v>0</v>
      </c>
    </row>
    <row r="130" spans="1:25" x14ac:dyDescent="0.2">
      <c r="A130" t="s">
        <v>51</v>
      </c>
      <c r="B130" t="s">
        <v>839</v>
      </c>
      <c r="C130">
        <v>210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95</v>
      </c>
      <c r="J130">
        <v>56</v>
      </c>
      <c r="K130">
        <v>0</v>
      </c>
      <c r="L130">
        <v>56</v>
      </c>
      <c r="M130">
        <v>0</v>
      </c>
      <c r="N130">
        <v>266</v>
      </c>
      <c r="O130" s="3">
        <f t="shared" si="21"/>
        <v>0</v>
      </c>
      <c r="P130">
        <f t="shared" si="12"/>
        <v>0</v>
      </c>
      <c r="Q130">
        <f t="shared" si="13"/>
        <v>0</v>
      </c>
      <c r="S130">
        <f t="shared" si="14"/>
        <v>-23.432608695652178</v>
      </c>
      <c r="T130">
        <f t="shared" si="15"/>
        <v>0</v>
      </c>
      <c r="U130">
        <f t="shared" si="16"/>
        <v>-1.0326086956521738</v>
      </c>
      <c r="V130">
        <f t="shared" si="17"/>
        <v>-22.400000000000002</v>
      </c>
      <c r="W130">
        <f t="shared" si="18"/>
        <v>0</v>
      </c>
      <c r="X130">
        <f t="shared" si="19"/>
        <v>0</v>
      </c>
      <c r="Y130">
        <f t="shared" si="20"/>
        <v>0</v>
      </c>
    </row>
    <row r="131" spans="1:25" x14ac:dyDescent="0.2">
      <c r="A131" t="s">
        <v>51</v>
      </c>
      <c r="B131" t="s">
        <v>840</v>
      </c>
      <c r="C131">
        <v>260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120</v>
      </c>
      <c r="J131">
        <v>70</v>
      </c>
      <c r="K131">
        <v>0</v>
      </c>
      <c r="L131">
        <v>70</v>
      </c>
      <c r="M131">
        <v>0</v>
      </c>
      <c r="N131">
        <v>330</v>
      </c>
      <c r="O131" s="3">
        <f t="shared" si="21"/>
        <v>0</v>
      </c>
      <c r="P131">
        <f t="shared" si="12"/>
        <v>0</v>
      </c>
      <c r="Q131">
        <f t="shared" si="13"/>
        <v>0</v>
      </c>
      <c r="S131">
        <f t="shared" si="14"/>
        <v>-29.304347826086953</v>
      </c>
      <c r="T131">
        <f t="shared" si="15"/>
        <v>0</v>
      </c>
      <c r="U131">
        <f t="shared" si="16"/>
        <v>-1.3043478260869565</v>
      </c>
      <c r="V131">
        <f t="shared" si="17"/>
        <v>-27.999999999999996</v>
      </c>
      <c r="W131">
        <f t="shared" si="18"/>
        <v>0</v>
      </c>
      <c r="X131">
        <f t="shared" si="19"/>
        <v>0</v>
      </c>
      <c r="Y131">
        <f t="shared" si="20"/>
        <v>0</v>
      </c>
    </row>
    <row r="132" spans="1:25" x14ac:dyDescent="0.2">
      <c r="A132" t="s">
        <v>51</v>
      </c>
      <c r="B132" t="s">
        <v>841</v>
      </c>
      <c r="C132">
        <v>380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170</v>
      </c>
      <c r="J132">
        <v>102</v>
      </c>
      <c r="K132">
        <v>0</v>
      </c>
      <c r="L132">
        <v>102</v>
      </c>
      <c r="M132">
        <v>0</v>
      </c>
      <c r="N132">
        <v>482</v>
      </c>
      <c r="O132" s="3">
        <f t="shared" ref="O132:O162" si="22">M132/C132*100</f>
        <v>0</v>
      </c>
      <c r="P132">
        <f t="shared" ref="P132:P195" si="23">IF(I132&gt;2300*0.2,1,0)</f>
        <v>0</v>
      </c>
      <c r="Q132">
        <f t="shared" ref="Q132:Q195" si="24">IF(H132&gt;300,1,0)</f>
        <v>0</v>
      </c>
      <c r="S132">
        <f t="shared" ref="S132:S195" si="25">T132+U132+V132+W132+X132+Y132</f>
        <v>-42.647826086956528</v>
      </c>
      <c r="T132">
        <f t="shared" ref="T132:T195" si="26">$T$1*F132</f>
        <v>0</v>
      </c>
      <c r="U132">
        <f t="shared" ref="U132:U195" si="27">($U$1*(I132/2300))*100</f>
        <v>-1.8478260869565217</v>
      </c>
      <c r="V132">
        <f t="shared" ref="V132:V195" si="28">((L132/50)*$V$1)*100</f>
        <v>-40.800000000000004</v>
      </c>
      <c r="W132">
        <f t="shared" ref="W132:W195" si="29">(G132/100)*$W$1</f>
        <v>0</v>
      </c>
      <c r="X132">
        <f t="shared" ref="X132:X195" si="30">($X$1*(M132/50))*100</f>
        <v>0</v>
      </c>
      <c r="Y132">
        <f t="shared" ref="Y132:Y195" si="31">($Y$1*(K132/28))*100</f>
        <v>0</v>
      </c>
    </row>
    <row r="133" spans="1:25" x14ac:dyDescent="0.2">
      <c r="A133" t="s">
        <v>51</v>
      </c>
      <c r="B133" t="s">
        <v>842</v>
      </c>
      <c r="C133">
        <v>500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230</v>
      </c>
      <c r="J133">
        <v>133</v>
      </c>
      <c r="K133">
        <v>0</v>
      </c>
      <c r="L133">
        <v>133</v>
      </c>
      <c r="M133">
        <v>0</v>
      </c>
      <c r="N133">
        <v>633</v>
      </c>
      <c r="O133" s="3">
        <f t="shared" si="22"/>
        <v>0</v>
      </c>
      <c r="P133">
        <f t="shared" si="23"/>
        <v>0</v>
      </c>
      <c r="Q133">
        <f t="shared" si="24"/>
        <v>0</v>
      </c>
      <c r="S133">
        <f t="shared" si="25"/>
        <v>-55.7</v>
      </c>
      <c r="T133">
        <f t="shared" si="26"/>
        <v>0</v>
      </c>
      <c r="U133">
        <f t="shared" si="27"/>
        <v>-2.5</v>
      </c>
      <c r="V133">
        <f t="shared" si="28"/>
        <v>-53.2</v>
      </c>
      <c r="W133">
        <f t="shared" si="29"/>
        <v>0</v>
      </c>
      <c r="X133">
        <f t="shared" si="30"/>
        <v>0</v>
      </c>
      <c r="Y133">
        <f t="shared" si="31"/>
        <v>0</v>
      </c>
    </row>
    <row r="134" spans="1:25" x14ac:dyDescent="0.2">
      <c r="A134" t="s">
        <v>51</v>
      </c>
      <c r="B134" t="s">
        <v>843</v>
      </c>
      <c r="C134">
        <v>190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60</v>
      </c>
      <c r="J134">
        <v>52</v>
      </c>
      <c r="K134">
        <v>0</v>
      </c>
      <c r="L134">
        <v>51</v>
      </c>
      <c r="M134">
        <v>0</v>
      </c>
      <c r="N134">
        <v>241</v>
      </c>
      <c r="O134" s="3">
        <f t="shared" si="22"/>
        <v>0</v>
      </c>
      <c r="P134">
        <f t="shared" si="23"/>
        <v>0</v>
      </c>
      <c r="Q134">
        <f t="shared" si="24"/>
        <v>0</v>
      </c>
      <c r="S134">
        <f t="shared" si="25"/>
        <v>-21.052173913043479</v>
      </c>
      <c r="T134">
        <f t="shared" si="26"/>
        <v>0</v>
      </c>
      <c r="U134">
        <f t="shared" si="27"/>
        <v>-0.65217391304347827</v>
      </c>
      <c r="V134">
        <f t="shared" si="28"/>
        <v>-20.400000000000002</v>
      </c>
      <c r="W134">
        <f t="shared" si="29"/>
        <v>0</v>
      </c>
      <c r="X134">
        <f t="shared" si="30"/>
        <v>0</v>
      </c>
      <c r="Y134">
        <f t="shared" si="31"/>
        <v>0</v>
      </c>
    </row>
    <row r="135" spans="1:25" x14ac:dyDescent="0.2">
      <c r="A135" t="s">
        <v>51</v>
      </c>
      <c r="B135" t="s">
        <v>844</v>
      </c>
      <c r="C135">
        <v>240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65</v>
      </c>
      <c r="K135">
        <v>0</v>
      </c>
      <c r="L135">
        <v>64</v>
      </c>
      <c r="M135">
        <v>0</v>
      </c>
      <c r="N135">
        <v>304</v>
      </c>
      <c r="O135" s="3">
        <f t="shared" si="22"/>
        <v>0</v>
      </c>
      <c r="P135">
        <f t="shared" si="23"/>
        <v>0</v>
      </c>
      <c r="Q135">
        <f t="shared" si="24"/>
        <v>0</v>
      </c>
      <c r="S135">
        <f t="shared" si="25"/>
        <v>-26.415217391304349</v>
      </c>
      <c r="T135">
        <f t="shared" si="26"/>
        <v>0</v>
      </c>
      <c r="U135">
        <f t="shared" si="27"/>
        <v>-0.81521739130434778</v>
      </c>
      <c r="V135">
        <f t="shared" si="28"/>
        <v>-25.6</v>
      </c>
      <c r="W135">
        <f t="shared" si="29"/>
        <v>0</v>
      </c>
      <c r="X135">
        <f t="shared" si="30"/>
        <v>0</v>
      </c>
      <c r="Y135">
        <f t="shared" si="31"/>
        <v>0</v>
      </c>
    </row>
    <row r="136" spans="1:25" x14ac:dyDescent="0.2">
      <c r="A136" t="s">
        <v>51</v>
      </c>
      <c r="B136" t="s">
        <v>845</v>
      </c>
      <c r="C136">
        <v>350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105</v>
      </c>
      <c r="J136">
        <v>94</v>
      </c>
      <c r="K136">
        <v>0</v>
      </c>
      <c r="L136">
        <v>93</v>
      </c>
      <c r="M136">
        <v>0</v>
      </c>
      <c r="N136">
        <v>443</v>
      </c>
      <c r="O136" s="3">
        <f t="shared" si="22"/>
        <v>0</v>
      </c>
      <c r="P136">
        <f t="shared" si="23"/>
        <v>0</v>
      </c>
      <c r="Q136">
        <f t="shared" si="24"/>
        <v>0</v>
      </c>
      <c r="S136">
        <f t="shared" si="25"/>
        <v>-38.341304347826089</v>
      </c>
      <c r="T136">
        <f t="shared" si="26"/>
        <v>0</v>
      </c>
      <c r="U136">
        <f t="shared" si="27"/>
        <v>-1.1413043478260869</v>
      </c>
      <c r="V136">
        <f t="shared" si="28"/>
        <v>-37.200000000000003</v>
      </c>
      <c r="W136">
        <f t="shared" si="29"/>
        <v>0</v>
      </c>
      <c r="X136">
        <f t="shared" si="30"/>
        <v>0</v>
      </c>
      <c r="Y136">
        <f t="shared" si="31"/>
        <v>0</v>
      </c>
    </row>
    <row r="137" spans="1:25" x14ac:dyDescent="0.2">
      <c r="A137" t="s">
        <v>51</v>
      </c>
      <c r="B137" t="s">
        <v>846</v>
      </c>
      <c r="C137">
        <v>450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140</v>
      </c>
      <c r="J137">
        <v>124</v>
      </c>
      <c r="K137">
        <v>0</v>
      </c>
      <c r="L137">
        <v>121</v>
      </c>
      <c r="M137">
        <v>0</v>
      </c>
      <c r="N137">
        <v>571</v>
      </c>
      <c r="O137" s="3">
        <f t="shared" si="22"/>
        <v>0</v>
      </c>
      <c r="P137">
        <f t="shared" si="23"/>
        <v>0</v>
      </c>
      <c r="Q137">
        <f t="shared" si="24"/>
        <v>0</v>
      </c>
      <c r="S137">
        <f t="shared" si="25"/>
        <v>-49.92173913043478</v>
      </c>
      <c r="T137">
        <f t="shared" si="26"/>
        <v>0</v>
      </c>
      <c r="U137">
        <f t="shared" si="27"/>
        <v>-1.5217391304347827</v>
      </c>
      <c r="V137">
        <f t="shared" si="28"/>
        <v>-48.4</v>
      </c>
      <c r="W137">
        <f t="shared" si="29"/>
        <v>0</v>
      </c>
      <c r="X137">
        <f t="shared" si="30"/>
        <v>0</v>
      </c>
      <c r="Y137">
        <f t="shared" si="31"/>
        <v>0</v>
      </c>
    </row>
    <row r="138" spans="1:25" x14ac:dyDescent="0.2">
      <c r="A138" t="s">
        <v>51</v>
      </c>
      <c r="B138" t="s">
        <v>847</v>
      </c>
      <c r="C138">
        <v>240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100</v>
      </c>
      <c r="J138">
        <v>65</v>
      </c>
      <c r="K138">
        <v>0</v>
      </c>
      <c r="L138">
        <v>65</v>
      </c>
      <c r="M138">
        <v>0</v>
      </c>
      <c r="N138">
        <v>305</v>
      </c>
      <c r="O138" s="3">
        <f t="shared" si="22"/>
        <v>0</v>
      </c>
      <c r="P138">
        <f t="shared" si="23"/>
        <v>0</v>
      </c>
      <c r="Q138">
        <f t="shared" si="24"/>
        <v>0</v>
      </c>
      <c r="S138">
        <f t="shared" si="25"/>
        <v>-27.086956521739129</v>
      </c>
      <c r="T138">
        <f t="shared" si="26"/>
        <v>0</v>
      </c>
      <c r="U138">
        <f t="shared" si="27"/>
        <v>-1.0869565217391304</v>
      </c>
      <c r="V138">
        <f t="shared" si="28"/>
        <v>-26</v>
      </c>
      <c r="W138">
        <f t="shared" si="29"/>
        <v>0</v>
      </c>
      <c r="X138">
        <f t="shared" si="30"/>
        <v>0</v>
      </c>
      <c r="Y138">
        <f t="shared" si="31"/>
        <v>0</v>
      </c>
    </row>
    <row r="139" spans="1:25" x14ac:dyDescent="0.2">
      <c r="A139" t="s">
        <v>51</v>
      </c>
      <c r="B139" t="s">
        <v>848</v>
      </c>
      <c r="C139">
        <v>300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120</v>
      </c>
      <c r="J139">
        <v>81</v>
      </c>
      <c r="K139">
        <v>0</v>
      </c>
      <c r="L139">
        <v>81</v>
      </c>
      <c r="M139">
        <v>0</v>
      </c>
      <c r="N139">
        <v>381</v>
      </c>
      <c r="O139" s="3">
        <f t="shared" si="22"/>
        <v>0</v>
      </c>
      <c r="P139">
        <f t="shared" si="23"/>
        <v>0</v>
      </c>
      <c r="Q139">
        <f t="shared" si="24"/>
        <v>0</v>
      </c>
      <c r="S139">
        <f t="shared" si="25"/>
        <v>-33.704347826086959</v>
      </c>
      <c r="T139">
        <f t="shared" si="26"/>
        <v>0</v>
      </c>
      <c r="U139">
        <f t="shared" si="27"/>
        <v>-1.3043478260869565</v>
      </c>
      <c r="V139">
        <f t="shared" si="28"/>
        <v>-32.400000000000006</v>
      </c>
      <c r="W139">
        <f t="shared" si="29"/>
        <v>0</v>
      </c>
      <c r="X139">
        <f t="shared" si="30"/>
        <v>0</v>
      </c>
      <c r="Y139">
        <f t="shared" si="31"/>
        <v>0</v>
      </c>
    </row>
    <row r="140" spans="1:25" x14ac:dyDescent="0.2">
      <c r="A140" t="s">
        <v>51</v>
      </c>
      <c r="B140" t="s">
        <v>849</v>
      </c>
      <c r="C140">
        <v>350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180</v>
      </c>
      <c r="J140">
        <v>118</v>
      </c>
      <c r="K140">
        <v>0</v>
      </c>
      <c r="L140">
        <v>118</v>
      </c>
      <c r="M140">
        <v>0</v>
      </c>
      <c r="N140">
        <v>468</v>
      </c>
      <c r="O140" s="3">
        <f t="shared" si="22"/>
        <v>0</v>
      </c>
      <c r="P140">
        <f t="shared" si="23"/>
        <v>0</v>
      </c>
      <c r="Q140">
        <f t="shared" si="24"/>
        <v>0</v>
      </c>
      <c r="S140">
        <f t="shared" si="25"/>
        <v>-49.156521739130433</v>
      </c>
      <c r="T140">
        <f t="shared" si="26"/>
        <v>0</v>
      </c>
      <c r="U140">
        <f t="shared" si="27"/>
        <v>-1.956521739130435</v>
      </c>
      <c r="V140">
        <f t="shared" si="28"/>
        <v>-47.199999999999996</v>
      </c>
      <c r="W140">
        <f t="shared" si="29"/>
        <v>0</v>
      </c>
      <c r="X140">
        <f t="shared" si="30"/>
        <v>0</v>
      </c>
      <c r="Y140">
        <f t="shared" si="31"/>
        <v>0</v>
      </c>
    </row>
    <row r="141" spans="1:25" x14ac:dyDescent="0.2">
      <c r="A141" t="s">
        <v>51</v>
      </c>
      <c r="B141" t="s">
        <v>850</v>
      </c>
      <c r="C141">
        <v>450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230</v>
      </c>
      <c r="J141">
        <v>155</v>
      </c>
      <c r="K141">
        <v>0</v>
      </c>
      <c r="L141">
        <v>155</v>
      </c>
      <c r="M141">
        <v>0</v>
      </c>
      <c r="N141">
        <v>605</v>
      </c>
      <c r="O141" s="3">
        <f t="shared" si="22"/>
        <v>0</v>
      </c>
      <c r="P141">
        <f t="shared" si="23"/>
        <v>0</v>
      </c>
      <c r="Q141">
        <f t="shared" si="24"/>
        <v>0</v>
      </c>
      <c r="S141">
        <f t="shared" si="25"/>
        <v>-64.500000000000014</v>
      </c>
      <c r="T141">
        <f t="shared" si="26"/>
        <v>0</v>
      </c>
      <c r="U141">
        <f t="shared" si="27"/>
        <v>-2.5</v>
      </c>
      <c r="V141">
        <f t="shared" si="28"/>
        <v>-62.000000000000014</v>
      </c>
      <c r="W141">
        <f t="shared" si="29"/>
        <v>0</v>
      </c>
      <c r="X141">
        <f t="shared" si="30"/>
        <v>0</v>
      </c>
      <c r="Y141">
        <f t="shared" si="31"/>
        <v>0</v>
      </c>
    </row>
    <row r="142" spans="1:25" x14ac:dyDescent="0.2">
      <c r="A142" t="s">
        <v>51</v>
      </c>
      <c r="B142" t="s">
        <v>851</v>
      </c>
      <c r="C142">
        <v>220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55</v>
      </c>
      <c r="J142">
        <v>61</v>
      </c>
      <c r="K142">
        <v>0</v>
      </c>
      <c r="L142">
        <v>61</v>
      </c>
      <c r="M142">
        <v>0</v>
      </c>
      <c r="N142">
        <v>281</v>
      </c>
      <c r="O142" s="3">
        <f t="shared" si="22"/>
        <v>0</v>
      </c>
      <c r="P142">
        <f t="shared" si="23"/>
        <v>0</v>
      </c>
      <c r="Q142">
        <f t="shared" si="24"/>
        <v>0</v>
      </c>
      <c r="S142">
        <f t="shared" si="25"/>
        <v>-24.997826086956522</v>
      </c>
      <c r="T142">
        <f t="shared" si="26"/>
        <v>0</v>
      </c>
      <c r="U142">
        <f t="shared" si="27"/>
        <v>-0.59782608695652173</v>
      </c>
      <c r="V142">
        <f t="shared" si="28"/>
        <v>-24.4</v>
      </c>
      <c r="W142">
        <f t="shared" si="29"/>
        <v>0</v>
      </c>
      <c r="X142">
        <f t="shared" si="30"/>
        <v>0</v>
      </c>
      <c r="Y142">
        <f t="shared" si="31"/>
        <v>0</v>
      </c>
    </row>
    <row r="143" spans="1:25" x14ac:dyDescent="0.2">
      <c r="A143" t="s">
        <v>51</v>
      </c>
      <c r="B143" t="s">
        <v>852</v>
      </c>
      <c r="C143">
        <v>280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70</v>
      </c>
      <c r="J143">
        <v>76</v>
      </c>
      <c r="K143">
        <v>0</v>
      </c>
      <c r="L143">
        <v>76</v>
      </c>
      <c r="M143">
        <v>0</v>
      </c>
      <c r="N143">
        <v>356</v>
      </c>
      <c r="O143" s="3">
        <f t="shared" si="22"/>
        <v>0</v>
      </c>
      <c r="P143">
        <f t="shared" si="23"/>
        <v>0</v>
      </c>
      <c r="Q143">
        <f t="shared" si="24"/>
        <v>0</v>
      </c>
      <c r="S143">
        <f t="shared" si="25"/>
        <v>-31.160869565217396</v>
      </c>
      <c r="T143">
        <f t="shared" si="26"/>
        <v>0</v>
      </c>
      <c r="U143">
        <f t="shared" si="27"/>
        <v>-0.76086956521739135</v>
      </c>
      <c r="V143">
        <f t="shared" si="28"/>
        <v>-30.400000000000006</v>
      </c>
      <c r="W143">
        <f t="shared" si="29"/>
        <v>0</v>
      </c>
      <c r="X143">
        <f t="shared" si="30"/>
        <v>0</v>
      </c>
      <c r="Y143">
        <f t="shared" si="31"/>
        <v>0</v>
      </c>
    </row>
    <row r="144" spans="1:25" x14ac:dyDescent="0.2">
      <c r="A144" t="s">
        <v>51</v>
      </c>
      <c r="B144" t="s">
        <v>853</v>
      </c>
      <c r="C144">
        <v>410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100</v>
      </c>
      <c r="J144">
        <v>110</v>
      </c>
      <c r="K144">
        <v>0</v>
      </c>
      <c r="L144">
        <v>110</v>
      </c>
      <c r="M144">
        <v>0</v>
      </c>
      <c r="N144">
        <v>520</v>
      </c>
      <c r="O144" s="3">
        <f t="shared" si="22"/>
        <v>0</v>
      </c>
      <c r="P144">
        <f t="shared" si="23"/>
        <v>0</v>
      </c>
      <c r="Q144">
        <f t="shared" si="24"/>
        <v>0</v>
      </c>
      <c r="S144">
        <f t="shared" si="25"/>
        <v>-45.08695652173914</v>
      </c>
      <c r="T144">
        <f t="shared" si="26"/>
        <v>0</v>
      </c>
      <c r="U144">
        <f t="shared" si="27"/>
        <v>-1.0869565217391304</v>
      </c>
      <c r="V144">
        <f t="shared" si="28"/>
        <v>-44.000000000000007</v>
      </c>
      <c r="W144">
        <f t="shared" si="29"/>
        <v>0</v>
      </c>
      <c r="X144">
        <f t="shared" si="30"/>
        <v>0</v>
      </c>
      <c r="Y144">
        <f t="shared" si="31"/>
        <v>0</v>
      </c>
    </row>
    <row r="145" spans="1:25" x14ac:dyDescent="0.2">
      <c r="A145" t="s">
        <v>51</v>
      </c>
      <c r="B145" t="s">
        <v>854</v>
      </c>
      <c r="C145">
        <v>450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130</v>
      </c>
      <c r="J145">
        <v>145</v>
      </c>
      <c r="K145">
        <v>0</v>
      </c>
      <c r="L145">
        <v>145</v>
      </c>
      <c r="M145">
        <v>0</v>
      </c>
      <c r="N145">
        <v>595</v>
      </c>
      <c r="O145" s="3">
        <f t="shared" si="22"/>
        <v>0</v>
      </c>
      <c r="P145">
        <f t="shared" si="23"/>
        <v>0</v>
      </c>
      <c r="Q145">
        <f t="shared" si="24"/>
        <v>0</v>
      </c>
      <c r="S145">
        <f t="shared" si="25"/>
        <v>-59.41304347826086</v>
      </c>
      <c r="T145">
        <f t="shared" si="26"/>
        <v>0</v>
      </c>
      <c r="U145">
        <f t="shared" si="27"/>
        <v>-1.4130434782608696</v>
      </c>
      <c r="V145">
        <f t="shared" si="28"/>
        <v>-57.999999999999993</v>
      </c>
      <c r="W145">
        <f t="shared" si="29"/>
        <v>0</v>
      </c>
      <c r="X145">
        <f t="shared" si="30"/>
        <v>0</v>
      </c>
      <c r="Y145">
        <f t="shared" si="31"/>
        <v>0</v>
      </c>
    </row>
    <row r="146" spans="1:25" x14ac:dyDescent="0.2">
      <c r="A146" t="s">
        <v>51</v>
      </c>
      <c r="B146" t="s">
        <v>855</v>
      </c>
      <c r="C146">
        <v>230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60</v>
      </c>
      <c r="J146">
        <v>62</v>
      </c>
      <c r="K146">
        <v>0</v>
      </c>
      <c r="L146">
        <v>61</v>
      </c>
      <c r="M146">
        <v>0</v>
      </c>
      <c r="N146">
        <v>291</v>
      </c>
      <c r="O146" s="3">
        <f t="shared" si="22"/>
        <v>0</v>
      </c>
      <c r="P146">
        <f t="shared" si="23"/>
        <v>0</v>
      </c>
      <c r="Q146">
        <f t="shared" si="24"/>
        <v>0</v>
      </c>
      <c r="S146">
        <f t="shared" si="25"/>
        <v>-25.052173913043475</v>
      </c>
      <c r="T146">
        <f t="shared" si="26"/>
        <v>0</v>
      </c>
      <c r="U146">
        <f t="shared" si="27"/>
        <v>-0.65217391304347827</v>
      </c>
      <c r="V146">
        <f t="shared" si="28"/>
        <v>-24.4</v>
      </c>
      <c r="W146">
        <f t="shared" si="29"/>
        <v>0</v>
      </c>
      <c r="X146">
        <f t="shared" si="30"/>
        <v>0</v>
      </c>
      <c r="Y146">
        <f t="shared" si="31"/>
        <v>0</v>
      </c>
    </row>
    <row r="147" spans="1:25" x14ac:dyDescent="0.2">
      <c r="A147" t="s">
        <v>51</v>
      </c>
      <c r="B147" t="s">
        <v>856</v>
      </c>
      <c r="C147">
        <v>280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70</v>
      </c>
      <c r="J147">
        <v>78</v>
      </c>
      <c r="K147">
        <v>0</v>
      </c>
      <c r="L147">
        <v>77</v>
      </c>
      <c r="M147">
        <v>0</v>
      </c>
      <c r="N147">
        <v>357</v>
      </c>
      <c r="O147" s="3">
        <f t="shared" si="22"/>
        <v>0</v>
      </c>
      <c r="P147">
        <f t="shared" si="23"/>
        <v>0</v>
      </c>
      <c r="Q147">
        <f t="shared" si="24"/>
        <v>0</v>
      </c>
      <c r="S147">
        <f t="shared" si="25"/>
        <v>-31.560869565217395</v>
      </c>
      <c r="T147">
        <f t="shared" si="26"/>
        <v>0</v>
      </c>
      <c r="U147">
        <f t="shared" si="27"/>
        <v>-0.76086956521739135</v>
      </c>
      <c r="V147">
        <f t="shared" si="28"/>
        <v>-30.800000000000004</v>
      </c>
      <c r="W147">
        <f t="shared" si="29"/>
        <v>0</v>
      </c>
      <c r="X147">
        <f t="shared" si="30"/>
        <v>0</v>
      </c>
      <c r="Y147">
        <f t="shared" si="31"/>
        <v>0</v>
      </c>
    </row>
    <row r="148" spans="1:25" x14ac:dyDescent="0.2">
      <c r="A148" t="s">
        <v>51</v>
      </c>
      <c r="B148" t="s">
        <v>857</v>
      </c>
      <c r="C148">
        <v>410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105</v>
      </c>
      <c r="J148">
        <v>113</v>
      </c>
      <c r="K148">
        <v>0</v>
      </c>
      <c r="L148">
        <v>111</v>
      </c>
      <c r="M148">
        <v>0</v>
      </c>
      <c r="N148">
        <v>521</v>
      </c>
      <c r="O148" s="3">
        <f t="shared" si="22"/>
        <v>0</v>
      </c>
      <c r="P148">
        <f t="shared" si="23"/>
        <v>0</v>
      </c>
      <c r="Q148">
        <f t="shared" si="24"/>
        <v>0</v>
      </c>
      <c r="S148">
        <f t="shared" si="25"/>
        <v>-45.541304347826092</v>
      </c>
      <c r="T148">
        <f t="shared" si="26"/>
        <v>0</v>
      </c>
      <c r="U148">
        <f t="shared" si="27"/>
        <v>-1.1413043478260869</v>
      </c>
      <c r="V148">
        <f t="shared" si="28"/>
        <v>-44.400000000000006</v>
      </c>
      <c r="W148">
        <f t="shared" si="29"/>
        <v>0</v>
      </c>
      <c r="X148">
        <f t="shared" si="30"/>
        <v>0</v>
      </c>
      <c r="Y148">
        <f t="shared" si="31"/>
        <v>0</v>
      </c>
    </row>
    <row r="149" spans="1:25" x14ac:dyDescent="0.2">
      <c r="A149" t="s">
        <v>51</v>
      </c>
      <c r="B149" t="s">
        <v>858</v>
      </c>
      <c r="C149">
        <v>530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135</v>
      </c>
      <c r="J149">
        <v>148</v>
      </c>
      <c r="K149">
        <v>0</v>
      </c>
      <c r="L149">
        <v>146</v>
      </c>
      <c r="M149">
        <v>0</v>
      </c>
      <c r="N149">
        <v>676</v>
      </c>
      <c r="O149" s="3">
        <f t="shared" si="22"/>
        <v>0</v>
      </c>
      <c r="P149">
        <f t="shared" si="23"/>
        <v>0</v>
      </c>
      <c r="Q149">
        <f t="shared" si="24"/>
        <v>0</v>
      </c>
      <c r="S149">
        <f t="shared" si="25"/>
        <v>-59.867391304347827</v>
      </c>
      <c r="T149">
        <f t="shared" si="26"/>
        <v>0</v>
      </c>
      <c r="U149">
        <f t="shared" si="27"/>
        <v>-1.4673913043478262</v>
      </c>
      <c r="V149">
        <f t="shared" si="28"/>
        <v>-58.4</v>
      </c>
      <c r="W149">
        <f t="shared" si="29"/>
        <v>0</v>
      </c>
      <c r="X149">
        <f t="shared" si="30"/>
        <v>0</v>
      </c>
      <c r="Y149">
        <f t="shared" si="31"/>
        <v>0</v>
      </c>
    </row>
    <row r="150" spans="1:25" x14ac:dyDescent="0.2">
      <c r="A150" t="s">
        <v>51</v>
      </c>
      <c r="B150" t="s">
        <v>859</v>
      </c>
      <c r="C150">
        <v>220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62</v>
      </c>
      <c r="K150">
        <v>0</v>
      </c>
      <c r="L150">
        <v>60</v>
      </c>
      <c r="M150">
        <v>0</v>
      </c>
      <c r="N150">
        <v>280</v>
      </c>
      <c r="O150" s="3">
        <f t="shared" si="22"/>
        <v>0</v>
      </c>
      <c r="P150">
        <f t="shared" si="23"/>
        <v>0</v>
      </c>
      <c r="Q150">
        <f t="shared" si="24"/>
        <v>0</v>
      </c>
      <c r="S150">
        <f t="shared" si="25"/>
        <v>-24.815217391304348</v>
      </c>
      <c r="T150">
        <f t="shared" si="26"/>
        <v>0</v>
      </c>
      <c r="U150">
        <f t="shared" si="27"/>
        <v>-0.81521739130434778</v>
      </c>
      <c r="V150">
        <f t="shared" si="28"/>
        <v>-24</v>
      </c>
      <c r="W150">
        <f t="shared" si="29"/>
        <v>0</v>
      </c>
      <c r="X150">
        <f t="shared" si="30"/>
        <v>0</v>
      </c>
      <c r="Y150">
        <f t="shared" si="31"/>
        <v>0</v>
      </c>
    </row>
    <row r="151" spans="1:25" x14ac:dyDescent="0.2">
      <c r="A151" t="s">
        <v>51</v>
      </c>
      <c r="B151" t="s">
        <v>860</v>
      </c>
      <c r="C151">
        <v>280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95</v>
      </c>
      <c r="J151">
        <v>77</v>
      </c>
      <c r="K151">
        <v>0</v>
      </c>
      <c r="L151">
        <v>75</v>
      </c>
      <c r="M151">
        <v>0</v>
      </c>
      <c r="N151">
        <v>355</v>
      </c>
      <c r="O151" s="3">
        <f t="shared" si="22"/>
        <v>0</v>
      </c>
      <c r="P151">
        <f t="shared" si="23"/>
        <v>0</v>
      </c>
      <c r="Q151">
        <f t="shared" si="24"/>
        <v>0</v>
      </c>
      <c r="S151">
        <f t="shared" si="25"/>
        <v>-31.032608695652179</v>
      </c>
      <c r="T151">
        <f t="shared" si="26"/>
        <v>0</v>
      </c>
      <c r="U151">
        <f t="shared" si="27"/>
        <v>-1.0326086956521738</v>
      </c>
      <c r="V151">
        <f t="shared" si="28"/>
        <v>-30.000000000000004</v>
      </c>
      <c r="W151">
        <f t="shared" si="29"/>
        <v>0</v>
      </c>
      <c r="X151">
        <f t="shared" si="30"/>
        <v>0</v>
      </c>
      <c r="Y151">
        <f t="shared" si="31"/>
        <v>0</v>
      </c>
    </row>
    <row r="152" spans="1:25" x14ac:dyDescent="0.2">
      <c r="A152" t="s">
        <v>51</v>
      </c>
      <c r="B152" t="s">
        <v>861</v>
      </c>
      <c r="C152">
        <v>410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135</v>
      </c>
      <c r="J152">
        <v>111</v>
      </c>
      <c r="K152">
        <v>0</v>
      </c>
      <c r="L152">
        <v>109</v>
      </c>
      <c r="M152">
        <v>0</v>
      </c>
      <c r="N152">
        <v>519</v>
      </c>
      <c r="O152" s="3">
        <f t="shared" si="22"/>
        <v>0</v>
      </c>
      <c r="P152">
        <f t="shared" si="23"/>
        <v>0</v>
      </c>
      <c r="Q152">
        <f t="shared" si="24"/>
        <v>0</v>
      </c>
      <c r="S152">
        <f t="shared" si="25"/>
        <v>-45.067391304347836</v>
      </c>
      <c r="T152">
        <f t="shared" si="26"/>
        <v>0</v>
      </c>
      <c r="U152">
        <f t="shared" si="27"/>
        <v>-1.4673913043478262</v>
      </c>
      <c r="V152">
        <f t="shared" si="28"/>
        <v>-43.600000000000009</v>
      </c>
      <c r="W152">
        <f t="shared" si="29"/>
        <v>0</v>
      </c>
      <c r="X152">
        <f t="shared" si="30"/>
        <v>0</v>
      </c>
      <c r="Y152">
        <f t="shared" si="31"/>
        <v>0</v>
      </c>
    </row>
    <row r="153" spans="1:25" x14ac:dyDescent="0.2">
      <c r="A153" t="s">
        <v>51</v>
      </c>
      <c r="B153" t="s">
        <v>862</v>
      </c>
      <c r="C153">
        <v>450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180</v>
      </c>
      <c r="J153">
        <v>146</v>
      </c>
      <c r="K153">
        <v>0</v>
      </c>
      <c r="L153">
        <v>143</v>
      </c>
      <c r="M153">
        <v>0</v>
      </c>
      <c r="N153">
        <v>593</v>
      </c>
      <c r="O153" s="3">
        <f t="shared" si="22"/>
        <v>0</v>
      </c>
      <c r="P153">
        <f t="shared" si="23"/>
        <v>0</v>
      </c>
      <c r="Q153">
        <f t="shared" si="24"/>
        <v>0</v>
      </c>
      <c r="S153">
        <f t="shared" si="25"/>
        <v>-59.156521739130433</v>
      </c>
      <c r="T153">
        <f t="shared" si="26"/>
        <v>0</v>
      </c>
      <c r="U153">
        <f t="shared" si="27"/>
        <v>-1.956521739130435</v>
      </c>
      <c r="V153">
        <f t="shared" si="28"/>
        <v>-57.199999999999996</v>
      </c>
      <c r="W153">
        <f t="shared" si="29"/>
        <v>0</v>
      </c>
      <c r="X153">
        <f t="shared" si="30"/>
        <v>0</v>
      </c>
      <c r="Y153">
        <f t="shared" si="31"/>
        <v>0</v>
      </c>
    </row>
    <row r="154" spans="1:25" x14ac:dyDescent="0.2">
      <c r="A154" t="s">
        <v>51</v>
      </c>
      <c r="B154" t="s">
        <v>863</v>
      </c>
      <c r="C154">
        <v>10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60</v>
      </c>
      <c r="J154">
        <v>3</v>
      </c>
      <c r="K154">
        <v>0</v>
      </c>
      <c r="L154">
        <v>0</v>
      </c>
      <c r="M154">
        <v>0</v>
      </c>
      <c r="N154">
        <v>0</v>
      </c>
      <c r="O154" s="3">
        <f t="shared" si="22"/>
        <v>0</v>
      </c>
      <c r="P154">
        <f t="shared" si="23"/>
        <v>0</v>
      </c>
      <c r="Q154">
        <f t="shared" si="24"/>
        <v>0</v>
      </c>
      <c r="S154">
        <f t="shared" si="25"/>
        <v>-0.65217391304347827</v>
      </c>
      <c r="T154">
        <f t="shared" si="26"/>
        <v>0</v>
      </c>
      <c r="U154">
        <f t="shared" si="27"/>
        <v>-0.65217391304347827</v>
      </c>
      <c r="V154">
        <f t="shared" si="28"/>
        <v>0</v>
      </c>
      <c r="W154">
        <f t="shared" si="29"/>
        <v>0</v>
      </c>
      <c r="X154">
        <f t="shared" si="30"/>
        <v>0</v>
      </c>
      <c r="Y154">
        <f t="shared" si="31"/>
        <v>0</v>
      </c>
    </row>
    <row r="155" spans="1:25" x14ac:dyDescent="0.2">
      <c r="A155" t="s">
        <v>51</v>
      </c>
      <c r="B155" t="s">
        <v>864</v>
      </c>
      <c r="C155">
        <v>10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70</v>
      </c>
      <c r="J155">
        <v>4</v>
      </c>
      <c r="K155">
        <v>0</v>
      </c>
      <c r="L155">
        <v>0</v>
      </c>
      <c r="M155">
        <v>0</v>
      </c>
      <c r="N155">
        <v>0</v>
      </c>
      <c r="O155" s="3">
        <f t="shared" si="22"/>
        <v>0</v>
      </c>
      <c r="P155">
        <f t="shared" si="23"/>
        <v>0</v>
      </c>
      <c r="Q155">
        <f t="shared" si="24"/>
        <v>0</v>
      </c>
      <c r="S155">
        <f t="shared" si="25"/>
        <v>-0.76086956521739135</v>
      </c>
      <c r="T155">
        <f t="shared" si="26"/>
        <v>0</v>
      </c>
      <c r="U155">
        <f t="shared" si="27"/>
        <v>-0.76086956521739135</v>
      </c>
      <c r="V155">
        <f t="shared" si="28"/>
        <v>0</v>
      </c>
      <c r="W155">
        <f t="shared" si="29"/>
        <v>0</v>
      </c>
      <c r="X155">
        <f t="shared" si="30"/>
        <v>0</v>
      </c>
      <c r="Y155">
        <f t="shared" si="31"/>
        <v>0</v>
      </c>
    </row>
    <row r="156" spans="1:25" x14ac:dyDescent="0.2">
      <c r="A156" t="s">
        <v>51</v>
      </c>
      <c r="B156" t="s">
        <v>865</v>
      </c>
      <c r="C156">
        <v>15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105</v>
      </c>
      <c r="J156">
        <v>5</v>
      </c>
      <c r="K156">
        <v>0</v>
      </c>
      <c r="L156">
        <v>0</v>
      </c>
      <c r="M156">
        <v>0</v>
      </c>
      <c r="N156">
        <v>0</v>
      </c>
      <c r="O156" s="3">
        <f t="shared" si="22"/>
        <v>0</v>
      </c>
      <c r="P156">
        <f t="shared" si="23"/>
        <v>0</v>
      </c>
      <c r="Q156">
        <f t="shared" si="24"/>
        <v>0</v>
      </c>
      <c r="S156">
        <f t="shared" si="25"/>
        <v>-1.1413043478260869</v>
      </c>
      <c r="T156">
        <f t="shared" si="26"/>
        <v>0</v>
      </c>
      <c r="U156">
        <f t="shared" si="27"/>
        <v>-1.1413043478260869</v>
      </c>
      <c r="V156">
        <f t="shared" si="28"/>
        <v>0</v>
      </c>
      <c r="W156">
        <f t="shared" si="29"/>
        <v>0</v>
      </c>
      <c r="X156">
        <f t="shared" si="30"/>
        <v>0</v>
      </c>
      <c r="Y156">
        <f t="shared" si="31"/>
        <v>0</v>
      </c>
    </row>
    <row r="157" spans="1:25" x14ac:dyDescent="0.2">
      <c r="A157" t="s">
        <v>51</v>
      </c>
      <c r="B157" t="s">
        <v>866</v>
      </c>
      <c r="C157">
        <v>20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135</v>
      </c>
      <c r="J157">
        <v>7</v>
      </c>
      <c r="K157">
        <v>0</v>
      </c>
      <c r="L157">
        <v>0</v>
      </c>
      <c r="M157">
        <v>0</v>
      </c>
      <c r="N157">
        <v>0</v>
      </c>
      <c r="O157" s="3">
        <f t="shared" si="22"/>
        <v>0</v>
      </c>
      <c r="P157">
        <f t="shared" si="23"/>
        <v>0</v>
      </c>
      <c r="Q157">
        <f t="shared" si="24"/>
        <v>0</v>
      </c>
      <c r="S157">
        <f t="shared" si="25"/>
        <v>-1.4673913043478262</v>
      </c>
      <c r="T157">
        <f t="shared" si="26"/>
        <v>0</v>
      </c>
      <c r="U157">
        <f t="shared" si="27"/>
        <v>-1.4673913043478262</v>
      </c>
      <c r="V157">
        <f t="shared" si="28"/>
        <v>0</v>
      </c>
      <c r="W157">
        <f t="shared" si="29"/>
        <v>0</v>
      </c>
      <c r="X157">
        <f t="shared" si="30"/>
        <v>0</v>
      </c>
      <c r="Y157">
        <f t="shared" si="31"/>
        <v>0</v>
      </c>
    </row>
    <row r="158" spans="1:25" x14ac:dyDescent="0.2">
      <c r="A158" t="s">
        <v>51</v>
      </c>
      <c r="B158" t="s">
        <v>867</v>
      </c>
      <c r="C158">
        <v>120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35</v>
      </c>
      <c r="K158">
        <v>0</v>
      </c>
      <c r="L158">
        <v>35</v>
      </c>
      <c r="M158">
        <v>0</v>
      </c>
      <c r="N158">
        <v>155</v>
      </c>
      <c r="O158" s="3">
        <f t="shared" si="22"/>
        <v>0</v>
      </c>
      <c r="P158">
        <f t="shared" si="23"/>
        <v>0</v>
      </c>
      <c r="Q158">
        <f t="shared" si="24"/>
        <v>0</v>
      </c>
      <c r="S158">
        <f t="shared" si="25"/>
        <v>-13.999999999999998</v>
      </c>
      <c r="T158">
        <f t="shared" si="26"/>
        <v>0</v>
      </c>
      <c r="U158">
        <f t="shared" si="27"/>
        <v>0</v>
      </c>
      <c r="V158">
        <f t="shared" si="28"/>
        <v>-13.999999999999998</v>
      </c>
      <c r="W158">
        <f t="shared" si="29"/>
        <v>0</v>
      </c>
      <c r="X158">
        <f t="shared" si="30"/>
        <v>0</v>
      </c>
      <c r="Y158">
        <f t="shared" si="31"/>
        <v>0</v>
      </c>
    </row>
    <row r="159" spans="1:25" x14ac:dyDescent="0.2">
      <c r="A159" t="s">
        <v>51</v>
      </c>
      <c r="B159" t="s">
        <v>868</v>
      </c>
      <c r="C159">
        <v>160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49</v>
      </c>
      <c r="K159">
        <v>0</v>
      </c>
      <c r="L159">
        <v>49</v>
      </c>
      <c r="M159">
        <v>0</v>
      </c>
      <c r="N159">
        <v>209</v>
      </c>
      <c r="O159" s="3">
        <f t="shared" si="22"/>
        <v>0</v>
      </c>
      <c r="P159">
        <f t="shared" si="23"/>
        <v>0</v>
      </c>
      <c r="Q159">
        <f t="shared" si="24"/>
        <v>0</v>
      </c>
      <c r="S159">
        <f t="shared" si="25"/>
        <v>-19.600000000000001</v>
      </c>
      <c r="T159">
        <f t="shared" si="26"/>
        <v>0</v>
      </c>
      <c r="U159">
        <f t="shared" si="27"/>
        <v>0</v>
      </c>
      <c r="V159">
        <f t="shared" si="28"/>
        <v>-19.600000000000001</v>
      </c>
      <c r="W159">
        <f t="shared" si="29"/>
        <v>0</v>
      </c>
      <c r="X159">
        <f t="shared" si="30"/>
        <v>0</v>
      </c>
      <c r="Y159">
        <f t="shared" si="31"/>
        <v>0</v>
      </c>
    </row>
    <row r="160" spans="1:25" x14ac:dyDescent="0.2">
      <c r="A160" t="s">
        <v>51</v>
      </c>
      <c r="B160" t="s">
        <v>869</v>
      </c>
      <c r="C160">
        <v>240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71</v>
      </c>
      <c r="K160">
        <v>0</v>
      </c>
      <c r="L160">
        <v>71</v>
      </c>
      <c r="M160">
        <v>0</v>
      </c>
      <c r="N160">
        <v>311</v>
      </c>
      <c r="O160" s="3">
        <f t="shared" si="22"/>
        <v>0</v>
      </c>
      <c r="P160">
        <f t="shared" si="23"/>
        <v>0</v>
      </c>
      <c r="Q160">
        <f t="shared" si="24"/>
        <v>0</v>
      </c>
      <c r="S160">
        <f t="shared" si="25"/>
        <v>-28.4</v>
      </c>
      <c r="T160">
        <f t="shared" si="26"/>
        <v>0</v>
      </c>
      <c r="U160">
        <f t="shared" si="27"/>
        <v>0</v>
      </c>
      <c r="V160">
        <f t="shared" si="28"/>
        <v>-28.4</v>
      </c>
      <c r="W160">
        <f t="shared" si="29"/>
        <v>0</v>
      </c>
      <c r="X160">
        <f t="shared" si="30"/>
        <v>0</v>
      </c>
      <c r="Y160">
        <f t="shared" si="31"/>
        <v>0</v>
      </c>
    </row>
    <row r="161" spans="1:25" x14ac:dyDescent="0.2">
      <c r="A161" t="s">
        <v>51</v>
      </c>
      <c r="B161" t="s">
        <v>873</v>
      </c>
      <c r="C161">
        <v>80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25</v>
      </c>
      <c r="J161">
        <v>20</v>
      </c>
      <c r="K161">
        <v>0</v>
      </c>
      <c r="L161">
        <v>20</v>
      </c>
      <c r="M161">
        <v>0</v>
      </c>
      <c r="N161">
        <v>100</v>
      </c>
      <c r="O161" s="3">
        <f t="shared" si="22"/>
        <v>0</v>
      </c>
      <c r="P161">
        <f t="shared" si="23"/>
        <v>0</v>
      </c>
      <c r="Q161">
        <f t="shared" si="24"/>
        <v>0</v>
      </c>
      <c r="S161">
        <f t="shared" si="25"/>
        <v>-8.2717391304347849</v>
      </c>
      <c r="T161">
        <f t="shared" si="26"/>
        <v>0</v>
      </c>
      <c r="U161">
        <f t="shared" si="27"/>
        <v>-0.27173913043478259</v>
      </c>
      <c r="V161">
        <f t="shared" si="28"/>
        <v>-8.0000000000000018</v>
      </c>
      <c r="W161">
        <f t="shared" si="29"/>
        <v>0</v>
      </c>
      <c r="X161">
        <f t="shared" si="30"/>
        <v>0</v>
      </c>
      <c r="Y161">
        <f t="shared" si="31"/>
        <v>0</v>
      </c>
    </row>
    <row r="162" spans="1:25" x14ac:dyDescent="0.2">
      <c r="A162" t="s">
        <v>51</v>
      </c>
      <c r="B162" t="s">
        <v>874</v>
      </c>
      <c r="C162">
        <v>130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50</v>
      </c>
      <c r="J162">
        <v>35</v>
      </c>
      <c r="K162">
        <v>0</v>
      </c>
      <c r="L162">
        <v>35</v>
      </c>
      <c r="M162">
        <v>0</v>
      </c>
      <c r="N162">
        <v>165</v>
      </c>
      <c r="O162" s="3">
        <f t="shared" si="22"/>
        <v>0</v>
      </c>
      <c r="P162">
        <f t="shared" si="23"/>
        <v>0</v>
      </c>
      <c r="Q162">
        <f t="shared" si="24"/>
        <v>0</v>
      </c>
      <c r="S162">
        <f t="shared" si="25"/>
        <v>-14.543478260869563</v>
      </c>
      <c r="T162">
        <f t="shared" si="26"/>
        <v>0</v>
      </c>
      <c r="U162">
        <f t="shared" si="27"/>
        <v>-0.54347826086956519</v>
      </c>
      <c r="V162">
        <f t="shared" si="28"/>
        <v>-13.999999999999998</v>
      </c>
      <c r="W162">
        <f t="shared" si="29"/>
        <v>0</v>
      </c>
      <c r="X162">
        <f t="shared" si="30"/>
        <v>0</v>
      </c>
      <c r="Y162">
        <f t="shared" si="31"/>
        <v>0</v>
      </c>
    </row>
    <row r="163" spans="1:25" x14ac:dyDescent="0.2">
      <c r="A163" t="s">
        <v>21</v>
      </c>
      <c r="B163" t="s">
        <v>22</v>
      </c>
      <c r="C163">
        <v>210</v>
      </c>
      <c r="D163" s="2">
        <v>0</v>
      </c>
      <c r="E163">
        <v>7</v>
      </c>
      <c r="F163">
        <v>2</v>
      </c>
      <c r="G163">
        <v>0</v>
      </c>
      <c r="H163">
        <v>130</v>
      </c>
      <c r="I163">
        <v>710</v>
      </c>
      <c r="J163">
        <v>0</v>
      </c>
      <c r="K163">
        <v>0</v>
      </c>
      <c r="L163">
        <v>0</v>
      </c>
      <c r="M163">
        <v>38</v>
      </c>
      <c r="N163">
        <v>174</v>
      </c>
      <c r="O163" s="3">
        <f>(M163/C163)*100</f>
        <v>18.095238095238095</v>
      </c>
      <c r="P163">
        <f t="shared" si="23"/>
        <v>1</v>
      </c>
      <c r="Q163">
        <f t="shared" si="24"/>
        <v>0</v>
      </c>
      <c r="S163">
        <f t="shared" si="25"/>
        <v>-0.61739130434782474</v>
      </c>
      <c r="T163">
        <f t="shared" si="26"/>
        <v>-0.5</v>
      </c>
      <c r="U163">
        <f t="shared" si="27"/>
        <v>-7.7173913043478262</v>
      </c>
      <c r="V163">
        <f t="shared" si="28"/>
        <v>0</v>
      </c>
      <c r="W163">
        <f t="shared" si="29"/>
        <v>0</v>
      </c>
      <c r="X163">
        <f t="shared" si="30"/>
        <v>7.6000000000000014</v>
      </c>
      <c r="Y163">
        <f t="shared" si="31"/>
        <v>0</v>
      </c>
    </row>
    <row r="164" spans="1:25" x14ac:dyDescent="0.2">
      <c r="A164" t="s">
        <v>21</v>
      </c>
      <c r="B164" t="s">
        <v>23</v>
      </c>
      <c r="C164">
        <v>260</v>
      </c>
      <c r="D164" s="2">
        <v>0</v>
      </c>
      <c r="E164">
        <v>12</v>
      </c>
      <c r="F164">
        <v>3</v>
      </c>
      <c r="G164">
        <v>0</v>
      </c>
      <c r="H164">
        <v>130</v>
      </c>
      <c r="I164">
        <v>790</v>
      </c>
      <c r="J164">
        <v>1</v>
      </c>
      <c r="K164">
        <v>0</v>
      </c>
      <c r="L164">
        <v>0</v>
      </c>
      <c r="M164">
        <v>38</v>
      </c>
      <c r="N164">
        <v>225</v>
      </c>
      <c r="O164" s="3">
        <f>(M164/C164)*100</f>
        <v>14.615384615384617</v>
      </c>
      <c r="P164">
        <f t="shared" si="23"/>
        <v>1</v>
      </c>
      <c r="Q164">
        <f t="shared" si="24"/>
        <v>0</v>
      </c>
      <c r="S164">
        <f t="shared" si="25"/>
        <v>-1.7369565217391294</v>
      </c>
      <c r="T164">
        <f t="shared" si="26"/>
        <v>-0.75</v>
      </c>
      <c r="U164">
        <f t="shared" si="27"/>
        <v>-8.5869565217391308</v>
      </c>
      <c r="V164">
        <f t="shared" si="28"/>
        <v>0</v>
      </c>
      <c r="W164">
        <f t="shared" si="29"/>
        <v>0</v>
      </c>
      <c r="X164">
        <f t="shared" si="30"/>
        <v>7.6000000000000014</v>
      </c>
      <c r="Y164">
        <f t="shared" si="31"/>
        <v>0</v>
      </c>
    </row>
    <row r="165" spans="1:25" x14ac:dyDescent="0.2">
      <c r="A165" t="s">
        <v>21</v>
      </c>
      <c r="B165" t="s">
        <v>24</v>
      </c>
      <c r="C165">
        <v>80</v>
      </c>
      <c r="D165" s="2">
        <v>0</v>
      </c>
      <c r="E165">
        <v>4</v>
      </c>
      <c r="F165">
        <v>1</v>
      </c>
      <c r="G165">
        <v>0</v>
      </c>
      <c r="H165">
        <v>55</v>
      </c>
      <c r="I165">
        <v>220</v>
      </c>
      <c r="J165">
        <v>0</v>
      </c>
      <c r="K165">
        <v>0</v>
      </c>
      <c r="L165">
        <v>0</v>
      </c>
      <c r="M165">
        <v>11</v>
      </c>
      <c r="N165">
        <v>70</v>
      </c>
      <c r="O165" s="3">
        <f t="shared" ref="O165:O196" si="32">M165/C165*100</f>
        <v>13.750000000000002</v>
      </c>
      <c r="P165">
        <f t="shared" si="23"/>
        <v>0</v>
      </c>
      <c r="Q165">
        <f t="shared" si="24"/>
        <v>0</v>
      </c>
      <c r="S165">
        <f t="shared" si="25"/>
        <v>-0.44130434782608674</v>
      </c>
      <c r="T165">
        <f t="shared" si="26"/>
        <v>-0.25</v>
      </c>
      <c r="U165">
        <f t="shared" si="27"/>
        <v>-2.3913043478260869</v>
      </c>
      <c r="V165">
        <f t="shared" si="28"/>
        <v>0</v>
      </c>
      <c r="W165">
        <f t="shared" si="29"/>
        <v>0</v>
      </c>
      <c r="X165">
        <f t="shared" si="30"/>
        <v>2.2000000000000002</v>
      </c>
      <c r="Y165">
        <f t="shared" si="31"/>
        <v>0</v>
      </c>
    </row>
    <row r="166" spans="1:25" x14ac:dyDescent="0.2">
      <c r="A166" t="s">
        <v>21</v>
      </c>
      <c r="B166" t="s">
        <v>27</v>
      </c>
      <c r="C166">
        <v>70</v>
      </c>
      <c r="D166" s="2">
        <v>0</v>
      </c>
      <c r="E166">
        <v>3</v>
      </c>
      <c r="F166">
        <v>1</v>
      </c>
      <c r="G166">
        <v>0</v>
      </c>
      <c r="H166">
        <v>45</v>
      </c>
      <c r="I166">
        <v>180</v>
      </c>
      <c r="J166">
        <v>0</v>
      </c>
      <c r="K166">
        <v>0</v>
      </c>
      <c r="L166">
        <v>0</v>
      </c>
      <c r="M166">
        <v>9</v>
      </c>
      <c r="N166">
        <v>62</v>
      </c>
      <c r="O166" s="3">
        <f t="shared" si="32"/>
        <v>12.857142857142856</v>
      </c>
      <c r="P166">
        <f t="shared" si="23"/>
        <v>0</v>
      </c>
      <c r="Q166">
        <f t="shared" si="24"/>
        <v>0</v>
      </c>
      <c r="S166">
        <f t="shared" si="25"/>
        <v>-0.40652173913043521</v>
      </c>
      <c r="T166">
        <f t="shared" si="26"/>
        <v>-0.25</v>
      </c>
      <c r="U166">
        <f t="shared" si="27"/>
        <v>-1.956521739130435</v>
      </c>
      <c r="V166">
        <f t="shared" si="28"/>
        <v>0</v>
      </c>
      <c r="W166">
        <f t="shared" si="29"/>
        <v>0</v>
      </c>
      <c r="X166">
        <f t="shared" si="30"/>
        <v>1.7999999999999998</v>
      </c>
      <c r="Y166">
        <f t="shared" si="31"/>
        <v>0</v>
      </c>
    </row>
    <row r="167" spans="1:25" x14ac:dyDescent="0.2">
      <c r="A167" t="s">
        <v>21</v>
      </c>
      <c r="B167" t="s">
        <v>29</v>
      </c>
      <c r="C167">
        <v>150</v>
      </c>
      <c r="D167" s="2">
        <v>0</v>
      </c>
      <c r="E167">
        <v>9</v>
      </c>
      <c r="F167">
        <v>3</v>
      </c>
      <c r="G167">
        <v>0</v>
      </c>
      <c r="H167">
        <v>90</v>
      </c>
      <c r="I167">
        <v>420</v>
      </c>
      <c r="J167">
        <v>0</v>
      </c>
      <c r="K167">
        <v>0</v>
      </c>
      <c r="L167">
        <v>0</v>
      </c>
      <c r="M167">
        <v>17</v>
      </c>
      <c r="N167">
        <v>136</v>
      </c>
      <c r="O167" s="3">
        <f t="shared" si="32"/>
        <v>11.333333333333332</v>
      </c>
      <c r="P167">
        <f t="shared" si="23"/>
        <v>0</v>
      </c>
      <c r="Q167">
        <f t="shared" si="24"/>
        <v>0</v>
      </c>
      <c r="S167">
        <f t="shared" si="25"/>
        <v>-1.9152173913043473</v>
      </c>
      <c r="T167">
        <f t="shared" si="26"/>
        <v>-0.75</v>
      </c>
      <c r="U167">
        <f t="shared" si="27"/>
        <v>-4.5652173913043477</v>
      </c>
      <c r="V167">
        <f t="shared" si="28"/>
        <v>0</v>
      </c>
      <c r="W167">
        <f t="shared" si="29"/>
        <v>0</v>
      </c>
      <c r="X167">
        <f t="shared" si="30"/>
        <v>3.4000000000000004</v>
      </c>
      <c r="Y167">
        <f t="shared" si="31"/>
        <v>0</v>
      </c>
    </row>
    <row r="168" spans="1:25" x14ac:dyDescent="0.2">
      <c r="A168" t="s">
        <v>21</v>
      </c>
      <c r="B168" t="s">
        <v>30</v>
      </c>
      <c r="C168">
        <v>100</v>
      </c>
      <c r="D168" s="2">
        <v>0</v>
      </c>
      <c r="E168">
        <v>6</v>
      </c>
      <c r="F168">
        <v>1.5</v>
      </c>
      <c r="G168">
        <v>0</v>
      </c>
      <c r="H168">
        <v>55</v>
      </c>
      <c r="I168">
        <v>260</v>
      </c>
      <c r="J168">
        <v>0</v>
      </c>
      <c r="K168">
        <v>0</v>
      </c>
      <c r="L168">
        <v>0</v>
      </c>
      <c r="M168">
        <v>11</v>
      </c>
      <c r="N168">
        <v>90.5</v>
      </c>
      <c r="O168" s="3">
        <f t="shared" si="32"/>
        <v>11</v>
      </c>
      <c r="P168">
        <f t="shared" si="23"/>
        <v>0</v>
      </c>
      <c r="Q168">
        <f t="shared" si="24"/>
        <v>0</v>
      </c>
      <c r="S168">
        <f t="shared" si="25"/>
        <v>-1.0010869565217391</v>
      </c>
      <c r="T168">
        <f t="shared" si="26"/>
        <v>-0.375</v>
      </c>
      <c r="U168">
        <f t="shared" si="27"/>
        <v>-2.8260869565217392</v>
      </c>
      <c r="V168">
        <f t="shared" si="28"/>
        <v>0</v>
      </c>
      <c r="W168">
        <f t="shared" si="29"/>
        <v>0</v>
      </c>
      <c r="X168">
        <f t="shared" si="30"/>
        <v>2.2000000000000002</v>
      </c>
      <c r="Y168">
        <f t="shared" si="31"/>
        <v>0</v>
      </c>
    </row>
    <row r="169" spans="1:25" x14ac:dyDescent="0.2">
      <c r="A169" t="s">
        <v>21</v>
      </c>
      <c r="B169" t="s">
        <v>53</v>
      </c>
      <c r="C169">
        <v>390</v>
      </c>
      <c r="D169" s="2">
        <v>0</v>
      </c>
      <c r="E169">
        <v>21</v>
      </c>
      <c r="F169">
        <v>4</v>
      </c>
      <c r="G169">
        <v>0</v>
      </c>
      <c r="H169">
        <v>120</v>
      </c>
      <c r="I169">
        <v>1190</v>
      </c>
      <c r="J169">
        <v>11</v>
      </c>
      <c r="K169">
        <v>2</v>
      </c>
      <c r="L169">
        <v>0</v>
      </c>
      <c r="M169">
        <v>39</v>
      </c>
      <c r="N169">
        <v>355</v>
      </c>
      <c r="O169" s="3">
        <f t="shared" si="32"/>
        <v>10</v>
      </c>
      <c r="P169">
        <f t="shared" si="23"/>
        <v>1</v>
      </c>
      <c r="Q169">
        <f t="shared" si="24"/>
        <v>0</v>
      </c>
      <c r="S169">
        <f t="shared" si="25"/>
        <v>-5.4204968944099363</v>
      </c>
      <c r="T169">
        <f t="shared" si="26"/>
        <v>-1</v>
      </c>
      <c r="U169">
        <f t="shared" si="27"/>
        <v>-12.934782608695652</v>
      </c>
      <c r="V169">
        <f t="shared" si="28"/>
        <v>0</v>
      </c>
      <c r="W169">
        <f t="shared" si="29"/>
        <v>0</v>
      </c>
      <c r="X169">
        <f t="shared" si="30"/>
        <v>7.8000000000000016</v>
      </c>
      <c r="Y169">
        <f t="shared" si="31"/>
        <v>0.7142857142857143</v>
      </c>
    </row>
    <row r="170" spans="1:25" x14ac:dyDescent="0.2">
      <c r="A170" t="s">
        <v>21</v>
      </c>
      <c r="B170" t="s">
        <v>54</v>
      </c>
      <c r="C170">
        <v>90</v>
      </c>
      <c r="D170" s="2">
        <v>0</v>
      </c>
      <c r="E170">
        <v>6</v>
      </c>
      <c r="F170">
        <v>1.5</v>
      </c>
      <c r="G170">
        <v>0</v>
      </c>
      <c r="H170">
        <v>45</v>
      </c>
      <c r="I170">
        <v>210</v>
      </c>
      <c r="J170">
        <v>1</v>
      </c>
      <c r="K170">
        <v>0</v>
      </c>
      <c r="L170">
        <v>0</v>
      </c>
      <c r="M170">
        <v>9</v>
      </c>
      <c r="N170">
        <v>82.5</v>
      </c>
      <c r="O170" s="3">
        <f t="shared" si="32"/>
        <v>10</v>
      </c>
      <c r="P170">
        <f t="shared" si="23"/>
        <v>0</v>
      </c>
      <c r="Q170">
        <f t="shared" si="24"/>
        <v>0</v>
      </c>
      <c r="S170">
        <f t="shared" si="25"/>
        <v>-0.85760869565217401</v>
      </c>
      <c r="T170">
        <f t="shared" si="26"/>
        <v>-0.375</v>
      </c>
      <c r="U170">
        <f t="shared" si="27"/>
        <v>-2.2826086956521738</v>
      </c>
      <c r="V170">
        <f t="shared" si="28"/>
        <v>0</v>
      </c>
      <c r="W170">
        <f t="shared" si="29"/>
        <v>0</v>
      </c>
      <c r="X170">
        <f t="shared" si="30"/>
        <v>1.7999999999999998</v>
      </c>
      <c r="Y170">
        <f t="shared" si="31"/>
        <v>0</v>
      </c>
    </row>
    <row r="171" spans="1:25" x14ac:dyDescent="0.2">
      <c r="A171" t="s">
        <v>21</v>
      </c>
      <c r="B171" t="s">
        <v>55</v>
      </c>
      <c r="C171">
        <v>180</v>
      </c>
      <c r="D171" s="2">
        <v>0</v>
      </c>
      <c r="E171">
        <v>12</v>
      </c>
      <c r="F171">
        <v>3.5</v>
      </c>
      <c r="G171">
        <v>0</v>
      </c>
      <c r="H171">
        <v>90</v>
      </c>
      <c r="I171">
        <v>470</v>
      </c>
      <c r="J171">
        <v>0</v>
      </c>
      <c r="K171">
        <v>0</v>
      </c>
      <c r="L171">
        <v>0</v>
      </c>
      <c r="M171">
        <v>17</v>
      </c>
      <c r="N171">
        <v>166.5</v>
      </c>
      <c r="O171" s="3">
        <f t="shared" si="32"/>
        <v>9.4444444444444446</v>
      </c>
      <c r="P171">
        <f t="shared" si="23"/>
        <v>1</v>
      </c>
      <c r="Q171">
        <f t="shared" si="24"/>
        <v>0</v>
      </c>
      <c r="S171">
        <f t="shared" si="25"/>
        <v>-2.5836956521739127</v>
      </c>
      <c r="T171">
        <f t="shared" si="26"/>
        <v>-0.875</v>
      </c>
      <c r="U171">
        <f t="shared" si="27"/>
        <v>-5.1086956521739131</v>
      </c>
      <c r="V171">
        <f t="shared" si="28"/>
        <v>0</v>
      </c>
      <c r="W171">
        <f t="shared" si="29"/>
        <v>0</v>
      </c>
      <c r="X171">
        <f t="shared" si="30"/>
        <v>3.4000000000000004</v>
      </c>
      <c r="Y171">
        <f t="shared" si="31"/>
        <v>0</v>
      </c>
    </row>
    <row r="172" spans="1:25" x14ac:dyDescent="0.2">
      <c r="A172" t="s">
        <v>21</v>
      </c>
      <c r="B172" t="s">
        <v>57</v>
      </c>
      <c r="C172">
        <v>130</v>
      </c>
      <c r="D172" s="2">
        <v>0</v>
      </c>
      <c r="E172">
        <v>8</v>
      </c>
      <c r="F172">
        <v>1.5</v>
      </c>
      <c r="G172">
        <v>0</v>
      </c>
      <c r="H172">
        <v>55</v>
      </c>
      <c r="I172">
        <v>430</v>
      </c>
      <c r="J172">
        <v>4</v>
      </c>
      <c r="K172">
        <v>1</v>
      </c>
      <c r="L172">
        <v>0</v>
      </c>
      <c r="M172">
        <v>12</v>
      </c>
      <c r="N172">
        <v>119.5</v>
      </c>
      <c r="O172" s="3">
        <f t="shared" si="32"/>
        <v>9.2307692307692317</v>
      </c>
      <c r="P172">
        <f t="shared" si="23"/>
        <v>0</v>
      </c>
      <c r="Q172">
        <f t="shared" si="24"/>
        <v>0</v>
      </c>
      <c r="S172">
        <f t="shared" si="25"/>
        <v>-2.2917701863354036</v>
      </c>
      <c r="T172">
        <f t="shared" si="26"/>
        <v>-0.375</v>
      </c>
      <c r="U172">
        <f t="shared" si="27"/>
        <v>-4.6739130434782608</v>
      </c>
      <c r="V172">
        <f t="shared" si="28"/>
        <v>0</v>
      </c>
      <c r="W172">
        <f t="shared" si="29"/>
        <v>0</v>
      </c>
      <c r="X172">
        <f t="shared" si="30"/>
        <v>2.4</v>
      </c>
      <c r="Y172">
        <f t="shared" si="31"/>
        <v>0.35714285714285715</v>
      </c>
    </row>
    <row r="173" spans="1:25" x14ac:dyDescent="0.2">
      <c r="A173" t="s">
        <v>21</v>
      </c>
      <c r="B173" t="s">
        <v>67</v>
      </c>
      <c r="C173">
        <v>350</v>
      </c>
      <c r="D173" s="2">
        <v>0</v>
      </c>
      <c r="E173">
        <v>20</v>
      </c>
      <c r="F173">
        <v>3.5</v>
      </c>
      <c r="G173">
        <v>0</v>
      </c>
      <c r="H173">
        <v>100</v>
      </c>
      <c r="I173">
        <v>1100</v>
      </c>
      <c r="J173">
        <v>11</v>
      </c>
      <c r="K173">
        <v>1</v>
      </c>
      <c r="L173">
        <v>0</v>
      </c>
      <c r="M173">
        <v>30</v>
      </c>
      <c r="N173">
        <v>323.5</v>
      </c>
      <c r="O173" s="3">
        <f t="shared" si="32"/>
        <v>8.5714285714285712</v>
      </c>
      <c r="P173">
        <f t="shared" si="23"/>
        <v>1</v>
      </c>
      <c r="Q173">
        <f t="shared" si="24"/>
        <v>0</v>
      </c>
      <c r="S173">
        <f t="shared" si="25"/>
        <v>-6.4743788819875787</v>
      </c>
      <c r="T173">
        <f t="shared" si="26"/>
        <v>-0.875</v>
      </c>
      <c r="U173">
        <f t="shared" si="27"/>
        <v>-11.956521739130435</v>
      </c>
      <c r="V173">
        <f t="shared" si="28"/>
        <v>0</v>
      </c>
      <c r="W173">
        <f t="shared" si="29"/>
        <v>0</v>
      </c>
      <c r="X173">
        <f t="shared" si="30"/>
        <v>6</v>
      </c>
      <c r="Y173">
        <f t="shared" si="31"/>
        <v>0.35714285714285715</v>
      </c>
    </row>
    <row r="174" spans="1:25" x14ac:dyDescent="0.2">
      <c r="A174" t="s">
        <v>21</v>
      </c>
      <c r="B174" t="s">
        <v>76</v>
      </c>
      <c r="C174">
        <v>90</v>
      </c>
      <c r="D174" s="2">
        <v>0</v>
      </c>
      <c r="E174">
        <v>2</v>
      </c>
      <c r="F174">
        <v>1.5</v>
      </c>
      <c r="G174">
        <v>0</v>
      </c>
      <c r="H174">
        <v>10</v>
      </c>
      <c r="I174">
        <v>105</v>
      </c>
      <c r="J174">
        <v>10</v>
      </c>
      <c r="K174">
        <v>0</v>
      </c>
      <c r="L174">
        <v>10</v>
      </c>
      <c r="M174">
        <v>7</v>
      </c>
      <c r="N174">
        <v>94.5</v>
      </c>
      <c r="O174" s="3">
        <f t="shared" si="32"/>
        <v>7.7777777777777777</v>
      </c>
      <c r="P174">
        <f t="shared" si="23"/>
        <v>0</v>
      </c>
      <c r="Q174">
        <f t="shared" si="24"/>
        <v>0</v>
      </c>
      <c r="S174">
        <f t="shared" si="25"/>
        <v>-4.1163043478260875</v>
      </c>
      <c r="T174">
        <f t="shared" si="26"/>
        <v>-0.375</v>
      </c>
      <c r="U174">
        <f t="shared" si="27"/>
        <v>-1.1413043478260869</v>
      </c>
      <c r="V174">
        <f t="shared" si="28"/>
        <v>-4.0000000000000009</v>
      </c>
      <c r="W174">
        <f t="shared" si="29"/>
        <v>0</v>
      </c>
      <c r="X174">
        <f t="shared" si="30"/>
        <v>1.4000000000000001</v>
      </c>
      <c r="Y174">
        <f t="shared" si="31"/>
        <v>0</v>
      </c>
    </row>
    <row r="175" spans="1:25" x14ac:dyDescent="0.2">
      <c r="A175" t="s">
        <v>21</v>
      </c>
      <c r="B175" t="s">
        <v>77</v>
      </c>
      <c r="C175">
        <v>130</v>
      </c>
      <c r="D175" s="2">
        <v>0</v>
      </c>
      <c r="E175">
        <v>8</v>
      </c>
      <c r="F175">
        <v>2</v>
      </c>
      <c r="G175">
        <v>0</v>
      </c>
      <c r="H175">
        <v>55</v>
      </c>
      <c r="I175">
        <v>380</v>
      </c>
      <c r="J175">
        <v>3</v>
      </c>
      <c r="K175">
        <v>0</v>
      </c>
      <c r="L175">
        <v>0</v>
      </c>
      <c r="M175">
        <v>10</v>
      </c>
      <c r="N175">
        <v>122</v>
      </c>
      <c r="O175" s="3">
        <f t="shared" si="32"/>
        <v>7.6923076923076925</v>
      </c>
      <c r="P175">
        <f t="shared" si="23"/>
        <v>0</v>
      </c>
      <c r="Q175">
        <f t="shared" si="24"/>
        <v>0</v>
      </c>
      <c r="S175">
        <f t="shared" si="25"/>
        <v>-2.6304347826086949</v>
      </c>
      <c r="T175">
        <f t="shared" si="26"/>
        <v>-0.5</v>
      </c>
      <c r="U175">
        <f t="shared" si="27"/>
        <v>-4.1304347826086953</v>
      </c>
      <c r="V175">
        <f t="shared" si="28"/>
        <v>0</v>
      </c>
      <c r="W175">
        <f t="shared" si="29"/>
        <v>0</v>
      </c>
      <c r="X175">
        <f t="shared" si="30"/>
        <v>2.0000000000000004</v>
      </c>
      <c r="Y175">
        <f t="shared" si="31"/>
        <v>0</v>
      </c>
    </row>
    <row r="176" spans="1:25" x14ac:dyDescent="0.2">
      <c r="A176" t="s">
        <v>21</v>
      </c>
      <c r="B176" t="s">
        <v>81</v>
      </c>
      <c r="C176">
        <v>40</v>
      </c>
      <c r="D176" s="2">
        <v>0</v>
      </c>
      <c r="E176">
        <v>2</v>
      </c>
      <c r="F176">
        <v>1</v>
      </c>
      <c r="G176">
        <v>0</v>
      </c>
      <c r="H176">
        <v>5</v>
      </c>
      <c r="I176">
        <v>90</v>
      </c>
      <c r="J176">
        <v>2</v>
      </c>
      <c r="K176">
        <v>1</v>
      </c>
      <c r="L176">
        <v>1</v>
      </c>
      <c r="M176">
        <v>3</v>
      </c>
      <c r="N176">
        <v>39</v>
      </c>
      <c r="O176" s="3">
        <f t="shared" si="32"/>
        <v>7.5</v>
      </c>
      <c r="P176">
        <f t="shared" si="23"/>
        <v>0</v>
      </c>
      <c r="Q176">
        <f t="shared" si="24"/>
        <v>0</v>
      </c>
      <c r="S176">
        <f t="shared" si="25"/>
        <v>-0.67111801242236035</v>
      </c>
      <c r="T176">
        <f t="shared" si="26"/>
        <v>-0.25</v>
      </c>
      <c r="U176">
        <f t="shared" si="27"/>
        <v>-0.97826086956521752</v>
      </c>
      <c r="V176">
        <f t="shared" si="28"/>
        <v>-0.4</v>
      </c>
      <c r="W176">
        <f t="shared" si="29"/>
        <v>0</v>
      </c>
      <c r="X176">
        <f t="shared" si="30"/>
        <v>0.6</v>
      </c>
      <c r="Y176">
        <f t="shared" si="31"/>
        <v>0.35714285714285715</v>
      </c>
    </row>
    <row r="177" spans="1:25" x14ac:dyDescent="0.2">
      <c r="A177" t="s">
        <v>21</v>
      </c>
      <c r="B177" t="s">
        <v>86</v>
      </c>
      <c r="C177">
        <v>230</v>
      </c>
      <c r="D177" s="2">
        <v>0</v>
      </c>
      <c r="E177">
        <v>13</v>
      </c>
      <c r="F177">
        <v>2.5</v>
      </c>
      <c r="G177">
        <v>0</v>
      </c>
      <c r="H177">
        <v>285</v>
      </c>
      <c r="I177">
        <v>750</v>
      </c>
      <c r="J177">
        <v>12</v>
      </c>
      <c r="K177">
        <v>0</v>
      </c>
      <c r="L177">
        <v>0</v>
      </c>
      <c r="M177">
        <v>17</v>
      </c>
      <c r="N177">
        <v>215.5</v>
      </c>
      <c r="O177" s="3">
        <f t="shared" si="32"/>
        <v>7.3913043478260869</v>
      </c>
      <c r="P177">
        <f t="shared" si="23"/>
        <v>1</v>
      </c>
      <c r="Q177">
        <f t="shared" si="24"/>
        <v>0</v>
      </c>
      <c r="S177">
        <f t="shared" si="25"/>
        <v>-5.3771739130434781</v>
      </c>
      <c r="T177">
        <f t="shared" si="26"/>
        <v>-0.625</v>
      </c>
      <c r="U177">
        <f t="shared" si="27"/>
        <v>-8.1521739130434785</v>
      </c>
      <c r="V177">
        <f t="shared" si="28"/>
        <v>0</v>
      </c>
      <c r="W177">
        <f t="shared" si="29"/>
        <v>0</v>
      </c>
      <c r="X177">
        <f t="shared" si="30"/>
        <v>3.4000000000000004</v>
      </c>
      <c r="Y177">
        <f t="shared" si="31"/>
        <v>0</v>
      </c>
    </row>
    <row r="178" spans="1:25" x14ac:dyDescent="0.2">
      <c r="A178" t="s">
        <v>21</v>
      </c>
      <c r="B178" t="s">
        <v>88</v>
      </c>
      <c r="C178">
        <v>260</v>
      </c>
      <c r="D178" s="2">
        <v>0</v>
      </c>
      <c r="E178">
        <v>14</v>
      </c>
      <c r="F178">
        <v>2</v>
      </c>
      <c r="G178">
        <v>0</v>
      </c>
      <c r="H178">
        <v>50</v>
      </c>
      <c r="I178">
        <v>610</v>
      </c>
      <c r="J178">
        <v>15</v>
      </c>
      <c r="K178" s="2">
        <v>0</v>
      </c>
      <c r="L178">
        <v>0</v>
      </c>
      <c r="M178">
        <v>19</v>
      </c>
      <c r="N178">
        <v>243</v>
      </c>
      <c r="O178" s="3">
        <f t="shared" si="32"/>
        <v>7.3076923076923084</v>
      </c>
      <c r="P178">
        <f t="shared" si="23"/>
        <v>1</v>
      </c>
      <c r="Q178">
        <f t="shared" si="24"/>
        <v>0</v>
      </c>
      <c r="S178">
        <f t="shared" si="25"/>
        <v>-3.3304347826086955</v>
      </c>
      <c r="T178">
        <f t="shared" si="26"/>
        <v>-0.5</v>
      </c>
      <c r="U178">
        <f t="shared" si="27"/>
        <v>-6.6304347826086962</v>
      </c>
      <c r="V178">
        <f t="shared" si="28"/>
        <v>0</v>
      </c>
      <c r="W178">
        <f t="shared" si="29"/>
        <v>0</v>
      </c>
      <c r="X178">
        <f t="shared" si="30"/>
        <v>3.8000000000000007</v>
      </c>
      <c r="Y178">
        <f t="shared" si="31"/>
        <v>0</v>
      </c>
    </row>
    <row r="179" spans="1:25" x14ac:dyDescent="0.2">
      <c r="A179" t="s">
        <v>21</v>
      </c>
      <c r="B179" t="s">
        <v>94</v>
      </c>
      <c r="C179">
        <v>130</v>
      </c>
      <c r="D179" s="2">
        <v>0</v>
      </c>
      <c r="E179">
        <v>8</v>
      </c>
      <c r="F179">
        <v>1.5</v>
      </c>
      <c r="G179">
        <v>0</v>
      </c>
      <c r="H179">
        <v>40</v>
      </c>
      <c r="I179">
        <v>420</v>
      </c>
      <c r="J179">
        <v>5</v>
      </c>
      <c r="K179">
        <v>1</v>
      </c>
      <c r="L179">
        <v>0</v>
      </c>
      <c r="M179">
        <v>9</v>
      </c>
      <c r="N179">
        <v>122.5</v>
      </c>
      <c r="O179" s="3">
        <f t="shared" si="32"/>
        <v>6.9230769230769234</v>
      </c>
      <c r="P179">
        <f t="shared" si="23"/>
        <v>0</v>
      </c>
      <c r="Q179">
        <f t="shared" si="24"/>
        <v>0</v>
      </c>
      <c r="S179">
        <f t="shared" si="25"/>
        <v>-2.7830745341614906</v>
      </c>
      <c r="T179">
        <f t="shared" si="26"/>
        <v>-0.375</v>
      </c>
      <c r="U179">
        <f t="shared" si="27"/>
        <v>-4.5652173913043477</v>
      </c>
      <c r="V179">
        <f t="shared" si="28"/>
        <v>0</v>
      </c>
      <c r="W179">
        <f t="shared" si="29"/>
        <v>0</v>
      </c>
      <c r="X179">
        <f t="shared" si="30"/>
        <v>1.7999999999999998</v>
      </c>
      <c r="Y179">
        <f t="shared" si="31"/>
        <v>0.35714285714285715</v>
      </c>
    </row>
    <row r="180" spans="1:25" x14ac:dyDescent="0.2">
      <c r="A180" t="s">
        <v>21</v>
      </c>
      <c r="B180" t="s">
        <v>95</v>
      </c>
      <c r="C180">
        <v>350</v>
      </c>
      <c r="D180" s="2">
        <v>0</v>
      </c>
      <c r="E180">
        <v>3.5</v>
      </c>
      <c r="F180">
        <v>0.5</v>
      </c>
      <c r="G180">
        <v>0</v>
      </c>
      <c r="H180">
        <v>55</v>
      </c>
      <c r="I180">
        <v>1350</v>
      </c>
      <c r="J180">
        <v>55</v>
      </c>
      <c r="K180">
        <v>2</v>
      </c>
      <c r="L180">
        <v>22</v>
      </c>
      <c r="M180">
        <v>24</v>
      </c>
      <c r="N180">
        <v>348.5</v>
      </c>
      <c r="O180" s="3">
        <f t="shared" si="32"/>
        <v>6.8571428571428577</v>
      </c>
      <c r="P180">
        <f t="shared" si="23"/>
        <v>1</v>
      </c>
      <c r="Q180">
        <f t="shared" si="24"/>
        <v>0</v>
      </c>
      <c r="S180">
        <f t="shared" si="25"/>
        <v>-18.084627329192546</v>
      </c>
      <c r="T180">
        <f t="shared" si="26"/>
        <v>-0.125</v>
      </c>
      <c r="U180">
        <f t="shared" si="27"/>
        <v>-14.673913043478262</v>
      </c>
      <c r="V180">
        <f t="shared" si="28"/>
        <v>-8.8000000000000007</v>
      </c>
      <c r="W180">
        <f t="shared" si="29"/>
        <v>0</v>
      </c>
      <c r="X180">
        <f t="shared" si="30"/>
        <v>4.8</v>
      </c>
      <c r="Y180">
        <f t="shared" si="31"/>
        <v>0.7142857142857143</v>
      </c>
    </row>
    <row r="181" spans="1:25" x14ac:dyDescent="0.2">
      <c r="A181" t="s">
        <v>21</v>
      </c>
      <c r="B181" t="s">
        <v>97</v>
      </c>
      <c r="C181">
        <v>280</v>
      </c>
      <c r="D181" s="2">
        <v>0</v>
      </c>
      <c r="E181">
        <v>19</v>
      </c>
      <c r="F181">
        <v>4.5</v>
      </c>
      <c r="G181">
        <v>0</v>
      </c>
      <c r="H181">
        <v>100</v>
      </c>
      <c r="I181">
        <v>910</v>
      </c>
      <c r="J181">
        <v>8</v>
      </c>
      <c r="K181">
        <v>1</v>
      </c>
      <c r="L181">
        <v>0</v>
      </c>
      <c r="M181">
        <v>19</v>
      </c>
      <c r="N181">
        <v>265.5</v>
      </c>
      <c r="O181" s="3">
        <f t="shared" si="32"/>
        <v>6.7857142857142856</v>
      </c>
      <c r="P181">
        <f t="shared" si="23"/>
        <v>1</v>
      </c>
      <c r="Q181">
        <f t="shared" si="24"/>
        <v>0</v>
      </c>
      <c r="S181">
        <f t="shared" si="25"/>
        <v>-6.8591614906832286</v>
      </c>
      <c r="T181">
        <f t="shared" si="26"/>
        <v>-1.125</v>
      </c>
      <c r="U181">
        <f t="shared" si="27"/>
        <v>-9.891304347826086</v>
      </c>
      <c r="V181">
        <f t="shared" si="28"/>
        <v>0</v>
      </c>
      <c r="W181">
        <f t="shared" si="29"/>
        <v>0</v>
      </c>
      <c r="X181">
        <f t="shared" si="30"/>
        <v>3.8000000000000007</v>
      </c>
      <c r="Y181">
        <f t="shared" si="31"/>
        <v>0.35714285714285715</v>
      </c>
    </row>
    <row r="182" spans="1:25" x14ac:dyDescent="0.2">
      <c r="A182" t="s">
        <v>21</v>
      </c>
      <c r="B182" t="s">
        <v>100</v>
      </c>
      <c r="C182">
        <v>330</v>
      </c>
      <c r="D182" s="2">
        <v>0</v>
      </c>
      <c r="E182">
        <v>23</v>
      </c>
      <c r="F182">
        <v>4.5</v>
      </c>
      <c r="G182">
        <v>0</v>
      </c>
      <c r="H182">
        <v>100</v>
      </c>
      <c r="I182">
        <v>700</v>
      </c>
      <c r="J182">
        <v>9</v>
      </c>
      <c r="K182">
        <v>0</v>
      </c>
      <c r="L182">
        <v>0</v>
      </c>
      <c r="M182">
        <v>22</v>
      </c>
      <c r="N182">
        <v>312.5</v>
      </c>
      <c r="O182" s="3">
        <f t="shared" si="32"/>
        <v>6.666666666666667</v>
      </c>
      <c r="P182">
        <f t="shared" si="23"/>
        <v>1</v>
      </c>
      <c r="Q182">
        <f t="shared" si="24"/>
        <v>0</v>
      </c>
      <c r="S182">
        <f t="shared" si="25"/>
        <v>-4.3336956521739136</v>
      </c>
      <c r="T182">
        <f t="shared" si="26"/>
        <v>-1.125</v>
      </c>
      <c r="U182">
        <f t="shared" si="27"/>
        <v>-7.608695652173914</v>
      </c>
      <c r="V182">
        <f t="shared" si="28"/>
        <v>0</v>
      </c>
      <c r="W182">
        <f t="shared" si="29"/>
        <v>0</v>
      </c>
      <c r="X182">
        <f t="shared" si="30"/>
        <v>4.4000000000000004</v>
      </c>
      <c r="Y182">
        <f t="shared" si="31"/>
        <v>0</v>
      </c>
    </row>
    <row r="183" spans="1:25" x14ac:dyDescent="0.2">
      <c r="A183" t="s">
        <v>21</v>
      </c>
      <c r="B183" t="s">
        <v>101</v>
      </c>
      <c r="C183">
        <v>15</v>
      </c>
      <c r="D183" s="2">
        <v>0</v>
      </c>
      <c r="E183">
        <v>0</v>
      </c>
      <c r="F183">
        <v>0</v>
      </c>
      <c r="G183">
        <v>0</v>
      </c>
      <c r="H183">
        <v>0</v>
      </c>
      <c r="I183">
        <v>10</v>
      </c>
      <c r="J183">
        <v>3</v>
      </c>
      <c r="K183">
        <v>2</v>
      </c>
      <c r="L183">
        <v>2</v>
      </c>
      <c r="M183">
        <v>1</v>
      </c>
      <c r="N183">
        <v>16</v>
      </c>
      <c r="O183" s="3">
        <f t="shared" si="32"/>
        <v>6.666666666666667</v>
      </c>
      <c r="P183">
        <f t="shared" si="23"/>
        <v>0</v>
      </c>
      <c r="Q183">
        <f t="shared" si="24"/>
        <v>0</v>
      </c>
      <c r="S183">
        <f t="shared" si="25"/>
        <v>5.5900621118011307E-3</v>
      </c>
      <c r="T183">
        <f t="shared" si="26"/>
        <v>0</v>
      </c>
      <c r="U183">
        <f t="shared" si="27"/>
        <v>-0.10869565217391304</v>
      </c>
      <c r="V183">
        <f t="shared" si="28"/>
        <v>-0.8</v>
      </c>
      <c r="W183">
        <f t="shared" si="29"/>
        <v>0</v>
      </c>
      <c r="X183">
        <f t="shared" si="30"/>
        <v>0.2</v>
      </c>
      <c r="Y183">
        <f t="shared" si="31"/>
        <v>0.7142857142857143</v>
      </c>
    </row>
    <row r="184" spans="1:25" x14ac:dyDescent="0.2">
      <c r="A184" t="s">
        <v>21</v>
      </c>
      <c r="B184" t="s">
        <v>102</v>
      </c>
      <c r="C184">
        <v>300</v>
      </c>
      <c r="D184" s="2">
        <v>0</v>
      </c>
      <c r="E184">
        <v>16</v>
      </c>
      <c r="F184">
        <v>2</v>
      </c>
      <c r="G184">
        <v>0</v>
      </c>
      <c r="H184">
        <v>210</v>
      </c>
      <c r="I184">
        <v>770</v>
      </c>
      <c r="J184">
        <v>18</v>
      </c>
      <c r="K184" s="2">
        <v>0</v>
      </c>
      <c r="L184">
        <v>0</v>
      </c>
      <c r="M184">
        <v>20</v>
      </c>
      <c r="N184">
        <v>282</v>
      </c>
      <c r="O184" s="3">
        <f t="shared" si="32"/>
        <v>6.666666666666667</v>
      </c>
      <c r="P184">
        <f t="shared" si="23"/>
        <v>1</v>
      </c>
      <c r="Q184">
        <f t="shared" si="24"/>
        <v>0</v>
      </c>
      <c r="S184">
        <f t="shared" si="25"/>
        <v>-4.8695652173913038</v>
      </c>
      <c r="T184">
        <f t="shared" si="26"/>
        <v>-0.5</v>
      </c>
      <c r="U184">
        <f t="shared" si="27"/>
        <v>-8.3695652173913047</v>
      </c>
      <c r="V184">
        <f t="shared" si="28"/>
        <v>0</v>
      </c>
      <c r="W184">
        <f t="shared" si="29"/>
        <v>0</v>
      </c>
      <c r="X184">
        <f t="shared" si="30"/>
        <v>4.0000000000000009</v>
      </c>
      <c r="Y184">
        <f t="shared" si="31"/>
        <v>0</v>
      </c>
    </row>
    <row r="185" spans="1:25" x14ac:dyDescent="0.2">
      <c r="A185" t="s">
        <v>21</v>
      </c>
      <c r="B185" t="s">
        <v>103</v>
      </c>
      <c r="C185">
        <v>530</v>
      </c>
      <c r="D185" s="2">
        <v>0</v>
      </c>
      <c r="E185">
        <v>35</v>
      </c>
      <c r="F185">
        <v>6</v>
      </c>
      <c r="G185">
        <v>0</v>
      </c>
      <c r="H185">
        <v>105</v>
      </c>
      <c r="I185">
        <v>1150</v>
      </c>
      <c r="J185">
        <v>18</v>
      </c>
      <c r="K185">
        <v>0</v>
      </c>
      <c r="L185">
        <v>0</v>
      </c>
      <c r="M185">
        <v>35</v>
      </c>
      <c r="N185">
        <v>501</v>
      </c>
      <c r="O185" s="3">
        <f t="shared" si="32"/>
        <v>6.6037735849056602</v>
      </c>
      <c r="P185">
        <f t="shared" si="23"/>
        <v>1</v>
      </c>
      <c r="Q185">
        <f t="shared" si="24"/>
        <v>0</v>
      </c>
      <c r="S185">
        <f t="shared" si="25"/>
        <v>-7.0000000000000009</v>
      </c>
      <c r="T185">
        <f t="shared" si="26"/>
        <v>-1.5</v>
      </c>
      <c r="U185">
        <f t="shared" si="27"/>
        <v>-12.5</v>
      </c>
      <c r="V185">
        <f t="shared" si="28"/>
        <v>0</v>
      </c>
      <c r="W185">
        <f t="shared" si="29"/>
        <v>0</v>
      </c>
      <c r="X185">
        <f t="shared" si="30"/>
        <v>6.9999999999999991</v>
      </c>
      <c r="Y185">
        <f t="shared" si="31"/>
        <v>0</v>
      </c>
    </row>
    <row r="186" spans="1:25" x14ac:dyDescent="0.2">
      <c r="A186" t="s">
        <v>21</v>
      </c>
      <c r="B186" t="s">
        <v>109</v>
      </c>
      <c r="C186">
        <v>80</v>
      </c>
      <c r="D186" s="2">
        <v>0</v>
      </c>
      <c r="E186">
        <v>6</v>
      </c>
      <c r="F186">
        <v>1</v>
      </c>
      <c r="G186">
        <v>0</v>
      </c>
      <c r="H186">
        <v>20</v>
      </c>
      <c r="I186">
        <v>150</v>
      </c>
      <c r="J186">
        <v>3</v>
      </c>
      <c r="K186">
        <v>0</v>
      </c>
      <c r="L186">
        <v>0</v>
      </c>
      <c r="M186">
        <v>5</v>
      </c>
      <c r="N186">
        <v>76</v>
      </c>
      <c r="O186" s="3">
        <f t="shared" si="32"/>
        <v>6.25</v>
      </c>
      <c r="P186">
        <f t="shared" si="23"/>
        <v>0</v>
      </c>
      <c r="Q186">
        <f t="shared" si="24"/>
        <v>0</v>
      </c>
      <c r="S186">
        <f t="shared" si="25"/>
        <v>-0.88043478260869534</v>
      </c>
      <c r="T186">
        <f t="shared" si="26"/>
        <v>-0.25</v>
      </c>
      <c r="U186">
        <f t="shared" si="27"/>
        <v>-1.6304347826086956</v>
      </c>
      <c r="V186">
        <f t="shared" si="28"/>
        <v>0</v>
      </c>
      <c r="W186">
        <f t="shared" si="29"/>
        <v>0</v>
      </c>
      <c r="X186">
        <f t="shared" si="30"/>
        <v>1.0000000000000002</v>
      </c>
      <c r="Y186">
        <f t="shared" si="31"/>
        <v>0</v>
      </c>
    </row>
    <row r="187" spans="1:25" x14ac:dyDescent="0.2">
      <c r="A187" t="s">
        <v>21</v>
      </c>
      <c r="B187" t="s">
        <v>122</v>
      </c>
      <c r="C187">
        <v>170</v>
      </c>
      <c r="D187" s="2">
        <v>0</v>
      </c>
      <c r="E187">
        <v>12</v>
      </c>
      <c r="F187">
        <v>2</v>
      </c>
      <c r="G187">
        <v>0</v>
      </c>
      <c r="H187">
        <v>50</v>
      </c>
      <c r="I187">
        <v>390</v>
      </c>
      <c r="J187">
        <v>5</v>
      </c>
      <c r="K187">
        <v>0</v>
      </c>
      <c r="L187">
        <v>0</v>
      </c>
      <c r="M187">
        <v>10</v>
      </c>
      <c r="N187">
        <v>162</v>
      </c>
      <c r="O187" s="3">
        <f t="shared" si="32"/>
        <v>5.8823529411764701</v>
      </c>
      <c r="P187">
        <f t="shared" si="23"/>
        <v>0</v>
      </c>
      <c r="Q187">
        <f t="shared" si="24"/>
        <v>0</v>
      </c>
      <c r="S187">
        <f t="shared" si="25"/>
        <v>-2.739130434782608</v>
      </c>
      <c r="T187">
        <f t="shared" si="26"/>
        <v>-0.5</v>
      </c>
      <c r="U187">
        <f t="shared" si="27"/>
        <v>-4.2391304347826084</v>
      </c>
      <c r="V187">
        <f t="shared" si="28"/>
        <v>0</v>
      </c>
      <c r="W187">
        <f t="shared" si="29"/>
        <v>0</v>
      </c>
      <c r="X187">
        <f t="shared" si="30"/>
        <v>2.0000000000000004</v>
      </c>
      <c r="Y187">
        <f t="shared" si="31"/>
        <v>0</v>
      </c>
    </row>
    <row r="188" spans="1:25" x14ac:dyDescent="0.2">
      <c r="A188" t="s">
        <v>21</v>
      </c>
      <c r="B188" t="s">
        <v>123</v>
      </c>
      <c r="C188">
        <v>170</v>
      </c>
      <c r="D188" s="2">
        <v>0</v>
      </c>
      <c r="E188">
        <v>13</v>
      </c>
      <c r="F188">
        <v>2</v>
      </c>
      <c r="G188">
        <v>0</v>
      </c>
      <c r="H188">
        <v>45</v>
      </c>
      <c r="I188">
        <v>340</v>
      </c>
      <c r="J188">
        <v>5</v>
      </c>
      <c r="K188">
        <v>0</v>
      </c>
      <c r="L188">
        <v>0</v>
      </c>
      <c r="M188">
        <v>10</v>
      </c>
      <c r="N188">
        <v>162</v>
      </c>
      <c r="O188" s="3">
        <f t="shared" si="32"/>
        <v>5.8823529411764701</v>
      </c>
      <c r="P188">
        <f t="shared" si="23"/>
        <v>0</v>
      </c>
      <c r="Q188">
        <f t="shared" si="24"/>
        <v>0</v>
      </c>
      <c r="S188">
        <f t="shared" si="25"/>
        <v>-2.1956521739130426</v>
      </c>
      <c r="T188">
        <f t="shared" si="26"/>
        <v>-0.5</v>
      </c>
      <c r="U188">
        <f t="shared" si="27"/>
        <v>-3.6956521739130435</v>
      </c>
      <c r="V188">
        <f t="shared" si="28"/>
        <v>0</v>
      </c>
      <c r="W188">
        <f t="shared" si="29"/>
        <v>0</v>
      </c>
      <c r="X188">
        <f t="shared" si="30"/>
        <v>2.0000000000000004</v>
      </c>
      <c r="Y188">
        <f t="shared" si="31"/>
        <v>0</v>
      </c>
    </row>
    <row r="189" spans="1:25" x14ac:dyDescent="0.2">
      <c r="A189" t="s">
        <v>21</v>
      </c>
      <c r="B189" t="s">
        <v>125</v>
      </c>
      <c r="C189">
        <v>120</v>
      </c>
      <c r="D189" s="2">
        <v>0</v>
      </c>
      <c r="E189">
        <v>8</v>
      </c>
      <c r="F189">
        <v>1.5</v>
      </c>
      <c r="G189">
        <v>0</v>
      </c>
      <c r="H189">
        <v>35</v>
      </c>
      <c r="I189">
        <v>350</v>
      </c>
      <c r="J189">
        <v>5</v>
      </c>
      <c r="K189">
        <v>0</v>
      </c>
      <c r="L189">
        <v>0</v>
      </c>
      <c r="M189">
        <v>7</v>
      </c>
      <c r="N189">
        <v>114.5</v>
      </c>
      <c r="O189" s="3">
        <f t="shared" si="32"/>
        <v>5.833333333333333</v>
      </c>
      <c r="P189">
        <f t="shared" si="23"/>
        <v>0</v>
      </c>
      <c r="Q189">
        <f t="shared" si="24"/>
        <v>0</v>
      </c>
      <c r="S189">
        <f t="shared" si="25"/>
        <v>-2.7793478260869566</v>
      </c>
      <c r="T189">
        <f t="shared" si="26"/>
        <v>-0.375</v>
      </c>
      <c r="U189">
        <f t="shared" si="27"/>
        <v>-3.804347826086957</v>
      </c>
      <c r="V189">
        <f t="shared" si="28"/>
        <v>0</v>
      </c>
      <c r="W189">
        <f t="shared" si="29"/>
        <v>0</v>
      </c>
      <c r="X189">
        <f t="shared" si="30"/>
        <v>1.4000000000000001</v>
      </c>
      <c r="Y189">
        <f t="shared" si="31"/>
        <v>0</v>
      </c>
    </row>
    <row r="190" spans="1:25" x14ac:dyDescent="0.2">
      <c r="A190" t="s">
        <v>21</v>
      </c>
      <c r="B190" t="s">
        <v>128</v>
      </c>
      <c r="C190">
        <v>190</v>
      </c>
      <c r="D190" s="2">
        <v>0</v>
      </c>
      <c r="E190">
        <v>1</v>
      </c>
      <c r="F190">
        <v>0</v>
      </c>
      <c r="G190">
        <v>0</v>
      </c>
      <c r="H190">
        <v>0</v>
      </c>
      <c r="I190">
        <v>650</v>
      </c>
      <c r="J190">
        <v>34</v>
      </c>
      <c r="K190">
        <v>7</v>
      </c>
      <c r="L190">
        <v>15</v>
      </c>
      <c r="M190">
        <v>11</v>
      </c>
      <c r="N190">
        <v>194</v>
      </c>
      <c r="O190" s="3">
        <f t="shared" si="32"/>
        <v>5.7894736842105265</v>
      </c>
      <c r="P190">
        <f t="shared" si="23"/>
        <v>1</v>
      </c>
      <c r="Q190">
        <f t="shared" si="24"/>
        <v>0</v>
      </c>
      <c r="S190">
        <f t="shared" si="25"/>
        <v>-8.3652173913043484</v>
      </c>
      <c r="T190">
        <f t="shared" si="26"/>
        <v>0</v>
      </c>
      <c r="U190">
        <f t="shared" si="27"/>
        <v>-7.0652173913043477</v>
      </c>
      <c r="V190">
        <f t="shared" si="28"/>
        <v>-6</v>
      </c>
      <c r="W190">
        <f t="shared" si="29"/>
        <v>0</v>
      </c>
      <c r="X190">
        <f t="shared" si="30"/>
        <v>2.2000000000000002</v>
      </c>
      <c r="Y190">
        <f t="shared" si="31"/>
        <v>2.5</v>
      </c>
    </row>
    <row r="191" spans="1:25" x14ac:dyDescent="0.2">
      <c r="A191" t="s">
        <v>21</v>
      </c>
      <c r="B191" t="s">
        <v>23</v>
      </c>
      <c r="C191">
        <v>540</v>
      </c>
      <c r="D191" s="2">
        <v>0</v>
      </c>
      <c r="E191">
        <v>40</v>
      </c>
      <c r="F191">
        <v>7</v>
      </c>
      <c r="G191">
        <v>0</v>
      </c>
      <c r="H191">
        <v>100</v>
      </c>
      <c r="I191">
        <v>1390</v>
      </c>
      <c r="J191">
        <v>14</v>
      </c>
      <c r="K191">
        <v>2</v>
      </c>
      <c r="L191">
        <v>1</v>
      </c>
      <c r="M191">
        <v>31</v>
      </c>
      <c r="N191">
        <v>517</v>
      </c>
      <c r="O191" s="3">
        <f t="shared" si="32"/>
        <v>5.7407407407407405</v>
      </c>
      <c r="P191">
        <f t="shared" si="23"/>
        <v>1</v>
      </c>
      <c r="Q191">
        <f t="shared" si="24"/>
        <v>0</v>
      </c>
      <c r="S191">
        <f t="shared" si="25"/>
        <v>-10.3444099378882</v>
      </c>
      <c r="T191">
        <f t="shared" si="26"/>
        <v>-1.75</v>
      </c>
      <c r="U191">
        <f t="shared" si="27"/>
        <v>-15.108695652173912</v>
      </c>
      <c r="V191">
        <f t="shared" si="28"/>
        <v>-0.4</v>
      </c>
      <c r="W191">
        <f t="shared" si="29"/>
        <v>0</v>
      </c>
      <c r="X191">
        <f t="shared" si="30"/>
        <v>6.2</v>
      </c>
      <c r="Y191">
        <f t="shared" si="31"/>
        <v>0.7142857142857143</v>
      </c>
    </row>
    <row r="192" spans="1:25" x14ac:dyDescent="0.2">
      <c r="A192" t="s">
        <v>21</v>
      </c>
      <c r="B192" t="s">
        <v>141</v>
      </c>
      <c r="C192">
        <v>830</v>
      </c>
      <c r="D192" s="2">
        <v>0</v>
      </c>
      <c r="E192">
        <v>5</v>
      </c>
      <c r="F192">
        <v>1</v>
      </c>
      <c r="G192">
        <v>0</v>
      </c>
      <c r="H192">
        <v>0</v>
      </c>
      <c r="I192">
        <v>2810</v>
      </c>
      <c r="J192">
        <v>148</v>
      </c>
      <c r="K192">
        <v>31</v>
      </c>
      <c r="L192">
        <v>63</v>
      </c>
      <c r="M192">
        <v>47</v>
      </c>
      <c r="N192">
        <v>847</v>
      </c>
      <c r="O192" s="3">
        <f t="shared" si="32"/>
        <v>5.6626506024096388</v>
      </c>
      <c r="P192">
        <f t="shared" si="23"/>
        <v>1</v>
      </c>
      <c r="Q192">
        <f t="shared" si="24"/>
        <v>0</v>
      </c>
      <c r="S192">
        <f t="shared" si="25"/>
        <v>-35.522049689440991</v>
      </c>
      <c r="T192">
        <f t="shared" si="26"/>
        <v>-0.25</v>
      </c>
      <c r="U192">
        <f t="shared" si="27"/>
        <v>-30.543478260869566</v>
      </c>
      <c r="V192">
        <f t="shared" si="28"/>
        <v>-25.2</v>
      </c>
      <c r="W192">
        <f t="shared" si="29"/>
        <v>0</v>
      </c>
      <c r="X192">
        <f t="shared" si="30"/>
        <v>9.4</v>
      </c>
      <c r="Y192">
        <f t="shared" si="31"/>
        <v>11.071428571428573</v>
      </c>
    </row>
    <row r="193" spans="1:25" x14ac:dyDescent="0.2">
      <c r="A193" t="s">
        <v>21</v>
      </c>
      <c r="B193" t="s">
        <v>138</v>
      </c>
      <c r="C193">
        <v>620</v>
      </c>
      <c r="D193" s="2">
        <v>0</v>
      </c>
      <c r="E193">
        <v>33</v>
      </c>
      <c r="F193">
        <v>4</v>
      </c>
      <c r="G193">
        <v>0</v>
      </c>
      <c r="H193">
        <v>85</v>
      </c>
      <c r="I193">
        <v>2140</v>
      </c>
      <c r="J193">
        <v>49</v>
      </c>
      <c r="K193">
        <v>1</v>
      </c>
      <c r="L193">
        <v>6</v>
      </c>
      <c r="M193">
        <v>34</v>
      </c>
      <c r="N193">
        <v>596</v>
      </c>
      <c r="O193" s="3">
        <f t="shared" si="32"/>
        <v>5.4838709677419359</v>
      </c>
      <c r="P193">
        <f t="shared" si="23"/>
        <v>1</v>
      </c>
      <c r="Q193">
        <f t="shared" si="24"/>
        <v>0</v>
      </c>
      <c r="S193">
        <f t="shared" si="25"/>
        <v>-19.503726708074531</v>
      </c>
      <c r="T193">
        <f t="shared" si="26"/>
        <v>-1</v>
      </c>
      <c r="U193">
        <f t="shared" si="27"/>
        <v>-23.260869565217391</v>
      </c>
      <c r="V193">
        <f t="shared" si="28"/>
        <v>-2.4</v>
      </c>
      <c r="W193">
        <f t="shared" si="29"/>
        <v>0</v>
      </c>
      <c r="X193">
        <f t="shared" si="30"/>
        <v>6.8000000000000007</v>
      </c>
      <c r="Y193">
        <f t="shared" si="31"/>
        <v>0.35714285714285715</v>
      </c>
    </row>
    <row r="194" spans="1:25" x14ac:dyDescent="0.2">
      <c r="A194" t="s">
        <v>21</v>
      </c>
      <c r="B194" t="s">
        <v>183</v>
      </c>
      <c r="C194">
        <v>650</v>
      </c>
      <c r="D194" s="2">
        <v>0</v>
      </c>
      <c r="E194">
        <v>35</v>
      </c>
      <c r="F194">
        <v>4.5</v>
      </c>
      <c r="G194">
        <v>0</v>
      </c>
      <c r="H194">
        <v>90</v>
      </c>
      <c r="I194">
        <v>1260</v>
      </c>
      <c r="J194">
        <v>49</v>
      </c>
      <c r="K194">
        <v>1</v>
      </c>
      <c r="L194">
        <v>6</v>
      </c>
      <c r="M194">
        <v>34</v>
      </c>
      <c r="N194">
        <v>626.5</v>
      </c>
      <c r="O194" s="3">
        <f t="shared" si="32"/>
        <v>5.2307692307692308</v>
      </c>
      <c r="P194">
        <f t="shared" si="23"/>
        <v>1</v>
      </c>
      <c r="Q194">
        <f t="shared" si="24"/>
        <v>0</v>
      </c>
      <c r="S194">
        <f t="shared" si="25"/>
        <v>-10.063509316770183</v>
      </c>
      <c r="T194">
        <f t="shared" si="26"/>
        <v>-1.125</v>
      </c>
      <c r="U194">
        <f t="shared" si="27"/>
        <v>-13.695652173913043</v>
      </c>
      <c r="V194">
        <f t="shared" si="28"/>
        <v>-2.4</v>
      </c>
      <c r="W194">
        <f t="shared" si="29"/>
        <v>0</v>
      </c>
      <c r="X194">
        <f t="shared" si="30"/>
        <v>6.8000000000000007</v>
      </c>
      <c r="Y194">
        <f t="shared" si="31"/>
        <v>0.35714285714285715</v>
      </c>
    </row>
    <row r="195" spans="1:25" x14ac:dyDescent="0.2">
      <c r="A195" t="s">
        <v>21</v>
      </c>
      <c r="B195" t="s">
        <v>191</v>
      </c>
      <c r="C195">
        <v>470</v>
      </c>
      <c r="D195" s="2">
        <v>0</v>
      </c>
      <c r="E195">
        <v>24</v>
      </c>
      <c r="F195">
        <v>3.5</v>
      </c>
      <c r="G195">
        <v>0</v>
      </c>
      <c r="H195">
        <v>60</v>
      </c>
      <c r="I195">
        <v>1170</v>
      </c>
      <c r="J195">
        <v>39</v>
      </c>
      <c r="K195" s="2">
        <v>0</v>
      </c>
      <c r="L195">
        <v>4</v>
      </c>
      <c r="M195">
        <v>24</v>
      </c>
      <c r="N195">
        <v>453.5</v>
      </c>
      <c r="O195" s="3">
        <f t="shared" si="32"/>
        <v>5.1063829787234036</v>
      </c>
      <c r="P195">
        <f t="shared" si="23"/>
        <v>1</v>
      </c>
      <c r="Q195">
        <f t="shared" si="24"/>
        <v>0</v>
      </c>
      <c r="S195">
        <f t="shared" si="25"/>
        <v>-10.392391304347825</v>
      </c>
      <c r="T195">
        <f t="shared" si="26"/>
        <v>-0.875</v>
      </c>
      <c r="U195">
        <f t="shared" si="27"/>
        <v>-12.717391304347824</v>
      </c>
      <c r="V195">
        <f t="shared" si="28"/>
        <v>-1.6</v>
      </c>
      <c r="W195">
        <f t="shared" si="29"/>
        <v>0</v>
      </c>
      <c r="X195">
        <f t="shared" si="30"/>
        <v>4.8</v>
      </c>
      <c r="Y195">
        <f t="shared" si="31"/>
        <v>0</v>
      </c>
    </row>
    <row r="196" spans="1:25" x14ac:dyDescent="0.2">
      <c r="A196" t="s">
        <v>21</v>
      </c>
      <c r="B196" t="s">
        <v>209</v>
      </c>
      <c r="C196">
        <v>100</v>
      </c>
      <c r="D196" s="2">
        <v>0</v>
      </c>
      <c r="E196">
        <v>7</v>
      </c>
      <c r="F196">
        <v>1.5</v>
      </c>
      <c r="G196">
        <v>0</v>
      </c>
      <c r="H196">
        <v>20</v>
      </c>
      <c r="I196">
        <v>310</v>
      </c>
      <c r="J196">
        <v>3</v>
      </c>
      <c r="K196">
        <v>0</v>
      </c>
      <c r="L196">
        <v>0</v>
      </c>
      <c r="M196">
        <v>5</v>
      </c>
      <c r="N196">
        <v>96.5</v>
      </c>
      <c r="O196" s="3">
        <f t="shared" si="32"/>
        <v>5</v>
      </c>
      <c r="P196">
        <f t="shared" ref="P196:P259" si="33">IF(I196&gt;2300*0.2,1,0)</f>
        <v>0</v>
      </c>
      <c r="Q196">
        <f t="shared" ref="Q196:Q259" si="34">IF(H196&gt;300,1,0)</f>
        <v>0</v>
      </c>
      <c r="S196">
        <f t="shared" ref="S196:S259" si="35">T196+U196+V196+W196+X196+Y196</f>
        <v>-2.7445652173913038</v>
      </c>
      <c r="T196">
        <f t="shared" ref="T196:T259" si="36">$T$1*F196</f>
        <v>-0.375</v>
      </c>
      <c r="U196">
        <f t="shared" ref="U196:U259" si="37">($U$1*(I196/2300))*100</f>
        <v>-3.3695652173913042</v>
      </c>
      <c r="V196">
        <f t="shared" ref="V196:V259" si="38">((L196/50)*$V$1)*100</f>
        <v>0</v>
      </c>
      <c r="W196">
        <f t="shared" ref="W196:W259" si="39">(G196/100)*$W$1</f>
        <v>0</v>
      </c>
      <c r="X196">
        <f t="shared" ref="X196:X259" si="40">($X$1*(M196/50))*100</f>
        <v>1.0000000000000002</v>
      </c>
      <c r="Y196">
        <f t="shared" ref="Y196:Y259" si="41">($Y$1*(K196/28))*100</f>
        <v>0</v>
      </c>
    </row>
    <row r="197" spans="1:25" x14ac:dyDescent="0.2">
      <c r="A197" t="s">
        <v>21</v>
      </c>
      <c r="B197" t="s">
        <v>210</v>
      </c>
      <c r="C197">
        <v>100</v>
      </c>
      <c r="D197" s="2">
        <v>0</v>
      </c>
      <c r="E197">
        <v>6</v>
      </c>
      <c r="F197">
        <v>1</v>
      </c>
      <c r="G197">
        <v>0</v>
      </c>
      <c r="H197">
        <v>20</v>
      </c>
      <c r="I197">
        <v>210</v>
      </c>
      <c r="J197">
        <v>8</v>
      </c>
      <c r="K197">
        <v>0</v>
      </c>
      <c r="L197">
        <v>4</v>
      </c>
      <c r="M197">
        <v>5</v>
      </c>
      <c r="N197">
        <v>100</v>
      </c>
      <c r="O197" s="3">
        <f t="shared" ref="O197:O228" si="42">M197/C197*100</f>
        <v>5</v>
      </c>
      <c r="P197">
        <f t="shared" si="33"/>
        <v>0</v>
      </c>
      <c r="Q197">
        <f t="shared" si="34"/>
        <v>0</v>
      </c>
      <c r="S197">
        <f t="shared" si="35"/>
        <v>-3.1326086956521735</v>
      </c>
      <c r="T197">
        <f t="shared" si="36"/>
        <v>-0.25</v>
      </c>
      <c r="U197">
        <f t="shared" si="37"/>
        <v>-2.2826086956521738</v>
      </c>
      <c r="V197">
        <f t="shared" si="38"/>
        <v>-1.6</v>
      </c>
      <c r="W197">
        <f t="shared" si="39"/>
        <v>0</v>
      </c>
      <c r="X197">
        <f t="shared" si="40"/>
        <v>1.0000000000000002</v>
      </c>
      <c r="Y197">
        <f t="shared" si="41"/>
        <v>0</v>
      </c>
    </row>
    <row r="198" spans="1:25" x14ac:dyDescent="0.2">
      <c r="A198" t="s">
        <v>21</v>
      </c>
      <c r="B198" t="s">
        <v>211</v>
      </c>
      <c r="C198">
        <v>80</v>
      </c>
      <c r="D198" s="2">
        <v>0</v>
      </c>
      <c r="E198">
        <v>0</v>
      </c>
      <c r="F198">
        <v>0</v>
      </c>
      <c r="G198">
        <v>0</v>
      </c>
      <c r="H198">
        <v>0</v>
      </c>
      <c r="I198">
        <v>930</v>
      </c>
      <c r="J198">
        <v>15</v>
      </c>
      <c r="K198">
        <v>9</v>
      </c>
      <c r="L198">
        <v>3</v>
      </c>
      <c r="M198">
        <v>4</v>
      </c>
      <c r="N198">
        <v>79</v>
      </c>
      <c r="O198" s="3">
        <f t="shared" si="42"/>
        <v>5</v>
      </c>
      <c r="P198">
        <f t="shared" si="33"/>
        <v>1</v>
      </c>
      <c r="Q198">
        <f t="shared" si="34"/>
        <v>0</v>
      </c>
      <c r="S198">
        <f t="shared" si="35"/>
        <v>-7.2944099378881955</v>
      </c>
      <c r="T198">
        <f t="shared" si="36"/>
        <v>0</v>
      </c>
      <c r="U198">
        <f t="shared" si="37"/>
        <v>-10.108695652173912</v>
      </c>
      <c r="V198">
        <f t="shared" si="38"/>
        <v>-1.2</v>
      </c>
      <c r="W198">
        <f t="shared" si="39"/>
        <v>0</v>
      </c>
      <c r="X198">
        <f t="shared" si="40"/>
        <v>0.8</v>
      </c>
      <c r="Y198">
        <f t="shared" si="41"/>
        <v>3.2142857142857149</v>
      </c>
    </row>
    <row r="199" spans="1:25" x14ac:dyDescent="0.2">
      <c r="A199" t="s">
        <v>21</v>
      </c>
      <c r="B199" t="s">
        <v>227</v>
      </c>
      <c r="C199">
        <v>270</v>
      </c>
      <c r="D199" s="2">
        <v>0</v>
      </c>
      <c r="E199">
        <v>20</v>
      </c>
      <c r="F199">
        <v>3.5</v>
      </c>
      <c r="G199">
        <v>0</v>
      </c>
      <c r="H199">
        <v>65</v>
      </c>
      <c r="I199">
        <v>720</v>
      </c>
      <c r="J199">
        <v>10</v>
      </c>
      <c r="K199">
        <v>1</v>
      </c>
      <c r="L199">
        <v>0</v>
      </c>
      <c r="M199">
        <v>13</v>
      </c>
      <c r="N199">
        <v>260.5</v>
      </c>
      <c r="O199" s="3">
        <f t="shared" si="42"/>
        <v>4.8148148148148149</v>
      </c>
      <c r="P199">
        <f t="shared" si="33"/>
        <v>1</v>
      </c>
      <c r="Q199">
        <f t="shared" si="34"/>
        <v>0</v>
      </c>
      <c r="S199">
        <f t="shared" si="35"/>
        <v>-5.7439440993788837</v>
      </c>
      <c r="T199">
        <f t="shared" si="36"/>
        <v>-0.875</v>
      </c>
      <c r="U199">
        <f t="shared" si="37"/>
        <v>-7.8260869565217401</v>
      </c>
      <c r="V199">
        <f t="shared" si="38"/>
        <v>0</v>
      </c>
      <c r="W199">
        <f t="shared" si="39"/>
        <v>0</v>
      </c>
      <c r="X199">
        <f t="shared" si="40"/>
        <v>2.6</v>
      </c>
      <c r="Y199">
        <f t="shared" si="41"/>
        <v>0.35714285714285715</v>
      </c>
    </row>
    <row r="200" spans="1:25" x14ac:dyDescent="0.2">
      <c r="A200" t="s">
        <v>21</v>
      </c>
      <c r="B200" t="s">
        <v>230</v>
      </c>
      <c r="C200">
        <v>500</v>
      </c>
      <c r="D200" s="2">
        <v>0</v>
      </c>
      <c r="E200">
        <v>27</v>
      </c>
      <c r="F200">
        <v>4</v>
      </c>
      <c r="G200">
        <v>0</v>
      </c>
      <c r="H200">
        <v>60</v>
      </c>
      <c r="I200">
        <v>1500</v>
      </c>
      <c r="J200">
        <v>39</v>
      </c>
      <c r="K200" s="2">
        <v>0</v>
      </c>
      <c r="L200">
        <v>4</v>
      </c>
      <c r="M200">
        <v>24</v>
      </c>
      <c r="N200">
        <v>484</v>
      </c>
      <c r="O200" s="3">
        <f t="shared" si="42"/>
        <v>4.8</v>
      </c>
      <c r="P200">
        <f t="shared" si="33"/>
        <v>1</v>
      </c>
      <c r="Q200">
        <f t="shared" si="34"/>
        <v>0</v>
      </c>
      <c r="S200">
        <f t="shared" si="35"/>
        <v>-14.104347826086958</v>
      </c>
      <c r="T200">
        <f t="shared" si="36"/>
        <v>-1</v>
      </c>
      <c r="U200">
        <f t="shared" si="37"/>
        <v>-16.304347826086957</v>
      </c>
      <c r="V200">
        <f t="shared" si="38"/>
        <v>-1.6</v>
      </c>
      <c r="W200">
        <f t="shared" si="39"/>
        <v>0</v>
      </c>
      <c r="X200">
        <f t="shared" si="40"/>
        <v>4.8</v>
      </c>
      <c r="Y200">
        <f t="shared" si="41"/>
        <v>0</v>
      </c>
    </row>
    <row r="201" spans="1:25" x14ac:dyDescent="0.2">
      <c r="A201" t="s">
        <v>21</v>
      </c>
      <c r="B201" t="s">
        <v>30</v>
      </c>
      <c r="C201">
        <v>190</v>
      </c>
      <c r="D201" s="2">
        <v>0</v>
      </c>
      <c r="E201">
        <v>14</v>
      </c>
      <c r="F201">
        <v>2.5</v>
      </c>
      <c r="G201">
        <v>0</v>
      </c>
      <c r="H201">
        <v>40</v>
      </c>
      <c r="I201">
        <v>510</v>
      </c>
      <c r="J201">
        <v>6</v>
      </c>
      <c r="K201">
        <v>1</v>
      </c>
      <c r="L201">
        <v>0</v>
      </c>
      <c r="M201">
        <v>9</v>
      </c>
      <c r="N201">
        <v>183.5</v>
      </c>
      <c r="O201" s="3">
        <f t="shared" si="42"/>
        <v>4.7368421052631584</v>
      </c>
      <c r="P201">
        <f t="shared" si="33"/>
        <v>1</v>
      </c>
      <c r="Q201">
        <f t="shared" si="34"/>
        <v>0</v>
      </c>
      <c r="S201">
        <f t="shared" si="35"/>
        <v>-4.0113354037267088</v>
      </c>
      <c r="T201">
        <f t="shared" si="36"/>
        <v>-0.625</v>
      </c>
      <c r="U201">
        <f t="shared" si="37"/>
        <v>-5.5434782608695654</v>
      </c>
      <c r="V201">
        <f t="shared" si="38"/>
        <v>0</v>
      </c>
      <c r="W201">
        <f t="shared" si="39"/>
        <v>0</v>
      </c>
      <c r="X201">
        <f t="shared" si="40"/>
        <v>1.7999999999999998</v>
      </c>
      <c r="Y201">
        <f t="shared" si="41"/>
        <v>0.35714285714285715</v>
      </c>
    </row>
    <row r="202" spans="1:25" x14ac:dyDescent="0.2">
      <c r="A202" t="s">
        <v>21</v>
      </c>
      <c r="B202" t="s">
        <v>243</v>
      </c>
      <c r="C202">
        <v>510</v>
      </c>
      <c r="D202" s="2">
        <v>0</v>
      </c>
      <c r="E202">
        <v>25</v>
      </c>
      <c r="F202">
        <v>3.5</v>
      </c>
      <c r="G202">
        <v>0</v>
      </c>
      <c r="H202">
        <v>60</v>
      </c>
      <c r="I202">
        <v>1290</v>
      </c>
      <c r="J202">
        <v>48</v>
      </c>
      <c r="K202" s="2">
        <v>0</v>
      </c>
      <c r="L202">
        <v>12</v>
      </c>
      <c r="M202">
        <v>24</v>
      </c>
      <c r="N202">
        <v>501.5</v>
      </c>
      <c r="O202" s="3">
        <f t="shared" si="42"/>
        <v>4.7058823529411766</v>
      </c>
      <c r="P202">
        <f t="shared" si="33"/>
        <v>1</v>
      </c>
      <c r="Q202">
        <f t="shared" si="34"/>
        <v>0</v>
      </c>
      <c r="S202">
        <f t="shared" si="35"/>
        <v>-14.896739130434781</v>
      </c>
      <c r="T202">
        <f t="shared" si="36"/>
        <v>-0.875</v>
      </c>
      <c r="U202">
        <f t="shared" si="37"/>
        <v>-14.021739130434781</v>
      </c>
      <c r="V202">
        <f t="shared" si="38"/>
        <v>-4.8</v>
      </c>
      <c r="W202">
        <f t="shared" si="39"/>
        <v>0</v>
      </c>
      <c r="X202">
        <f t="shared" si="40"/>
        <v>4.8</v>
      </c>
      <c r="Y202">
        <f t="shared" si="41"/>
        <v>0</v>
      </c>
    </row>
    <row r="203" spans="1:25" x14ac:dyDescent="0.2">
      <c r="A203" t="s">
        <v>21</v>
      </c>
      <c r="B203" t="s">
        <v>252</v>
      </c>
      <c r="C203">
        <v>300</v>
      </c>
      <c r="D203" s="2">
        <v>0</v>
      </c>
      <c r="E203">
        <v>15</v>
      </c>
      <c r="F203">
        <v>2.5</v>
      </c>
      <c r="G203">
        <v>0</v>
      </c>
      <c r="H203">
        <v>30</v>
      </c>
      <c r="I203">
        <v>620</v>
      </c>
      <c r="J203">
        <v>27</v>
      </c>
      <c r="K203">
        <v>1</v>
      </c>
      <c r="L203">
        <v>3</v>
      </c>
      <c r="M203">
        <v>14</v>
      </c>
      <c r="N203">
        <v>291.5</v>
      </c>
      <c r="O203" s="3">
        <f t="shared" si="42"/>
        <v>4.666666666666667</v>
      </c>
      <c r="P203">
        <f t="shared" si="33"/>
        <v>1</v>
      </c>
      <c r="Q203">
        <f t="shared" si="34"/>
        <v>0</v>
      </c>
      <c r="S203">
        <f t="shared" si="35"/>
        <v>-5.4069875776397511</v>
      </c>
      <c r="T203">
        <f t="shared" si="36"/>
        <v>-0.625</v>
      </c>
      <c r="U203">
        <f t="shared" si="37"/>
        <v>-6.7391304347826084</v>
      </c>
      <c r="V203">
        <f t="shared" si="38"/>
        <v>-1.2</v>
      </c>
      <c r="W203">
        <f t="shared" si="39"/>
        <v>0</v>
      </c>
      <c r="X203">
        <f t="shared" si="40"/>
        <v>2.8000000000000003</v>
      </c>
      <c r="Y203">
        <f t="shared" si="41"/>
        <v>0.35714285714285715</v>
      </c>
    </row>
    <row r="204" spans="1:25" x14ac:dyDescent="0.2">
      <c r="A204" t="s">
        <v>21</v>
      </c>
      <c r="B204" t="s">
        <v>253</v>
      </c>
      <c r="C204">
        <v>150</v>
      </c>
      <c r="D204" s="2">
        <v>0</v>
      </c>
      <c r="E204">
        <v>2.5</v>
      </c>
      <c r="F204">
        <v>1.5</v>
      </c>
      <c r="G204">
        <v>0</v>
      </c>
      <c r="H204">
        <v>10</v>
      </c>
      <c r="I204">
        <v>170</v>
      </c>
      <c r="J204">
        <v>26</v>
      </c>
      <c r="K204">
        <v>0</v>
      </c>
      <c r="L204">
        <v>23</v>
      </c>
      <c r="M204">
        <v>7</v>
      </c>
      <c r="N204">
        <v>167.5</v>
      </c>
      <c r="O204" s="3">
        <f t="shared" si="42"/>
        <v>4.666666666666667</v>
      </c>
      <c r="P204">
        <f t="shared" si="33"/>
        <v>0</v>
      </c>
      <c r="Q204">
        <f t="shared" si="34"/>
        <v>0</v>
      </c>
      <c r="S204">
        <f t="shared" si="35"/>
        <v>-10.022826086956522</v>
      </c>
      <c r="T204">
        <f t="shared" si="36"/>
        <v>-0.375</v>
      </c>
      <c r="U204">
        <f t="shared" si="37"/>
        <v>-1.8478260869565217</v>
      </c>
      <c r="V204">
        <f t="shared" si="38"/>
        <v>-9.2000000000000011</v>
      </c>
      <c r="W204">
        <f t="shared" si="39"/>
        <v>0</v>
      </c>
      <c r="X204">
        <f t="shared" si="40"/>
        <v>1.4000000000000001</v>
      </c>
      <c r="Y204">
        <f t="shared" si="41"/>
        <v>0</v>
      </c>
    </row>
    <row r="205" spans="1:25" x14ac:dyDescent="0.2">
      <c r="A205" t="s">
        <v>21</v>
      </c>
      <c r="B205" t="s">
        <v>276</v>
      </c>
      <c r="C205">
        <v>770</v>
      </c>
      <c r="D205" s="2">
        <v>0</v>
      </c>
      <c r="E205">
        <v>60</v>
      </c>
      <c r="F205">
        <v>10</v>
      </c>
      <c r="G205">
        <v>0</v>
      </c>
      <c r="H205">
        <v>105</v>
      </c>
      <c r="I205">
        <v>1530</v>
      </c>
      <c r="J205">
        <v>21</v>
      </c>
      <c r="K205">
        <v>1</v>
      </c>
      <c r="L205">
        <v>1</v>
      </c>
      <c r="M205">
        <v>35</v>
      </c>
      <c r="N205">
        <v>746</v>
      </c>
      <c r="O205" s="3">
        <f t="shared" si="42"/>
        <v>4.5454545454545459</v>
      </c>
      <c r="P205">
        <f t="shared" si="33"/>
        <v>1</v>
      </c>
      <c r="Q205">
        <f t="shared" si="34"/>
        <v>0</v>
      </c>
      <c r="S205">
        <f t="shared" si="35"/>
        <v>-12.173291925465836</v>
      </c>
      <c r="T205">
        <f t="shared" si="36"/>
        <v>-2.5</v>
      </c>
      <c r="U205">
        <f t="shared" si="37"/>
        <v>-16.630434782608695</v>
      </c>
      <c r="V205">
        <f t="shared" si="38"/>
        <v>-0.4</v>
      </c>
      <c r="W205">
        <f t="shared" si="39"/>
        <v>0</v>
      </c>
      <c r="X205">
        <f t="shared" si="40"/>
        <v>6.9999999999999991</v>
      </c>
      <c r="Y205">
        <f t="shared" si="41"/>
        <v>0.35714285714285715</v>
      </c>
    </row>
    <row r="206" spans="1:25" x14ac:dyDescent="0.2">
      <c r="A206" t="s">
        <v>21</v>
      </c>
      <c r="B206" t="s">
        <v>88</v>
      </c>
      <c r="C206">
        <v>220</v>
      </c>
      <c r="D206" s="2">
        <v>0</v>
      </c>
      <c r="E206">
        <v>16</v>
      </c>
      <c r="F206">
        <v>2.5</v>
      </c>
      <c r="G206">
        <v>0</v>
      </c>
      <c r="H206">
        <v>25</v>
      </c>
      <c r="I206">
        <v>460</v>
      </c>
      <c r="J206">
        <v>9</v>
      </c>
      <c r="K206" s="2">
        <v>0</v>
      </c>
      <c r="L206">
        <v>0</v>
      </c>
      <c r="M206">
        <v>10</v>
      </c>
      <c r="N206">
        <v>212.5</v>
      </c>
      <c r="O206" s="3">
        <f t="shared" si="42"/>
        <v>4.5454545454545459</v>
      </c>
      <c r="P206">
        <f t="shared" si="33"/>
        <v>0</v>
      </c>
      <c r="Q206">
        <f t="shared" si="34"/>
        <v>0</v>
      </c>
      <c r="S206">
        <f t="shared" si="35"/>
        <v>-3.6249999999999996</v>
      </c>
      <c r="T206">
        <f t="shared" si="36"/>
        <v>-0.625</v>
      </c>
      <c r="U206">
        <f t="shared" si="37"/>
        <v>-5</v>
      </c>
      <c r="V206">
        <f t="shared" si="38"/>
        <v>0</v>
      </c>
      <c r="W206">
        <f t="shared" si="39"/>
        <v>0</v>
      </c>
      <c r="X206">
        <f t="shared" si="40"/>
        <v>2.0000000000000004</v>
      </c>
      <c r="Y206">
        <f t="shared" si="41"/>
        <v>0</v>
      </c>
    </row>
    <row r="207" spans="1:25" x14ac:dyDescent="0.2">
      <c r="A207" t="s">
        <v>21</v>
      </c>
      <c r="B207" t="s">
        <v>282</v>
      </c>
      <c r="C207">
        <v>310</v>
      </c>
      <c r="D207" s="2">
        <v>0</v>
      </c>
      <c r="E207">
        <v>17</v>
      </c>
      <c r="F207">
        <v>2.5</v>
      </c>
      <c r="G207">
        <v>0</v>
      </c>
      <c r="H207">
        <v>30</v>
      </c>
      <c r="I207">
        <v>790</v>
      </c>
      <c r="J207">
        <v>27</v>
      </c>
      <c r="K207">
        <v>1</v>
      </c>
      <c r="L207">
        <v>3</v>
      </c>
      <c r="M207">
        <v>14</v>
      </c>
      <c r="N207">
        <v>301.5</v>
      </c>
      <c r="O207" s="3">
        <f t="shared" si="42"/>
        <v>4.5161290322580641</v>
      </c>
      <c r="P207">
        <f t="shared" si="33"/>
        <v>1</v>
      </c>
      <c r="Q207">
        <f t="shared" si="34"/>
        <v>0</v>
      </c>
      <c r="S207">
        <f t="shared" si="35"/>
        <v>-7.2548136645962726</v>
      </c>
      <c r="T207">
        <f t="shared" si="36"/>
        <v>-0.625</v>
      </c>
      <c r="U207">
        <f t="shared" si="37"/>
        <v>-8.5869565217391308</v>
      </c>
      <c r="V207">
        <f t="shared" si="38"/>
        <v>-1.2</v>
      </c>
      <c r="W207">
        <f t="shared" si="39"/>
        <v>0</v>
      </c>
      <c r="X207">
        <f t="shared" si="40"/>
        <v>2.8000000000000003</v>
      </c>
      <c r="Y207">
        <f t="shared" si="41"/>
        <v>0.35714285714285715</v>
      </c>
    </row>
    <row r="208" spans="1:25" x14ac:dyDescent="0.2">
      <c r="A208" t="s">
        <v>21</v>
      </c>
      <c r="B208" t="s">
        <v>285</v>
      </c>
      <c r="C208">
        <v>290</v>
      </c>
      <c r="D208" s="2">
        <v>0</v>
      </c>
      <c r="E208">
        <v>19</v>
      </c>
      <c r="F208">
        <v>2.5</v>
      </c>
      <c r="G208">
        <v>0</v>
      </c>
      <c r="H208">
        <v>30</v>
      </c>
      <c r="I208">
        <v>870</v>
      </c>
      <c r="J208">
        <v>19</v>
      </c>
      <c r="K208">
        <v>1</v>
      </c>
      <c r="L208">
        <v>0</v>
      </c>
      <c r="M208">
        <v>13</v>
      </c>
      <c r="N208">
        <v>279.5</v>
      </c>
      <c r="O208" s="3">
        <f t="shared" si="42"/>
        <v>4.4827586206896548</v>
      </c>
      <c r="P208">
        <f t="shared" si="33"/>
        <v>1</v>
      </c>
      <c r="Q208">
        <f t="shared" si="34"/>
        <v>0</v>
      </c>
      <c r="S208">
        <f t="shared" si="35"/>
        <v>-7.1243788819875773</v>
      </c>
      <c r="T208">
        <f t="shared" si="36"/>
        <v>-0.625</v>
      </c>
      <c r="U208">
        <f t="shared" si="37"/>
        <v>-9.4565217391304337</v>
      </c>
      <c r="V208">
        <f t="shared" si="38"/>
        <v>0</v>
      </c>
      <c r="W208">
        <f t="shared" si="39"/>
        <v>0</v>
      </c>
      <c r="X208">
        <f t="shared" si="40"/>
        <v>2.6</v>
      </c>
      <c r="Y208">
        <f t="shared" si="41"/>
        <v>0.35714285714285715</v>
      </c>
    </row>
    <row r="209" spans="1:25" x14ac:dyDescent="0.2">
      <c r="A209" t="s">
        <v>21</v>
      </c>
      <c r="B209" t="s">
        <v>54</v>
      </c>
      <c r="C209">
        <v>180</v>
      </c>
      <c r="D209" s="2">
        <v>0</v>
      </c>
      <c r="E209">
        <v>15</v>
      </c>
      <c r="F209">
        <v>2.5</v>
      </c>
      <c r="G209">
        <v>0</v>
      </c>
      <c r="H209">
        <v>35</v>
      </c>
      <c r="I209">
        <v>450</v>
      </c>
      <c r="J209">
        <v>5</v>
      </c>
      <c r="K209">
        <v>1</v>
      </c>
      <c r="L209">
        <v>0</v>
      </c>
      <c r="M209">
        <v>8</v>
      </c>
      <c r="N209">
        <v>174.5</v>
      </c>
      <c r="O209" s="3">
        <f t="shared" si="42"/>
        <v>4.4444444444444446</v>
      </c>
      <c r="P209">
        <f t="shared" si="33"/>
        <v>0</v>
      </c>
      <c r="Q209">
        <f t="shared" si="34"/>
        <v>0</v>
      </c>
      <c r="S209">
        <f t="shared" si="35"/>
        <v>-3.5591614906832296</v>
      </c>
      <c r="T209">
        <f t="shared" si="36"/>
        <v>-0.625</v>
      </c>
      <c r="U209">
        <f t="shared" si="37"/>
        <v>-4.8913043478260869</v>
      </c>
      <c r="V209">
        <f t="shared" si="38"/>
        <v>0</v>
      </c>
      <c r="W209">
        <f t="shared" si="39"/>
        <v>0</v>
      </c>
      <c r="X209">
        <f t="shared" si="40"/>
        <v>1.6</v>
      </c>
      <c r="Y209">
        <f t="shared" si="41"/>
        <v>0.35714285714285715</v>
      </c>
    </row>
    <row r="210" spans="1:25" x14ac:dyDescent="0.2">
      <c r="A210" t="s">
        <v>21</v>
      </c>
      <c r="B210" t="s">
        <v>289</v>
      </c>
      <c r="C210">
        <v>540</v>
      </c>
      <c r="D210" s="2">
        <v>0</v>
      </c>
      <c r="E210">
        <v>32</v>
      </c>
      <c r="F210">
        <v>4.5</v>
      </c>
      <c r="G210">
        <v>0</v>
      </c>
      <c r="H210">
        <v>60</v>
      </c>
      <c r="I210">
        <v>1290</v>
      </c>
      <c r="J210">
        <v>40</v>
      </c>
      <c r="K210" s="2">
        <v>0</v>
      </c>
      <c r="L210">
        <v>5</v>
      </c>
      <c r="M210">
        <v>24</v>
      </c>
      <c r="N210">
        <v>525.5</v>
      </c>
      <c r="O210" s="3">
        <f t="shared" si="42"/>
        <v>4.4444444444444446</v>
      </c>
      <c r="P210">
        <f t="shared" si="33"/>
        <v>1</v>
      </c>
      <c r="Q210">
        <f t="shared" si="34"/>
        <v>0</v>
      </c>
      <c r="S210">
        <f t="shared" si="35"/>
        <v>-12.346739130434781</v>
      </c>
      <c r="T210">
        <f t="shared" si="36"/>
        <v>-1.125</v>
      </c>
      <c r="U210">
        <f t="shared" si="37"/>
        <v>-14.021739130434781</v>
      </c>
      <c r="V210">
        <f t="shared" si="38"/>
        <v>-2.0000000000000004</v>
      </c>
      <c r="W210">
        <f t="shared" si="39"/>
        <v>0</v>
      </c>
      <c r="X210">
        <f t="shared" si="40"/>
        <v>4.8</v>
      </c>
      <c r="Y210">
        <f t="shared" si="41"/>
        <v>0</v>
      </c>
    </row>
    <row r="211" spans="1:25" x14ac:dyDescent="0.2">
      <c r="A211" t="s">
        <v>21</v>
      </c>
      <c r="B211" t="s">
        <v>290</v>
      </c>
      <c r="C211">
        <v>630</v>
      </c>
      <c r="D211" s="2">
        <v>0</v>
      </c>
      <c r="E211">
        <v>34</v>
      </c>
      <c r="F211">
        <v>7</v>
      </c>
      <c r="G211">
        <v>0</v>
      </c>
      <c r="H211">
        <v>70</v>
      </c>
      <c r="I211">
        <v>1260</v>
      </c>
      <c r="J211">
        <v>53</v>
      </c>
      <c r="K211">
        <v>4</v>
      </c>
      <c r="L211">
        <v>3</v>
      </c>
      <c r="M211">
        <v>28</v>
      </c>
      <c r="N211">
        <v>612</v>
      </c>
      <c r="O211" s="3">
        <f t="shared" si="42"/>
        <v>4.4444444444444446</v>
      </c>
      <c r="P211">
        <f t="shared" si="33"/>
        <v>1</v>
      </c>
      <c r="Q211">
        <f t="shared" si="34"/>
        <v>0</v>
      </c>
      <c r="S211">
        <f t="shared" si="35"/>
        <v>-9.6170807453416121</v>
      </c>
      <c r="T211">
        <f t="shared" si="36"/>
        <v>-1.75</v>
      </c>
      <c r="U211">
        <f t="shared" si="37"/>
        <v>-13.695652173913043</v>
      </c>
      <c r="V211">
        <f t="shared" si="38"/>
        <v>-1.2</v>
      </c>
      <c r="W211">
        <f t="shared" si="39"/>
        <v>0</v>
      </c>
      <c r="X211">
        <f t="shared" si="40"/>
        <v>5.6000000000000005</v>
      </c>
      <c r="Y211">
        <f t="shared" si="41"/>
        <v>1.4285714285714286</v>
      </c>
    </row>
    <row r="212" spans="1:25" x14ac:dyDescent="0.2">
      <c r="A212" t="s">
        <v>21</v>
      </c>
      <c r="B212" t="s">
        <v>301</v>
      </c>
      <c r="C212">
        <v>250</v>
      </c>
      <c r="D212" s="2">
        <v>0</v>
      </c>
      <c r="E212">
        <v>21</v>
      </c>
      <c r="F212">
        <v>3.5</v>
      </c>
      <c r="G212">
        <v>0</v>
      </c>
      <c r="H212">
        <v>50</v>
      </c>
      <c r="I212">
        <v>530</v>
      </c>
      <c r="J212">
        <v>6</v>
      </c>
      <c r="K212">
        <v>1</v>
      </c>
      <c r="L212">
        <v>0</v>
      </c>
      <c r="M212">
        <v>11</v>
      </c>
      <c r="N212">
        <v>242.5</v>
      </c>
      <c r="O212" s="3">
        <f t="shared" si="42"/>
        <v>4.3999999999999995</v>
      </c>
      <c r="P212">
        <f t="shared" si="33"/>
        <v>1</v>
      </c>
      <c r="Q212">
        <f t="shared" si="34"/>
        <v>0</v>
      </c>
      <c r="S212">
        <f t="shared" si="35"/>
        <v>-4.0787267080745346</v>
      </c>
      <c r="T212">
        <f t="shared" si="36"/>
        <v>-0.875</v>
      </c>
      <c r="U212">
        <f t="shared" si="37"/>
        <v>-5.7608695652173916</v>
      </c>
      <c r="V212">
        <f t="shared" si="38"/>
        <v>0</v>
      </c>
      <c r="W212">
        <f t="shared" si="39"/>
        <v>0</v>
      </c>
      <c r="X212">
        <f t="shared" si="40"/>
        <v>2.2000000000000002</v>
      </c>
      <c r="Y212">
        <f t="shared" si="41"/>
        <v>0.35714285714285715</v>
      </c>
    </row>
    <row r="213" spans="1:25" x14ac:dyDescent="0.2">
      <c r="A213" t="s">
        <v>21</v>
      </c>
      <c r="B213" t="s">
        <v>302</v>
      </c>
      <c r="C213">
        <v>500</v>
      </c>
      <c r="D213" s="2">
        <v>0</v>
      </c>
      <c r="E213">
        <v>40</v>
      </c>
      <c r="F213">
        <v>7</v>
      </c>
      <c r="G213">
        <v>0</v>
      </c>
      <c r="H213">
        <v>100</v>
      </c>
      <c r="I213">
        <v>970</v>
      </c>
      <c r="J213">
        <v>11</v>
      </c>
      <c r="K213">
        <v>1</v>
      </c>
      <c r="L213">
        <v>1</v>
      </c>
      <c r="M213">
        <v>22</v>
      </c>
      <c r="N213">
        <v>486</v>
      </c>
      <c r="O213" s="3">
        <f t="shared" si="42"/>
        <v>4.3999999999999995</v>
      </c>
      <c r="P213">
        <f t="shared" si="33"/>
        <v>1</v>
      </c>
      <c r="Q213">
        <f t="shared" si="34"/>
        <v>0</v>
      </c>
      <c r="S213">
        <f t="shared" si="35"/>
        <v>-7.9363354037267095</v>
      </c>
      <c r="T213">
        <f t="shared" si="36"/>
        <v>-1.75</v>
      </c>
      <c r="U213">
        <f t="shared" si="37"/>
        <v>-10.543478260869566</v>
      </c>
      <c r="V213">
        <f t="shared" si="38"/>
        <v>-0.4</v>
      </c>
      <c r="W213">
        <f t="shared" si="39"/>
        <v>0</v>
      </c>
      <c r="X213">
        <f t="shared" si="40"/>
        <v>4.4000000000000004</v>
      </c>
      <c r="Y213">
        <f t="shared" si="41"/>
        <v>0.35714285714285715</v>
      </c>
    </row>
    <row r="214" spans="1:25" x14ac:dyDescent="0.2">
      <c r="A214" t="s">
        <v>21</v>
      </c>
      <c r="B214" t="s">
        <v>306</v>
      </c>
      <c r="C214">
        <v>320</v>
      </c>
      <c r="D214" s="2">
        <v>0</v>
      </c>
      <c r="E214">
        <v>15</v>
      </c>
      <c r="F214">
        <v>2.5</v>
      </c>
      <c r="G214">
        <v>0</v>
      </c>
      <c r="H214">
        <v>30</v>
      </c>
      <c r="I214">
        <v>680</v>
      </c>
      <c r="J214">
        <v>31</v>
      </c>
      <c r="K214">
        <v>1</v>
      </c>
      <c r="L214">
        <v>7</v>
      </c>
      <c r="M214">
        <v>14</v>
      </c>
      <c r="N214">
        <v>315.5</v>
      </c>
      <c r="O214" s="3">
        <f t="shared" si="42"/>
        <v>4.375</v>
      </c>
      <c r="P214">
        <f t="shared" si="33"/>
        <v>1</v>
      </c>
      <c r="Q214">
        <f t="shared" si="34"/>
        <v>0</v>
      </c>
      <c r="S214">
        <f t="shared" si="35"/>
        <v>-7.6591614906832293</v>
      </c>
      <c r="T214">
        <f t="shared" si="36"/>
        <v>-0.625</v>
      </c>
      <c r="U214">
        <f t="shared" si="37"/>
        <v>-7.3913043478260869</v>
      </c>
      <c r="V214">
        <f t="shared" si="38"/>
        <v>-2.8000000000000003</v>
      </c>
      <c r="W214">
        <f t="shared" si="39"/>
        <v>0</v>
      </c>
      <c r="X214">
        <f t="shared" si="40"/>
        <v>2.8000000000000003</v>
      </c>
      <c r="Y214">
        <f t="shared" si="41"/>
        <v>0.35714285714285715</v>
      </c>
    </row>
    <row r="215" spans="1:25" x14ac:dyDescent="0.2">
      <c r="A215" t="s">
        <v>21</v>
      </c>
      <c r="B215" t="s">
        <v>313</v>
      </c>
      <c r="C215">
        <v>620</v>
      </c>
      <c r="D215" s="2">
        <v>0</v>
      </c>
      <c r="E215">
        <v>39</v>
      </c>
      <c r="F215">
        <v>5</v>
      </c>
      <c r="G215">
        <v>0</v>
      </c>
      <c r="H215">
        <v>65</v>
      </c>
      <c r="I215">
        <v>1820</v>
      </c>
      <c r="J215">
        <v>39</v>
      </c>
      <c r="K215">
        <v>2</v>
      </c>
      <c r="L215">
        <v>0</v>
      </c>
      <c r="M215">
        <v>27</v>
      </c>
      <c r="N215">
        <v>598</v>
      </c>
      <c r="O215" s="3">
        <f t="shared" si="42"/>
        <v>4.354838709677419</v>
      </c>
      <c r="P215">
        <f t="shared" si="33"/>
        <v>1</v>
      </c>
      <c r="Q215">
        <f t="shared" si="34"/>
        <v>0</v>
      </c>
      <c r="S215">
        <f t="shared" si="35"/>
        <v>-14.918322981366458</v>
      </c>
      <c r="T215">
        <f t="shared" si="36"/>
        <v>-1.25</v>
      </c>
      <c r="U215">
        <f t="shared" si="37"/>
        <v>-19.782608695652172</v>
      </c>
      <c r="V215">
        <f t="shared" si="38"/>
        <v>0</v>
      </c>
      <c r="W215">
        <f t="shared" si="39"/>
        <v>0</v>
      </c>
      <c r="X215">
        <f t="shared" si="40"/>
        <v>5.4</v>
      </c>
      <c r="Y215">
        <f t="shared" si="41"/>
        <v>0.7142857142857143</v>
      </c>
    </row>
    <row r="216" spans="1:25" x14ac:dyDescent="0.2">
      <c r="A216" t="s">
        <v>21</v>
      </c>
      <c r="B216" t="s">
        <v>350</v>
      </c>
      <c r="C216">
        <v>340</v>
      </c>
      <c r="D216" s="2">
        <v>0</v>
      </c>
      <c r="E216">
        <v>19</v>
      </c>
      <c r="F216">
        <v>3</v>
      </c>
      <c r="G216">
        <v>0</v>
      </c>
      <c r="H216">
        <v>30</v>
      </c>
      <c r="I216">
        <v>680</v>
      </c>
      <c r="J216">
        <v>27</v>
      </c>
      <c r="K216">
        <v>1</v>
      </c>
      <c r="L216">
        <v>3</v>
      </c>
      <c r="M216">
        <v>14</v>
      </c>
      <c r="N216">
        <v>332</v>
      </c>
      <c r="O216" s="3">
        <f t="shared" si="42"/>
        <v>4.117647058823529</v>
      </c>
      <c r="P216">
        <f t="shared" si="33"/>
        <v>1</v>
      </c>
      <c r="Q216">
        <f t="shared" si="34"/>
        <v>0</v>
      </c>
      <c r="S216">
        <f t="shared" si="35"/>
        <v>-6.1841614906832278</v>
      </c>
      <c r="T216">
        <f t="shared" si="36"/>
        <v>-0.75</v>
      </c>
      <c r="U216">
        <f t="shared" si="37"/>
        <v>-7.3913043478260869</v>
      </c>
      <c r="V216">
        <f t="shared" si="38"/>
        <v>-1.2</v>
      </c>
      <c r="W216">
        <f t="shared" si="39"/>
        <v>0</v>
      </c>
      <c r="X216">
        <f t="shared" si="40"/>
        <v>2.8000000000000003</v>
      </c>
      <c r="Y216">
        <f t="shared" si="41"/>
        <v>0.35714285714285715</v>
      </c>
    </row>
    <row r="217" spans="1:25" x14ac:dyDescent="0.2">
      <c r="A217" t="s">
        <v>21</v>
      </c>
      <c r="B217" t="s">
        <v>361</v>
      </c>
      <c r="C217">
        <v>270</v>
      </c>
      <c r="D217" s="2">
        <v>0</v>
      </c>
      <c r="E217">
        <v>14</v>
      </c>
      <c r="F217">
        <v>3.5</v>
      </c>
      <c r="G217">
        <v>0</v>
      </c>
      <c r="H217">
        <v>20</v>
      </c>
      <c r="I217">
        <v>850</v>
      </c>
      <c r="J217">
        <v>27</v>
      </c>
      <c r="K217">
        <v>2</v>
      </c>
      <c r="L217">
        <v>1</v>
      </c>
      <c r="M217">
        <v>11</v>
      </c>
      <c r="N217">
        <v>263.5</v>
      </c>
      <c r="O217" s="3">
        <f t="shared" si="42"/>
        <v>4.0740740740740744</v>
      </c>
      <c r="P217">
        <f t="shared" si="33"/>
        <v>1</v>
      </c>
      <c r="Q217">
        <f t="shared" si="34"/>
        <v>0</v>
      </c>
      <c r="S217">
        <f t="shared" si="35"/>
        <v>-7.5998447204968942</v>
      </c>
      <c r="T217">
        <f t="shared" si="36"/>
        <v>-0.875</v>
      </c>
      <c r="U217">
        <f t="shared" si="37"/>
        <v>-9.2391304347826075</v>
      </c>
      <c r="V217">
        <f t="shared" si="38"/>
        <v>-0.4</v>
      </c>
      <c r="W217">
        <f t="shared" si="39"/>
        <v>0</v>
      </c>
      <c r="X217">
        <f t="shared" si="40"/>
        <v>2.2000000000000002</v>
      </c>
      <c r="Y217">
        <f t="shared" si="41"/>
        <v>0.7142857142857143</v>
      </c>
    </row>
    <row r="218" spans="1:25" x14ac:dyDescent="0.2">
      <c r="A218" t="s">
        <v>21</v>
      </c>
      <c r="B218" t="s">
        <v>374</v>
      </c>
      <c r="C218">
        <v>25</v>
      </c>
      <c r="D218" s="2">
        <v>0</v>
      </c>
      <c r="E218">
        <v>0</v>
      </c>
      <c r="F218">
        <v>0</v>
      </c>
      <c r="G218">
        <v>0</v>
      </c>
      <c r="H218">
        <v>0</v>
      </c>
      <c r="I218">
        <v>300</v>
      </c>
      <c r="J218">
        <v>5</v>
      </c>
      <c r="K218">
        <v>3</v>
      </c>
      <c r="L218">
        <v>1</v>
      </c>
      <c r="M218">
        <v>1</v>
      </c>
      <c r="N218">
        <v>25</v>
      </c>
      <c r="O218" s="3">
        <f t="shared" si="42"/>
        <v>4</v>
      </c>
      <c r="P218">
        <f t="shared" si="33"/>
        <v>0</v>
      </c>
      <c r="Q218">
        <f t="shared" si="34"/>
        <v>0</v>
      </c>
      <c r="S218">
        <f t="shared" si="35"/>
        <v>-2.3894409937888197</v>
      </c>
      <c r="T218">
        <f t="shared" si="36"/>
        <v>0</v>
      </c>
      <c r="U218">
        <f t="shared" si="37"/>
        <v>-3.2608695652173911</v>
      </c>
      <c r="V218">
        <f t="shared" si="38"/>
        <v>-0.4</v>
      </c>
      <c r="W218">
        <f t="shared" si="39"/>
        <v>0</v>
      </c>
      <c r="X218">
        <f t="shared" si="40"/>
        <v>0.2</v>
      </c>
      <c r="Y218">
        <f t="shared" si="41"/>
        <v>1.0714285714285714</v>
      </c>
    </row>
    <row r="219" spans="1:25" x14ac:dyDescent="0.2">
      <c r="A219" t="s">
        <v>21</v>
      </c>
      <c r="B219" t="s">
        <v>400</v>
      </c>
      <c r="C219">
        <v>130</v>
      </c>
      <c r="D219" s="2">
        <v>0</v>
      </c>
      <c r="E219">
        <v>11</v>
      </c>
      <c r="F219">
        <v>2</v>
      </c>
      <c r="G219">
        <v>0</v>
      </c>
      <c r="H219">
        <v>20</v>
      </c>
      <c r="I219">
        <v>230</v>
      </c>
      <c r="J219">
        <v>4</v>
      </c>
      <c r="K219">
        <v>0</v>
      </c>
      <c r="L219">
        <v>0</v>
      </c>
      <c r="M219">
        <v>5</v>
      </c>
      <c r="N219">
        <v>127</v>
      </c>
      <c r="O219" s="3">
        <f t="shared" si="42"/>
        <v>3.8461538461538463</v>
      </c>
      <c r="P219">
        <f t="shared" si="33"/>
        <v>0</v>
      </c>
      <c r="Q219">
        <f t="shared" si="34"/>
        <v>0</v>
      </c>
      <c r="S219">
        <f t="shared" si="35"/>
        <v>-1.9999999999999998</v>
      </c>
      <c r="T219">
        <f t="shared" si="36"/>
        <v>-0.5</v>
      </c>
      <c r="U219">
        <f t="shared" si="37"/>
        <v>-2.5</v>
      </c>
      <c r="V219">
        <f t="shared" si="38"/>
        <v>0</v>
      </c>
      <c r="W219">
        <f t="shared" si="39"/>
        <v>0</v>
      </c>
      <c r="X219">
        <f t="shared" si="40"/>
        <v>1.0000000000000002</v>
      </c>
      <c r="Y219">
        <f t="shared" si="41"/>
        <v>0</v>
      </c>
    </row>
    <row r="220" spans="1:25" x14ac:dyDescent="0.2">
      <c r="A220" t="s">
        <v>21</v>
      </c>
      <c r="B220" t="s">
        <v>427</v>
      </c>
      <c r="C220">
        <v>720</v>
      </c>
      <c r="D220" s="2">
        <v>0</v>
      </c>
      <c r="E220">
        <v>41</v>
      </c>
      <c r="F220">
        <v>25</v>
      </c>
      <c r="G220">
        <v>0</v>
      </c>
      <c r="H220">
        <v>80</v>
      </c>
      <c r="I220">
        <v>1750</v>
      </c>
      <c r="J220">
        <v>60</v>
      </c>
      <c r="K220">
        <v>7</v>
      </c>
      <c r="L220">
        <v>5</v>
      </c>
      <c r="M220">
        <v>26</v>
      </c>
      <c r="N220">
        <v>724</v>
      </c>
      <c r="O220" s="3">
        <f t="shared" si="42"/>
        <v>3.6111111111111107</v>
      </c>
      <c r="P220">
        <f t="shared" si="33"/>
        <v>1</v>
      </c>
      <c r="Q220">
        <f t="shared" si="34"/>
        <v>0</v>
      </c>
      <c r="S220">
        <f t="shared" si="35"/>
        <v>-19.571739130434786</v>
      </c>
      <c r="T220">
        <f t="shared" si="36"/>
        <v>-6.25</v>
      </c>
      <c r="U220">
        <f t="shared" si="37"/>
        <v>-19.021739130434785</v>
      </c>
      <c r="V220">
        <f t="shared" si="38"/>
        <v>-2.0000000000000004</v>
      </c>
      <c r="W220">
        <f t="shared" si="39"/>
        <v>0</v>
      </c>
      <c r="X220">
        <f t="shared" si="40"/>
        <v>5.2</v>
      </c>
      <c r="Y220">
        <f t="shared" si="41"/>
        <v>2.5</v>
      </c>
    </row>
    <row r="221" spans="1:25" x14ac:dyDescent="0.2">
      <c r="A221" t="s">
        <v>21</v>
      </c>
      <c r="B221" t="s">
        <v>428</v>
      </c>
      <c r="C221">
        <v>360</v>
      </c>
      <c r="D221" s="2">
        <v>0</v>
      </c>
      <c r="E221">
        <v>24</v>
      </c>
      <c r="F221">
        <v>7</v>
      </c>
      <c r="G221">
        <v>1</v>
      </c>
      <c r="H221">
        <v>35</v>
      </c>
      <c r="I221">
        <v>750</v>
      </c>
      <c r="J221">
        <v>22</v>
      </c>
      <c r="K221">
        <v>2</v>
      </c>
      <c r="L221">
        <v>0</v>
      </c>
      <c r="M221">
        <v>13</v>
      </c>
      <c r="N221">
        <v>354</v>
      </c>
      <c r="O221" s="3">
        <f t="shared" si="42"/>
        <v>3.6111111111111107</v>
      </c>
      <c r="P221">
        <f t="shared" si="33"/>
        <v>1</v>
      </c>
      <c r="Q221">
        <f t="shared" si="34"/>
        <v>0</v>
      </c>
      <c r="S221">
        <f t="shared" si="35"/>
        <v>-6.5888881987577639</v>
      </c>
      <c r="T221">
        <f t="shared" si="36"/>
        <v>-1.75</v>
      </c>
      <c r="U221">
        <f t="shared" si="37"/>
        <v>-8.1521739130434785</v>
      </c>
      <c r="V221">
        <f t="shared" si="38"/>
        <v>0</v>
      </c>
      <c r="W221">
        <f t="shared" si="39"/>
        <v>-1E-3</v>
      </c>
      <c r="X221">
        <f t="shared" si="40"/>
        <v>2.6</v>
      </c>
      <c r="Y221">
        <f t="shared" si="41"/>
        <v>0.7142857142857143</v>
      </c>
    </row>
    <row r="222" spans="1:25" x14ac:dyDescent="0.2">
      <c r="A222" t="s">
        <v>21</v>
      </c>
      <c r="B222" t="s">
        <v>434</v>
      </c>
      <c r="C222">
        <v>140</v>
      </c>
      <c r="D222" s="2">
        <v>0</v>
      </c>
      <c r="E222">
        <v>6</v>
      </c>
      <c r="F222">
        <v>1.5</v>
      </c>
      <c r="G222">
        <v>0</v>
      </c>
      <c r="H222">
        <v>0</v>
      </c>
      <c r="I222">
        <v>590</v>
      </c>
      <c r="J222">
        <v>17</v>
      </c>
      <c r="K222">
        <v>1</v>
      </c>
      <c r="L222">
        <v>2</v>
      </c>
      <c r="M222">
        <v>5</v>
      </c>
      <c r="N222">
        <v>138.5</v>
      </c>
      <c r="O222" s="3">
        <f t="shared" si="42"/>
        <v>3.5714285714285712</v>
      </c>
      <c r="P222">
        <f t="shared" si="33"/>
        <v>1</v>
      </c>
      <c r="Q222">
        <f t="shared" si="34"/>
        <v>0</v>
      </c>
      <c r="S222">
        <f t="shared" si="35"/>
        <v>-6.2309006211180131</v>
      </c>
      <c r="T222">
        <f t="shared" si="36"/>
        <v>-0.375</v>
      </c>
      <c r="U222">
        <f t="shared" si="37"/>
        <v>-6.4130434782608701</v>
      </c>
      <c r="V222">
        <f t="shared" si="38"/>
        <v>-0.8</v>
      </c>
      <c r="W222">
        <f t="shared" si="39"/>
        <v>0</v>
      </c>
      <c r="X222">
        <f t="shared" si="40"/>
        <v>1.0000000000000002</v>
      </c>
      <c r="Y222">
        <f t="shared" si="41"/>
        <v>0.35714285714285715</v>
      </c>
    </row>
    <row r="223" spans="1:25" x14ac:dyDescent="0.2">
      <c r="A223" t="s">
        <v>21</v>
      </c>
      <c r="B223" t="s">
        <v>435</v>
      </c>
      <c r="C223">
        <v>280</v>
      </c>
      <c r="D223" s="2">
        <v>0</v>
      </c>
      <c r="E223">
        <v>2.5</v>
      </c>
      <c r="F223">
        <v>0</v>
      </c>
      <c r="G223">
        <v>0</v>
      </c>
      <c r="H223">
        <v>0</v>
      </c>
      <c r="I223">
        <v>10</v>
      </c>
      <c r="J223">
        <v>67</v>
      </c>
      <c r="K223">
        <v>7</v>
      </c>
      <c r="L223">
        <v>8</v>
      </c>
      <c r="M223">
        <v>10</v>
      </c>
      <c r="N223">
        <v>278</v>
      </c>
      <c r="O223" s="3">
        <f t="shared" si="42"/>
        <v>3.5714285714285712</v>
      </c>
      <c r="P223">
        <f t="shared" si="33"/>
        <v>0</v>
      </c>
      <c r="Q223">
        <f t="shared" si="34"/>
        <v>0</v>
      </c>
      <c r="S223">
        <f t="shared" si="35"/>
        <v>1.1913043478260872</v>
      </c>
      <c r="T223">
        <f t="shared" si="36"/>
        <v>0</v>
      </c>
      <c r="U223">
        <f t="shared" si="37"/>
        <v>-0.10869565217391304</v>
      </c>
      <c r="V223">
        <f t="shared" si="38"/>
        <v>-3.2</v>
      </c>
      <c r="W223">
        <f t="shared" si="39"/>
        <v>0</v>
      </c>
      <c r="X223">
        <f t="shared" si="40"/>
        <v>2.0000000000000004</v>
      </c>
      <c r="Y223">
        <f t="shared" si="41"/>
        <v>2.5</v>
      </c>
    </row>
    <row r="224" spans="1:25" x14ac:dyDescent="0.2">
      <c r="A224" t="s">
        <v>21</v>
      </c>
      <c r="B224" t="s">
        <v>440</v>
      </c>
      <c r="C224">
        <v>740</v>
      </c>
      <c r="D224" s="2">
        <v>0</v>
      </c>
      <c r="E224">
        <v>35</v>
      </c>
      <c r="F224">
        <v>6</v>
      </c>
      <c r="G224">
        <v>0</v>
      </c>
      <c r="H224">
        <v>45</v>
      </c>
      <c r="I224">
        <v>2350</v>
      </c>
      <c r="J224">
        <v>81</v>
      </c>
      <c r="K224">
        <v>6</v>
      </c>
      <c r="L224">
        <v>2</v>
      </c>
      <c r="M224">
        <v>26</v>
      </c>
      <c r="N224">
        <v>722</v>
      </c>
      <c r="O224" s="3">
        <f t="shared" si="42"/>
        <v>3.5135135135135136</v>
      </c>
      <c r="P224">
        <f t="shared" si="33"/>
        <v>1</v>
      </c>
      <c r="Q224">
        <f t="shared" si="34"/>
        <v>0</v>
      </c>
      <c r="S224">
        <f t="shared" si="35"/>
        <v>-20.500621118012425</v>
      </c>
      <c r="T224">
        <f t="shared" si="36"/>
        <v>-1.5</v>
      </c>
      <c r="U224">
        <f t="shared" si="37"/>
        <v>-25.543478260869566</v>
      </c>
      <c r="V224">
        <f t="shared" si="38"/>
        <v>-0.8</v>
      </c>
      <c r="W224">
        <f t="shared" si="39"/>
        <v>0</v>
      </c>
      <c r="X224">
        <f t="shared" si="40"/>
        <v>5.2</v>
      </c>
      <c r="Y224">
        <f t="shared" si="41"/>
        <v>2.1428571428571428</v>
      </c>
    </row>
    <row r="225" spans="1:25" x14ac:dyDescent="0.2">
      <c r="A225" t="s">
        <v>21</v>
      </c>
      <c r="B225" t="s">
        <v>442</v>
      </c>
      <c r="C225">
        <v>290</v>
      </c>
      <c r="D225" s="2">
        <v>0</v>
      </c>
      <c r="E225">
        <v>25</v>
      </c>
      <c r="F225">
        <v>4</v>
      </c>
      <c r="G225">
        <v>0</v>
      </c>
      <c r="H225">
        <v>45</v>
      </c>
      <c r="I225">
        <v>520</v>
      </c>
      <c r="J225">
        <v>6</v>
      </c>
      <c r="K225">
        <v>1</v>
      </c>
      <c r="L225">
        <v>1</v>
      </c>
      <c r="M225">
        <v>10</v>
      </c>
      <c r="N225">
        <v>285</v>
      </c>
      <c r="O225" s="3">
        <f t="shared" si="42"/>
        <v>3.4482758620689653</v>
      </c>
      <c r="P225">
        <f t="shared" si="33"/>
        <v>1</v>
      </c>
      <c r="Q225">
        <f t="shared" si="34"/>
        <v>0</v>
      </c>
      <c r="S225">
        <f t="shared" si="35"/>
        <v>-4.6950310559006221</v>
      </c>
      <c r="T225">
        <f t="shared" si="36"/>
        <v>-1</v>
      </c>
      <c r="U225">
        <f t="shared" si="37"/>
        <v>-5.6521739130434785</v>
      </c>
      <c r="V225">
        <f t="shared" si="38"/>
        <v>-0.4</v>
      </c>
      <c r="W225">
        <f t="shared" si="39"/>
        <v>0</v>
      </c>
      <c r="X225">
        <f t="shared" si="40"/>
        <v>2.0000000000000004</v>
      </c>
      <c r="Y225">
        <f t="shared" si="41"/>
        <v>0.35714285714285715</v>
      </c>
    </row>
    <row r="226" spans="1:25" x14ac:dyDescent="0.2">
      <c r="A226" t="s">
        <v>21</v>
      </c>
      <c r="B226" t="s">
        <v>55</v>
      </c>
      <c r="C226">
        <v>390</v>
      </c>
      <c r="D226" s="2">
        <v>0</v>
      </c>
      <c r="E226">
        <v>32</v>
      </c>
      <c r="F226">
        <v>6</v>
      </c>
      <c r="G226">
        <v>0</v>
      </c>
      <c r="H226">
        <v>65</v>
      </c>
      <c r="I226">
        <v>900</v>
      </c>
      <c r="J226">
        <v>12</v>
      </c>
      <c r="K226">
        <v>2</v>
      </c>
      <c r="L226">
        <v>1</v>
      </c>
      <c r="M226">
        <v>13</v>
      </c>
      <c r="N226">
        <v>384</v>
      </c>
      <c r="O226" s="3">
        <f t="shared" si="42"/>
        <v>3.3333333333333335</v>
      </c>
      <c r="P226">
        <f t="shared" si="33"/>
        <v>1</v>
      </c>
      <c r="Q226">
        <f t="shared" si="34"/>
        <v>0</v>
      </c>
      <c r="S226">
        <f t="shared" si="35"/>
        <v>-8.368322981366461</v>
      </c>
      <c r="T226">
        <f t="shared" si="36"/>
        <v>-1.5</v>
      </c>
      <c r="U226">
        <f t="shared" si="37"/>
        <v>-9.7826086956521738</v>
      </c>
      <c r="V226">
        <f t="shared" si="38"/>
        <v>-0.4</v>
      </c>
      <c r="W226">
        <f t="shared" si="39"/>
        <v>0</v>
      </c>
      <c r="X226">
        <f t="shared" si="40"/>
        <v>2.6</v>
      </c>
      <c r="Y226">
        <f t="shared" si="41"/>
        <v>0.7142857142857143</v>
      </c>
    </row>
    <row r="227" spans="1:25" x14ac:dyDescent="0.2">
      <c r="A227" t="s">
        <v>21</v>
      </c>
      <c r="B227" t="s">
        <v>455</v>
      </c>
      <c r="C227">
        <v>540</v>
      </c>
      <c r="D227" s="2">
        <v>0</v>
      </c>
      <c r="E227">
        <v>23</v>
      </c>
      <c r="F227">
        <v>6</v>
      </c>
      <c r="G227">
        <v>0</v>
      </c>
      <c r="H227">
        <v>10</v>
      </c>
      <c r="I227">
        <v>2220</v>
      </c>
      <c r="J227">
        <v>66</v>
      </c>
      <c r="K227">
        <v>5</v>
      </c>
      <c r="L227">
        <v>8</v>
      </c>
      <c r="M227">
        <v>18</v>
      </c>
      <c r="N227">
        <v>536</v>
      </c>
      <c r="O227" s="3">
        <f t="shared" si="42"/>
        <v>3.3333333333333335</v>
      </c>
      <c r="P227">
        <f t="shared" si="33"/>
        <v>1</v>
      </c>
      <c r="Q227">
        <f t="shared" si="34"/>
        <v>0</v>
      </c>
      <c r="S227">
        <f t="shared" si="35"/>
        <v>-23.444720496894412</v>
      </c>
      <c r="T227">
        <f t="shared" si="36"/>
        <v>-1.5</v>
      </c>
      <c r="U227">
        <f t="shared" si="37"/>
        <v>-24.130434782608695</v>
      </c>
      <c r="V227">
        <f t="shared" si="38"/>
        <v>-3.2</v>
      </c>
      <c r="W227">
        <f t="shared" si="39"/>
        <v>0</v>
      </c>
      <c r="X227">
        <f t="shared" si="40"/>
        <v>3.5999999999999996</v>
      </c>
      <c r="Y227">
        <f t="shared" si="41"/>
        <v>1.785714285714286</v>
      </c>
    </row>
    <row r="228" spans="1:25" x14ac:dyDescent="0.2">
      <c r="A228" t="s">
        <v>21</v>
      </c>
      <c r="B228" t="s">
        <v>456</v>
      </c>
      <c r="C228">
        <v>60</v>
      </c>
      <c r="D228" s="2">
        <v>0</v>
      </c>
      <c r="E228">
        <v>3</v>
      </c>
      <c r="F228">
        <v>0</v>
      </c>
      <c r="G228">
        <v>0</v>
      </c>
      <c r="H228">
        <v>0</v>
      </c>
      <c r="I228">
        <v>135</v>
      </c>
      <c r="J228">
        <v>8</v>
      </c>
      <c r="K228" s="2">
        <v>0</v>
      </c>
      <c r="L228">
        <v>0</v>
      </c>
      <c r="M228">
        <v>2</v>
      </c>
      <c r="N228">
        <v>58</v>
      </c>
      <c r="O228" s="3">
        <f t="shared" si="42"/>
        <v>3.3333333333333335</v>
      </c>
      <c r="P228">
        <f t="shared" si="33"/>
        <v>0</v>
      </c>
      <c r="Q228">
        <f t="shared" si="34"/>
        <v>0</v>
      </c>
      <c r="S228">
        <f t="shared" si="35"/>
        <v>-1.0673913043478263</v>
      </c>
      <c r="T228">
        <f t="shared" si="36"/>
        <v>0</v>
      </c>
      <c r="U228">
        <f t="shared" si="37"/>
        <v>-1.4673913043478262</v>
      </c>
      <c r="V228">
        <f t="shared" si="38"/>
        <v>0</v>
      </c>
      <c r="W228">
        <f t="shared" si="39"/>
        <v>0</v>
      </c>
      <c r="X228">
        <f t="shared" si="40"/>
        <v>0.4</v>
      </c>
      <c r="Y228">
        <f t="shared" si="41"/>
        <v>0</v>
      </c>
    </row>
    <row r="229" spans="1:25" x14ac:dyDescent="0.2">
      <c r="A229" t="s">
        <v>21</v>
      </c>
      <c r="B229" t="s">
        <v>457</v>
      </c>
      <c r="C229">
        <v>390</v>
      </c>
      <c r="D229" s="2">
        <v>0</v>
      </c>
      <c r="E229">
        <v>26</v>
      </c>
      <c r="F229">
        <v>7</v>
      </c>
      <c r="G229">
        <v>1</v>
      </c>
      <c r="H229">
        <v>35</v>
      </c>
      <c r="I229">
        <v>910</v>
      </c>
      <c r="J229">
        <v>26</v>
      </c>
      <c r="K229">
        <v>2</v>
      </c>
      <c r="L229">
        <v>0</v>
      </c>
      <c r="M229">
        <v>13</v>
      </c>
      <c r="N229">
        <v>384</v>
      </c>
      <c r="O229" s="3">
        <f t="shared" ref="O229:O260" si="43">M229/C229*100</f>
        <v>3.3333333333333335</v>
      </c>
      <c r="P229">
        <f t="shared" si="33"/>
        <v>1</v>
      </c>
      <c r="Q229">
        <f t="shared" si="34"/>
        <v>0</v>
      </c>
      <c r="S229">
        <f t="shared" si="35"/>
        <v>-8.3280186335403723</v>
      </c>
      <c r="T229">
        <f t="shared" si="36"/>
        <v>-1.75</v>
      </c>
      <c r="U229">
        <f t="shared" si="37"/>
        <v>-9.891304347826086</v>
      </c>
      <c r="V229">
        <f t="shared" si="38"/>
        <v>0</v>
      </c>
      <c r="W229">
        <f t="shared" si="39"/>
        <v>-1E-3</v>
      </c>
      <c r="X229">
        <f t="shared" si="40"/>
        <v>2.6</v>
      </c>
      <c r="Y229">
        <f t="shared" si="41"/>
        <v>0.7142857142857143</v>
      </c>
    </row>
    <row r="230" spans="1:25" x14ac:dyDescent="0.2">
      <c r="A230" t="s">
        <v>21</v>
      </c>
      <c r="B230" t="s">
        <v>463</v>
      </c>
      <c r="C230">
        <v>280</v>
      </c>
      <c r="D230" s="2">
        <v>0</v>
      </c>
      <c r="E230">
        <v>2</v>
      </c>
      <c r="F230">
        <v>0</v>
      </c>
      <c r="G230">
        <v>0</v>
      </c>
      <c r="H230">
        <v>0</v>
      </c>
      <c r="I230">
        <v>15</v>
      </c>
      <c r="J230">
        <v>67</v>
      </c>
      <c r="K230">
        <v>8</v>
      </c>
      <c r="L230">
        <v>11</v>
      </c>
      <c r="M230">
        <v>9</v>
      </c>
      <c r="N230">
        <v>282</v>
      </c>
      <c r="O230" s="3">
        <f t="shared" si="43"/>
        <v>3.214285714285714</v>
      </c>
      <c r="P230">
        <f t="shared" si="33"/>
        <v>0</v>
      </c>
      <c r="Q230">
        <f t="shared" si="34"/>
        <v>0</v>
      </c>
      <c r="S230">
        <f t="shared" si="35"/>
        <v>9.4099378881987494E-2</v>
      </c>
      <c r="T230">
        <f t="shared" si="36"/>
        <v>0</v>
      </c>
      <c r="U230">
        <f t="shared" si="37"/>
        <v>-0.16304347826086957</v>
      </c>
      <c r="V230">
        <f t="shared" si="38"/>
        <v>-4.4000000000000004</v>
      </c>
      <c r="W230">
        <f t="shared" si="39"/>
        <v>0</v>
      </c>
      <c r="X230">
        <f t="shared" si="40"/>
        <v>1.7999999999999998</v>
      </c>
      <c r="Y230">
        <f t="shared" si="41"/>
        <v>2.8571428571428572</v>
      </c>
    </row>
    <row r="231" spans="1:25" x14ac:dyDescent="0.2">
      <c r="A231" t="s">
        <v>21</v>
      </c>
      <c r="B231" t="s">
        <v>513</v>
      </c>
      <c r="C231">
        <v>70</v>
      </c>
      <c r="D231" s="2">
        <v>0</v>
      </c>
      <c r="E231">
        <v>0.5</v>
      </c>
      <c r="F231">
        <v>0</v>
      </c>
      <c r="G231">
        <v>0</v>
      </c>
      <c r="H231">
        <v>0</v>
      </c>
      <c r="I231">
        <v>0</v>
      </c>
      <c r="J231">
        <v>17</v>
      </c>
      <c r="K231">
        <v>2</v>
      </c>
      <c r="L231">
        <v>3</v>
      </c>
      <c r="M231">
        <v>2</v>
      </c>
      <c r="N231">
        <v>71</v>
      </c>
      <c r="O231" s="3">
        <f t="shared" si="43"/>
        <v>2.8571428571428572</v>
      </c>
      <c r="P231">
        <f t="shared" si="33"/>
        <v>0</v>
      </c>
      <c r="Q231">
        <f t="shared" si="34"/>
        <v>0</v>
      </c>
      <c r="S231">
        <f t="shared" si="35"/>
        <v>-8.5714285714285632E-2</v>
      </c>
      <c r="T231">
        <f t="shared" si="36"/>
        <v>0</v>
      </c>
      <c r="U231">
        <f t="shared" si="37"/>
        <v>0</v>
      </c>
      <c r="V231">
        <f t="shared" si="38"/>
        <v>-1.2</v>
      </c>
      <c r="W231">
        <f t="shared" si="39"/>
        <v>0</v>
      </c>
      <c r="X231">
        <f t="shared" si="40"/>
        <v>0.4</v>
      </c>
      <c r="Y231">
        <f t="shared" si="41"/>
        <v>0.7142857142857143</v>
      </c>
    </row>
    <row r="232" spans="1:25" x14ac:dyDescent="0.2">
      <c r="A232" t="s">
        <v>21</v>
      </c>
      <c r="B232" t="s">
        <v>514</v>
      </c>
      <c r="C232">
        <v>70</v>
      </c>
      <c r="D232" s="2">
        <v>0</v>
      </c>
      <c r="E232">
        <v>0.5</v>
      </c>
      <c r="F232">
        <v>0</v>
      </c>
      <c r="G232">
        <v>0</v>
      </c>
      <c r="H232">
        <v>0</v>
      </c>
      <c r="I232">
        <v>0</v>
      </c>
      <c r="J232">
        <v>16</v>
      </c>
      <c r="K232">
        <v>2</v>
      </c>
      <c r="L232">
        <v>2</v>
      </c>
      <c r="M232">
        <v>2</v>
      </c>
      <c r="N232">
        <v>70</v>
      </c>
      <c r="O232" s="3">
        <f t="shared" si="43"/>
        <v>2.8571428571428572</v>
      </c>
      <c r="P232">
        <f t="shared" si="33"/>
        <v>0</v>
      </c>
      <c r="Q232">
        <f t="shared" si="34"/>
        <v>0</v>
      </c>
      <c r="S232">
        <f t="shared" si="35"/>
        <v>0.31428571428571428</v>
      </c>
      <c r="T232">
        <f t="shared" si="36"/>
        <v>0</v>
      </c>
      <c r="U232">
        <f t="shared" si="37"/>
        <v>0</v>
      </c>
      <c r="V232">
        <f t="shared" si="38"/>
        <v>-0.8</v>
      </c>
      <c r="W232">
        <f t="shared" si="39"/>
        <v>0</v>
      </c>
      <c r="X232">
        <f t="shared" si="40"/>
        <v>0.4</v>
      </c>
      <c r="Y232">
        <f t="shared" si="41"/>
        <v>0.7142857142857143</v>
      </c>
    </row>
    <row r="233" spans="1:25" x14ac:dyDescent="0.2">
      <c r="A233" t="s">
        <v>21</v>
      </c>
      <c r="B233" t="s">
        <v>515</v>
      </c>
      <c r="C233">
        <v>35</v>
      </c>
      <c r="D233" s="2">
        <v>0</v>
      </c>
      <c r="E233">
        <v>0</v>
      </c>
      <c r="F233">
        <v>0</v>
      </c>
      <c r="G233">
        <v>0</v>
      </c>
      <c r="H233">
        <v>0</v>
      </c>
      <c r="I233">
        <v>410</v>
      </c>
      <c r="J233">
        <v>8</v>
      </c>
      <c r="K233">
        <v>0</v>
      </c>
      <c r="L233">
        <v>2</v>
      </c>
      <c r="M233">
        <v>1</v>
      </c>
      <c r="N233">
        <v>36</v>
      </c>
      <c r="O233" s="3">
        <f t="shared" si="43"/>
        <v>2.8571428571428572</v>
      </c>
      <c r="P233">
        <f t="shared" si="33"/>
        <v>0</v>
      </c>
      <c r="Q233">
        <f t="shared" si="34"/>
        <v>0</v>
      </c>
      <c r="S233">
        <f t="shared" si="35"/>
        <v>-5.0565217391304342</v>
      </c>
      <c r="T233">
        <f t="shared" si="36"/>
        <v>0</v>
      </c>
      <c r="U233">
        <f t="shared" si="37"/>
        <v>-4.4565217391304346</v>
      </c>
      <c r="V233">
        <f t="shared" si="38"/>
        <v>-0.8</v>
      </c>
      <c r="W233">
        <f t="shared" si="39"/>
        <v>0</v>
      </c>
      <c r="X233">
        <f t="shared" si="40"/>
        <v>0.2</v>
      </c>
      <c r="Y233">
        <f t="shared" si="41"/>
        <v>0</v>
      </c>
    </row>
    <row r="234" spans="1:25" x14ac:dyDescent="0.2">
      <c r="A234" t="s">
        <v>21</v>
      </c>
      <c r="B234" t="s">
        <v>585</v>
      </c>
      <c r="C234">
        <v>130</v>
      </c>
      <c r="D234" s="2">
        <v>0</v>
      </c>
      <c r="E234">
        <v>4.5</v>
      </c>
      <c r="F234">
        <v>1</v>
      </c>
      <c r="G234">
        <v>0</v>
      </c>
      <c r="H234">
        <v>0</v>
      </c>
      <c r="I234">
        <v>520</v>
      </c>
      <c r="J234">
        <v>20</v>
      </c>
      <c r="K234">
        <v>1</v>
      </c>
      <c r="L234">
        <v>0</v>
      </c>
      <c r="M234">
        <v>3</v>
      </c>
      <c r="N234">
        <v>128</v>
      </c>
      <c r="O234" s="3">
        <f t="shared" si="43"/>
        <v>2.3076923076923079</v>
      </c>
      <c r="P234">
        <f t="shared" si="33"/>
        <v>1</v>
      </c>
      <c r="Q234">
        <f t="shared" si="34"/>
        <v>0</v>
      </c>
      <c r="S234">
        <f t="shared" si="35"/>
        <v>-4.9450310559006221</v>
      </c>
      <c r="T234">
        <f t="shared" si="36"/>
        <v>-0.25</v>
      </c>
      <c r="U234">
        <f t="shared" si="37"/>
        <v>-5.6521739130434785</v>
      </c>
      <c r="V234">
        <f t="shared" si="38"/>
        <v>0</v>
      </c>
      <c r="W234">
        <f t="shared" si="39"/>
        <v>0</v>
      </c>
      <c r="X234">
        <f t="shared" si="40"/>
        <v>0.6</v>
      </c>
      <c r="Y234">
        <f t="shared" si="41"/>
        <v>0.35714285714285715</v>
      </c>
    </row>
    <row r="235" spans="1:25" x14ac:dyDescent="0.2">
      <c r="A235" t="s">
        <v>21</v>
      </c>
      <c r="B235" t="s">
        <v>605</v>
      </c>
      <c r="C235">
        <v>180</v>
      </c>
      <c r="D235" s="2">
        <v>0</v>
      </c>
      <c r="E235">
        <v>8</v>
      </c>
      <c r="F235">
        <v>4.5</v>
      </c>
      <c r="G235">
        <v>0</v>
      </c>
      <c r="H235">
        <v>0</v>
      </c>
      <c r="I235">
        <v>520</v>
      </c>
      <c r="J235">
        <v>22</v>
      </c>
      <c r="K235">
        <v>1</v>
      </c>
      <c r="L235">
        <v>1</v>
      </c>
      <c r="M235">
        <v>4</v>
      </c>
      <c r="N235">
        <v>181.5</v>
      </c>
      <c r="O235" s="3">
        <f t="shared" si="43"/>
        <v>2.2222222222222223</v>
      </c>
      <c r="P235">
        <f t="shared" si="33"/>
        <v>1</v>
      </c>
      <c r="Q235">
        <f t="shared" si="34"/>
        <v>0</v>
      </c>
      <c r="S235">
        <f t="shared" si="35"/>
        <v>-6.0200310559006223</v>
      </c>
      <c r="T235">
        <f t="shared" si="36"/>
        <v>-1.125</v>
      </c>
      <c r="U235">
        <f t="shared" si="37"/>
        <v>-5.6521739130434785</v>
      </c>
      <c r="V235">
        <f t="shared" si="38"/>
        <v>-0.4</v>
      </c>
      <c r="W235">
        <f t="shared" si="39"/>
        <v>0</v>
      </c>
      <c r="X235">
        <f t="shared" si="40"/>
        <v>0.8</v>
      </c>
      <c r="Y235">
        <f t="shared" si="41"/>
        <v>0.35714285714285715</v>
      </c>
    </row>
    <row r="236" spans="1:25" x14ac:dyDescent="0.2">
      <c r="A236" t="s">
        <v>21</v>
      </c>
      <c r="B236" t="s">
        <v>626</v>
      </c>
      <c r="C236">
        <v>590</v>
      </c>
      <c r="D236" s="2">
        <v>0</v>
      </c>
      <c r="E236">
        <v>21</v>
      </c>
      <c r="F236">
        <v>5</v>
      </c>
      <c r="G236">
        <v>0</v>
      </c>
      <c r="H236">
        <v>0</v>
      </c>
      <c r="I236">
        <v>2590</v>
      </c>
      <c r="J236">
        <v>88</v>
      </c>
      <c r="K236">
        <v>6</v>
      </c>
      <c r="L236">
        <v>1</v>
      </c>
      <c r="M236">
        <v>12</v>
      </c>
      <c r="N236">
        <v>584</v>
      </c>
      <c r="O236" s="3">
        <f t="shared" si="43"/>
        <v>2.0338983050847457</v>
      </c>
      <c r="P236">
        <f t="shared" si="33"/>
        <v>1</v>
      </c>
      <c r="Q236">
        <f t="shared" si="34"/>
        <v>0</v>
      </c>
      <c r="S236">
        <f t="shared" si="35"/>
        <v>-25.259316770186334</v>
      </c>
      <c r="T236">
        <f t="shared" si="36"/>
        <v>-1.25</v>
      </c>
      <c r="U236">
        <f t="shared" si="37"/>
        <v>-28.152173913043477</v>
      </c>
      <c r="V236">
        <f t="shared" si="38"/>
        <v>-0.4</v>
      </c>
      <c r="W236">
        <f t="shared" si="39"/>
        <v>0</v>
      </c>
      <c r="X236">
        <f t="shared" si="40"/>
        <v>2.4</v>
      </c>
      <c r="Y236">
        <f t="shared" si="41"/>
        <v>2.1428571428571428</v>
      </c>
    </row>
    <row r="237" spans="1:25" x14ac:dyDescent="0.2">
      <c r="A237" t="s">
        <v>21</v>
      </c>
      <c r="B237" t="s">
        <v>629</v>
      </c>
      <c r="C237">
        <v>460</v>
      </c>
      <c r="D237" s="2">
        <v>0</v>
      </c>
      <c r="E237">
        <v>15</v>
      </c>
      <c r="F237">
        <v>3</v>
      </c>
      <c r="G237">
        <v>0</v>
      </c>
      <c r="H237">
        <v>0</v>
      </c>
      <c r="I237">
        <v>1410</v>
      </c>
      <c r="J237">
        <v>72</v>
      </c>
      <c r="K237">
        <v>6</v>
      </c>
      <c r="L237">
        <v>0</v>
      </c>
      <c r="M237">
        <v>9</v>
      </c>
      <c r="N237">
        <v>454</v>
      </c>
      <c r="O237" s="3">
        <f t="shared" si="43"/>
        <v>1.956521739130435</v>
      </c>
      <c r="P237">
        <f t="shared" si="33"/>
        <v>1</v>
      </c>
      <c r="Q237">
        <f t="shared" si="34"/>
        <v>0</v>
      </c>
      <c r="S237">
        <f t="shared" si="35"/>
        <v>-12.133229813664599</v>
      </c>
      <c r="T237">
        <f t="shared" si="36"/>
        <v>-0.75</v>
      </c>
      <c r="U237">
        <f t="shared" si="37"/>
        <v>-15.32608695652174</v>
      </c>
      <c r="V237">
        <f t="shared" si="38"/>
        <v>0</v>
      </c>
      <c r="W237">
        <f t="shared" si="39"/>
        <v>0</v>
      </c>
      <c r="X237">
        <f t="shared" si="40"/>
        <v>1.7999999999999998</v>
      </c>
      <c r="Y237">
        <f t="shared" si="41"/>
        <v>2.1428571428571428</v>
      </c>
    </row>
    <row r="238" spans="1:25" x14ac:dyDescent="0.2">
      <c r="A238" t="s">
        <v>21</v>
      </c>
      <c r="B238" t="s">
        <v>641</v>
      </c>
      <c r="C238">
        <v>110</v>
      </c>
      <c r="D238" s="2">
        <v>0</v>
      </c>
      <c r="E238">
        <v>3.5</v>
      </c>
      <c r="F238">
        <v>0.5</v>
      </c>
      <c r="G238">
        <v>0</v>
      </c>
      <c r="H238">
        <v>0</v>
      </c>
      <c r="I238">
        <v>330</v>
      </c>
      <c r="J238">
        <v>17</v>
      </c>
      <c r="K238">
        <v>1</v>
      </c>
      <c r="L238">
        <v>0</v>
      </c>
      <c r="M238">
        <v>2</v>
      </c>
      <c r="N238">
        <v>108.5</v>
      </c>
      <c r="O238" s="3">
        <f t="shared" si="43"/>
        <v>1.8181818181818181</v>
      </c>
      <c r="P238">
        <f t="shared" si="33"/>
        <v>0</v>
      </c>
      <c r="Q238">
        <f t="shared" si="34"/>
        <v>0</v>
      </c>
      <c r="S238">
        <f t="shared" si="35"/>
        <v>-2.9548136645962733</v>
      </c>
      <c r="T238">
        <f t="shared" si="36"/>
        <v>-0.125</v>
      </c>
      <c r="U238">
        <f t="shared" si="37"/>
        <v>-3.5869565217391304</v>
      </c>
      <c r="V238">
        <f t="shared" si="38"/>
        <v>0</v>
      </c>
      <c r="W238">
        <f t="shared" si="39"/>
        <v>0</v>
      </c>
      <c r="X238">
        <f t="shared" si="40"/>
        <v>0.4</v>
      </c>
      <c r="Y238">
        <f t="shared" si="41"/>
        <v>0.35714285714285715</v>
      </c>
    </row>
    <row r="239" spans="1:25" x14ac:dyDescent="0.2">
      <c r="A239" t="s">
        <v>21</v>
      </c>
      <c r="B239" t="s">
        <v>649</v>
      </c>
      <c r="C239">
        <v>300</v>
      </c>
      <c r="D239" s="2">
        <v>0</v>
      </c>
      <c r="E239">
        <v>17</v>
      </c>
      <c r="F239">
        <v>9</v>
      </c>
      <c r="G239">
        <v>0</v>
      </c>
      <c r="H239">
        <v>0</v>
      </c>
      <c r="I239">
        <v>270</v>
      </c>
      <c r="J239">
        <v>33</v>
      </c>
      <c r="K239">
        <v>1</v>
      </c>
      <c r="L239">
        <v>22</v>
      </c>
      <c r="M239">
        <v>5</v>
      </c>
      <c r="N239">
        <v>326</v>
      </c>
      <c r="O239" s="3">
        <f t="shared" si="43"/>
        <v>1.6666666666666667</v>
      </c>
      <c r="P239">
        <f t="shared" si="33"/>
        <v>0</v>
      </c>
      <c r="Q239">
        <f t="shared" si="34"/>
        <v>0</v>
      </c>
      <c r="S239">
        <f t="shared" si="35"/>
        <v>-12.627639751552795</v>
      </c>
      <c r="T239">
        <f t="shared" si="36"/>
        <v>-2.25</v>
      </c>
      <c r="U239">
        <f t="shared" si="37"/>
        <v>-2.9347826086956523</v>
      </c>
      <c r="V239">
        <f t="shared" si="38"/>
        <v>-8.8000000000000007</v>
      </c>
      <c r="W239">
        <f t="shared" si="39"/>
        <v>0</v>
      </c>
      <c r="X239">
        <f t="shared" si="40"/>
        <v>1.0000000000000002</v>
      </c>
      <c r="Y239">
        <f t="shared" si="41"/>
        <v>0.35714285714285715</v>
      </c>
    </row>
    <row r="240" spans="1:25" x14ac:dyDescent="0.2">
      <c r="A240" t="s">
        <v>21</v>
      </c>
      <c r="B240" t="s">
        <v>654</v>
      </c>
      <c r="C240">
        <v>320</v>
      </c>
      <c r="D240" s="2">
        <v>0</v>
      </c>
      <c r="E240">
        <v>15</v>
      </c>
      <c r="F240">
        <v>2</v>
      </c>
      <c r="G240">
        <v>0</v>
      </c>
      <c r="H240">
        <v>0</v>
      </c>
      <c r="I240">
        <v>1100</v>
      </c>
      <c r="J240">
        <v>41</v>
      </c>
      <c r="K240">
        <v>3</v>
      </c>
      <c r="L240">
        <v>0</v>
      </c>
      <c r="M240">
        <v>5</v>
      </c>
      <c r="N240">
        <v>317</v>
      </c>
      <c r="O240" s="3">
        <f t="shared" si="43"/>
        <v>1.5625</v>
      </c>
      <c r="P240">
        <f t="shared" si="33"/>
        <v>1</v>
      </c>
      <c r="Q240">
        <f t="shared" si="34"/>
        <v>0</v>
      </c>
      <c r="S240">
        <f t="shared" si="35"/>
        <v>-10.385093167701864</v>
      </c>
      <c r="T240">
        <f t="shared" si="36"/>
        <v>-0.5</v>
      </c>
      <c r="U240">
        <f t="shared" si="37"/>
        <v>-11.956521739130435</v>
      </c>
      <c r="V240">
        <f t="shared" si="38"/>
        <v>0</v>
      </c>
      <c r="W240">
        <f t="shared" si="39"/>
        <v>0</v>
      </c>
      <c r="X240">
        <f t="shared" si="40"/>
        <v>1.0000000000000002</v>
      </c>
      <c r="Y240">
        <f t="shared" si="41"/>
        <v>1.0714285714285714</v>
      </c>
    </row>
    <row r="241" spans="1:25" x14ac:dyDescent="0.2">
      <c r="A241" t="s">
        <v>21</v>
      </c>
      <c r="B241" t="s">
        <v>656</v>
      </c>
      <c r="C241">
        <v>840</v>
      </c>
      <c r="D241" s="2">
        <v>0</v>
      </c>
      <c r="E241">
        <v>40</v>
      </c>
      <c r="F241">
        <v>5</v>
      </c>
      <c r="G241">
        <v>0</v>
      </c>
      <c r="H241">
        <v>0</v>
      </c>
      <c r="I241">
        <v>2890</v>
      </c>
      <c r="J241">
        <v>108</v>
      </c>
      <c r="K241">
        <v>9</v>
      </c>
      <c r="L241">
        <v>0</v>
      </c>
      <c r="M241">
        <v>13</v>
      </c>
      <c r="N241">
        <v>832</v>
      </c>
      <c r="O241" s="3">
        <f t="shared" si="43"/>
        <v>1.5476190476190477</v>
      </c>
      <c r="P241">
        <f t="shared" si="33"/>
        <v>1</v>
      </c>
      <c r="Q241">
        <f t="shared" si="34"/>
        <v>0</v>
      </c>
      <c r="S241">
        <f t="shared" si="35"/>
        <v>-26.848757763975158</v>
      </c>
      <c r="T241">
        <f t="shared" si="36"/>
        <v>-1.25</v>
      </c>
      <c r="U241">
        <f t="shared" si="37"/>
        <v>-31.413043478260871</v>
      </c>
      <c r="V241">
        <f t="shared" si="38"/>
        <v>0</v>
      </c>
      <c r="W241">
        <f t="shared" si="39"/>
        <v>0</v>
      </c>
      <c r="X241">
        <f t="shared" si="40"/>
        <v>2.6</v>
      </c>
      <c r="Y241">
        <f t="shared" si="41"/>
        <v>3.2142857142857149</v>
      </c>
    </row>
    <row r="242" spans="1:25" x14ac:dyDescent="0.2">
      <c r="A242" t="s">
        <v>21</v>
      </c>
      <c r="B242" t="s">
        <v>666</v>
      </c>
      <c r="C242">
        <v>210</v>
      </c>
      <c r="D242" s="2">
        <v>0</v>
      </c>
      <c r="E242">
        <v>9</v>
      </c>
      <c r="F242">
        <v>1.5</v>
      </c>
      <c r="G242">
        <v>0</v>
      </c>
      <c r="H242">
        <v>35</v>
      </c>
      <c r="I242">
        <v>240</v>
      </c>
      <c r="J242">
        <v>28</v>
      </c>
      <c r="K242" s="2">
        <v>0</v>
      </c>
      <c r="L242">
        <v>11</v>
      </c>
      <c r="M242">
        <v>3</v>
      </c>
      <c r="N242">
        <v>219.5</v>
      </c>
      <c r="O242" s="3">
        <f t="shared" si="43"/>
        <v>1.4285714285714286</v>
      </c>
      <c r="P242">
        <f t="shared" si="33"/>
        <v>0</v>
      </c>
      <c r="Q242">
        <f t="shared" si="34"/>
        <v>0</v>
      </c>
      <c r="S242">
        <f t="shared" si="35"/>
        <v>-6.7836956521739138</v>
      </c>
      <c r="T242">
        <f t="shared" si="36"/>
        <v>-0.375</v>
      </c>
      <c r="U242">
        <f t="shared" si="37"/>
        <v>-2.6086956521739131</v>
      </c>
      <c r="V242">
        <f t="shared" si="38"/>
        <v>-4.4000000000000004</v>
      </c>
      <c r="W242">
        <f t="shared" si="39"/>
        <v>0</v>
      </c>
      <c r="X242">
        <f t="shared" si="40"/>
        <v>0.6</v>
      </c>
      <c r="Y242">
        <f t="shared" si="41"/>
        <v>0</v>
      </c>
    </row>
    <row r="243" spans="1:25" x14ac:dyDescent="0.2">
      <c r="A243" t="s">
        <v>21</v>
      </c>
      <c r="B243" t="s">
        <v>670</v>
      </c>
      <c r="C243">
        <v>290</v>
      </c>
      <c r="D243" s="2">
        <v>0</v>
      </c>
      <c r="E243">
        <v>13</v>
      </c>
      <c r="F243">
        <v>7</v>
      </c>
      <c r="G243">
        <v>0</v>
      </c>
      <c r="H243">
        <v>0</v>
      </c>
      <c r="I243">
        <v>580</v>
      </c>
      <c r="J243">
        <v>40</v>
      </c>
      <c r="K243">
        <v>2</v>
      </c>
      <c r="L243">
        <v>17</v>
      </c>
      <c r="M243">
        <v>4</v>
      </c>
      <c r="N243">
        <v>310</v>
      </c>
      <c r="O243" s="3">
        <f t="shared" si="43"/>
        <v>1.3793103448275863</v>
      </c>
      <c r="P243">
        <f t="shared" si="33"/>
        <v>1</v>
      </c>
      <c r="Q243">
        <f t="shared" si="34"/>
        <v>0</v>
      </c>
      <c r="S243">
        <f t="shared" si="35"/>
        <v>-13.340062111801243</v>
      </c>
      <c r="T243">
        <f t="shared" si="36"/>
        <v>-1.75</v>
      </c>
      <c r="U243">
        <f t="shared" si="37"/>
        <v>-6.3043478260869561</v>
      </c>
      <c r="V243">
        <f t="shared" si="38"/>
        <v>-6.8000000000000007</v>
      </c>
      <c r="W243">
        <f t="shared" si="39"/>
        <v>0</v>
      </c>
      <c r="X243">
        <f t="shared" si="40"/>
        <v>0.8</v>
      </c>
      <c r="Y243">
        <f t="shared" si="41"/>
        <v>0.7142857142857143</v>
      </c>
    </row>
    <row r="244" spans="1:25" x14ac:dyDescent="0.2">
      <c r="A244" t="s">
        <v>21</v>
      </c>
      <c r="B244" t="s">
        <v>674</v>
      </c>
      <c r="C244">
        <v>300</v>
      </c>
      <c r="D244" s="2">
        <v>0</v>
      </c>
      <c r="E244">
        <v>15</v>
      </c>
      <c r="F244">
        <v>3</v>
      </c>
      <c r="G244">
        <v>0</v>
      </c>
      <c r="H244">
        <v>50</v>
      </c>
      <c r="I244">
        <v>260</v>
      </c>
      <c r="J244">
        <v>39</v>
      </c>
      <c r="K244">
        <v>1</v>
      </c>
      <c r="L244">
        <v>27</v>
      </c>
      <c r="M244">
        <v>4</v>
      </c>
      <c r="N244">
        <v>326</v>
      </c>
      <c r="O244" s="3">
        <f t="shared" si="43"/>
        <v>1.3333333333333335</v>
      </c>
      <c r="P244">
        <f t="shared" si="33"/>
        <v>0</v>
      </c>
      <c r="Q244">
        <f t="shared" si="34"/>
        <v>0</v>
      </c>
      <c r="S244">
        <f t="shared" si="35"/>
        <v>-13.218944099378881</v>
      </c>
      <c r="T244">
        <f t="shared" si="36"/>
        <v>-0.75</v>
      </c>
      <c r="U244">
        <f t="shared" si="37"/>
        <v>-2.8260869565217392</v>
      </c>
      <c r="V244">
        <f t="shared" si="38"/>
        <v>-10.8</v>
      </c>
      <c r="W244">
        <f t="shared" si="39"/>
        <v>0</v>
      </c>
      <c r="X244">
        <f t="shared" si="40"/>
        <v>0.8</v>
      </c>
      <c r="Y244">
        <f t="shared" si="41"/>
        <v>0.35714285714285715</v>
      </c>
    </row>
    <row r="245" spans="1:25" x14ac:dyDescent="0.2">
      <c r="A245" t="s">
        <v>21</v>
      </c>
      <c r="B245" t="s">
        <v>701</v>
      </c>
      <c r="C245">
        <v>270</v>
      </c>
      <c r="D245" s="2">
        <v>0</v>
      </c>
      <c r="E245">
        <v>13</v>
      </c>
      <c r="F245">
        <v>8</v>
      </c>
      <c r="G245">
        <v>0</v>
      </c>
      <c r="H245">
        <v>0</v>
      </c>
      <c r="I245">
        <v>210</v>
      </c>
      <c r="J245">
        <v>35</v>
      </c>
      <c r="K245">
        <v>1</v>
      </c>
      <c r="L245">
        <v>24</v>
      </c>
      <c r="M245">
        <v>3</v>
      </c>
      <c r="N245">
        <v>299</v>
      </c>
      <c r="O245" s="3">
        <f t="shared" si="43"/>
        <v>1.1111111111111112</v>
      </c>
      <c r="P245">
        <f t="shared" si="33"/>
        <v>0</v>
      </c>
      <c r="Q245">
        <f t="shared" si="34"/>
        <v>0</v>
      </c>
      <c r="S245">
        <f t="shared" si="35"/>
        <v>-12.925465838509316</v>
      </c>
      <c r="T245">
        <f t="shared" si="36"/>
        <v>-2</v>
      </c>
      <c r="U245">
        <f t="shared" si="37"/>
        <v>-2.2826086956521738</v>
      </c>
      <c r="V245">
        <f t="shared" si="38"/>
        <v>-9.6</v>
      </c>
      <c r="W245">
        <f t="shared" si="39"/>
        <v>0</v>
      </c>
      <c r="X245">
        <f t="shared" si="40"/>
        <v>0.6</v>
      </c>
      <c r="Y245">
        <f t="shared" si="41"/>
        <v>0.35714285714285715</v>
      </c>
    </row>
    <row r="246" spans="1:25" x14ac:dyDescent="0.2">
      <c r="A246" t="s">
        <v>21</v>
      </c>
      <c r="B246" t="s">
        <v>714</v>
      </c>
      <c r="C246">
        <v>300</v>
      </c>
      <c r="D246" s="2">
        <v>0</v>
      </c>
      <c r="E246">
        <v>12</v>
      </c>
      <c r="F246">
        <v>2.5</v>
      </c>
      <c r="G246">
        <v>0</v>
      </c>
      <c r="H246">
        <v>40</v>
      </c>
      <c r="I246">
        <v>190</v>
      </c>
      <c r="J246">
        <v>49</v>
      </c>
      <c r="K246">
        <v>1</v>
      </c>
      <c r="L246">
        <v>35</v>
      </c>
      <c r="M246">
        <v>3</v>
      </c>
      <c r="N246">
        <v>334.5</v>
      </c>
      <c r="O246" s="3">
        <f t="shared" si="43"/>
        <v>1</v>
      </c>
      <c r="P246">
        <f t="shared" si="33"/>
        <v>0</v>
      </c>
      <c r="Q246">
        <f t="shared" si="34"/>
        <v>0</v>
      </c>
      <c r="S246">
        <f t="shared" si="35"/>
        <v>-15.733074534161485</v>
      </c>
      <c r="T246">
        <f t="shared" si="36"/>
        <v>-0.625</v>
      </c>
      <c r="U246">
        <f t="shared" si="37"/>
        <v>-2.0652173913043477</v>
      </c>
      <c r="V246">
        <f t="shared" si="38"/>
        <v>-13.999999999999998</v>
      </c>
      <c r="W246">
        <f t="shared" si="39"/>
        <v>0</v>
      </c>
      <c r="X246">
        <f t="shared" si="40"/>
        <v>0.6</v>
      </c>
      <c r="Y246">
        <f t="shared" si="41"/>
        <v>0.35714285714285715</v>
      </c>
    </row>
    <row r="247" spans="1:25" x14ac:dyDescent="0.2">
      <c r="A247" t="s">
        <v>21</v>
      </c>
      <c r="B247" t="s">
        <v>715</v>
      </c>
      <c r="C247">
        <v>300</v>
      </c>
      <c r="D247" s="2">
        <v>0</v>
      </c>
      <c r="E247">
        <v>13</v>
      </c>
      <c r="F247">
        <v>2.5</v>
      </c>
      <c r="G247">
        <v>0</v>
      </c>
      <c r="H247">
        <v>50</v>
      </c>
      <c r="I247">
        <v>230</v>
      </c>
      <c r="J247">
        <v>43</v>
      </c>
      <c r="K247">
        <v>0</v>
      </c>
      <c r="L247">
        <v>31</v>
      </c>
      <c r="M247">
        <v>3</v>
      </c>
      <c r="N247">
        <v>330.5</v>
      </c>
      <c r="O247" s="3">
        <f t="shared" si="43"/>
        <v>1</v>
      </c>
      <c r="P247">
        <f t="shared" si="33"/>
        <v>0</v>
      </c>
      <c r="Q247">
        <f t="shared" si="34"/>
        <v>0</v>
      </c>
      <c r="S247">
        <f t="shared" si="35"/>
        <v>-14.925000000000001</v>
      </c>
      <c r="T247">
        <f t="shared" si="36"/>
        <v>-0.625</v>
      </c>
      <c r="U247">
        <f t="shared" si="37"/>
        <v>-2.5</v>
      </c>
      <c r="V247">
        <f t="shared" si="38"/>
        <v>-12.4</v>
      </c>
      <c r="W247">
        <f t="shared" si="39"/>
        <v>0</v>
      </c>
      <c r="X247">
        <f t="shared" si="40"/>
        <v>0.6</v>
      </c>
      <c r="Y247">
        <f t="shared" si="41"/>
        <v>0</v>
      </c>
    </row>
    <row r="248" spans="1:25" x14ac:dyDescent="0.2">
      <c r="A248" t="s">
        <v>21</v>
      </c>
      <c r="B248" t="s">
        <v>728</v>
      </c>
      <c r="C248">
        <v>220</v>
      </c>
      <c r="D248" s="2">
        <v>0</v>
      </c>
      <c r="E248">
        <v>10</v>
      </c>
      <c r="F248">
        <v>2</v>
      </c>
      <c r="G248">
        <v>0</v>
      </c>
      <c r="H248">
        <v>30</v>
      </c>
      <c r="I248">
        <v>170</v>
      </c>
      <c r="J248">
        <v>30</v>
      </c>
      <c r="K248">
        <v>0</v>
      </c>
      <c r="L248">
        <v>20</v>
      </c>
      <c r="M248">
        <v>2</v>
      </c>
      <c r="N248">
        <v>240</v>
      </c>
      <c r="O248" s="3">
        <f t="shared" si="43"/>
        <v>0.90909090909090906</v>
      </c>
      <c r="P248">
        <f t="shared" si="33"/>
        <v>0</v>
      </c>
      <c r="Q248">
        <f t="shared" si="34"/>
        <v>0</v>
      </c>
      <c r="S248">
        <f t="shared" si="35"/>
        <v>-9.9478260869565229</v>
      </c>
      <c r="T248">
        <f t="shared" si="36"/>
        <v>-0.5</v>
      </c>
      <c r="U248">
        <f t="shared" si="37"/>
        <v>-1.8478260869565217</v>
      </c>
      <c r="V248">
        <f t="shared" si="38"/>
        <v>-8.0000000000000018</v>
      </c>
      <c r="W248">
        <f t="shared" si="39"/>
        <v>0</v>
      </c>
      <c r="X248">
        <f t="shared" si="40"/>
        <v>0.4</v>
      </c>
      <c r="Y248">
        <f t="shared" si="41"/>
        <v>0</v>
      </c>
    </row>
    <row r="249" spans="1:25" x14ac:dyDescent="0.2">
      <c r="A249" t="s">
        <v>21</v>
      </c>
      <c r="B249" t="s">
        <v>733</v>
      </c>
      <c r="C249">
        <v>230</v>
      </c>
      <c r="D249" s="2">
        <v>0</v>
      </c>
      <c r="E249">
        <v>10</v>
      </c>
      <c r="F249">
        <v>2.5</v>
      </c>
      <c r="G249">
        <v>0</v>
      </c>
      <c r="H249">
        <v>0</v>
      </c>
      <c r="I249">
        <v>140</v>
      </c>
      <c r="J249">
        <v>32</v>
      </c>
      <c r="K249" s="2">
        <v>0</v>
      </c>
      <c r="L249">
        <v>12</v>
      </c>
      <c r="M249">
        <v>2</v>
      </c>
      <c r="N249">
        <v>242.5</v>
      </c>
      <c r="O249" s="3">
        <f t="shared" si="43"/>
        <v>0.86956521739130432</v>
      </c>
      <c r="P249">
        <f t="shared" si="33"/>
        <v>0</v>
      </c>
      <c r="Q249">
        <f t="shared" si="34"/>
        <v>0</v>
      </c>
      <c r="S249">
        <f t="shared" si="35"/>
        <v>-6.5467391304347817</v>
      </c>
      <c r="T249">
        <f t="shared" si="36"/>
        <v>-0.625</v>
      </c>
      <c r="U249">
        <f t="shared" si="37"/>
        <v>-1.5217391304347827</v>
      </c>
      <c r="V249">
        <f t="shared" si="38"/>
        <v>-4.8</v>
      </c>
      <c r="W249">
        <f t="shared" si="39"/>
        <v>0</v>
      </c>
      <c r="X249">
        <f t="shared" si="40"/>
        <v>0.4</v>
      </c>
      <c r="Y249">
        <f t="shared" si="41"/>
        <v>0</v>
      </c>
    </row>
    <row r="250" spans="1:25" x14ac:dyDescent="0.2">
      <c r="A250" t="s">
        <v>21</v>
      </c>
      <c r="B250" t="s">
        <v>683</v>
      </c>
      <c r="C250">
        <v>120</v>
      </c>
      <c r="D250" s="2">
        <v>0</v>
      </c>
      <c r="E250">
        <v>6</v>
      </c>
      <c r="F250">
        <v>3</v>
      </c>
      <c r="G250">
        <v>0</v>
      </c>
      <c r="H250">
        <v>0</v>
      </c>
      <c r="I250">
        <v>70</v>
      </c>
      <c r="J250">
        <v>18</v>
      </c>
      <c r="K250">
        <v>1</v>
      </c>
      <c r="L250">
        <v>12</v>
      </c>
      <c r="M250">
        <v>1</v>
      </c>
      <c r="N250">
        <v>134</v>
      </c>
      <c r="O250" s="3">
        <f t="shared" si="43"/>
        <v>0.83333333333333337</v>
      </c>
      <c r="P250">
        <f t="shared" si="33"/>
        <v>0</v>
      </c>
      <c r="Q250">
        <f t="shared" si="34"/>
        <v>0</v>
      </c>
      <c r="S250">
        <f t="shared" si="35"/>
        <v>-5.7537267080745345</v>
      </c>
      <c r="T250">
        <f t="shared" si="36"/>
        <v>-0.75</v>
      </c>
      <c r="U250">
        <f t="shared" si="37"/>
        <v>-0.76086956521739135</v>
      </c>
      <c r="V250">
        <f t="shared" si="38"/>
        <v>-4.8</v>
      </c>
      <c r="W250">
        <f t="shared" si="39"/>
        <v>0</v>
      </c>
      <c r="X250">
        <f t="shared" si="40"/>
        <v>0.2</v>
      </c>
      <c r="Y250">
        <f t="shared" si="41"/>
        <v>0.35714285714285715</v>
      </c>
    </row>
    <row r="251" spans="1:25" x14ac:dyDescent="0.2">
      <c r="A251" t="s">
        <v>21</v>
      </c>
      <c r="B251" t="s">
        <v>744</v>
      </c>
      <c r="C251">
        <v>260</v>
      </c>
      <c r="D251" s="2">
        <v>0</v>
      </c>
      <c r="E251">
        <v>26</v>
      </c>
      <c r="F251">
        <v>5</v>
      </c>
      <c r="G251">
        <v>0</v>
      </c>
      <c r="H251">
        <v>15</v>
      </c>
      <c r="I251">
        <v>540</v>
      </c>
      <c r="J251">
        <v>4</v>
      </c>
      <c r="K251">
        <v>0</v>
      </c>
      <c r="L251">
        <v>2</v>
      </c>
      <c r="M251">
        <v>2</v>
      </c>
      <c r="N251">
        <v>265</v>
      </c>
      <c r="O251" s="3">
        <f t="shared" si="43"/>
        <v>0.76923076923076927</v>
      </c>
      <c r="P251">
        <f t="shared" si="33"/>
        <v>1</v>
      </c>
      <c r="Q251">
        <f t="shared" si="34"/>
        <v>0</v>
      </c>
      <c r="S251">
        <f t="shared" si="35"/>
        <v>-7.5195652173913041</v>
      </c>
      <c r="T251">
        <f t="shared" si="36"/>
        <v>-1.25</v>
      </c>
      <c r="U251">
        <f t="shared" si="37"/>
        <v>-5.8695652173913047</v>
      </c>
      <c r="V251">
        <f t="shared" si="38"/>
        <v>-0.8</v>
      </c>
      <c r="W251">
        <f t="shared" si="39"/>
        <v>0</v>
      </c>
      <c r="X251">
        <f t="shared" si="40"/>
        <v>0.4</v>
      </c>
      <c r="Y251">
        <f t="shared" si="41"/>
        <v>0</v>
      </c>
    </row>
    <row r="252" spans="1:25" x14ac:dyDescent="0.2">
      <c r="A252" t="s">
        <v>21</v>
      </c>
      <c r="B252" t="s">
        <v>752</v>
      </c>
      <c r="C252">
        <v>140</v>
      </c>
      <c r="D252" s="2">
        <v>0</v>
      </c>
      <c r="E252">
        <v>8</v>
      </c>
      <c r="F252">
        <v>1</v>
      </c>
      <c r="G252">
        <v>0</v>
      </c>
      <c r="H252">
        <v>15</v>
      </c>
      <c r="I252">
        <v>290</v>
      </c>
      <c r="J252">
        <v>14</v>
      </c>
      <c r="K252">
        <v>0</v>
      </c>
      <c r="L252">
        <v>9</v>
      </c>
      <c r="M252">
        <v>1</v>
      </c>
      <c r="N252">
        <v>149</v>
      </c>
      <c r="O252" s="3">
        <f t="shared" si="43"/>
        <v>0.7142857142857143</v>
      </c>
      <c r="P252">
        <f t="shared" si="33"/>
        <v>0</v>
      </c>
      <c r="Q252">
        <f t="shared" si="34"/>
        <v>0</v>
      </c>
      <c r="S252">
        <f t="shared" si="35"/>
        <v>-6.802173913043478</v>
      </c>
      <c r="T252">
        <f t="shared" si="36"/>
        <v>-0.25</v>
      </c>
      <c r="U252">
        <f t="shared" si="37"/>
        <v>-3.152173913043478</v>
      </c>
      <c r="V252">
        <f t="shared" si="38"/>
        <v>-3.5999999999999996</v>
      </c>
      <c r="W252">
        <f t="shared" si="39"/>
        <v>0</v>
      </c>
      <c r="X252">
        <f t="shared" si="40"/>
        <v>0.2</v>
      </c>
      <c r="Y252">
        <f t="shared" si="41"/>
        <v>0</v>
      </c>
    </row>
    <row r="253" spans="1:25" x14ac:dyDescent="0.2">
      <c r="A253" t="s">
        <v>21</v>
      </c>
      <c r="B253" t="s">
        <v>757</v>
      </c>
      <c r="C253">
        <v>1200</v>
      </c>
      <c r="D253" s="2">
        <v>0</v>
      </c>
      <c r="E253">
        <v>98</v>
      </c>
      <c r="F253">
        <v>16</v>
      </c>
      <c r="G253">
        <v>0</v>
      </c>
      <c r="H253">
        <v>80</v>
      </c>
      <c r="I253">
        <v>1010</v>
      </c>
      <c r="J253">
        <v>65</v>
      </c>
      <c r="K253">
        <v>8</v>
      </c>
      <c r="L253">
        <v>12</v>
      </c>
      <c r="M253">
        <v>8</v>
      </c>
      <c r="N253">
        <v>1220</v>
      </c>
      <c r="O253" s="3">
        <f t="shared" si="43"/>
        <v>0.66666666666666674</v>
      </c>
      <c r="P253">
        <f t="shared" si="33"/>
        <v>1</v>
      </c>
      <c r="Q253">
        <f t="shared" si="34"/>
        <v>0</v>
      </c>
      <c r="S253">
        <f t="shared" si="35"/>
        <v>-15.32111801242236</v>
      </c>
      <c r="T253">
        <f t="shared" si="36"/>
        <v>-4</v>
      </c>
      <c r="U253">
        <f t="shared" si="37"/>
        <v>-10.978260869565219</v>
      </c>
      <c r="V253">
        <f t="shared" si="38"/>
        <v>-4.8</v>
      </c>
      <c r="W253">
        <f t="shared" si="39"/>
        <v>0</v>
      </c>
      <c r="X253">
        <f t="shared" si="40"/>
        <v>1.6</v>
      </c>
      <c r="Y253">
        <f t="shared" si="41"/>
        <v>2.8571428571428572</v>
      </c>
    </row>
    <row r="254" spans="1:25" x14ac:dyDescent="0.2">
      <c r="A254" t="s">
        <v>21</v>
      </c>
      <c r="B254" t="s">
        <v>758</v>
      </c>
      <c r="C254">
        <v>640</v>
      </c>
      <c r="D254" s="2">
        <v>0</v>
      </c>
      <c r="E254">
        <v>46</v>
      </c>
      <c r="F254">
        <v>7</v>
      </c>
      <c r="G254">
        <v>0</v>
      </c>
      <c r="H254">
        <v>15</v>
      </c>
      <c r="I254">
        <v>670</v>
      </c>
      <c r="J254">
        <v>54</v>
      </c>
      <c r="K254">
        <v>14</v>
      </c>
      <c r="L254">
        <v>37</v>
      </c>
      <c r="M254">
        <v>4</v>
      </c>
      <c r="N254">
        <v>680</v>
      </c>
      <c r="O254" s="3">
        <f t="shared" si="43"/>
        <v>0.625</v>
      </c>
      <c r="P254">
        <f t="shared" si="33"/>
        <v>1</v>
      </c>
      <c r="Q254">
        <f t="shared" si="34"/>
        <v>0</v>
      </c>
      <c r="S254">
        <f t="shared" si="35"/>
        <v>-18.032608695652172</v>
      </c>
      <c r="T254">
        <f t="shared" si="36"/>
        <v>-1.75</v>
      </c>
      <c r="U254">
        <f t="shared" si="37"/>
        <v>-7.2826086956521738</v>
      </c>
      <c r="V254">
        <f t="shared" si="38"/>
        <v>-14.799999999999999</v>
      </c>
      <c r="W254">
        <f t="shared" si="39"/>
        <v>0</v>
      </c>
      <c r="X254">
        <f t="shared" si="40"/>
        <v>0.8</v>
      </c>
      <c r="Y254">
        <f t="shared" si="41"/>
        <v>5</v>
      </c>
    </row>
    <row r="255" spans="1:25" x14ac:dyDescent="0.2">
      <c r="A255" t="s">
        <v>21</v>
      </c>
      <c r="B255" t="s">
        <v>759</v>
      </c>
      <c r="C255">
        <v>480</v>
      </c>
      <c r="D255" s="2">
        <v>0</v>
      </c>
      <c r="E255">
        <v>28</v>
      </c>
      <c r="F255">
        <v>3.5</v>
      </c>
      <c r="G255">
        <v>0</v>
      </c>
      <c r="H255">
        <v>55</v>
      </c>
      <c r="I255">
        <v>990</v>
      </c>
      <c r="J255">
        <v>50</v>
      </c>
      <c r="K255">
        <v>0</v>
      </c>
      <c r="L255">
        <v>30</v>
      </c>
      <c r="M255">
        <v>3</v>
      </c>
      <c r="N255">
        <v>510.5</v>
      </c>
      <c r="O255" s="3">
        <f t="shared" si="43"/>
        <v>0.625</v>
      </c>
      <c r="P255">
        <f t="shared" si="33"/>
        <v>1</v>
      </c>
      <c r="Q255">
        <f t="shared" si="34"/>
        <v>0</v>
      </c>
      <c r="S255">
        <f t="shared" si="35"/>
        <v>-23.035869565217389</v>
      </c>
      <c r="T255">
        <f t="shared" si="36"/>
        <v>-0.875</v>
      </c>
      <c r="U255">
        <f t="shared" si="37"/>
        <v>-10.760869565217392</v>
      </c>
      <c r="V255">
        <f t="shared" si="38"/>
        <v>-12</v>
      </c>
      <c r="W255">
        <f t="shared" si="39"/>
        <v>0</v>
      </c>
      <c r="X255">
        <f t="shared" si="40"/>
        <v>0.6</v>
      </c>
      <c r="Y255">
        <f t="shared" si="41"/>
        <v>0</v>
      </c>
    </row>
    <row r="256" spans="1:25" x14ac:dyDescent="0.2">
      <c r="A256" t="s">
        <v>21</v>
      </c>
      <c r="B256" t="s">
        <v>762</v>
      </c>
      <c r="C256">
        <v>170</v>
      </c>
      <c r="D256" s="2">
        <v>0</v>
      </c>
      <c r="E256">
        <v>12</v>
      </c>
      <c r="F256">
        <v>2</v>
      </c>
      <c r="G256">
        <v>0</v>
      </c>
      <c r="H256">
        <v>0</v>
      </c>
      <c r="I256">
        <v>180</v>
      </c>
      <c r="J256">
        <v>14</v>
      </c>
      <c r="K256">
        <v>4</v>
      </c>
      <c r="L256">
        <v>10</v>
      </c>
      <c r="M256">
        <v>1</v>
      </c>
      <c r="N256">
        <v>181</v>
      </c>
      <c r="O256" s="3">
        <f t="shared" si="43"/>
        <v>0.58823529411764708</v>
      </c>
      <c r="P256">
        <f t="shared" si="33"/>
        <v>0</v>
      </c>
      <c r="Q256">
        <f t="shared" si="34"/>
        <v>0</v>
      </c>
      <c r="S256">
        <f t="shared" si="35"/>
        <v>-4.8279503105590065</v>
      </c>
      <c r="T256">
        <f t="shared" si="36"/>
        <v>-0.5</v>
      </c>
      <c r="U256">
        <f t="shared" si="37"/>
        <v>-1.956521739130435</v>
      </c>
      <c r="V256">
        <f t="shared" si="38"/>
        <v>-4.0000000000000009</v>
      </c>
      <c r="W256">
        <f t="shared" si="39"/>
        <v>0</v>
      </c>
      <c r="X256">
        <f t="shared" si="40"/>
        <v>0.2</v>
      </c>
      <c r="Y256">
        <f t="shared" si="41"/>
        <v>1.4285714285714286</v>
      </c>
    </row>
    <row r="257" spans="1:25" x14ac:dyDescent="0.2">
      <c r="A257" t="s">
        <v>21</v>
      </c>
      <c r="B257" t="s">
        <v>763</v>
      </c>
      <c r="C257">
        <v>340</v>
      </c>
      <c r="D257" s="2">
        <v>0</v>
      </c>
      <c r="E257">
        <v>28</v>
      </c>
      <c r="F257">
        <v>4.5</v>
      </c>
      <c r="G257">
        <v>0</v>
      </c>
      <c r="H257">
        <v>25</v>
      </c>
      <c r="I257">
        <v>290</v>
      </c>
      <c r="J257">
        <v>19</v>
      </c>
      <c r="K257">
        <v>2</v>
      </c>
      <c r="L257">
        <v>3</v>
      </c>
      <c r="M257">
        <v>2</v>
      </c>
      <c r="N257">
        <v>345.5</v>
      </c>
      <c r="O257" s="3">
        <f t="shared" si="43"/>
        <v>0.58823529411764708</v>
      </c>
      <c r="P257">
        <f t="shared" si="33"/>
        <v>0</v>
      </c>
      <c r="Q257">
        <f t="shared" si="34"/>
        <v>0</v>
      </c>
      <c r="S257">
        <f t="shared" si="35"/>
        <v>-4.3628881987577639</v>
      </c>
      <c r="T257">
        <f t="shared" si="36"/>
        <v>-1.125</v>
      </c>
      <c r="U257">
        <f t="shared" si="37"/>
        <v>-3.152173913043478</v>
      </c>
      <c r="V257">
        <f t="shared" si="38"/>
        <v>-1.2</v>
      </c>
      <c r="W257">
        <f t="shared" si="39"/>
        <v>0</v>
      </c>
      <c r="X257">
        <f t="shared" si="40"/>
        <v>0.4</v>
      </c>
      <c r="Y257">
        <f t="shared" si="41"/>
        <v>0.7142857142857143</v>
      </c>
    </row>
    <row r="258" spans="1:25" x14ac:dyDescent="0.2">
      <c r="A258" t="s">
        <v>21</v>
      </c>
      <c r="B258" t="s">
        <v>941</v>
      </c>
      <c r="C258">
        <v>160</v>
      </c>
      <c r="D258" s="2">
        <v>0</v>
      </c>
      <c r="E258">
        <v>17</v>
      </c>
      <c r="F258">
        <v>2</v>
      </c>
      <c r="G258">
        <v>0</v>
      </c>
      <c r="H258">
        <v>10</v>
      </c>
      <c r="I258">
        <v>220</v>
      </c>
      <c r="J258">
        <v>1</v>
      </c>
      <c r="K258">
        <v>0</v>
      </c>
      <c r="L258">
        <v>1</v>
      </c>
      <c r="M258">
        <v>0</v>
      </c>
      <c r="N258">
        <v>163</v>
      </c>
      <c r="O258" s="3">
        <f t="shared" si="43"/>
        <v>0</v>
      </c>
      <c r="P258">
        <f t="shared" si="33"/>
        <v>0</v>
      </c>
      <c r="Q258">
        <f t="shared" si="34"/>
        <v>0</v>
      </c>
      <c r="S258">
        <f t="shared" si="35"/>
        <v>-3.2913043478260868</v>
      </c>
      <c r="T258">
        <f t="shared" si="36"/>
        <v>-0.5</v>
      </c>
      <c r="U258">
        <f t="shared" si="37"/>
        <v>-2.3913043478260869</v>
      </c>
      <c r="V258">
        <f t="shared" si="38"/>
        <v>-0.4</v>
      </c>
      <c r="W258">
        <f t="shared" si="39"/>
        <v>0</v>
      </c>
      <c r="X258">
        <f t="shared" si="40"/>
        <v>0</v>
      </c>
      <c r="Y258">
        <f t="shared" si="41"/>
        <v>0</v>
      </c>
    </row>
    <row r="259" spans="1:25" x14ac:dyDescent="0.2">
      <c r="A259" t="s">
        <v>21</v>
      </c>
      <c r="B259" t="s">
        <v>942</v>
      </c>
      <c r="C259">
        <v>15</v>
      </c>
      <c r="D259" s="2">
        <v>0</v>
      </c>
      <c r="E259">
        <v>0.5</v>
      </c>
      <c r="F259">
        <v>0</v>
      </c>
      <c r="G259">
        <v>0</v>
      </c>
      <c r="H259">
        <v>0</v>
      </c>
      <c r="I259">
        <v>510</v>
      </c>
      <c r="J259">
        <v>2</v>
      </c>
      <c r="K259">
        <v>0</v>
      </c>
      <c r="L259">
        <v>1</v>
      </c>
      <c r="M259">
        <v>0</v>
      </c>
      <c r="N259">
        <v>16</v>
      </c>
      <c r="O259" s="3">
        <f t="shared" si="43"/>
        <v>0</v>
      </c>
      <c r="P259">
        <f t="shared" si="33"/>
        <v>1</v>
      </c>
      <c r="Q259">
        <f t="shared" si="34"/>
        <v>0</v>
      </c>
      <c r="S259">
        <f t="shared" si="35"/>
        <v>-5.9434782608695658</v>
      </c>
      <c r="T259">
        <f t="shared" si="36"/>
        <v>0</v>
      </c>
      <c r="U259">
        <f t="shared" si="37"/>
        <v>-5.5434782608695654</v>
      </c>
      <c r="V259">
        <f t="shared" si="38"/>
        <v>-0.4</v>
      </c>
      <c r="W259">
        <f t="shared" si="39"/>
        <v>0</v>
      </c>
      <c r="X259">
        <f t="shared" si="40"/>
        <v>0</v>
      </c>
      <c r="Y259">
        <f t="shared" si="41"/>
        <v>0</v>
      </c>
    </row>
    <row r="260" spans="1:25" x14ac:dyDescent="0.2">
      <c r="A260" t="s">
        <v>21</v>
      </c>
      <c r="B260" t="s">
        <v>943</v>
      </c>
      <c r="C260">
        <v>45</v>
      </c>
      <c r="D260" s="2">
        <v>0</v>
      </c>
      <c r="E260">
        <v>0</v>
      </c>
      <c r="F260">
        <v>0</v>
      </c>
      <c r="G260">
        <v>0</v>
      </c>
      <c r="H260">
        <v>0</v>
      </c>
      <c r="I260">
        <v>150</v>
      </c>
      <c r="J260">
        <v>11</v>
      </c>
      <c r="K260">
        <v>0</v>
      </c>
      <c r="L260">
        <v>11</v>
      </c>
      <c r="M260">
        <v>0</v>
      </c>
      <c r="N260">
        <v>56</v>
      </c>
      <c r="O260" s="3">
        <f t="shared" si="43"/>
        <v>0</v>
      </c>
      <c r="P260">
        <f t="shared" ref="P260:P323" si="44">IF(I260&gt;2300*0.2,1,0)</f>
        <v>0</v>
      </c>
      <c r="Q260">
        <f t="shared" ref="Q260:Q323" si="45">IF(H260&gt;300,1,0)</f>
        <v>0</v>
      </c>
      <c r="S260">
        <f t="shared" ref="S260:S323" si="46">T260+U260+V260+W260+X260+Y260</f>
        <v>-6.0304347826086957</v>
      </c>
      <c r="T260">
        <f t="shared" ref="T260:T323" si="47">$T$1*F260</f>
        <v>0</v>
      </c>
      <c r="U260">
        <f t="shared" ref="U260:U323" si="48">($U$1*(I260/2300))*100</f>
        <v>-1.6304347826086956</v>
      </c>
      <c r="V260">
        <f t="shared" ref="V260:V323" si="49">((L260/50)*$V$1)*100</f>
        <v>-4.4000000000000004</v>
      </c>
      <c r="W260">
        <f t="shared" ref="W260:W323" si="50">(G260/100)*$W$1</f>
        <v>0</v>
      </c>
      <c r="X260">
        <f t="shared" ref="X260:X323" si="51">($X$1*(M260/50))*100</f>
        <v>0</v>
      </c>
      <c r="Y260">
        <f t="shared" ref="Y260:Y323" si="52">($Y$1*(K260/28))*100</f>
        <v>0</v>
      </c>
    </row>
    <row r="261" spans="1:25" x14ac:dyDescent="0.2">
      <c r="A261" t="s">
        <v>21</v>
      </c>
      <c r="B261" t="s">
        <v>944</v>
      </c>
      <c r="C261">
        <v>35</v>
      </c>
      <c r="D261" s="2">
        <v>0</v>
      </c>
      <c r="E261">
        <v>4</v>
      </c>
      <c r="F261">
        <v>1.5</v>
      </c>
      <c r="G261">
        <v>0</v>
      </c>
      <c r="H261">
        <v>0</v>
      </c>
      <c r="I261">
        <v>35</v>
      </c>
      <c r="J261">
        <v>0</v>
      </c>
      <c r="K261">
        <v>0</v>
      </c>
      <c r="L261">
        <v>0</v>
      </c>
      <c r="M261">
        <v>0</v>
      </c>
      <c r="N261">
        <v>36.5</v>
      </c>
      <c r="O261" s="3">
        <f t="shared" ref="O261:O281" si="53">M261/C261*100</f>
        <v>0</v>
      </c>
      <c r="P261">
        <f t="shared" si="44"/>
        <v>0</v>
      </c>
      <c r="Q261">
        <f t="shared" si="45"/>
        <v>0</v>
      </c>
      <c r="S261">
        <f t="shared" si="46"/>
        <v>-0.75543478260869568</v>
      </c>
      <c r="T261">
        <f t="shared" si="47"/>
        <v>-0.375</v>
      </c>
      <c r="U261">
        <f t="shared" si="48"/>
        <v>-0.38043478260869568</v>
      </c>
      <c r="V261">
        <f t="shared" si="49"/>
        <v>0</v>
      </c>
      <c r="W261">
        <f t="shared" si="50"/>
        <v>0</v>
      </c>
      <c r="X261">
        <f t="shared" si="51"/>
        <v>0</v>
      </c>
      <c r="Y261">
        <f t="shared" si="52"/>
        <v>0</v>
      </c>
    </row>
    <row r="262" spans="1:25" x14ac:dyDescent="0.2">
      <c r="A262" t="s">
        <v>21</v>
      </c>
      <c r="B262" t="s">
        <v>945</v>
      </c>
      <c r="C262">
        <v>35</v>
      </c>
      <c r="D262" s="2">
        <v>0</v>
      </c>
      <c r="E262">
        <v>0</v>
      </c>
      <c r="F262">
        <v>0</v>
      </c>
      <c r="G262">
        <v>0</v>
      </c>
      <c r="H262">
        <v>0</v>
      </c>
      <c r="I262">
        <v>10</v>
      </c>
      <c r="J262">
        <v>9</v>
      </c>
      <c r="K262">
        <v>0</v>
      </c>
      <c r="L262">
        <v>7</v>
      </c>
      <c r="M262">
        <v>0</v>
      </c>
      <c r="N262">
        <v>42</v>
      </c>
      <c r="O262" s="3">
        <f t="shared" si="53"/>
        <v>0</v>
      </c>
      <c r="P262">
        <f t="shared" si="44"/>
        <v>0</v>
      </c>
      <c r="Q262">
        <f t="shared" si="45"/>
        <v>0</v>
      </c>
      <c r="S262">
        <f t="shared" si="46"/>
        <v>-2.9086956521739133</v>
      </c>
      <c r="T262">
        <f t="shared" si="47"/>
        <v>0</v>
      </c>
      <c r="U262">
        <f t="shared" si="48"/>
        <v>-0.10869565217391304</v>
      </c>
      <c r="V262">
        <f t="shared" si="49"/>
        <v>-2.8000000000000003</v>
      </c>
      <c r="W262">
        <f t="shared" si="50"/>
        <v>0</v>
      </c>
      <c r="X262">
        <f t="shared" si="51"/>
        <v>0</v>
      </c>
      <c r="Y262">
        <f t="shared" si="52"/>
        <v>0</v>
      </c>
    </row>
    <row r="263" spans="1:25" x14ac:dyDescent="0.2">
      <c r="A263" t="s">
        <v>21</v>
      </c>
      <c r="B263" t="s">
        <v>946</v>
      </c>
      <c r="C263">
        <v>110</v>
      </c>
      <c r="D263" s="2">
        <v>0</v>
      </c>
      <c r="E263">
        <v>9</v>
      </c>
      <c r="F263">
        <v>1.5</v>
      </c>
      <c r="G263">
        <v>0</v>
      </c>
      <c r="H263">
        <v>0</v>
      </c>
      <c r="I263">
        <v>120</v>
      </c>
      <c r="J263">
        <v>6</v>
      </c>
      <c r="K263">
        <v>0</v>
      </c>
      <c r="L263">
        <v>6</v>
      </c>
      <c r="M263">
        <v>0</v>
      </c>
      <c r="N263">
        <v>117.5</v>
      </c>
      <c r="O263" s="3">
        <f t="shared" si="53"/>
        <v>0</v>
      </c>
      <c r="P263">
        <f t="shared" si="44"/>
        <v>0</v>
      </c>
      <c r="Q263">
        <f t="shared" si="45"/>
        <v>0</v>
      </c>
      <c r="S263">
        <f t="shared" si="46"/>
        <v>-4.0793478260869565</v>
      </c>
      <c r="T263">
        <f t="shared" si="47"/>
        <v>-0.375</v>
      </c>
      <c r="U263">
        <f t="shared" si="48"/>
        <v>-1.3043478260869565</v>
      </c>
      <c r="V263">
        <f t="shared" si="49"/>
        <v>-2.4</v>
      </c>
      <c r="W263">
        <f t="shared" si="50"/>
        <v>0</v>
      </c>
      <c r="X263">
        <f t="shared" si="51"/>
        <v>0</v>
      </c>
      <c r="Y263">
        <f t="shared" si="52"/>
        <v>0</v>
      </c>
    </row>
    <row r="264" spans="1:25" x14ac:dyDescent="0.2">
      <c r="A264" t="s">
        <v>21</v>
      </c>
      <c r="B264" t="s">
        <v>947</v>
      </c>
      <c r="C264">
        <v>30</v>
      </c>
      <c r="D264" s="2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8</v>
      </c>
      <c r="K264">
        <v>0</v>
      </c>
      <c r="L264">
        <v>5</v>
      </c>
      <c r="M264">
        <v>0</v>
      </c>
      <c r="N264">
        <v>35</v>
      </c>
      <c r="O264" s="3">
        <f t="shared" si="53"/>
        <v>0</v>
      </c>
      <c r="P264">
        <f t="shared" si="44"/>
        <v>0</v>
      </c>
      <c r="Q264">
        <f t="shared" si="45"/>
        <v>0</v>
      </c>
      <c r="S264">
        <f t="shared" si="46"/>
        <v>-2.0000000000000004</v>
      </c>
      <c r="T264">
        <f t="shared" si="47"/>
        <v>0</v>
      </c>
      <c r="U264">
        <f t="shared" si="48"/>
        <v>0</v>
      </c>
      <c r="V264">
        <f t="shared" si="49"/>
        <v>-2.0000000000000004</v>
      </c>
      <c r="W264">
        <f t="shared" si="50"/>
        <v>0</v>
      </c>
      <c r="X264">
        <f t="shared" si="51"/>
        <v>0</v>
      </c>
      <c r="Y264">
        <f t="shared" si="52"/>
        <v>0</v>
      </c>
    </row>
    <row r="265" spans="1:25" x14ac:dyDescent="0.2">
      <c r="A265" t="s">
        <v>21</v>
      </c>
      <c r="B265" t="s">
        <v>948</v>
      </c>
      <c r="C265">
        <v>30</v>
      </c>
      <c r="D265" s="2">
        <v>0</v>
      </c>
      <c r="E265">
        <v>0</v>
      </c>
      <c r="F265">
        <v>0</v>
      </c>
      <c r="G265">
        <v>0</v>
      </c>
      <c r="H265">
        <v>0</v>
      </c>
      <c r="I265">
        <v>250</v>
      </c>
      <c r="J265">
        <v>8</v>
      </c>
      <c r="K265">
        <v>0</v>
      </c>
      <c r="L265">
        <v>6</v>
      </c>
      <c r="M265">
        <v>0</v>
      </c>
      <c r="N265">
        <v>36</v>
      </c>
      <c r="O265" s="3">
        <f t="shared" si="53"/>
        <v>0</v>
      </c>
      <c r="P265">
        <f t="shared" si="44"/>
        <v>0</v>
      </c>
      <c r="Q265">
        <f t="shared" si="45"/>
        <v>0</v>
      </c>
      <c r="S265">
        <f t="shared" si="46"/>
        <v>-5.1173913043478265</v>
      </c>
      <c r="T265">
        <f t="shared" si="47"/>
        <v>0</v>
      </c>
      <c r="U265">
        <f t="shared" si="48"/>
        <v>-2.7173913043478262</v>
      </c>
      <c r="V265">
        <f t="shared" si="49"/>
        <v>-2.4</v>
      </c>
      <c r="W265">
        <f t="shared" si="50"/>
        <v>0</v>
      </c>
      <c r="X265">
        <f t="shared" si="51"/>
        <v>0</v>
      </c>
      <c r="Y265">
        <f t="shared" si="52"/>
        <v>0</v>
      </c>
    </row>
    <row r="266" spans="1:25" x14ac:dyDescent="0.2">
      <c r="A266" t="s">
        <v>21</v>
      </c>
      <c r="B266" t="s">
        <v>949</v>
      </c>
      <c r="C266">
        <v>90</v>
      </c>
      <c r="D266" s="2">
        <v>0</v>
      </c>
      <c r="E266">
        <v>8</v>
      </c>
      <c r="F266">
        <v>1.5</v>
      </c>
      <c r="G266">
        <v>0</v>
      </c>
      <c r="H266">
        <v>10</v>
      </c>
      <c r="I266">
        <v>170</v>
      </c>
      <c r="J266">
        <v>5</v>
      </c>
      <c r="K266">
        <v>0</v>
      </c>
      <c r="L266">
        <v>5</v>
      </c>
      <c r="M266">
        <v>0</v>
      </c>
      <c r="N266">
        <v>96.5</v>
      </c>
      <c r="O266" s="3">
        <f t="shared" si="53"/>
        <v>0</v>
      </c>
      <c r="P266">
        <f t="shared" si="44"/>
        <v>0</v>
      </c>
      <c r="Q266">
        <f t="shared" si="45"/>
        <v>0</v>
      </c>
      <c r="S266">
        <f t="shared" si="46"/>
        <v>-4.2228260869565215</v>
      </c>
      <c r="T266">
        <f t="shared" si="47"/>
        <v>-0.375</v>
      </c>
      <c r="U266">
        <f t="shared" si="48"/>
        <v>-1.8478260869565217</v>
      </c>
      <c r="V266">
        <f t="shared" si="49"/>
        <v>-2.0000000000000004</v>
      </c>
      <c r="W266">
        <f t="shared" si="50"/>
        <v>0</v>
      </c>
      <c r="X266">
        <f t="shared" si="51"/>
        <v>0</v>
      </c>
      <c r="Y266">
        <f t="shared" si="52"/>
        <v>0</v>
      </c>
    </row>
    <row r="267" spans="1:25" x14ac:dyDescent="0.2">
      <c r="A267" t="s">
        <v>21</v>
      </c>
      <c r="B267" t="s">
        <v>950</v>
      </c>
      <c r="C267">
        <v>5</v>
      </c>
      <c r="D267" s="2">
        <v>0</v>
      </c>
      <c r="E267">
        <v>0</v>
      </c>
      <c r="F267">
        <v>0</v>
      </c>
      <c r="G267">
        <v>0</v>
      </c>
      <c r="H267">
        <v>0</v>
      </c>
      <c r="I267">
        <v>20</v>
      </c>
      <c r="J267">
        <v>1</v>
      </c>
      <c r="K267">
        <v>0</v>
      </c>
      <c r="L267">
        <v>0</v>
      </c>
      <c r="M267">
        <v>0</v>
      </c>
      <c r="N267">
        <v>5</v>
      </c>
      <c r="O267" s="3">
        <f t="shared" si="53"/>
        <v>0</v>
      </c>
      <c r="P267">
        <f t="shared" si="44"/>
        <v>0</v>
      </c>
      <c r="Q267">
        <f t="shared" si="45"/>
        <v>0</v>
      </c>
      <c r="S267">
        <f t="shared" si="46"/>
        <v>-0.21739130434782608</v>
      </c>
      <c r="T267">
        <f t="shared" si="47"/>
        <v>0</v>
      </c>
      <c r="U267">
        <f t="shared" si="48"/>
        <v>-0.21739130434782608</v>
      </c>
      <c r="V267">
        <f t="shared" si="49"/>
        <v>0</v>
      </c>
      <c r="W267">
        <f t="shared" si="50"/>
        <v>0</v>
      </c>
      <c r="X267">
        <f t="shared" si="51"/>
        <v>0</v>
      </c>
      <c r="Y267">
        <f t="shared" si="52"/>
        <v>0</v>
      </c>
    </row>
    <row r="268" spans="1:25" x14ac:dyDescent="0.2">
      <c r="A268" t="s">
        <v>21</v>
      </c>
      <c r="B268" t="s">
        <v>951</v>
      </c>
      <c r="C268">
        <v>130</v>
      </c>
      <c r="D268" s="2">
        <v>0</v>
      </c>
      <c r="E268">
        <v>14</v>
      </c>
      <c r="F268">
        <v>2.5</v>
      </c>
      <c r="G268">
        <v>0</v>
      </c>
      <c r="H268">
        <v>10</v>
      </c>
      <c r="I268">
        <v>240</v>
      </c>
      <c r="J268">
        <v>2</v>
      </c>
      <c r="K268">
        <v>0</v>
      </c>
      <c r="L268">
        <v>1</v>
      </c>
      <c r="M268">
        <v>0</v>
      </c>
      <c r="N268">
        <v>133.5</v>
      </c>
      <c r="O268" s="3">
        <f t="shared" si="53"/>
        <v>0</v>
      </c>
      <c r="P268">
        <f t="shared" si="44"/>
        <v>0</v>
      </c>
      <c r="Q268">
        <f t="shared" si="45"/>
        <v>0</v>
      </c>
      <c r="S268">
        <f t="shared" si="46"/>
        <v>-3.633695652173913</v>
      </c>
      <c r="T268">
        <f t="shared" si="47"/>
        <v>-0.625</v>
      </c>
      <c r="U268">
        <f t="shared" si="48"/>
        <v>-2.6086956521739131</v>
      </c>
      <c r="V268">
        <f t="shared" si="49"/>
        <v>-0.4</v>
      </c>
      <c r="W268">
        <f t="shared" si="50"/>
        <v>0</v>
      </c>
      <c r="X268">
        <f t="shared" si="51"/>
        <v>0</v>
      </c>
      <c r="Y268">
        <f t="shared" si="52"/>
        <v>0</v>
      </c>
    </row>
    <row r="269" spans="1:25" x14ac:dyDescent="0.2">
      <c r="A269" t="s">
        <v>21</v>
      </c>
      <c r="B269" t="s">
        <v>952</v>
      </c>
      <c r="C269">
        <v>35</v>
      </c>
      <c r="D269" s="2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</v>
      </c>
      <c r="K269">
        <v>0</v>
      </c>
      <c r="L269">
        <v>6</v>
      </c>
      <c r="M269">
        <v>0</v>
      </c>
      <c r="N269">
        <v>41</v>
      </c>
      <c r="O269" s="3">
        <f t="shared" si="53"/>
        <v>0</v>
      </c>
      <c r="P269">
        <f t="shared" si="44"/>
        <v>0</v>
      </c>
      <c r="Q269">
        <f t="shared" si="45"/>
        <v>0</v>
      </c>
      <c r="S269">
        <f t="shared" si="46"/>
        <v>-2.4</v>
      </c>
      <c r="T269">
        <f t="shared" si="47"/>
        <v>0</v>
      </c>
      <c r="U269">
        <f t="shared" si="48"/>
        <v>0</v>
      </c>
      <c r="V269">
        <f t="shared" si="49"/>
        <v>-2.4</v>
      </c>
      <c r="W269">
        <f t="shared" si="50"/>
        <v>0</v>
      </c>
      <c r="X269">
        <f t="shared" si="51"/>
        <v>0</v>
      </c>
      <c r="Y269">
        <f t="shared" si="52"/>
        <v>0</v>
      </c>
    </row>
    <row r="270" spans="1:25" x14ac:dyDescent="0.2">
      <c r="A270" t="s">
        <v>21</v>
      </c>
      <c r="B270" t="s">
        <v>953</v>
      </c>
      <c r="C270">
        <v>80</v>
      </c>
      <c r="D270" s="2">
        <v>0</v>
      </c>
      <c r="E270">
        <v>0</v>
      </c>
      <c r="F270">
        <v>0</v>
      </c>
      <c r="G270">
        <v>0</v>
      </c>
      <c r="H270">
        <v>0</v>
      </c>
      <c r="I270">
        <v>25</v>
      </c>
      <c r="J270">
        <v>21</v>
      </c>
      <c r="K270">
        <v>0</v>
      </c>
      <c r="L270">
        <v>20</v>
      </c>
      <c r="M270">
        <v>0</v>
      </c>
      <c r="N270">
        <v>100</v>
      </c>
      <c r="O270" s="3">
        <f t="shared" si="53"/>
        <v>0</v>
      </c>
      <c r="P270">
        <f t="shared" si="44"/>
        <v>0</v>
      </c>
      <c r="Q270">
        <f t="shared" si="45"/>
        <v>0</v>
      </c>
      <c r="S270">
        <f t="shared" si="46"/>
        <v>-8.2717391304347849</v>
      </c>
      <c r="T270">
        <f t="shared" si="47"/>
        <v>0</v>
      </c>
      <c r="U270">
        <f t="shared" si="48"/>
        <v>-0.27173913043478259</v>
      </c>
      <c r="V270">
        <f t="shared" si="49"/>
        <v>-8.0000000000000018</v>
      </c>
      <c r="W270">
        <f t="shared" si="50"/>
        <v>0</v>
      </c>
      <c r="X270">
        <f t="shared" si="51"/>
        <v>0</v>
      </c>
      <c r="Y270">
        <f t="shared" si="52"/>
        <v>0</v>
      </c>
    </row>
    <row r="271" spans="1:25" x14ac:dyDescent="0.2">
      <c r="A271" t="s">
        <v>21</v>
      </c>
      <c r="B271" t="s">
        <v>954</v>
      </c>
      <c r="C271">
        <v>45</v>
      </c>
      <c r="D271" s="2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12</v>
      </c>
      <c r="K271">
        <v>1</v>
      </c>
      <c r="L271">
        <v>8</v>
      </c>
      <c r="M271">
        <v>0</v>
      </c>
      <c r="N271">
        <v>53</v>
      </c>
      <c r="O271" s="3">
        <f t="shared" si="53"/>
        <v>0</v>
      </c>
      <c r="P271">
        <f t="shared" si="44"/>
        <v>0</v>
      </c>
      <c r="Q271">
        <f t="shared" si="45"/>
        <v>0</v>
      </c>
      <c r="S271">
        <f t="shared" si="46"/>
        <v>-2.842857142857143</v>
      </c>
      <c r="T271">
        <f t="shared" si="47"/>
        <v>0</v>
      </c>
      <c r="U271">
        <f t="shared" si="48"/>
        <v>0</v>
      </c>
      <c r="V271">
        <f t="shared" si="49"/>
        <v>-3.2</v>
      </c>
      <c r="W271">
        <f t="shared" si="50"/>
        <v>0</v>
      </c>
      <c r="X271">
        <f t="shared" si="51"/>
        <v>0</v>
      </c>
      <c r="Y271">
        <f t="shared" si="52"/>
        <v>0.35714285714285715</v>
      </c>
    </row>
    <row r="272" spans="1:25" x14ac:dyDescent="0.2">
      <c r="A272" t="s">
        <v>21</v>
      </c>
      <c r="B272" t="s">
        <v>955</v>
      </c>
      <c r="C272">
        <v>140</v>
      </c>
      <c r="D272" s="2">
        <v>0</v>
      </c>
      <c r="E272">
        <v>0</v>
      </c>
      <c r="F272">
        <v>0</v>
      </c>
      <c r="G272">
        <v>0</v>
      </c>
      <c r="H272">
        <v>0</v>
      </c>
      <c r="I272">
        <v>50</v>
      </c>
      <c r="J272">
        <v>35</v>
      </c>
      <c r="K272">
        <v>0</v>
      </c>
      <c r="L272">
        <v>35</v>
      </c>
      <c r="M272">
        <v>0</v>
      </c>
      <c r="N272">
        <v>175</v>
      </c>
      <c r="O272" s="3">
        <f t="shared" si="53"/>
        <v>0</v>
      </c>
      <c r="P272">
        <f t="shared" si="44"/>
        <v>0</v>
      </c>
      <c r="Q272">
        <f t="shared" si="45"/>
        <v>0</v>
      </c>
      <c r="S272">
        <f t="shared" si="46"/>
        <v>-14.543478260869563</v>
      </c>
      <c r="T272">
        <f t="shared" si="47"/>
        <v>0</v>
      </c>
      <c r="U272">
        <f t="shared" si="48"/>
        <v>-0.54347826086956519</v>
      </c>
      <c r="V272">
        <f t="shared" si="49"/>
        <v>-13.999999999999998</v>
      </c>
      <c r="W272">
        <f t="shared" si="50"/>
        <v>0</v>
      </c>
      <c r="X272">
        <f t="shared" si="51"/>
        <v>0</v>
      </c>
      <c r="Y272">
        <f t="shared" si="52"/>
        <v>0</v>
      </c>
    </row>
    <row r="273" spans="1:25" x14ac:dyDescent="0.2">
      <c r="A273" t="s">
        <v>21</v>
      </c>
      <c r="B273" t="s">
        <v>956</v>
      </c>
      <c r="C273">
        <v>190</v>
      </c>
      <c r="D273" s="2">
        <v>0</v>
      </c>
      <c r="E273">
        <v>0</v>
      </c>
      <c r="F273">
        <v>0</v>
      </c>
      <c r="G273">
        <v>0</v>
      </c>
      <c r="H273">
        <v>0</v>
      </c>
      <c r="I273">
        <v>70</v>
      </c>
      <c r="J273">
        <v>46</v>
      </c>
      <c r="K273">
        <v>0</v>
      </c>
      <c r="L273">
        <v>46</v>
      </c>
      <c r="M273">
        <v>0</v>
      </c>
      <c r="N273">
        <v>236</v>
      </c>
      <c r="O273" s="3">
        <f t="shared" si="53"/>
        <v>0</v>
      </c>
      <c r="P273">
        <f t="shared" si="44"/>
        <v>0</v>
      </c>
      <c r="Q273">
        <f t="shared" si="45"/>
        <v>0</v>
      </c>
      <c r="S273">
        <f t="shared" si="46"/>
        <v>-19.160869565217393</v>
      </c>
      <c r="T273">
        <f t="shared" si="47"/>
        <v>0</v>
      </c>
      <c r="U273">
        <f t="shared" si="48"/>
        <v>-0.76086956521739135</v>
      </c>
      <c r="V273">
        <f t="shared" si="49"/>
        <v>-18.400000000000002</v>
      </c>
      <c r="W273">
        <f t="shared" si="50"/>
        <v>0</v>
      </c>
      <c r="X273">
        <f t="shared" si="51"/>
        <v>0</v>
      </c>
      <c r="Y273">
        <f t="shared" si="52"/>
        <v>0</v>
      </c>
    </row>
    <row r="274" spans="1:25" x14ac:dyDescent="0.2">
      <c r="A274" t="s">
        <v>21</v>
      </c>
      <c r="B274" t="s">
        <v>957</v>
      </c>
      <c r="C274">
        <v>240</v>
      </c>
      <c r="D274" s="2">
        <v>0</v>
      </c>
      <c r="E274">
        <v>0</v>
      </c>
      <c r="F274">
        <v>0</v>
      </c>
      <c r="G274">
        <v>0</v>
      </c>
      <c r="H274">
        <v>0</v>
      </c>
      <c r="I274">
        <v>85</v>
      </c>
      <c r="J274">
        <v>58</v>
      </c>
      <c r="K274">
        <v>0</v>
      </c>
      <c r="L274">
        <v>58</v>
      </c>
      <c r="M274">
        <v>0</v>
      </c>
      <c r="N274">
        <v>298</v>
      </c>
      <c r="O274" s="3">
        <f t="shared" si="53"/>
        <v>0</v>
      </c>
      <c r="P274">
        <f t="shared" si="44"/>
        <v>0</v>
      </c>
      <c r="Q274">
        <f t="shared" si="45"/>
        <v>0</v>
      </c>
      <c r="S274">
        <f t="shared" si="46"/>
        <v>-24.123913043478261</v>
      </c>
      <c r="T274">
        <f t="shared" si="47"/>
        <v>0</v>
      </c>
      <c r="U274">
        <f t="shared" si="48"/>
        <v>-0.92391304347826086</v>
      </c>
      <c r="V274">
        <f t="shared" si="49"/>
        <v>-23.2</v>
      </c>
      <c r="W274">
        <f t="shared" si="50"/>
        <v>0</v>
      </c>
      <c r="X274">
        <f t="shared" si="51"/>
        <v>0</v>
      </c>
      <c r="Y274">
        <f t="shared" si="52"/>
        <v>0</v>
      </c>
    </row>
    <row r="275" spans="1:25" x14ac:dyDescent="0.2">
      <c r="A275" t="s">
        <v>21</v>
      </c>
      <c r="B275" t="s">
        <v>958</v>
      </c>
      <c r="C275">
        <v>350</v>
      </c>
      <c r="D275" s="2">
        <v>0</v>
      </c>
      <c r="E275">
        <v>0</v>
      </c>
      <c r="F275">
        <v>0</v>
      </c>
      <c r="G275">
        <v>0</v>
      </c>
      <c r="H275">
        <v>0</v>
      </c>
      <c r="I275">
        <v>125</v>
      </c>
      <c r="J275">
        <v>87</v>
      </c>
      <c r="K275">
        <v>0</v>
      </c>
      <c r="L275">
        <v>87</v>
      </c>
      <c r="M275">
        <v>0</v>
      </c>
      <c r="N275">
        <v>437</v>
      </c>
      <c r="O275" s="3">
        <f t="shared" si="53"/>
        <v>0</v>
      </c>
      <c r="P275">
        <f t="shared" si="44"/>
        <v>0</v>
      </c>
      <c r="Q275">
        <f t="shared" si="45"/>
        <v>0</v>
      </c>
      <c r="S275">
        <f t="shared" si="46"/>
        <v>-36.158695652173918</v>
      </c>
      <c r="T275">
        <f t="shared" si="47"/>
        <v>0</v>
      </c>
      <c r="U275">
        <f t="shared" si="48"/>
        <v>-1.3586956521739131</v>
      </c>
      <c r="V275">
        <f t="shared" si="49"/>
        <v>-34.800000000000004</v>
      </c>
      <c r="W275">
        <f t="shared" si="50"/>
        <v>0</v>
      </c>
      <c r="X275">
        <f t="shared" si="51"/>
        <v>0</v>
      </c>
      <c r="Y275">
        <f t="shared" si="52"/>
        <v>0</v>
      </c>
    </row>
    <row r="276" spans="1:25" x14ac:dyDescent="0.2">
      <c r="A276" t="s">
        <v>21</v>
      </c>
      <c r="B276" t="s">
        <v>959</v>
      </c>
      <c r="C276">
        <v>880</v>
      </c>
      <c r="D276" s="2">
        <v>0</v>
      </c>
      <c r="E276">
        <v>0</v>
      </c>
      <c r="F276">
        <v>0</v>
      </c>
      <c r="G276">
        <v>0</v>
      </c>
      <c r="H276">
        <v>0</v>
      </c>
      <c r="I276">
        <v>780</v>
      </c>
      <c r="J276">
        <v>234</v>
      </c>
      <c r="K276">
        <v>0</v>
      </c>
      <c r="L276">
        <v>228</v>
      </c>
      <c r="M276">
        <v>0</v>
      </c>
      <c r="N276">
        <v>1108</v>
      </c>
      <c r="O276" s="3">
        <f t="shared" si="53"/>
        <v>0</v>
      </c>
      <c r="P276">
        <f t="shared" si="44"/>
        <v>1</v>
      </c>
      <c r="Q276">
        <f t="shared" si="45"/>
        <v>0</v>
      </c>
      <c r="S276">
        <f t="shared" si="46"/>
        <v>-99.678260869565207</v>
      </c>
      <c r="T276">
        <f t="shared" si="47"/>
        <v>0</v>
      </c>
      <c r="U276">
        <f t="shared" si="48"/>
        <v>-8.4782608695652169</v>
      </c>
      <c r="V276">
        <f t="shared" si="49"/>
        <v>-91.199999999999989</v>
      </c>
      <c r="W276">
        <f t="shared" si="50"/>
        <v>0</v>
      </c>
      <c r="X276">
        <f t="shared" si="51"/>
        <v>0</v>
      </c>
      <c r="Y276">
        <f t="shared" si="52"/>
        <v>0</v>
      </c>
    </row>
    <row r="277" spans="1:25" x14ac:dyDescent="0.2">
      <c r="A277" t="s">
        <v>21</v>
      </c>
      <c r="B277" t="s">
        <v>960</v>
      </c>
      <c r="C277">
        <v>140</v>
      </c>
      <c r="D277" s="2">
        <v>0</v>
      </c>
      <c r="E277">
        <v>0</v>
      </c>
      <c r="F277">
        <v>0</v>
      </c>
      <c r="G277">
        <v>0</v>
      </c>
      <c r="H277">
        <v>0</v>
      </c>
      <c r="I277">
        <v>130</v>
      </c>
      <c r="J277">
        <v>39</v>
      </c>
      <c r="K277">
        <v>0</v>
      </c>
      <c r="L277">
        <v>38</v>
      </c>
      <c r="M277">
        <v>0</v>
      </c>
      <c r="N277">
        <v>178</v>
      </c>
      <c r="O277" s="3">
        <f t="shared" si="53"/>
        <v>0</v>
      </c>
      <c r="P277">
        <f t="shared" si="44"/>
        <v>0</v>
      </c>
      <c r="Q277">
        <f t="shared" si="45"/>
        <v>0</v>
      </c>
      <c r="S277">
        <f t="shared" si="46"/>
        <v>-16.613043478260874</v>
      </c>
      <c r="T277">
        <f t="shared" si="47"/>
        <v>0</v>
      </c>
      <c r="U277">
        <f t="shared" si="48"/>
        <v>-1.4130434782608696</v>
      </c>
      <c r="V277">
        <f t="shared" si="49"/>
        <v>-15.200000000000003</v>
      </c>
      <c r="W277">
        <f t="shared" si="50"/>
        <v>0</v>
      </c>
      <c r="X277">
        <f t="shared" si="51"/>
        <v>0</v>
      </c>
      <c r="Y277">
        <f t="shared" si="52"/>
        <v>0</v>
      </c>
    </row>
    <row r="278" spans="1:25" x14ac:dyDescent="0.2">
      <c r="A278" t="s">
        <v>21</v>
      </c>
      <c r="B278" t="s">
        <v>961</v>
      </c>
      <c r="C278">
        <v>170</v>
      </c>
      <c r="D278" s="2">
        <v>0</v>
      </c>
      <c r="E278">
        <v>0</v>
      </c>
      <c r="F278">
        <v>0</v>
      </c>
      <c r="G278">
        <v>0</v>
      </c>
      <c r="H278">
        <v>0</v>
      </c>
      <c r="I278">
        <v>50</v>
      </c>
      <c r="J278">
        <v>46</v>
      </c>
      <c r="K278">
        <v>0</v>
      </c>
      <c r="L278">
        <v>46</v>
      </c>
      <c r="M278">
        <v>0</v>
      </c>
      <c r="N278">
        <v>216</v>
      </c>
      <c r="O278" s="3">
        <f t="shared" si="53"/>
        <v>0</v>
      </c>
      <c r="P278">
        <f t="shared" si="44"/>
        <v>0</v>
      </c>
      <c r="Q278">
        <f t="shared" si="45"/>
        <v>0</v>
      </c>
      <c r="S278">
        <f t="shared" si="46"/>
        <v>-18.943478260869568</v>
      </c>
      <c r="T278">
        <f t="shared" si="47"/>
        <v>0</v>
      </c>
      <c r="U278">
        <f t="shared" si="48"/>
        <v>-0.54347826086956519</v>
      </c>
      <c r="V278">
        <f t="shared" si="49"/>
        <v>-18.400000000000002</v>
      </c>
      <c r="W278">
        <f t="shared" si="50"/>
        <v>0</v>
      </c>
      <c r="X278">
        <f t="shared" si="51"/>
        <v>0</v>
      </c>
      <c r="Y278">
        <f t="shared" si="52"/>
        <v>0</v>
      </c>
    </row>
    <row r="279" spans="1:25" x14ac:dyDescent="0.2">
      <c r="A279" t="s">
        <v>21</v>
      </c>
      <c r="B279" t="s">
        <v>962</v>
      </c>
      <c r="C279">
        <v>230</v>
      </c>
      <c r="D279" s="2">
        <v>0</v>
      </c>
      <c r="E279">
        <v>0</v>
      </c>
      <c r="F279">
        <v>0</v>
      </c>
      <c r="G279">
        <v>0</v>
      </c>
      <c r="H279">
        <v>0</v>
      </c>
      <c r="I279">
        <v>65</v>
      </c>
      <c r="J279">
        <v>62</v>
      </c>
      <c r="K279">
        <v>0</v>
      </c>
      <c r="L279">
        <v>62</v>
      </c>
      <c r="M279">
        <v>0</v>
      </c>
      <c r="N279">
        <v>292</v>
      </c>
      <c r="O279" s="3">
        <f t="shared" si="53"/>
        <v>0</v>
      </c>
      <c r="P279">
        <f t="shared" si="44"/>
        <v>0</v>
      </c>
      <c r="Q279">
        <f t="shared" si="45"/>
        <v>0</v>
      </c>
      <c r="S279">
        <f t="shared" si="46"/>
        <v>-25.506521739130434</v>
      </c>
      <c r="T279">
        <f t="shared" si="47"/>
        <v>0</v>
      </c>
      <c r="U279">
        <f t="shared" si="48"/>
        <v>-0.70652173913043481</v>
      </c>
      <c r="V279">
        <f t="shared" si="49"/>
        <v>-24.8</v>
      </c>
      <c r="W279">
        <f t="shared" si="50"/>
        <v>0</v>
      </c>
      <c r="X279">
        <f t="shared" si="51"/>
        <v>0</v>
      </c>
      <c r="Y279">
        <f t="shared" si="52"/>
        <v>0</v>
      </c>
    </row>
    <row r="280" spans="1:25" x14ac:dyDescent="0.2">
      <c r="A280" t="s">
        <v>21</v>
      </c>
      <c r="B280" t="s">
        <v>963</v>
      </c>
      <c r="C280">
        <v>290</v>
      </c>
      <c r="D280" s="2">
        <v>0</v>
      </c>
      <c r="E280">
        <v>0</v>
      </c>
      <c r="F280">
        <v>0</v>
      </c>
      <c r="G280">
        <v>0</v>
      </c>
      <c r="H280">
        <v>0</v>
      </c>
      <c r="I280">
        <v>85</v>
      </c>
      <c r="J280">
        <v>77</v>
      </c>
      <c r="K280">
        <v>0</v>
      </c>
      <c r="L280">
        <v>77</v>
      </c>
      <c r="M280">
        <v>0</v>
      </c>
      <c r="N280">
        <v>367</v>
      </c>
      <c r="O280" s="3">
        <f t="shared" si="53"/>
        <v>0</v>
      </c>
      <c r="P280">
        <f t="shared" si="44"/>
        <v>0</v>
      </c>
      <c r="Q280">
        <f t="shared" si="45"/>
        <v>0</v>
      </c>
      <c r="S280">
        <f t="shared" si="46"/>
        <v>-31.723913043478266</v>
      </c>
      <c r="T280">
        <f t="shared" si="47"/>
        <v>0</v>
      </c>
      <c r="U280">
        <f t="shared" si="48"/>
        <v>-0.92391304347826086</v>
      </c>
      <c r="V280">
        <f t="shared" si="49"/>
        <v>-30.800000000000004</v>
      </c>
      <c r="W280">
        <f t="shared" si="50"/>
        <v>0</v>
      </c>
      <c r="X280">
        <f t="shared" si="51"/>
        <v>0</v>
      </c>
      <c r="Y280">
        <f t="shared" si="52"/>
        <v>0</v>
      </c>
    </row>
    <row r="281" spans="1:25" x14ac:dyDescent="0.2">
      <c r="A281" t="s">
        <v>21</v>
      </c>
      <c r="B281" t="s">
        <v>964</v>
      </c>
      <c r="C281">
        <v>430</v>
      </c>
      <c r="D281" s="2">
        <v>0</v>
      </c>
      <c r="E281">
        <v>0</v>
      </c>
      <c r="F281">
        <v>0</v>
      </c>
      <c r="G281">
        <v>0</v>
      </c>
      <c r="H281">
        <v>0</v>
      </c>
      <c r="I281">
        <v>125</v>
      </c>
      <c r="J281">
        <v>116</v>
      </c>
      <c r="K281">
        <v>0</v>
      </c>
      <c r="L281">
        <v>115</v>
      </c>
      <c r="M281">
        <v>0</v>
      </c>
      <c r="N281">
        <v>545</v>
      </c>
      <c r="O281" s="3">
        <f t="shared" si="53"/>
        <v>0</v>
      </c>
      <c r="P281">
        <f t="shared" si="44"/>
        <v>0</v>
      </c>
      <c r="Q281">
        <f t="shared" si="45"/>
        <v>0</v>
      </c>
      <c r="S281">
        <f t="shared" si="46"/>
        <v>-47.358695652173914</v>
      </c>
      <c r="T281">
        <f t="shared" si="47"/>
        <v>0</v>
      </c>
      <c r="U281">
        <f t="shared" si="48"/>
        <v>-1.3586956521739131</v>
      </c>
      <c r="V281">
        <f t="shared" si="49"/>
        <v>-46</v>
      </c>
      <c r="W281">
        <f t="shared" si="50"/>
        <v>0</v>
      </c>
      <c r="X281">
        <f t="shared" si="51"/>
        <v>0</v>
      </c>
      <c r="Y281">
        <f t="shared" si="52"/>
        <v>0</v>
      </c>
    </row>
    <row r="282" spans="1:25" x14ac:dyDescent="0.2">
      <c r="A282" t="s">
        <v>21</v>
      </c>
      <c r="B282" t="s">
        <v>973</v>
      </c>
      <c r="C282">
        <v>0</v>
      </c>
      <c r="D282" s="2">
        <v>0</v>
      </c>
      <c r="E282">
        <v>0</v>
      </c>
      <c r="F282">
        <v>0</v>
      </c>
      <c r="G282">
        <v>0</v>
      </c>
      <c r="H282">
        <v>0</v>
      </c>
      <c r="I282">
        <v>55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f t="shared" si="44"/>
        <v>0</v>
      </c>
      <c r="Q282">
        <f t="shared" si="45"/>
        <v>0</v>
      </c>
      <c r="S282">
        <f t="shared" si="46"/>
        <v>-0.59782608695652173</v>
      </c>
      <c r="T282">
        <f t="shared" si="47"/>
        <v>0</v>
      </c>
      <c r="U282">
        <f t="shared" si="48"/>
        <v>-0.59782608695652173</v>
      </c>
      <c r="V282">
        <f t="shared" si="49"/>
        <v>0</v>
      </c>
      <c r="W282">
        <f t="shared" si="50"/>
        <v>0</v>
      </c>
      <c r="X282">
        <f t="shared" si="51"/>
        <v>0</v>
      </c>
      <c r="Y282">
        <f t="shared" si="52"/>
        <v>0</v>
      </c>
    </row>
    <row r="283" spans="1:25" x14ac:dyDescent="0.2">
      <c r="A283" t="s">
        <v>21</v>
      </c>
      <c r="B283" t="s">
        <v>974</v>
      </c>
      <c r="C283">
        <v>5</v>
      </c>
      <c r="D283" s="2">
        <v>0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1</v>
      </c>
      <c r="K283">
        <v>0</v>
      </c>
      <c r="L283">
        <v>0</v>
      </c>
      <c r="M283">
        <v>0</v>
      </c>
      <c r="N283">
        <v>5</v>
      </c>
      <c r="O283" s="3">
        <f t="shared" ref="O283:O322" si="54">M283/C283*100</f>
        <v>0</v>
      </c>
      <c r="P283">
        <f t="shared" si="44"/>
        <v>0</v>
      </c>
      <c r="Q283">
        <f t="shared" si="45"/>
        <v>0</v>
      </c>
      <c r="S283">
        <f t="shared" si="46"/>
        <v>-0.81521739130434778</v>
      </c>
      <c r="T283">
        <f t="shared" si="47"/>
        <v>0</v>
      </c>
      <c r="U283">
        <f t="shared" si="48"/>
        <v>-0.81521739130434778</v>
      </c>
      <c r="V283">
        <f t="shared" si="49"/>
        <v>0</v>
      </c>
      <c r="W283">
        <f t="shared" si="50"/>
        <v>0</v>
      </c>
      <c r="X283">
        <f t="shared" si="51"/>
        <v>0</v>
      </c>
      <c r="Y283">
        <f t="shared" si="52"/>
        <v>0</v>
      </c>
    </row>
    <row r="284" spans="1:25" x14ac:dyDescent="0.2">
      <c r="A284" t="s">
        <v>21</v>
      </c>
      <c r="B284" t="s">
        <v>975</v>
      </c>
      <c r="C284">
        <v>10</v>
      </c>
      <c r="D284" s="2">
        <v>0</v>
      </c>
      <c r="E284">
        <v>0</v>
      </c>
      <c r="F284">
        <v>0</v>
      </c>
      <c r="G284">
        <v>0</v>
      </c>
      <c r="H284">
        <v>0</v>
      </c>
      <c r="I284">
        <v>90</v>
      </c>
      <c r="J284">
        <v>1</v>
      </c>
      <c r="K284">
        <v>0</v>
      </c>
      <c r="L284">
        <v>1</v>
      </c>
      <c r="M284">
        <v>0</v>
      </c>
      <c r="N284">
        <v>11</v>
      </c>
      <c r="O284" s="3">
        <f t="shared" si="54"/>
        <v>0</v>
      </c>
      <c r="P284">
        <f t="shared" si="44"/>
        <v>0</v>
      </c>
      <c r="Q284">
        <f t="shared" si="45"/>
        <v>0</v>
      </c>
      <c r="S284">
        <f t="shared" si="46"/>
        <v>-1.3782608695652177</v>
      </c>
      <c r="T284">
        <f t="shared" si="47"/>
        <v>0</v>
      </c>
      <c r="U284">
        <f t="shared" si="48"/>
        <v>-0.97826086956521752</v>
      </c>
      <c r="V284">
        <f t="shared" si="49"/>
        <v>-0.4</v>
      </c>
      <c r="W284">
        <f t="shared" si="50"/>
        <v>0</v>
      </c>
      <c r="X284">
        <f t="shared" si="51"/>
        <v>0</v>
      </c>
      <c r="Y284">
        <f t="shared" si="52"/>
        <v>0</v>
      </c>
    </row>
    <row r="285" spans="1:25" ht="14" customHeight="1" x14ac:dyDescent="0.2">
      <c r="A285" t="s">
        <v>21</v>
      </c>
      <c r="B285" t="s">
        <v>976</v>
      </c>
      <c r="C285">
        <v>10</v>
      </c>
      <c r="D285" s="2">
        <v>0</v>
      </c>
      <c r="E285">
        <v>0</v>
      </c>
      <c r="F285">
        <v>0</v>
      </c>
      <c r="G285">
        <v>0</v>
      </c>
      <c r="H285">
        <v>0</v>
      </c>
      <c r="I285">
        <v>140</v>
      </c>
      <c r="J285">
        <v>1</v>
      </c>
      <c r="K285">
        <v>0</v>
      </c>
      <c r="L285">
        <v>1</v>
      </c>
      <c r="M285">
        <v>0</v>
      </c>
      <c r="N285">
        <v>11</v>
      </c>
      <c r="O285" s="3">
        <f t="shared" si="54"/>
        <v>0</v>
      </c>
      <c r="P285">
        <f t="shared" si="44"/>
        <v>0</v>
      </c>
      <c r="Q285">
        <f t="shared" si="45"/>
        <v>0</v>
      </c>
      <c r="S285">
        <f t="shared" si="46"/>
        <v>-1.9217391304347826</v>
      </c>
      <c r="T285">
        <f t="shared" si="47"/>
        <v>0</v>
      </c>
      <c r="U285">
        <f t="shared" si="48"/>
        <v>-1.5217391304347827</v>
      </c>
      <c r="V285">
        <f t="shared" si="49"/>
        <v>-0.4</v>
      </c>
      <c r="W285">
        <f t="shared" si="50"/>
        <v>0</v>
      </c>
      <c r="X285">
        <f t="shared" si="51"/>
        <v>0</v>
      </c>
      <c r="Y285">
        <f t="shared" si="52"/>
        <v>0</v>
      </c>
    </row>
    <row r="286" spans="1:25" x14ac:dyDescent="0.2">
      <c r="A286" t="s">
        <v>21</v>
      </c>
      <c r="B286" t="s">
        <v>985</v>
      </c>
      <c r="C286">
        <v>140</v>
      </c>
      <c r="D286" s="2">
        <v>0</v>
      </c>
      <c r="E286">
        <v>0</v>
      </c>
      <c r="F286">
        <v>0</v>
      </c>
      <c r="G286">
        <v>0</v>
      </c>
      <c r="H286">
        <v>0</v>
      </c>
      <c r="I286">
        <v>45</v>
      </c>
      <c r="J286">
        <v>39</v>
      </c>
      <c r="K286">
        <v>0</v>
      </c>
      <c r="L286">
        <v>38</v>
      </c>
      <c r="M286">
        <v>0</v>
      </c>
      <c r="N286">
        <v>178</v>
      </c>
      <c r="O286" s="3">
        <f t="shared" si="54"/>
        <v>0</v>
      </c>
      <c r="P286">
        <f t="shared" si="44"/>
        <v>0</v>
      </c>
      <c r="Q286">
        <f t="shared" si="45"/>
        <v>0</v>
      </c>
      <c r="S286">
        <f t="shared" si="46"/>
        <v>-15.689130434782612</v>
      </c>
      <c r="T286">
        <f t="shared" si="47"/>
        <v>0</v>
      </c>
      <c r="U286">
        <f t="shared" si="48"/>
        <v>-0.48913043478260876</v>
      </c>
      <c r="V286">
        <f t="shared" si="49"/>
        <v>-15.200000000000003</v>
      </c>
      <c r="W286">
        <f t="shared" si="50"/>
        <v>0</v>
      </c>
      <c r="X286">
        <f t="shared" si="51"/>
        <v>0</v>
      </c>
      <c r="Y286">
        <f t="shared" si="52"/>
        <v>0</v>
      </c>
    </row>
    <row r="287" spans="1:25" x14ac:dyDescent="0.2">
      <c r="A287" t="s">
        <v>21</v>
      </c>
      <c r="B287" t="s">
        <v>986</v>
      </c>
      <c r="C287">
        <v>190</v>
      </c>
      <c r="D287" s="2">
        <v>0</v>
      </c>
      <c r="E287">
        <v>0</v>
      </c>
      <c r="F287">
        <v>0</v>
      </c>
      <c r="G287">
        <v>0</v>
      </c>
      <c r="H287">
        <v>0</v>
      </c>
      <c r="I287">
        <v>60</v>
      </c>
      <c r="J287">
        <v>52</v>
      </c>
      <c r="K287">
        <v>0</v>
      </c>
      <c r="L287">
        <v>51</v>
      </c>
      <c r="M287">
        <v>0</v>
      </c>
      <c r="N287">
        <v>241</v>
      </c>
      <c r="O287" s="3">
        <f t="shared" si="54"/>
        <v>0</v>
      </c>
      <c r="P287">
        <f t="shared" si="44"/>
        <v>0</v>
      </c>
      <c r="Q287">
        <f t="shared" si="45"/>
        <v>0</v>
      </c>
      <c r="S287">
        <f t="shared" si="46"/>
        <v>-21.052173913043479</v>
      </c>
      <c r="T287">
        <f t="shared" si="47"/>
        <v>0</v>
      </c>
      <c r="U287">
        <f t="shared" si="48"/>
        <v>-0.65217391304347827</v>
      </c>
      <c r="V287">
        <f t="shared" si="49"/>
        <v>-20.400000000000002</v>
      </c>
      <c r="W287">
        <f t="shared" si="50"/>
        <v>0</v>
      </c>
      <c r="X287">
        <f t="shared" si="51"/>
        <v>0</v>
      </c>
      <c r="Y287">
        <f t="shared" si="52"/>
        <v>0</v>
      </c>
    </row>
    <row r="288" spans="1:25" x14ac:dyDescent="0.2">
      <c r="A288" t="s">
        <v>21</v>
      </c>
      <c r="B288" t="s">
        <v>987</v>
      </c>
      <c r="C288">
        <v>240</v>
      </c>
      <c r="D288" s="2">
        <v>0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65</v>
      </c>
      <c r="K288">
        <v>0</v>
      </c>
      <c r="L288">
        <v>64</v>
      </c>
      <c r="M288">
        <v>0</v>
      </c>
      <c r="N288">
        <v>304</v>
      </c>
      <c r="O288" s="3">
        <f t="shared" si="54"/>
        <v>0</v>
      </c>
      <c r="P288">
        <f t="shared" si="44"/>
        <v>0</v>
      </c>
      <c r="Q288">
        <f t="shared" si="45"/>
        <v>0</v>
      </c>
      <c r="S288">
        <f t="shared" si="46"/>
        <v>-26.415217391304349</v>
      </c>
      <c r="T288">
        <f t="shared" si="47"/>
        <v>0</v>
      </c>
      <c r="U288">
        <f t="shared" si="48"/>
        <v>-0.81521739130434778</v>
      </c>
      <c r="V288">
        <f t="shared" si="49"/>
        <v>-25.6</v>
      </c>
      <c r="W288">
        <f t="shared" si="50"/>
        <v>0</v>
      </c>
      <c r="X288">
        <f t="shared" si="51"/>
        <v>0</v>
      </c>
      <c r="Y288">
        <f t="shared" si="52"/>
        <v>0</v>
      </c>
    </row>
    <row r="289" spans="1:25" x14ac:dyDescent="0.2">
      <c r="A289" t="s">
        <v>21</v>
      </c>
      <c r="B289" t="s">
        <v>988</v>
      </c>
      <c r="C289">
        <v>360</v>
      </c>
      <c r="D289" s="2">
        <v>0</v>
      </c>
      <c r="E289">
        <v>0</v>
      </c>
      <c r="F289">
        <v>0</v>
      </c>
      <c r="G289">
        <v>0</v>
      </c>
      <c r="H289">
        <v>0</v>
      </c>
      <c r="I289">
        <v>110</v>
      </c>
      <c r="J289">
        <v>98</v>
      </c>
      <c r="K289">
        <v>0</v>
      </c>
      <c r="L289">
        <v>96</v>
      </c>
      <c r="M289">
        <v>0</v>
      </c>
      <c r="N289">
        <v>456</v>
      </c>
      <c r="O289" s="3">
        <f t="shared" si="54"/>
        <v>0</v>
      </c>
      <c r="P289">
        <f t="shared" si="44"/>
        <v>0</v>
      </c>
      <c r="Q289">
        <f t="shared" si="45"/>
        <v>0</v>
      </c>
      <c r="S289">
        <f t="shared" si="46"/>
        <v>-39.595652173913045</v>
      </c>
      <c r="T289">
        <f t="shared" si="47"/>
        <v>0</v>
      </c>
      <c r="U289">
        <f t="shared" si="48"/>
        <v>-1.1956521739130435</v>
      </c>
      <c r="V289">
        <f t="shared" si="49"/>
        <v>-38.4</v>
      </c>
      <c r="W289">
        <f t="shared" si="50"/>
        <v>0</v>
      </c>
      <c r="X289">
        <f t="shared" si="51"/>
        <v>0</v>
      </c>
      <c r="Y289">
        <f t="shared" si="52"/>
        <v>0</v>
      </c>
    </row>
    <row r="290" spans="1:25" x14ac:dyDescent="0.2">
      <c r="A290" t="s">
        <v>21</v>
      </c>
      <c r="B290" t="s">
        <v>989</v>
      </c>
      <c r="C290">
        <v>80</v>
      </c>
      <c r="D290" s="2">
        <v>0</v>
      </c>
      <c r="E290">
        <v>0</v>
      </c>
      <c r="F290">
        <v>0</v>
      </c>
      <c r="G290">
        <v>0</v>
      </c>
      <c r="H290">
        <v>0</v>
      </c>
      <c r="I290">
        <v>40</v>
      </c>
      <c r="J290">
        <v>22</v>
      </c>
      <c r="K290">
        <v>0</v>
      </c>
      <c r="L290">
        <v>22</v>
      </c>
      <c r="M290">
        <v>0</v>
      </c>
      <c r="N290">
        <v>102</v>
      </c>
      <c r="O290" s="3">
        <f t="shared" si="54"/>
        <v>0</v>
      </c>
      <c r="P290">
        <f t="shared" si="44"/>
        <v>0</v>
      </c>
      <c r="Q290">
        <f t="shared" si="45"/>
        <v>0</v>
      </c>
      <c r="S290">
        <f t="shared" si="46"/>
        <v>-9.234782608695653</v>
      </c>
      <c r="T290">
        <f t="shared" si="47"/>
        <v>0</v>
      </c>
      <c r="U290">
        <f t="shared" si="48"/>
        <v>-0.43478260869565216</v>
      </c>
      <c r="V290">
        <f t="shared" si="49"/>
        <v>-8.8000000000000007</v>
      </c>
      <c r="W290">
        <f t="shared" si="50"/>
        <v>0</v>
      </c>
      <c r="X290">
        <f t="shared" si="51"/>
        <v>0</v>
      </c>
      <c r="Y290">
        <f t="shared" si="52"/>
        <v>0</v>
      </c>
    </row>
    <row r="291" spans="1:25" x14ac:dyDescent="0.2">
      <c r="A291" t="s">
        <v>21</v>
      </c>
      <c r="B291" t="s">
        <v>990</v>
      </c>
      <c r="C291">
        <v>110</v>
      </c>
      <c r="D291" s="2">
        <v>0</v>
      </c>
      <c r="E291">
        <v>0</v>
      </c>
      <c r="F291">
        <v>0</v>
      </c>
      <c r="G291">
        <v>0</v>
      </c>
      <c r="H291">
        <v>0</v>
      </c>
      <c r="I291">
        <v>55</v>
      </c>
      <c r="J291">
        <v>29</v>
      </c>
      <c r="K291">
        <v>0</v>
      </c>
      <c r="L291">
        <v>29</v>
      </c>
      <c r="M291">
        <v>0</v>
      </c>
      <c r="N291">
        <v>139</v>
      </c>
      <c r="O291" s="3">
        <f t="shared" si="54"/>
        <v>0</v>
      </c>
      <c r="P291">
        <f t="shared" si="44"/>
        <v>0</v>
      </c>
      <c r="Q291">
        <f t="shared" si="45"/>
        <v>0</v>
      </c>
      <c r="S291">
        <f t="shared" si="46"/>
        <v>-12.197826086956521</v>
      </c>
      <c r="T291">
        <f t="shared" si="47"/>
        <v>0</v>
      </c>
      <c r="U291">
        <f t="shared" si="48"/>
        <v>-0.59782608695652173</v>
      </c>
      <c r="V291">
        <f t="shared" si="49"/>
        <v>-11.6</v>
      </c>
      <c r="W291">
        <f t="shared" si="50"/>
        <v>0</v>
      </c>
      <c r="X291">
        <f t="shared" si="51"/>
        <v>0</v>
      </c>
      <c r="Y291">
        <f t="shared" si="52"/>
        <v>0</v>
      </c>
    </row>
    <row r="292" spans="1:25" x14ac:dyDescent="0.2">
      <c r="A292" t="s">
        <v>21</v>
      </c>
      <c r="B292" t="s">
        <v>991</v>
      </c>
      <c r="C292">
        <v>140</v>
      </c>
      <c r="D292" s="2">
        <v>0</v>
      </c>
      <c r="E292">
        <v>0</v>
      </c>
      <c r="F292">
        <v>0</v>
      </c>
      <c r="G292">
        <v>0</v>
      </c>
      <c r="H292">
        <v>0</v>
      </c>
      <c r="I292">
        <v>70</v>
      </c>
      <c r="J292">
        <v>36</v>
      </c>
      <c r="K292">
        <v>0</v>
      </c>
      <c r="L292">
        <v>36</v>
      </c>
      <c r="M292">
        <v>0</v>
      </c>
      <c r="N292">
        <v>176</v>
      </c>
      <c r="O292" s="3">
        <f t="shared" si="54"/>
        <v>0</v>
      </c>
      <c r="P292">
        <f t="shared" si="44"/>
        <v>0</v>
      </c>
      <c r="Q292">
        <f t="shared" si="45"/>
        <v>0</v>
      </c>
      <c r="S292">
        <f t="shared" si="46"/>
        <v>-15.160869565217389</v>
      </c>
      <c r="T292">
        <f t="shared" si="47"/>
        <v>0</v>
      </c>
      <c r="U292">
        <f t="shared" si="48"/>
        <v>-0.76086956521739135</v>
      </c>
      <c r="V292">
        <f t="shared" si="49"/>
        <v>-14.399999999999999</v>
      </c>
      <c r="W292">
        <f t="shared" si="50"/>
        <v>0</v>
      </c>
      <c r="X292">
        <f t="shared" si="51"/>
        <v>0</v>
      </c>
      <c r="Y292">
        <f t="shared" si="52"/>
        <v>0</v>
      </c>
    </row>
    <row r="293" spans="1:25" x14ac:dyDescent="0.2">
      <c r="A293" t="s">
        <v>21</v>
      </c>
      <c r="B293" t="s">
        <v>992</v>
      </c>
      <c r="C293">
        <v>210</v>
      </c>
      <c r="D293" s="2">
        <v>0</v>
      </c>
      <c r="E293">
        <v>0</v>
      </c>
      <c r="F293">
        <v>0</v>
      </c>
      <c r="G293">
        <v>0</v>
      </c>
      <c r="H293">
        <v>0</v>
      </c>
      <c r="I293">
        <v>105</v>
      </c>
      <c r="J293">
        <v>55</v>
      </c>
      <c r="K293">
        <v>0</v>
      </c>
      <c r="L293">
        <v>54</v>
      </c>
      <c r="M293">
        <v>0</v>
      </c>
      <c r="N293">
        <v>264</v>
      </c>
      <c r="O293" s="3">
        <f t="shared" si="54"/>
        <v>0</v>
      </c>
      <c r="P293">
        <f t="shared" si="44"/>
        <v>0</v>
      </c>
      <c r="Q293">
        <f t="shared" si="45"/>
        <v>0</v>
      </c>
      <c r="S293">
        <f t="shared" si="46"/>
        <v>-22.741304347826087</v>
      </c>
      <c r="T293">
        <f t="shared" si="47"/>
        <v>0</v>
      </c>
      <c r="U293">
        <f t="shared" si="48"/>
        <v>-1.1413043478260869</v>
      </c>
      <c r="V293">
        <f t="shared" si="49"/>
        <v>-21.6</v>
      </c>
      <c r="W293">
        <f t="shared" si="50"/>
        <v>0</v>
      </c>
      <c r="X293">
        <f t="shared" si="51"/>
        <v>0</v>
      </c>
      <c r="Y293">
        <f t="shared" si="52"/>
        <v>0</v>
      </c>
    </row>
    <row r="294" spans="1:25" x14ac:dyDescent="0.2">
      <c r="A294" t="s">
        <v>21</v>
      </c>
      <c r="B294" t="s">
        <v>997</v>
      </c>
      <c r="C294">
        <v>80</v>
      </c>
      <c r="D294" s="2">
        <v>0</v>
      </c>
      <c r="E294">
        <v>0</v>
      </c>
      <c r="F294">
        <v>0</v>
      </c>
      <c r="G294">
        <v>0</v>
      </c>
      <c r="H294">
        <v>0</v>
      </c>
      <c r="I294">
        <v>45</v>
      </c>
      <c r="J294">
        <v>20</v>
      </c>
      <c r="K294">
        <v>0</v>
      </c>
      <c r="L294">
        <v>20</v>
      </c>
      <c r="M294">
        <v>0</v>
      </c>
      <c r="N294">
        <v>100</v>
      </c>
      <c r="O294" s="3">
        <f t="shared" si="54"/>
        <v>0</v>
      </c>
      <c r="P294">
        <f t="shared" si="44"/>
        <v>0</v>
      </c>
      <c r="Q294">
        <f t="shared" si="45"/>
        <v>0</v>
      </c>
      <c r="S294">
        <f t="shared" si="46"/>
        <v>-8.4891304347826111</v>
      </c>
      <c r="T294">
        <f t="shared" si="47"/>
        <v>0</v>
      </c>
      <c r="U294">
        <f t="shared" si="48"/>
        <v>-0.48913043478260876</v>
      </c>
      <c r="V294">
        <f t="shared" si="49"/>
        <v>-8.0000000000000018</v>
      </c>
      <c r="W294">
        <f t="shared" si="50"/>
        <v>0</v>
      </c>
      <c r="X294">
        <f t="shared" si="51"/>
        <v>0</v>
      </c>
      <c r="Y294">
        <f t="shared" si="52"/>
        <v>0</v>
      </c>
    </row>
    <row r="295" spans="1:25" x14ac:dyDescent="0.2">
      <c r="A295" t="s">
        <v>21</v>
      </c>
      <c r="B295" t="s">
        <v>998</v>
      </c>
      <c r="C295">
        <v>100</v>
      </c>
      <c r="D295" s="2">
        <v>0</v>
      </c>
      <c r="E295">
        <v>0</v>
      </c>
      <c r="F295">
        <v>0</v>
      </c>
      <c r="G295">
        <v>0</v>
      </c>
      <c r="H295">
        <v>0</v>
      </c>
      <c r="I295">
        <v>55</v>
      </c>
      <c r="J295">
        <v>26</v>
      </c>
      <c r="K295">
        <v>0</v>
      </c>
      <c r="L295">
        <v>26</v>
      </c>
      <c r="M295">
        <v>0</v>
      </c>
      <c r="N295">
        <v>126</v>
      </c>
      <c r="O295" s="3">
        <f t="shared" si="54"/>
        <v>0</v>
      </c>
      <c r="P295">
        <f t="shared" si="44"/>
        <v>0</v>
      </c>
      <c r="Q295">
        <f t="shared" si="45"/>
        <v>0</v>
      </c>
      <c r="S295">
        <f t="shared" si="46"/>
        <v>-10.997826086956522</v>
      </c>
      <c r="T295">
        <f t="shared" si="47"/>
        <v>0</v>
      </c>
      <c r="U295">
        <f t="shared" si="48"/>
        <v>-0.59782608695652173</v>
      </c>
      <c r="V295">
        <f t="shared" si="49"/>
        <v>-10.4</v>
      </c>
      <c r="W295">
        <f t="shared" si="50"/>
        <v>0</v>
      </c>
      <c r="X295">
        <f t="shared" si="51"/>
        <v>0</v>
      </c>
      <c r="Y295">
        <f t="shared" si="52"/>
        <v>0</v>
      </c>
    </row>
    <row r="296" spans="1:25" x14ac:dyDescent="0.2">
      <c r="A296" t="s">
        <v>21</v>
      </c>
      <c r="B296" t="s">
        <v>999</v>
      </c>
      <c r="C296">
        <v>130</v>
      </c>
      <c r="D296" s="2">
        <v>0</v>
      </c>
      <c r="E296">
        <v>0</v>
      </c>
      <c r="F296">
        <v>0</v>
      </c>
      <c r="G296">
        <v>0</v>
      </c>
      <c r="H296">
        <v>0</v>
      </c>
      <c r="I296">
        <v>70</v>
      </c>
      <c r="J296">
        <v>33</v>
      </c>
      <c r="K296">
        <v>0</v>
      </c>
      <c r="L296">
        <v>33</v>
      </c>
      <c r="M296">
        <v>0</v>
      </c>
      <c r="N296">
        <v>163</v>
      </c>
      <c r="O296" s="3">
        <f t="shared" si="54"/>
        <v>0</v>
      </c>
      <c r="P296">
        <f t="shared" si="44"/>
        <v>0</v>
      </c>
      <c r="Q296">
        <f t="shared" si="45"/>
        <v>0</v>
      </c>
      <c r="S296">
        <f t="shared" si="46"/>
        <v>-13.960869565217392</v>
      </c>
      <c r="T296">
        <f t="shared" si="47"/>
        <v>0</v>
      </c>
      <c r="U296">
        <f t="shared" si="48"/>
        <v>-0.76086956521739135</v>
      </c>
      <c r="V296">
        <f t="shared" si="49"/>
        <v>-13.200000000000001</v>
      </c>
      <c r="W296">
        <f t="shared" si="50"/>
        <v>0</v>
      </c>
      <c r="X296">
        <f t="shared" si="51"/>
        <v>0</v>
      </c>
      <c r="Y296">
        <f t="shared" si="52"/>
        <v>0</v>
      </c>
    </row>
    <row r="297" spans="1:25" x14ac:dyDescent="0.2">
      <c r="A297" t="s">
        <v>21</v>
      </c>
      <c r="B297" t="s">
        <v>1000</v>
      </c>
      <c r="C297">
        <v>190</v>
      </c>
      <c r="D297" s="2">
        <v>0</v>
      </c>
      <c r="E297">
        <v>0</v>
      </c>
      <c r="F297">
        <v>0</v>
      </c>
      <c r="G297">
        <v>0</v>
      </c>
      <c r="H297">
        <v>0</v>
      </c>
      <c r="I297">
        <v>110</v>
      </c>
      <c r="J297">
        <v>49</v>
      </c>
      <c r="K297">
        <v>0</v>
      </c>
      <c r="L297">
        <v>49</v>
      </c>
      <c r="M297">
        <v>0</v>
      </c>
      <c r="N297">
        <v>239</v>
      </c>
      <c r="O297" s="3">
        <f t="shared" si="54"/>
        <v>0</v>
      </c>
      <c r="P297">
        <f t="shared" si="44"/>
        <v>0</v>
      </c>
      <c r="Q297">
        <f t="shared" si="45"/>
        <v>0</v>
      </c>
      <c r="S297">
        <f t="shared" si="46"/>
        <v>-20.795652173913044</v>
      </c>
      <c r="T297">
        <f t="shared" si="47"/>
        <v>0</v>
      </c>
      <c r="U297">
        <f t="shared" si="48"/>
        <v>-1.1956521739130435</v>
      </c>
      <c r="V297">
        <f t="shared" si="49"/>
        <v>-19.600000000000001</v>
      </c>
      <c r="W297">
        <f t="shared" si="50"/>
        <v>0</v>
      </c>
      <c r="X297">
        <f t="shared" si="51"/>
        <v>0</v>
      </c>
      <c r="Y297">
        <f t="shared" si="52"/>
        <v>0</v>
      </c>
    </row>
    <row r="298" spans="1:25" x14ac:dyDescent="0.2">
      <c r="A298" t="s">
        <v>21</v>
      </c>
      <c r="B298" t="s">
        <v>1001</v>
      </c>
      <c r="C298">
        <v>80</v>
      </c>
      <c r="D298" s="2">
        <v>0</v>
      </c>
      <c r="E298">
        <v>0</v>
      </c>
      <c r="F298">
        <v>0</v>
      </c>
      <c r="G298">
        <v>0</v>
      </c>
      <c r="H298">
        <v>0</v>
      </c>
      <c r="I298">
        <v>45</v>
      </c>
      <c r="J298">
        <v>22</v>
      </c>
      <c r="K298">
        <v>0</v>
      </c>
      <c r="L298">
        <v>21</v>
      </c>
      <c r="M298">
        <v>0</v>
      </c>
      <c r="N298">
        <v>101</v>
      </c>
      <c r="O298" s="3">
        <f t="shared" si="54"/>
        <v>0</v>
      </c>
      <c r="P298">
        <f t="shared" si="44"/>
        <v>0</v>
      </c>
      <c r="Q298">
        <f t="shared" si="45"/>
        <v>0</v>
      </c>
      <c r="S298">
        <f t="shared" si="46"/>
        <v>-8.8891304347826097</v>
      </c>
      <c r="T298">
        <f t="shared" si="47"/>
        <v>0</v>
      </c>
      <c r="U298">
        <f t="shared" si="48"/>
        <v>-0.48913043478260876</v>
      </c>
      <c r="V298">
        <f t="shared" si="49"/>
        <v>-8.4</v>
      </c>
      <c r="W298">
        <f t="shared" si="50"/>
        <v>0</v>
      </c>
      <c r="X298">
        <f t="shared" si="51"/>
        <v>0</v>
      </c>
      <c r="Y298">
        <f t="shared" si="52"/>
        <v>0</v>
      </c>
    </row>
    <row r="299" spans="1:25" x14ac:dyDescent="0.2">
      <c r="A299" t="s">
        <v>21</v>
      </c>
      <c r="B299" t="s">
        <v>1002</v>
      </c>
      <c r="C299">
        <v>110</v>
      </c>
      <c r="D299" s="2">
        <v>0</v>
      </c>
      <c r="E299">
        <v>0</v>
      </c>
      <c r="F299">
        <v>0</v>
      </c>
      <c r="G299">
        <v>0</v>
      </c>
      <c r="H299">
        <v>0</v>
      </c>
      <c r="I299">
        <v>65</v>
      </c>
      <c r="J299">
        <v>29</v>
      </c>
      <c r="K299">
        <v>0</v>
      </c>
      <c r="L299">
        <v>29</v>
      </c>
      <c r="M299">
        <v>0</v>
      </c>
      <c r="N299">
        <v>139</v>
      </c>
      <c r="O299" s="3">
        <f t="shared" si="54"/>
        <v>0</v>
      </c>
      <c r="P299">
        <f t="shared" si="44"/>
        <v>0</v>
      </c>
      <c r="Q299">
        <f t="shared" si="45"/>
        <v>0</v>
      </c>
      <c r="S299">
        <f t="shared" si="46"/>
        <v>-12.306521739130435</v>
      </c>
      <c r="T299">
        <f t="shared" si="47"/>
        <v>0</v>
      </c>
      <c r="U299">
        <f t="shared" si="48"/>
        <v>-0.70652173913043481</v>
      </c>
      <c r="V299">
        <f t="shared" si="49"/>
        <v>-11.6</v>
      </c>
      <c r="W299">
        <f t="shared" si="50"/>
        <v>0</v>
      </c>
      <c r="X299">
        <f t="shared" si="51"/>
        <v>0</v>
      </c>
      <c r="Y299">
        <f t="shared" si="52"/>
        <v>0</v>
      </c>
    </row>
    <row r="300" spans="1:25" x14ac:dyDescent="0.2">
      <c r="A300" t="s">
        <v>21</v>
      </c>
      <c r="B300" t="s">
        <v>1003</v>
      </c>
      <c r="C300">
        <v>130</v>
      </c>
      <c r="D300" s="2">
        <v>0</v>
      </c>
      <c r="E300">
        <v>0</v>
      </c>
      <c r="F300">
        <v>0</v>
      </c>
      <c r="G300">
        <v>0</v>
      </c>
      <c r="H300">
        <v>0</v>
      </c>
      <c r="I300">
        <v>80</v>
      </c>
      <c r="J300">
        <v>36</v>
      </c>
      <c r="K300">
        <v>0</v>
      </c>
      <c r="L300">
        <v>36</v>
      </c>
      <c r="M300">
        <v>0</v>
      </c>
      <c r="N300">
        <v>166</v>
      </c>
      <c r="O300" s="3">
        <f t="shared" si="54"/>
        <v>0</v>
      </c>
      <c r="P300">
        <f t="shared" si="44"/>
        <v>0</v>
      </c>
      <c r="Q300">
        <f t="shared" si="45"/>
        <v>0</v>
      </c>
      <c r="S300">
        <f t="shared" si="46"/>
        <v>-15.269565217391303</v>
      </c>
      <c r="T300">
        <f t="shared" si="47"/>
        <v>0</v>
      </c>
      <c r="U300">
        <f t="shared" si="48"/>
        <v>-0.86956521739130432</v>
      </c>
      <c r="V300">
        <f t="shared" si="49"/>
        <v>-14.399999999999999</v>
      </c>
      <c r="W300">
        <f t="shared" si="50"/>
        <v>0</v>
      </c>
      <c r="X300">
        <f t="shared" si="51"/>
        <v>0</v>
      </c>
      <c r="Y300">
        <f t="shared" si="52"/>
        <v>0</v>
      </c>
    </row>
    <row r="301" spans="1:25" x14ac:dyDescent="0.2">
      <c r="A301" t="s">
        <v>21</v>
      </c>
      <c r="B301" t="s">
        <v>1004</v>
      </c>
      <c r="C301">
        <v>200</v>
      </c>
      <c r="D301" s="2">
        <v>0</v>
      </c>
      <c r="E301">
        <v>0</v>
      </c>
      <c r="F301">
        <v>0</v>
      </c>
      <c r="G301">
        <v>0</v>
      </c>
      <c r="H301">
        <v>0</v>
      </c>
      <c r="I301">
        <v>120</v>
      </c>
      <c r="J301">
        <v>54</v>
      </c>
      <c r="K301">
        <v>0</v>
      </c>
      <c r="L301">
        <v>54</v>
      </c>
      <c r="M301">
        <v>0</v>
      </c>
      <c r="N301">
        <v>254</v>
      </c>
      <c r="O301" s="3">
        <f t="shared" si="54"/>
        <v>0</v>
      </c>
      <c r="P301">
        <f t="shared" si="44"/>
        <v>0</v>
      </c>
      <c r="Q301">
        <f t="shared" si="45"/>
        <v>0</v>
      </c>
      <c r="S301">
        <f t="shared" si="46"/>
        <v>-22.904347826086958</v>
      </c>
      <c r="T301">
        <f t="shared" si="47"/>
        <v>0</v>
      </c>
      <c r="U301">
        <f t="shared" si="48"/>
        <v>-1.3043478260869565</v>
      </c>
      <c r="V301">
        <f t="shared" si="49"/>
        <v>-21.6</v>
      </c>
      <c r="W301">
        <f t="shared" si="50"/>
        <v>0</v>
      </c>
      <c r="X301">
        <f t="shared" si="51"/>
        <v>0</v>
      </c>
      <c r="Y301">
        <f t="shared" si="52"/>
        <v>0</v>
      </c>
    </row>
    <row r="302" spans="1:25" x14ac:dyDescent="0.2">
      <c r="A302" t="s">
        <v>21</v>
      </c>
      <c r="B302" t="s">
        <v>1009</v>
      </c>
      <c r="C302">
        <v>160</v>
      </c>
      <c r="D302" s="2">
        <v>0</v>
      </c>
      <c r="E302">
        <v>0</v>
      </c>
      <c r="F302">
        <v>0</v>
      </c>
      <c r="G302">
        <v>0</v>
      </c>
      <c r="H302">
        <v>0</v>
      </c>
      <c r="I302">
        <v>35</v>
      </c>
      <c r="J302">
        <v>42</v>
      </c>
      <c r="K302">
        <v>0</v>
      </c>
      <c r="L302">
        <v>42</v>
      </c>
      <c r="M302">
        <v>0</v>
      </c>
      <c r="N302">
        <v>202</v>
      </c>
      <c r="O302" s="3">
        <f t="shared" si="54"/>
        <v>0</v>
      </c>
      <c r="P302">
        <f t="shared" si="44"/>
        <v>0</v>
      </c>
      <c r="Q302">
        <f t="shared" si="45"/>
        <v>0</v>
      </c>
      <c r="S302">
        <f t="shared" si="46"/>
        <v>-17.180434782608696</v>
      </c>
      <c r="T302">
        <f t="shared" si="47"/>
        <v>0</v>
      </c>
      <c r="U302">
        <f t="shared" si="48"/>
        <v>-0.38043478260869568</v>
      </c>
      <c r="V302">
        <f t="shared" si="49"/>
        <v>-16.8</v>
      </c>
      <c r="W302">
        <f t="shared" si="50"/>
        <v>0</v>
      </c>
      <c r="X302">
        <f t="shared" si="51"/>
        <v>0</v>
      </c>
      <c r="Y302">
        <f t="shared" si="52"/>
        <v>0</v>
      </c>
    </row>
    <row r="303" spans="1:25" x14ac:dyDescent="0.2">
      <c r="A303" t="s">
        <v>21</v>
      </c>
      <c r="B303" t="s">
        <v>1010</v>
      </c>
      <c r="C303">
        <v>210</v>
      </c>
      <c r="D303" s="2">
        <v>0</v>
      </c>
      <c r="E303">
        <v>0</v>
      </c>
      <c r="F303">
        <v>0</v>
      </c>
      <c r="G303">
        <v>0</v>
      </c>
      <c r="H303">
        <v>0</v>
      </c>
      <c r="I303">
        <v>45</v>
      </c>
      <c r="J303">
        <v>57</v>
      </c>
      <c r="K303">
        <v>0</v>
      </c>
      <c r="L303">
        <v>57</v>
      </c>
      <c r="M303">
        <v>0</v>
      </c>
      <c r="N303">
        <v>267</v>
      </c>
      <c r="O303" s="3">
        <f t="shared" si="54"/>
        <v>0</v>
      </c>
      <c r="P303">
        <f t="shared" si="44"/>
        <v>0</v>
      </c>
      <c r="Q303">
        <f t="shared" si="45"/>
        <v>0</v>
      </c>
      <c r="S303">
        <f t="shared" si="46"/>
        <v>-23.289130434782606</v>
      </c>
      <c r="T303">
        <f t="shared" si="47"/>
        <v>0</v>
      </c>
      <c r="U303">
        <f t="shared" si="48"/>
        <v>-0.48913043478260876</v>
      </c>
      <c r="V303">
        <f t="shared" si="49"/>
        <v>-22.799999999999997</v>
      </c>
      <c r="W303">
        <f t="shared" si="50"/>
        <v>0</v>
      </c>
      <c r="X303">
        <f t="shared" si="51"/>
        <v>0</v>
      </c>
      <c r="Y303">
        <f t="shared" si="52"/>
        <v>0</v>
      </c>
    </row>
    <row r="304" spans="1:25" x14ac:dyDescent="0.2">
      <c r="A304" t="s">
        <v>21</v>
      </c>
      <c r="B304" t="s">
        <v>1011</v>
      </c>
      <c r="C304">
        <v>260</v>
      </c>
      <c r="D304" s="2">
        <v>0</v>
      </c>
      <c r="E304">
        <v>0</v>
      </c>
      <c r="F304">
        <v>0</v>
      </c>
      <c r="G304">
        <v>0</v>
      </c>
      <c r="H304">
        <v>0</v>
      </c>
      <c r="I304">
        <v>55</v>
      </c>
      <c r="J304">
        <v>71</v>
      </c>
      <c r="K304">
        <v>0</v>
      </c>
      <c r="L304">
        <v>71</v>
      </c>
      <c r="M304">
        <v>0</v>
      </c>
      <c r="N304">
        <v>331</v>
      </c>
      <c r="O304" s="3">
        <f t="shared" si="54"/>
        <v>0</v>
      </c>
      <c r="P304">
        <f t="shared" si="44"/>
        <v>0</v>
      </c>
      <c r="Q304">
        <f t="shared" si="45"/>
        <v>0</v>
      </c>
      <c r="S304">
        <f t="shared" si="46"/>
        <v>-28.997826086956522</v>
      </c>
      <c r="T304">
        <f t="shared" si="47"/>
        <v>0</v>
      </c>
      <c r="U304">
        <f t="shared" si="48"/>
        <v>-0.59782608695652173</v>
      </c>
      <c r="V304">
        <f t="shared" si="49"/>
        <v>-28.4</v>
      </c>
      <c r="W304">
        <f t="shared" si="50"/>
        <v>0</v>
      </c>
      <c r="X304">
        <f t="shared" si="51"/>
        <v>0</v>
      </c>
      <c r="Y304">
        <f t="shared" si="52"/>
        <v>0</v>
      </c>
    </row>
    <row r="305" spans="1:25" x14ac:dyDescent="0.2">
      <c r="A305" t="s">
        <v>21</v>
      </c>
      <c r="B305" t="s">
        <v>1012</v>
      </c>
      <c r="C305">
        <v>400</v>
      </c>
      <c r="D305" s="2">
        <v>0</v>
      </c>
      <c r="E305">
        <v>0</v>
      </c>
      <c r="F305">
        <v>0</v>
      </c>
      <c r="G305">
        <v>0</v>
      </c>
      <c r="H305">
        <v>0</v>
      </c>
      <c r="I305">
        <v>80</v>
      </c>
      <c r="J305">
        <v>106</v>
      </c>
      <c r="K305">
        <v>0</v>
      </c>
      <c r="L305">
        <v>106</v>
      </c>
      <c r="M305">
        <v>0</v>
      </c>
      <c r="N305">
        <v>506</v>
      </c>
      <c r="O305" s="3">
        <f t="shared" si="54"/>
        <v>0</v>
      </c>
      <c r="P305">
        <f t="shared" si="44"/>
        <v>0</v>
      </c>
      <c r="Q305">
        <f t="shared" si="45"/>
        <v>0</v>
      </c>
      <c r="S305">
        <f t="shared" si="46"/>
        <v>-43.26956521739131</v>
      </c>
      <c r="T305">
        <f t="shared" si="47"/>
        <v>0</v>
      </c>
      <c r="U305">
        <f t="shared" si="48"/>
        <v>-0.86956521739130432</v>
      </c>
      <c r="V305">
        <f t="shared" si="49"/>
        <v>-42.400000000000006</v>
      </c>
      <c r="W305">
        <f t="shared" si="50"/>
        <v>0</v>
      </c>
      <c r="X305">
        <f t="shared" si="51"/>
        <v>0</v>
      </c>
      <c r="Y305">
        <f t="shared" si="52"/>
        <v>0</v>
      </c>
    </row>
    <row r="306" spans="1:25" x14ac:dyDescent="0.2">
      <c r="A306" t="s">
        <v>21</v>
      </c>
      <c r="B306" t="s">
        <v>1013</v>
      </c>
      <c r="C306">
        <v>160</v>
      </c>
      <c r="D306" s="2">
        <v>0</v>
      </c>
      <c r="E306">
        <v>0</v>
      </c>
      <c r="F306">
        <v>0</v>
      </c>
      <c r="G306">
        <v>0</v>
      </c>
      <c r="H306">
        <v>0</v>
      </c>
      <c r="I306">
        <v>70</v>
      </c>
      <c r="J306">
        <v>44</v>
      </c>
      <c r="K306">
        <v>0</v>
      </c>
      <c r="L306">
        <v>44</v>
      </c>
      <c r="M306">
        <v>0</v>
      </c>
      <c r="N306">
        <v>204</v>
      </c>
      <c r="O306" s="3">
        <f t="shared" si="54"/>
        <v>0</v>
      </c>
      <c r="P306">
        <f t="shared" si="44"/>
        <v>0</v>
      </c>
      <c r="Q306">
        <f t="shared" si="45"/>
        <v>0</v>
      </c>
      <c r="S306">
        <f t="shared" si="46"/>
        <v>-18.360869565217392</v>
      </c>
      <c r="T306">
        <f t="shared" si="47"/>
        <v>0</v>
      </c>
      <c r="U306">
        <f t="shared" si="48"/>
        <v>-0.76086956521739135</v>
      </c>
      <c r="V306">
        <f t="shared" si="49"/>
        <v>-17.600000000000001</v>
      </c>
      <c r="W306">
        <f t="shared" si="50"/>
        <v>0</v>
      </c>
      <c r="X306">
        <f t="shared" si="51"/>
        <v>0</v>
      </c>
      <c r="Y306">
        <f t="shared" si="52"/>
        <v>0</v>
      </c>
    </row>
    <row r="307" spans="1:25" x14ac:dyDescent="0.2">
      <c r="A307" t="s">
        <v>21</v>
      </c>
      <c r="B307" t="s">
        <v>1014</v>
      </c>
      <c r="C307">
        <v>220</v>
      </c>
      <c r="D307" s="2">
        <v>0</v>
      </c>
      <c r="E307">
        <v>0</v>
      </c>
      <c r="F307">
        <v>0</v>
      </c>
      <c r="G307">
        <v>0</v>
      </c>
      <c r="H307">
        <v>0</v>
      </c>
      <c r="I307">
        <v>95</v>
      </c>
      <c r="J307">
        <v>58</v>
      </c>
      <c r="K307">
        <v>0</v>
      </c>
      <c r="L307">
        <v>58</v>
      </c>
      <c r="M307">
        <v>0</v>
      </c>
      <c r="N307">
        <v>278</v>
      </c>
      <c r="O307" s="3">
        <f t="shared" si="54"/>
        <v>0</v>
      </c>
      <c r="P307">
        <f t="shared" si="44"/>
        <v>0</v>
      </c>
      <c r="Q307">
        <f t="shared" si="45"/>
        <v>0</v>
      </c>
      <c r="S307">
        <f t="shared" si="46"/>
        <v>-24.232608695652175</v>
      </c>
      <c r="T307">
        <f t="shared" si="47"/>
        <v>0</v>
      </c>
      <c r="U307">
        <f t="shared" si="48"/>
        <v>-1.0326086956521738</v>
      </c>
      <c r="V307">
        <f t="shared" si="49"/>
        <v>-23.2</v>
      </c>
      <c r="W307">
        <f t="shared" si="50"/>
        <v>0</v>
      </c>
      <c r="X307">
        <f t="shared" si="51"/>
        <v>0</v>
      </c>
      <c r="Y307">
        <f t="shared" si="52"/>
        <v>0</v>
      </c>
    </row>
    <row r="308" spans="1:25" x14ac:dyDescent="0.2">
      <c r="A308" t="s">
        <v>21</v>
      </c>
      <c r="B308" t="s">
        <v>1015</v>
      </c>
      <c r="C308">
        <v>270</v>
      </c>
      <c r="D308" s="2">
        <v>0</v>
      </c>
      <c r="E308">
        <v>0</v>
      </c>
      <c r="F308">
        <v>0</v>
      </c>
      <c r="G308">
        <v>0</v>
      </c>
      <c r="H308">
        <v>0</v>
      </c>
      <c r="I308">
        <v>120</v>
      </c>
      <c r="J308">
        <v>73</v>
      </c>
      <c r="K308">
        <v>0</v>
      </c>
      <c r="L308">
        <v>73</v>
      </c>
      <c r="M308">
        <v>0</v>
      </c>
      <c r="N308">
        <v>343</v>
      </c>
      <c r="O308" s="3">
        <f t="shared" si="54"/>
        <v>0</v>
      </c>
      <c r="P308">
        <f t="shared" si="44"/>
        <v>0</v>
      </c>
      <c r="Q308">
        <f t="shared" si="45"/>
        <v>0</v>
      </c>
      <c r="S308">
        <f t="shared" si="46"/>
        <v>-30.504347826086956</v>
      </c>
      <c r="T308">
        <f t="shared" si="47"/>
        <v>0</v>
      </c>
      <c r="U308">
        <f t="shared" si="48"/>
        <v>-1.3043478260869565</v>
      </c>
      <c r="V308">
        <f t="shared" si="49"/>
        <v>-29.2</v>
      </c>
      <c r="W308">
        <f t="shared" si="50"/>
        <v>0</v>
      </c>
      <c r="X308">
        <f t="shared" si="51"/>
        <v>0</v>
      </c>
      <c r="Y308">
        <f t="shared" si="52"/>
        <v>0</v>
      </c>
    </row>
    <row r="309" spans="1:25" x14ac:dyDescent="0.2">
      <c r="A309" t="s">
        <v>21</v>
      </c>
      <c r="B309" t="s">
        <v>1016</v>
      </c>
      <c r="C309">
        <v>410</v>
      </c>
      <c r="D309" s="2">
        <v>0</v>
      </c>
      <c r="E309">
        <v>0</v>
      </c>
      <c r="F309">
        <v>0</v>
      </c>
      <c r="G309">
        <v>0</v>
      </c>
      <c r="H309">
        <v>0</v>
      </c>
      <c r="I309">
        <v>180</v>
      </c>
      <c r="J309">
        <v>109</v>
      </c>
      <c r="K309">
        <v>0</v>
      </c>
      <c r="L309">
        <v>109</v>
      </c>
      <c r="M309">
        <v>0</v>
      </c>
      <c r="N309">
        <v>519</v>
      </c>
      <c r="O309" s="3">
        <f t="shared" si="54"/>
        <v>0</v>
      </c>
      <c r="P309">
        <f t="shared" si="44"/>
        <v>0</v>
      </c>
      <c r="Q309">
        <f t="shared" si="45"/>
        <v>0</v>
      </c>
      <c r="S309">
        <f t="shared" si="46"/>
        <v>-45.556521739130446</v>
      </c>
      <c r="T309">
        <f t="shared" si="47"/>
        <v>0</v>
      </c>
      <c r="U309">
        <f t="shared" si="48"/>
        <v>-1.956521739130435</v>
      </c>
      <c r="V309">
        <f t="shared" si="49"/>
        <v>-43.600000000000009</v>
      </c>
      <c r="W309">
        <f t="shared" si="50"/>
        <v>0</v>
      </c>
      <c r="X309">
        <f t="shared" si="51"/>
        <v>0</v>
      </c>
      <c r="Y309">
        <f t="shared" si="52"/>
        <v>0</v>
      </c>
    </row>
    <row r="310" spans="1:25" x14ac:dyDescent="0.2">
      <c r="A310" t="s">
        <v>21</v>
      </c>
      <c r="B310" t="s">
        <v>1017</v>
      </c>
      <c r="C310">
        <v>150</v>
      </c>
      <c r="D310" s="2">
        <v>0</v>
      </c>
      <c r="E310">
        <v>0</v>
      </c>
      <c r="F310">
        <v>0</v>
      </c>
      <c r="G310">
        <v>0</v>
      </c>
      <c r="H310">
        <v>0</v>
      </c>
      <c r="I310">
        <v>35</v>
      </c>
      <c r="J310">
        <v>41</v>
      </c>
      <c r="K310">
        <v>0</v>
      </c>
      <c r="L310">
        <v>41</v>
      </c>
      <c r="M310">
        <v>0</v>
      </c>
      <c r="N310">
        <v>191</v>
      </c>
      <c r="O310" s="3">
        <f t="shared" si="54"/>
        <v>0</v>
      </c>
      <c r="P310">
        <f t="shared" si="44"/>
        <v>0</v>
      </c>
      <c r="Q310">
        <f t="shared" si="45"/>
        <v>0</v>
      </c>
      <c r="S310">
        <f t="shared" si="46"/>
        <v>-16.780434782608697</v>
      </c>
      <c r="T310">
        <f t="shared" si="47"/>
        <v>0</v>
      </c>
      <c r="U310">
        <f t="shared" si="48"/>
        <v>-0.38043478260869568</v>
      </c>
      <c r="V310">
        <f t="shared" si="49"/>
        <v>-16.400000000000002</v>
      </c>
      <c r="W310">
        <f t="shared" si="50"/>
        <v>0</v>
      </c>
      <c r="X310">
        <f t="shared" si="51"/>
        <v>0</v>
      </c>
      <c r="Y310">
        <f t="shared" si="52"/>
        <v>0</v>
      </c>
    </row>
    <row r="311" spans="1:25" x14ac:dyDescent="0.2">
      <c r="A311" t="s">
        <v>21</v>
      </c>
      <c r="B311" t="s">
        <v>1018</v>
      </c>
      <c r="C311">
        <v>200</v>
      </c>
      <c r="D311" s="2">
        <v>0</v>
      </c>
      <c r="E311">
        <v>0</v>
      </c>
      <c r="F311">
        <v>0</v>
      </c>
      <c r="G311">
        <v>0</v>
      </c>
      <c r="H311">
        <v>0</v>
      </c>
      <c r="I311">
        <v>45</v>
      </c>
      <c r="J311">
        <v>54</v>
      </c>
      <c r="K311">
        <v>0</v>
      </c>
      <c r="L311">
        <v>54</v>
      </c>
      <c r="M311">
        <v>0</v>
      </c>
      <c r="N311">
        <v>254</v>
      </c>
      <c r="O311" s="3">
        <f t="shared" si="54"/>
        <v>0</v>
      </c>
      <c r="P311">
        <f t="shared" si="44"/>
        <v>0</v>
      </c>
      <c r="Q311">
        <f t="shared" si="45"/>
        <v>0</v>
      </c>
      <c r="S311">
        <f t="shared" si="46"/>
        <v>-22.089130434782611</v>
      </c>
      <c r="T311">
        <f t="shared" si="47"/>
        <v>0</v>
      </c>
      <c r="U311">
        <f t="shared" si="48"/>
        <v>-0.48913043478260876</v>
      </c>
      <c r="V311">
        <f t="shared" si="49"/>
        <v>-21.6</v>
      </c>
      <c r="W311">
        <f t="shared" si="50"/>
        <v>0</v>
      </c>
      <c r="X311">
        <f t="shared" si="51"/>
        <v>0</v>
      </c>
      <c r="Y311">
        <f t="shared" si="52"/>
        <v>0</v>
      </c>
    </row>
    <row r="312" spans="1:25" x14ac:dyDescent="0.2">
      <c r="A312" t="s">
        <v>21</v>
      </c>
      <c r="B312" t="s">
        <v>1019</v>
      </c>
      <c r="C312">
        <v>260</v>
      </c>
      <c r="D312" s="2">
        <v>0</v>
      </c>
      <c r="E312">
        <v>0</v>
      </c>
      <c r="F312">
        <v>0</v>
      </c>
      <c r="G312">
        <v>0</v>
      </c>
      <c r="H312">
        <v>0</v>
      </c>
      <c r="I312">
        <v>55</v>
      </c>
      <c r="J312">
        <v>68</v>
      </c>
      <c r="K312">
        <v>0</v>
      </c>
      <c r="L312">
        <v>68</v>
      </c>
      <c r="M312">
        <v>0</v>
      </c>
      <c r="N312">
        <v>328</v>
      </c>
      <c r="O312" s="3">
        <f t="shared" si="54"/>
        <v>0</v>
      </c>
      <c r="P312">
        <f t="shared" si="44"/>
        <v>0</v>
      </c>
      <c r="Q312">
        <f t="shared" si="45"/>
        <v>0</v>
      </c>
      <c r="S312">
        <f t="shared" si="46"/>
        <v>-27.797826086956526</v>
      </c>
      <c r="T312">
        <f t="shared" si="47"/>
        <v>0</v>
      </c>
      <c r="U312">
        <f t="shared" si="48"/>
        <v>-0.59782608695652173</v>
      </c>
      <c r="V312">
        <f t="shared" si="49"/>
        <v>-27.200000000000003</v>
      </c>
      <c r="W312">
        <f t="shared" si="50"/>
        <v>0</v>
      </c>
      <c r="X312">
        <f t="shared" si="51"/>
        <v>0</v>
      </c>
      <c r="Y312">
        <f t="shared" si="52"/>
        <v>0</v>
      </c>
    </row>
    <row r="313" spans="1:25" x14ac:dyDescent="0.2">
      <c r="A313" t="s">
        <v>21</v>
      </c>
      <c r="B313" t="s">
        <v>1020</v>
      </c>
      <c r="C313">
        <v>380</v>
      </c>
      <c r="D313" s="2">
        <v>0</v>
      </c>
      <c r="E313">
        <v>0</v>
      </c>
      <c r="F313">
        <v>0</v>
      </c>
      <c r="G313">
        <v>0</v>
      </c>
      <c r="H313">
        <v>0</v>
      </c>
      <c r="I313">
        <v>80</v>
      </c>
      <c r="J313">
        <v>101</v>
      </c>
      <c r="K313">
        <v>0</v>
      </c>
      <c r="L313">
        <v>101</v>
      </c>
      <c r="M313">
        <v>0</v>
      </c>
      <c r="N313">
        <v>481</v>
      </c>
      <c r="O313" s="3">
        <f t="shared" si="54"/>
        <v>0</v>
      </c>
      <c r="P313">
        <f t="shared" si="44"/>
        <v>0</v>
      </c>
      <c r="Q313">
        <f t="shared" si="45"/>
        <v>0</v>
      </c>
      <c r="S313">
        <f t="shared" si="46"/>
        <v>-41.26956521739131</v>
      </c>
      <c r="T313">
        <f t="shared" si="47"/>
        <v>0</v>
      </c>
      <c r="U313">
        <f t="shared" si="48"/>
        <v>-0.86956521739130432</v>
      </c>
      <c r="V313">
        <f t="shared" si="49"/>
        <v>-40.400000000000006</v>
      </c>
      <c r="W313">
        <f t="shared" si="50"/>
        <v>0</v>
      </c>
      <c r="X313">
        <f t="shared" si="51"/>
        <v>0</v>
      </c>
      <c r="Y313">
        <f t="shared" si="52"/>
        <v>0</v>
      </c>
    </row>
    <row r="314" spans="1:25" x14ac:dyDescent="0.2">
      <c r="A314" t="s">
        <v>21</v>
      </c>
      <c r="B314" t="s">
        <v>1021</v>
      </c>
      <c r="C314">
        <v>120</v>
      </c>
      <c r="D314" s="2">
        <v>0</v>
      </c>
      <c r="E314">
        <v>0</v>
      </c>
      <c r="F314">
        <v>0</v>
      </c>
      <c r="G314">
        <v>0</v>
      </c>
      <c r="H314">
        <v>0</v>
      </c>
      <c r="I314">
        <v>190</v>
      </c>
      <c r="J314">
        <v>32</v>
      </c>
      <c r="K314">
        <v>0</v>
      </c>
      <c r="L314">
        <v>25</v>
      </c>
      <c r="M314">
        <v>0</v>
      </c>
      <c r="N314">
        <v>145</v>
      </c>
      <c r="O314" s="3">
        <f t="shared" si="54"/>
        <v>0</v>
      </c>
      <c r="P314">
        <f t="shared" si="44"/>
        <v>0</v>
      </c>
      <c r="Q314">
        <f t="shared" si="45"/>
        <v>0</v>
      </c>
      <c r="S314">
        <f t="shared" si="46"/>
        <v>-12.065217391304348</v>
      </c>
      <c r="T314">
        <f t="shared" si="47"/>
        <v>0</v>
      </c>
      <c r="U314">
        <f t="shared" si="48"/>
        <v>-2.0652173913043477</v>
      </c>
      <c r="V314">
        <f t="shared" si="49"/>
        <v>-10</v>
      </c>
      <c r="W314">
        <f t="shared" si="50"/>
        <v>0</v>
      </c>
      <c r="X314">
        <f t="shared" si="51"/>
        <v>0</v>
      </c>
      <c r="Y314">
        <f t="shared" si="52"/>
        <v>0</v>
      </c>
    </row>
    <row r="315" spans="1:25" x14ac:dyDescent="0.2">
      <c r="A315" t="s">
        <v>21</v>
      </c>
      <c r="B315" t="s">
        <v>1022</v>
      </c>
      <c r="C315">
        <v>160</v>
      </c>
      <c r="D315" s="2">
        <v>0</v>
      </c>
      <c r="E315">
        <v>0</v>
      </c>
      <c r="F315">
        <v>0</v>
      </c>
      <c r="G315">
        <v>0</v>
      </c>
      <c r="H315">
        <v>0</v>
      </c>
      <c r="I315">
        <v>50</v>
      </c>
      <c r="J315">
        <v>44</v>
      </c>
      <c r="K315">
        <v>0</v>
      </c>
      <c r="L315">
        <v>44</v>
      </c>
      <c r="M315">
        <v>0</v>
      </c>
      <c r="N315">
        <v>204</v>
      </c>
      <c r="O315" s="3">
        <f t="shared" si="54"/>
        <v>0</v>
      </c>
      <c r="P315">
        <f t="shared" si="44"/>
        <v>0</v>
      </c>
      <c r="Q315">
        <f t="shared" si="45"/>
        <v>0</v>
      </c>
      <c r="S315">
        <f t="shared" si="46"/>
        <v>-18.143478260869568</v>
      </c>
      <c r="T315">
        <f t="shared" si="47"/>
        <v>0</v>
      </c>
      <c r="U315">
        <f t="shared" si="48"/>
        <v>-0.54347826086956519</v>
      </c>
      <c r="V315">
        <f t="shared" si="49"/>
        <v>-17.600000000000001</v>
      </c>
      <c r="W315">
        <f t="shared" si="50"/>
        <v>0</v>
      </c>
      <c r="X315">
        <f t="shared" si="51"/>
        <v>0</v>
      </c>
      <c r="Y315">
        <f t="shared" si="52"/>
        <v>0</v>
      </c>
    </row>
    <row r="316" spans="1:25" x14ac:dyDescent="0.2">
      <c r="A316" t="s">
        <v>21</v>
      </c>
      <c r="B316" t="s">
        <v>1023</v>
      </c>
      <c r="C316">
        <v>220</v>
      </c>
      <c r="D316" s="2">
        <v>0</v>
      </c>
      <c r="E316">
        <v>0</v>
      </c>
      <c r="F316">
        <v>0</v>
      </c>
      <c r="G316">
        <v>0</v>
      </c>
      <c r="H316">
        <v>0</v>
      </c>
      <c r="I316">
        <v>70</v>
      </c>
      <c r="J316">
        <v>59</v>
      </c>
      <c r="K316">
        <v>0</v>
      </c>
      <c r="L316">
        <v>58</v>
      </c>
      <c r="M316">
        <v>0</v>
      </c>
      <c r="N316">
        <v>278</v>
      </c>
      <c r="O316" s="3">
        <f t="shared" si="54"/>
        <v>0</v>
      </c>
      <c r="P316">
        <f t="shared" si="44"/>
        <v>0</v>
      </c>
      <c r="Q316">
        <f t="shared" si="45"/>
        <v>0</v>
      </c>
      <c r="S316">
        <f t="shared" si="46"/>
        <v>-23.96086956521739</v>
      </c>
      <c r="T316">
        <f t="shared" si="47"/>
        <v>0</v>
      </c>
      <c r="U316">
        <f t="shared" si="48"/>
        <v>-0.76086956521739135</v>
      </c>
      <c r="V316">
        <f t="shared" si="49"/>
        <v>-23.2</v>
      </c>
      <c r="W316">
        <f t="shared" si="50"/>
        <v>0</v>
      </c>
      <c r="X316">
        <f t="shared" si="51"/>
        <v>0</v>
      </c>
      <c r="Y316">
        <f t="shared" si="52"/>
        <v>0</v>
      </c>
    </row>
    <row r="317" spans="1:25" x14ac:dyDescent="0.2">
      <c r="A317" t="s">
        <v>21</v>
      </c>
      <c r="B317" t="s">
        <v>1024</v>
      </c>
      <c r="C317">
        <v>270</v>
      </c>
      <c r="D317" s="2">
        <v>0</v>
      </c>
      <c r="E317">
        <v>0</v>
      </c>
      <c r="F317">
        <v>0</v>
      </c>
      <c r="G317">
        <v>0</v>
      </c>
      <c r="H317">
        <v>0</v>
      </c>
      <c r="I317">
        <v>85</v>
      </c>
      <c r="J317">
        <v>73</v>
      </c>
      <c r="K317">
        <v>0</v>
      </c>
      <c r="L317">
        <v>73</v>
      </c>
      <c r="M317">
        <v>0</v>
      </c>
      <c r="N317">
        <v>343</v>
      </c>
      <c r="O317" s="3">
        <f t="shared" si="54"/>
        <v>0</v>
      </c>
      <c r="P317">
        <f t="shared" si="44"/>
        <v>0</v>
      </c>
      <c r="Q317">
        <f t="shared" si="45"/>
        <v>0</v>
      </c>
      <c r="S317">
        <f t="shared" si="46"/>
        <v>-30.123913043478261</v>
      </c>
      <c r="T317">
        <f t="shared" si="47"/>
        <v>0</v>
      </c>
      <c r="U317">
        <f t="shared" si="48"/>
        <v>-0.92391304347826086</v>
      </c>
      <c r="V317">
        <f t="shared" si="49"/>
        <v>-29.2</v>
      </c>
      <c r="W317">
        <f t="shared" si="50"/>
        <v>0</v>
      </c>
      <c r="X317">
        <f t="shared" si="51"/>
        <v>0</v>
      </c>
      <c r="Y317">
        <f t="shared" si="52"/>
        <v>0</v>
      </c>
    </row>
    <row r="318" spans="1:25" x14ac:dyDescent="0.2">
      <c r="A318" t="s">
        <v>21</v>
      </c>
      <c r="B318" t="s">
        <v>1025</v>
      </c>
      <c r="C318">
        <v>410</v>
      </c>
      <c r="D318" s="2">
        <v>0</v>
      </c>
      <c r="E318">
        <v>0</v>
      </c>
      <c r="F318">
        <v>0</v>
      </c>
      <c r="G318">
        <v>0</v>
      </c>
      <c r="H318">
        <v>0</v>
      </c>
      <c r="I318">
        <v>125</v>
      </c>
      <c r="J318">
        <v>110</v>
      </c>
      <c r="K318">
        <v>0</v>
      </c>
      <c r="L318">
        <v>109</v>
      </c>
      <c r="M318">
        <v>0</v>
      </c>
      <c r="N318">
        <v>519</v>
      </c>
      <c r="O318" s="3">
        <f t="shared" si="54"/>
        <v>0</v>
      </c>
      <c r="P318">
        <f t="shared" si="44"/>
        <v>0</v>
      </c>
      <c r="Q318">
        <f t="shared" si="45"/>
        <v>0</v>
      </c>
      <c r="S318">
        <f t="shared" si="46"/>
        <v>-44.958695652173922</v>
      </c>
      <c r="T318">
        <f t="shared" si="47"/>
        <v>0</v>
      </c>
      <c r="U318">
        <f t="shared" si="48"/>
        <v>-1.3586956521739131</v>
      </c>
      <c r="V318">
        <f t="shared" si="49"/>
        <v>-43.600000000000009</v>
      </c>
      <c r="W318">
        <f t="shared" si="50"/>
        <v>0</v>
      </c>
      <c r="X318">
        <f t="shared" si="51"/>
        <v>0</v>
      </c>
      <c r="Y318">
        <f t="shared" si="52"/>
        <v>0</v>
      </c>
    </row>
    <row r="319" spans="1:25" x14ac:dyDescent="0.2">
      <c r="A319" t="s">
        <v>21</v>
      </c>
      <c r="B319" t="s">
        <v>1026</v>
      </c>
      <c r="C319">
        <v>140</v>
      </c>
      <c r="D319" s="2">
        <v>0</v>
      </c>
      <c r="E319">
        <v>0</v>
      </c>
      <c r="F319">
        <v>0</v>
      </c>
      <c r="G319">
        <v>0</v>
      </c>
      <c r="H319">
        <v>0</v>
      </c>
      <c r="I319">
        <v>45</v>
      </c>
      <c r="J319">
        <v>39</v>
      </c>
      <c r="K319">
        <v>0</v>
      </c>
      <c r="L319">
        <v>39</v>
      </c>
      <c r="M319">
        <v>0</v>
      </c>
      <c r="N319">
        <v>179</v>
      </c>
      <c r="O319" s="3">
        <f t="shared" si="54"/>
        <v>0</v>
      </c>
      <c r="P319">
        <f t="shared" si="44"/>
        <v>0</v>
      </c>
      <c r="Q319">
        <f t="shared" si="45"/>
        <v>0</v>
      </c>
      <c r="S319">
        <f t="shared" si="46"/>
        <v>-16.089130434782611</v>
      </c>
      <c r="T319">
        <f t="shared" si="47"/>
        <v>0</v>
      </c>
      <c r="U319">
        <f t="shared" si="48"/>
        <v>-0.48913043478260876</v>
      </c>
      <c r="V319">
        <f t="shared" si="49"/>
        <v>-15.600000000000003</v>
      </c>
      <c r="W319">
        <f t="shared" si="50"/>
        <v>0</v>
      </c>
      <c r="X319">
        <f t="shared" si="51"/>
        <v>0</v>
      </c>
      <c r="Y319">
        <f t="shared" si="52"/>
        <v>0</v>
      </c>
    </row>
    <row r="320" spans="1:25" x14ac:dyDescent="0.2">
      <c r="A320" t="s">
        <v>21</v>
      </c>
      <c r="B320" t="s">
        <v>1027</v>
      </c>
      <c r="C320">
        <v>190</v>
      </c>
      <c r="D320" s="2">
        <v>0</v>
      </c>
      <c r="E320">
        <v>0</v>
      </c>
      <c r="F320">
        <v>0</v>
      </c>
      <c r="G320">
        <v>0</v>
      </c>
      <c r="H320">
        <v>0</v>
      </c>
      <c r="I320">
        <v>60</v>
      </c>
      <c r="J320">
        <v>52</v>
      </c>
      <c r="K320">
        <v>0</v>
      </c>
      <c r="L320">
        <v>52</v>
      </c>
      <c r="M320">
        <v>0</v>
      </c>
      <c r="N320">
        <v>242</v>
      </c>
      <c r="O320" s="3">
        <f t="shared" si="54"/>
        <v>0</v>
      </c>
      <c r="P320">
        <f t="shared" si="44"/>
        <v>0</v>
      </c>
      <c r="Q320">
        <f t="shared" si="45"/>
        <v>0</v>
      </c>
      <c r="S320">
        <f t="shared" si="46"/>
        <v>-21.452173913043477</v>
      </c>
      <c r="T320">
        <f t="shared" si="47"/>
        <v>0</v>
      </c>
      <c r="U320">
        <f t="shared" si="48"/>
        <v>-0.65217391304347827</v>
      </c>
      <c r="V320">
        <f t="shared" si="49"/>
        <v>-20.8</v>
      </c>
      <c r="W320">
        <f t="shared" si="50"/>
        <v>0</v>
      </c>
      <c r="X320">
        <f t="shared" si="51"/>
        <v>0</v>
      </c>
      <c r="Y320">
        <f t="shared" si="52"/>
        <v>0</v>
      </c>
    </row>
    <row r="321" spans="1:25" x14ac:dyDescent="0.2">
      <c r="A321" t="s">
        <v>21</v>
      </c>
      <c r="B321" t="s">
        <v>1028</v>
      </c>
      <c r="C321">
        <v>240</v>
      </c>
      <c r="D321" s="2">
        <v>0</v>
      </c>
      <c r="E321">
        <v>0</v>
      </c>
      <c r="F321">
        <v>0</v>
      </c>
      <c r="G321">
        <v>0</v>
      </c>
      <c r="H321">
        <v>0</v>
      </c>
      <c r="I321">
        <v>75</v>
      </c>
      <c r="J321">
        <v>65</v>
      </c>
      <c r="K321">
        <v>0</v>
      </c>
      <c r="L321">
        <v>65</v>
      </c>
      <c r="M321">
        <v>0</v>
      </c>
      <c r="N321">
        <v>305</v>
      </c>
      <c r="O321" s="3">
        <f t="shared" si="54"/>
        <v>0</v>
      </c>
      <c r="P321">
        <f t="shared" si="44"/>
        <v>0</v>
      </c>
      <c r="Q321">
        <f t="shared" si="45"/>
        <v>0</v>
      </c>
      <c r="S321">
        <f t="shared" si="46"/>
        <v>-26.815217391304348</v>
      </c>
      <c r="T321">
        <f t="shared" si="47"/>
        <v>0</v>
      </c>
      <c r="U321">
        <f t="shared" si="48"/>
        <v>-0.81521739130434778</v>
      </c>
      <c r="V321">
        <f t="shared" si="49"/>
        <v>-26</v>
      </c>
      <c r="W321">
        <f t="shared" si="50"/>
        <v>0</v>
      </c>
      <c r="X321">
        <f t="shared" si="51"/>
        <v>0</v>
      </c>
      <c r="Y321">
        <f t="shared" si="52"/>
        <v>0</v>
      </c>
    </row>
    <row r="322" spans="1:25" x14ac:dyDescent="0.2">
      <c r="A322" t="s">
        <v>21</v>
      </c>
      <c r="B322" t="s">
        <v>1029</v>
      </c>
      <c r="C322">
        <v>360</v>
      </c>
      <c r="D322" s="2">
        <v>0</v>
      </c>
      <c r="E322">
        <v>0</v>
      </c>
      <c r="F322">
        <v>0</v>
      </c>
      <c r="G322">
        <v>0</v>
      </c>
      <c r="H322">
        <v>0</v>
      </c>
      <c r="I322">
        <v>110</v>
      </c>
      <c r="J322">
        <v>98</v>
      </c>
      <c r="K322">
        <v>0</v>
      </c>
      <c r="L322">
        <v>98</v>
      </c>
      <c r="M322">
        <v>0</v>
      </c>
      <c r="N322">
        <v>458</v>
      </c>
      <c r="O322" s="3">
        <f t="shared" si="54"/>
        <v>0</v>
      </c>
      <c r="P322">
        <f t="shared" si="44"/>
        <v>0</v>
      </c>
      <c r="Q322">
        <f t="shared" si="45"/>
        <v>0</v>
      </c>
      <c r="S322">
        <f t="shared" si="46"/>
        <v>-40.395652173913049</v>
      </c>
      <c r="T322">
        <f t="shared" si="47"/>
        <v>0</v>
      </c>
      <c r="U322">
        <f t="shared" si="48"/>
        <v>-1.1956521739130435</v>
      </c>
      <c r="V322">
        <f t="shared" si="49"/>
        <v>-39.200000000000003</v>
      </c>
      <c r="W322">
        <f t="shared" si="50"/>
        <v>0</v>
      </c>
      <c r="X322">
        <f t="shared" si="51"/>
        <v>0</v>
      </c>
      <c r="Y322">
        <f t="shared" si="52"/>
        <v>0</v>
      </c>
    </row>
    <row r="323" spans="1:25" x14ac:dyDescent="0.2">
      <c r="A323" t="s">
        <v>21</v>
      </c>
      <c r="B323" t="s">
        <v>1033</v>
      </c>
      <c r="C323">
        <v>0</v>
      </c>
      <c r="D323" s="2">
        <v>0</v>
      </c>
      <c r="E323">
        <v>0</v>
      </c>
      <c r="F323">
        <v>0</v>
      </c>
      <c r="G323">
        <v>0</v>
      </c>
      <c r="H323">
        <v>0</v>
      </c>
      <c r="I323">
        <v>95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f t="shared" si="44"/>
        <v>0</v>
      </c>
      <c r="Q323">
        <f t="shared" si="45"/>
        <v>0</v>
      </c>
      <c r="S323">
        <f t="shared" si="46"/>
        <v>-1.0326086956521738</v>
      </c>
      <c r="T323">
        <f t="shared" si="47"/>
        <v>0</v>
      </c>
      <c r="U323">
        <f t="shared" si="48"/>
        <v>-1.0326086956521738</v>
      </c>
      <c r="V323">
        <f t="shared" si="49"/>
        <v>0</v>
      </c>
      <c r="W323">
        <f t="shared" si="50"/>
        <v>0</v>
      </c>
      <c r="X323">
        <f t="shared" si="51"/>
        <v>0</v>
      </c>
      <c r="Y323">
        <f t="shared" si="52"/>
        <v>0</v>
      </c>
    </row>
    <row r="324" spans="1:25" x14ac:dyDescent="0.2">
      <c r="A324" t="s">
        <v>21</v>
      </c>
      <c r="B324" t="s">
        <v>1034</v>
      </c>
      <c r="C324">
        <v>150</v>
      </c>
      <c r="D324" s="2">
        <v>0</v>
      </c>
      <c r="E324">
        <v>0</v>
      </c>
      <c r="F324">
        <v>0</v>
      </c>
      <c r="G324">
        <v>0</v>
      </c>
      <c r="H324">
        <v>0</v>
      </c>
      <c r="I324">
        <v>30</v>
      </c>
      <c r="J324">
        <v>41</v>
      </c>
      <c r="K324">
        <v>0</v>
      </c>
      <c r="L324">
        <v>41</v>
      </c>
      <c r="M324">
        <v>0</v>
      </c>
      <c r="N324">
        <v>191</v>
      </c>
      <c r="O324" s="3">
        <f t="shared" ref="O324:O387" si="55">M324/C324*100</f>
        <v>0</v>
      </c>
      <c r="P324">
        <f t="shared" ref="P324:P387" si="56">IF(I324&gt;2300*0.2,1,0)</f>
        <v>0</v>
      </c>
      <c r="Q324">
        <f t="shared" ref="Q324:Q387" si="57">IF(H324&gt;300,1,0)</f>
        <v>0</v>
      </c>
      <c r="S324">
        <f t="shared" ref="S324:S387" si="58">T324+U324+V324+W324+X324+Y324</f>
        <v>-16.72608695652174</v>
      </c>
      <c r="T324">
        <f t="shared" ref="T324:T387" si="59">$T$1*F324</f>
        <v>0</v>
      </c>
      <c r="U324">
        <f t="shared" ref="U324:U387" si="60">($U$1*(I324/2300))*100</f>
        <v>-0.32608695652173914</v>
      </c>
      <c r="V324">
        <f t="shared" ref="V324:V387" si="61">((L324/50)*$V$1)*100</f>
        <v>-16.400000000000002</v>
      </c>
      <c r="W324">
        <f t="shared" ref="W324:W387" si="62">(G324/100)*$W$1</f>
        <v>0</v>
      </c>
      <c r="X324">
        <f t="shared" ref="X324:X387" si="63">($X$1*(M324/50))*100</f>
        <v>0</v>
      </c>
      <c r="Y324">
        <f t="shared" ref="Y324:Y387" si="64">($Y$1*(K324/28))*100</f>
        <v>0</v>
      </c>
    </row>
    <row r="325" spans="1:25" x14ac:dyDescent="0.2">
      <c r="A325" t="s">
        <v>21</v>
      </c>
      <c r="B325" t="s">
        <v>1035</v>
      </c>
      <c r="C325">
        <v>200</v>
      </c>
      <c r="D325" s="2">
        <v>0</v>
      </c>
      <c r="E325">
        <v>0</v>
      </c>
      <c r="F325">
        <v>0</v>
      </c>
      <c r="G325">
        <v>0</v>
      </c>
      <c r="H325">
        <v>0</v>
      </c>
      <c r="I325">
        <v>45</v>
      </c>
      <c r="J325">
        <v>55</v>
      </c>
      <c r="K325">
        <v>0</v>
      </c>
      <c r="L325">
        <v>55</v>
      </c>
      <c r="M325">
        <v>0</v>
      </c>
      <c r="N325">
        <v>255</v>
      </c>
      <c r="O325" s="3">
        <f t="shared" si="55"/>
        <v>0</v>
      </c>
      <c r="P325">
        <f t="shared" si="56"/>
        <v>0</v>
      </c>
      <c r="Q325">
        <f t="shared" si="57"/>
        <v>0</v>
      </c>
      <c r="S325">
        <f t="shared" si="58"/>
        <v>-22.489130434782613</v>
      </c>
      <c r="T325">
        <f t="shared" si="59"/>
        <v>0</v>
      </c>
      <c r="U325">
        <f t="shared" si="60"/>
        <v>-0.48913043478260876</v>
      </c>
      <c r="V325">
        <f t="shared" si="61"/>
        <v>-22.000000000000004</v>
      </c>
      <c r="W325">
        <f t="shared" si="62"/>
        <v>0</v>
      </c>
      <c r="X325">
        <f t="shared" si="63"/>
        <v>0</v>
      </c>
      <c r="Y325">
        <f t="shared" si="64"/>
        <v>0</v>
      </c>
    </row>
    <row r="326" spans="1:25" x14ac:dyDescent="0.2">
      <c r="A326" t="s">
        <v>21</v>
      </c>
      <c r="B326" t="s">
        <v>1036</v>
      </c>
      <c r="C326">
        <v>250</v>
      </c>
      <c r="D326" s="2">
        <v>0</v>
      </c>
      <c r="E326">
        <v>0</v>
      </c>
      <c r="F326">
        <v>0</v>
      </c>
      <c r="G326">
        <v>0</v>
      </c>
      <c r="H326">
        <v>0</v>
      </c>
      <c r="I326">
        <v>55</v>
      </c>
      <c r="J326">
        <v>69</v>
      </c>
      <c r="K326">
        <v>0</v>
      </c>
      <c r="L326">
        <v>69</v>
      </c>
      <c r="M326">
        <v>0</v>
      </c>
      <c r="N326">
        <v>319</v>
      </c>
      <c r="O326" s="3">
        <f t="shared" si="55"/>
        <v>0</v>
      </c>
      <c r="P326">
        <f t="shared" si="56"/>
        <v>0</v>
      </c>
      <c r="Q326">
        <f t="shared" si="57"/>
        <v>0</v>
      </c>
      <c r="S326">
        <f t="shared" si="58"/>
        <v>-28.197826086956521</v>
      </c>
      <c r="T326">
        <f t="shared" si="59"/>
        <v>0</v>
      </c>
      <c r="U326">
        <f t="shared" si="60"/>
        <v>-0.59782608695652173</v>
      </c>
      <c r="V326">
        <f t="shared" si="61"/>
        <v>-27.599999999999998</v>
      </c>
      <c r="W326">
        <f t="shared" si="62"/>
        <v>0</v>
      </c>
      <c r="X326">
        <f t="shared" si="63"/>
        <v>0</v>
      </c>
      <c r="Y326">
        <f t="shared" si="64"/>
        <v>0</v>
      </c>
    </row>
    <row r="327" spans="1:25" x14ac:dyDescent="0.2">
      <c r="A327" t="s">
        <v>21</v>
      </c>
      <c r="B327" t="s">
        <v>1037</v>
      </c>
      <c r="C327">
        <v>380</v>
      </c>
      <c r="D327" s="2">
        <v>0</v>
      </c>
      <c r="E327">
        <v>0</v>
      </c>
      <c r="F327">
        <v>0</v>
      </c>
      <c r="G327">
        <v>0</v>
      </c>
      <c r="H327">
        <v>0</v>
      </c>
      <c r="I327">
        <v>80</v>
      </c>
      <c r="J327">
        <v>104</v>
      </c>
      <c r="K327">
        <v>0</v>
      </c>
      <c r="L327">
        <v>103</v>
      </c>
      <c r="M327">
        <v>0</v>
      </c>
      <c r="N327">
        <v>483</v>
      </c>
      <c r="O327" s="3">
        <f t="shared" si="55"/>
        <v>0</v>
      </c>
      <c r="P327">
        <f t="shared" si="56"/>
        <v>0</v>
      </c>
      <c r="Q327">
        <f t="shared" si="57"/>
        <v>0</v>
      </c>
      <c r="S327">
        <f t="shared" si="58"/>
        <v>-42.069565217391307</v>
      </c>
      <c r="T327">
        <f t="shared" si="59"/>
        <v>0</v>
      </c>
      <c r="U327">
        <f t="shared" si="60"/>
        <v>-0.86956521739130432</v>
      </c>
      <c r="V327">
        <f t="shared" si="61"/>
        <v>-41.2</v>
      </c>
      <c r="W327">
        <f t="shared" si="62"/>
        <v>0</v>
      </c>
      <c r="X327">
        <f t="shared" si="63"/>
        <v>0</v>
      </c>
      <c r="Y327">
        <f t="shared" si="64"/>
        <v>0</v>
      </c>
    </row>
    <row r="328" spans="1:25" x14ac:dyDescent="0.2">
      <c r="A328" t="s">
        <v>21</v>
      </c>
      <c r="B328" t="s">
        <v>1041</v>
      </c>
      <c r="C328">
        <v>5</v>
      </c>
      <c r="D328" s="2">
        <v>0</v>
      </c>
      <c r="E328">
        <v>0</v>
      </c>
      <c r="F328">
        <v>0</v>
      </c>
      <c r="G328">
        <v>0</v>
      </c>
      <c r="H328">
        <v>0</v>
      </c>
      <c r="I328">
        <v>120</v>
      </c>
      <c r="J328">
        <v>1</v>
      </c>
      <c r="K328">
        <v>0</v>
      </c>
      <c r="L328">
        <v>0</v>
      </c>
      <c r="M328">
        <v>0</v>
      </c>
      <c r="N328">
        <v>5</v>
      </c>
      <c r="O328" s="3">
        <f t="shared" si="55"/>
        <v>0</v>
      </c>
      <c r="P328">
        <f t="shared" si="56"/>
        <v>0</v>
      </c>
      <c r="Q328">
        <f t="shared" si="57"/>
        <v>0</v>
      </c>
      <c r="S328">
        <f t="shared" si="58"/>
        <v>-1.3043478260869565</v>
      </c>
      <c r="T328">
        <f t="shared" si="59"/>
        <v>0</v>
      </c>
      <c r="U328">
        <f t="shared" si="60"/>
        <v>-1.3043478260869565</v>
      </c>
      <c r="V328">
        <f t="shared" si="61"/>
        <v>0</v>
      </c>
      <c r="W328">
        <f t="shared" si="62"/>
        <v>0</v>
      </c>
      <c r="X328">
        <f t="shared" si="63"/>
        <v>0</v>
      </c>
      <c r="Y328">
        <f t="shared" si="64"/>
        <v>0</v>
      </c>
    </row>
    <row r="329" spans="1:25" x14ac:dyDescent="0.2">
      <c r="A329" t="s">
        <v>21</v>
      </c>
      <c r="B329" t="s">
        <v>1042</v>
      </c>
      <c r="C329">
        <v>950</v>
      </c>
      <c r="D329" s="2">
        <v>0</v>
      </c>
      <c r="E329">
        <v>0</v>
      </c>
      <c r="F329">
        <v>0</v>
      </c>
      <c r="G329">
        <v>0</v>
      </c>
      <c r="H329">
        <v>0</v>
      </c>
      <c r="I329">
        <v>790</v>
      </c>
      <c r="J329">
        <v>270</v>
      </c>
      <c r="K329">
        <v>0</v>
      </c>
      <c r="L329">
        <v>264</v>
      </c>
      <c r="M329">
        <v>0</v>
      </c>
      <c r="N329">
        <v>1214</v>
      </c>
      <c r="O329" s="3">
        <f t="shared" si="55"/>
        <v>0</v>
      </c>
      <c r="P329">
        <f t="shared" si="56"/>
        <v>1</v>
      </c>
      <c r="Q329">
        <f t="shared" si="57"/>
        <v>0</v>
      </c>
      <c r="S329">
        <f t="shared" si="58"/>
        <v>-114.18695652173913</v>
      </c>
      <c r="T329">
        <f t="shared" si="59"/>
        <v>0</v>
      </c>
      <c r="U329">
        <f t="shared" si="60"/>
        <v>-8.5869565217391308</v>
      </c>
      <c r="V329">
        <f t="shared" si="61"/>
        <v>-105.60000000000001</v>
      </c>
      <c r="W329">
        <f t="shared" si="62"/>
        <v>0</v>
      </c>
      <c r="X329">
        <f t="shared" si="63"/>
        <v>0</v>
      </c>
      <c r="Y329">
        <f t="shared" si="64"/>
        <v>0</v>
      </c>
    </row>
    <row r="330" spans="1:25" x14ac:dyDescent="0.2">
      <c r="A330" t="s">
        <v>21</v>
      </c>
      <c r="B330" t="s">
        <v>1043</v>
      </c>
      <c r="C330">
        <v>170</v>
      </c>
      <c r="D330" s="2">
        <v>0</v>
      </c>
      <c r="E330">
        <v>0</v>
      </c>
      <c r="F330">
        <v>0</v>
      </c>
      <c r="G330">
        <v>0</v>
      </c>
      <c r="H330">
        <v>0</v>
      </c>
      <c r="I330">
        <v>130</v>
      </c>
      <c r="J330">
        <v>45</v>
      </c>
      <c r="K330">
        <v>0</v>
      </c>
      <c r="L330">
        <v>44</v>
      </c>
      <c r="M330">
        <v>0</v>
      </c>
      <c r="N330">
        <v>214</v>
      </c>
      <c r="O330" s="3">
        <f t="shared" si="55"/>
        <v>0</v>
      </c>
      <c r="P330">
        <f t="shared" si="56"/>
        <v>0</v>
      </c>
      <c r="Q330">
        <f t="shared" si="57"/>
        <v>0</v>
      </c>
      <c r="S330">
        <f t="shared" si="58"/>
        <v>-19.013043478260872</v>
      </c>
      <c r="T330">
        <f t="shared" si="59"/>
        <v>0</v>
      </c>
      <c r="U330">
        <f t="shared" si="60"/>
        <v>-1.4130434782608696</v>
      </c>
      <c r="V330">
        <f t="shared" si="61"/>
        <v>-17.600000000000001</v>
      </c>
      <c r="W330">
        <f t="shared" si="62"/>
        <v>0</v>
      </c>
      <c r="X330">
        <f t="shared" si="63"/>
        <v>0</v>
      </c>
      <c r="Y330">
        <f t="shared" si="64"/>
        <v>0</v>
      </c>
    </row>
    <row r="331" spans="1:25" x14ac:dyDescent="0.2">
      <c r="A331" t="s">
        <v>21</v>
      </c>
      <c r="B331" t="s">
        <v>1044</v>
      </c>
      <c r="C331">
        <v>170</v>
      </c>
      <c r="D331" s="2">
        <v>0</v>
      </c>
      <c r="E331">
        <v>0</v>
      </c>
      <c r="F331">
        <v>0</v>
      </c>
      <c r="G331">
        <v>0</v>
      </c>
      <c r="H331">
        <v>0</v>
      </c>
      <c r="I331">
        <v>35</v>
      </c>
      <c r="J331">
        <v>45</v>
      </c>
      <c r="K331">
        <v>0</v>
      </c>
      <c r="L331">
        <v>45</v>
      </c>
      <c r="M331">
        <v>0</v>
      </c>
      <c r="N331">
        <v>215</v>
      </c>
      <c r="O331" s="3">
        <f t="shared" si="55"/>
        <v>0</v>
      </c>
      <c r="P331">
        <f t="shared" si="56"/>
        <v>0</v>
      </c>
      <c r="Q331">
        <f t="shared" si="57"/>
        <v>0</v>
      </c>
      <c r="S331">
        <f t="shared" si="58"/>
        <v>-18.380434782608699</v>
      </c>
      <c r="T331">
        <f t="shared" si="59"/>
        <v>0</v>
      </c>
      <c r="U331">
        <f t="shared" si="60"/>
        <v>-0.38043478260869568</v>
      </c>
      <c r="V331">
        <f t="shared" si="61"/>
        <v>-18.000000000000004</v>
      </c>
      <c r="W331">
        <f t="shared" si="62"/>
        <v>0</v>
      </c>
      <c r="X331">
        <f t="shared" si="63"/>
        <v>0</v>
      </c>
      <c r="Y331">
        <f t="shared" si="64"/>
        <v>0</v>
      </c>
    </row>
    <row r="332" spans="1:25" x14ac:dyDescent="0.2">
      <c r="A332" t="s">
        <v>21</v>
      </c>
      <c r="B332" t="s">
        <v>1045</v>
      </c>
      <c r="C332">
        <v>230</v>
      </c>
      <c r="D332" s="2">
        <v>0</v>
      </c>
      <c r="E332">
        <v>0</v>
      </c>
      <c r="F332">
        <v>0</v>
      </c>
      <c r="G332">
        <v>0</v>
      </c>
      <c r="H332">
        <v>0</v>
      </c>
      <c r="I332">
        <v>45</v>
      </c>
      <c r="J332">
        <v>60</v>
      </c>
      <c r="K332">
        <v>0</v>
      </c>
      <c r="L332">
        <v>60</v>
      </c>
      <c r="M332">
        <v>0</v>
      </c>
      <c r="N332">
        <v>290</v>
      </c>
      <c r="O332" s="3">
        <f t="shared" si="55"/>
        <v>0</v>
      </c>
      <c r="P332">
        <f t="shared" si="56"/>
        <v>0</v>
      </c>
      <c r="Q332">
        <f t="shared" si="57"/>
        <v>0</v>
      </c>
      <c r="S332">
        <f t="shared" si="58"/>
        <v>-24.489130434782609</v>
      </c>
      <c r="T332">
        <f t="shared" si="59"/>
        <v>0</v>
      </c>
      <c r="U332">
        <f t="shared" si="60"/>
        <v>-0.48913043478260876</v>
      </c>
      <c r="V332">
        <f t="shared" si="61"/>
        <v>-24</v>
      </c>
      <c r="W332">
        <f t="shared" si="62"/>
        <v>0</v>
      </c>
      <c r="X332">
        <f t="shared" si="63"/>
        <v>0</v>
      </c>
      <c r="Y332">
        <f t="shared" si="64"/>
        <v>0</v>
      </c>
    </row>
    <row r="333" spans="1:25" x14ac:dyDescent="0.2">
      <c r="A333" t="s">
        <v>21</v>
      </c>
      <c r="B333" t="s">
        <v>1046</v>
      </c>
      <c r="C333">
        <v>280</v>
      </c>
      <c r="D333" s="2">
        <v>0</v>
      </c>
      <c r="E333">
        <v>0</v>
      </c>
      <c r="F333">
        <v>0</v>
      </c>
      <c r="G333">
        <v>0</v>
      </c>
      <c r="H333">
        <v>0</v>
      </c>
      <c r="I333">
        <v>60</v>
      </c>
      <c r="J333">
        <v>75</v>
      </c>
      <c r="K333">
        <v>0</v>
      </c>
      <c r="L333">
        <v>75</v>
      </c>
      <c r="M333">
        <v>0</v>
      </c>
      <c r="N333">
        <v>355</v>
      </c>
      <c r="O333" s="3">
        <f t="shared" si="55"/>
        <v>0</v>
      </c>
      <c r="P333">
        <f t="shared" si="56"/>
        <v>0</v>
      </c>
      <c r="Q333">
        <f t="shared" si="57"/>
        <v>0</v>
      </c>
      <c r="S333">
        <f t="shared" si="58"/>
        <v>-30.65217391304348</v>
      </c>
      <c r="T333">
        <f t="shared" si="59"/>
        <v>0</v>
      </c>
      <c r="U333">
        <f t="shared" si="60"/>
        <v>-0.65217391304347827</v>
      </c>
      <c r="V333">
        <f t="shared" si="61"/>
        <v>-30.000000000000004</v>
      </c>
      <c r="W333">
        <f t="shared" si="62"/>
        <v>0</v>
      </c>
      <c r="X333">
        <f t="shared" si="63"/>
        <v>0</v>
      </c>
      <c r="Y333">
        <f t="shared" si="64"/>
        <v>0</v>
      </c>
    </row>
    <row r="334" spans="1:25" x14ac:dyDescent="0.2">
      <c r="A334" t="s">
        <v>21</v>
      </c>
      <c r="B334" t="s">
        <v>1047</v>
      </c>
      <c r="C334">
        <v>420</v>
      </c>
      <c r="D334" s="2">
        <v>0</v>
      </c>
      <c r="E334">
        <v>0</v>
      </c>
      <c r="F334">
        <v>0</v>
      </c>
      <c r="G334">
        <v>0</v>
      </c>
      <c r="H334">
        <v>0</v>
      </c>
      <c r="I334">
        <v>90</v>
      </c>
      <c r="J334">
        <v>113</v>
      </c>
      <c r="K334">
        <v>0</v>
      </c>
      <c r="L334">
        <v>112</v>
      </c>
      <c r="M334">
        <v>0</v>
      </c>
      <c r="N334">
        <v>532</v>
      </c>
      <c r="O334" s="3">
        <f t="shared" si="55"/>
        <v>0</v>
      </c>
      <c r="P334">
        <f t="shared" si="56"/>
        <v>0</v>
      </c>
      <c r="Q334">
        <f t="shared" si="57"/>
        <v>0</v>
      </c>
      <c r="S334">
        <f t="shared" si="58"/>
        <v>-45.778260869565223</v>
      </c>
      <c r="T334">
        <f t="shared" si="59"/>
        <v>0</v>
      </c>
      <c r="U334">
        <f t="shared" si="60"/>
        <v>-0.97826086956521752</v>
      </c>
      <c r="V334">
        <f t="shared" si="61"/>
        <v>-44.800000000000004</v>
      </c>
      <c r="W334">
        <f t="shared" si="62"/>
        <v>0</v>
      </c>
      <c r="X334">
        <f t="shared" si="63"/>
        <v>0</v>
      </c>
      <c r="Y334">
        <f t="shared" si="64"/>
        <v>0</v>
      </c>
    </row>
    <row r="335" spans="1:25" x14ac:dyDescent="0.2">
      <c r="A335" t="s">
        <v>21</v>
      </c>
      <c r="B335" t="s">
        <v>1051</v>
      </c>
      <c r="C335">
        <v>15</v>
      </c>
      <c r="D335" s="2">
        <v>0</v>
      </c>
      <c r="E335">
        <v>0</v>
      </c>
      <c r="F335">
        <v>0</v>
      </c>
      <c r="G335">
        <v>0</v>
      </c>
      <c r="H335">
        <v>0</v>
      </c>
      <c r="I335">
        <v>350</v>
      </c>
      <c r="J335">
        <v>1</v>
      </c>
      <c r="K335">
        <v>0</v>
      </c>
      <c r="L335">
        <v>0</v>
      </c>
      <c r="M335">
        <v>0</v>
      </c>
      <c r="N335">
        <v>15</v>
      </c>
      <c r="O335" s="3">
        <f t="shared" si="55"/>
        <v>0</v>
      </c>
      <c r="P335">
        <f t="shared" si="56"/>
        <v>0</v>
      </c>
      <c r="Q335">
        <f t="shared" si="57"/>
        <v>0</v>
      </c>
      <c r="S335">
        <f t="shared" si="58"/>
        <v>-3.804347826086957</v>
      </c>
      <c r="T335">
        <f t="shared" si="59"/>
        <v>0</v>
      </c>
      <c r="U335">
        <f t="shared" si="60"/>
        <v>-3.804347826086957</v>
      </c>
      <c r="V335">
        <f t="shared" si="61"/>
        <v>0</v>
      </c>
      <c r="W335">
        <f t="shared" si="62"/>
        <v>0</v>
      </c>
      <c r="X335">
        <f t="shared" si="63"/>
        <v>0</v>
      </c>
      <c r="Y335">
        <f t="shared" si="64"/>
        <v>0</v>
      </c>
    </row>
    <row r="336" spans="1:25" x14ac:dyDescent="0.2">
      <c r="A336" t="s">
        <v>21</v>
      </c>
      <c r="B336" t="s">
        <v>1052</v>
      </c>
      <c r="C336">
        <v>150</v>
      </c>
      <c r="D336" s="2">
        <v>0</v>
      </c>
      <c r="E336">
        <v>0</v>
      </c>
      <c r="F336">
        <v>0</v>
      </c>
      <c r="G336">
        <v>0</v>
      </c>
      <c r="H336">
        <v>0</v>
      </c>
      <c r="I336">
        <v>160</v>
      </c>
      <c r="J336">
        <v>40</v>
      </c>
      <c r="K336">
        <v>0</v>
      </c>
      <c r="L336">
        <v>40</v>
      </c>
      <c r="M336">
        <v>0</v>
      </c>
      <c r="N336">
        <v>190</v>
      </c>
      <c r="O336" s="3">
        <f t="shared" si="55"/>
        <v>0</v>
      </c>
      <c r="P336">
        <f t="shared" si="56"/>
        <v>0</v>
      </c>
      <c r="Q336">
        <f t="shared" si="57"/>
        <v>0</v>
      </c>
      <c r="S336">
        <f t="shared" si="58"/>
        <v>-17.739130434782613</v>
      </c>
      <c r="T336">
        <f t="shared" si="59"/>
        <v>0</v>
      </c>
      <c r="U336">
        <f t="shared" si="60"/>
        <v>-1.7391304347826086</v>
      </c>
      <c r="V336">
        <f t="shared" si="61"/>
        <v>-16.000000000000004</v>
      </c>
      <c r="W336">
        <f t="shared" si="62"/>
        <v>0</v>
      </c>
      <c r="X336">
        <f t="shared" si="63"/>
        <v>0</v>
      </c>
      <c r="Y336">
        <f t="shared" si="64"/>
        <v>0</v>
      </c>
    </row>
    <row r="337" spans="1:25" x14ac:dyDescent="0.2">
      <c r="A337" t="s">
        <v>21</v>
      </c>
      <c r="B337" t="s">
        <v>1053</v>
      </c>
      <c r="C337">
        <v>210</v>
      </c>
      <c r="D337" s="2">
        <v>0</v>
      </c>
      <c r="E337">
        <v>0</v>
      </c>
      <c r="F337">
        <v>0</v>
      </c>
      <c r="G337">
        <v>0</v>
      </c>
      <c r="H337">
        <v>0</v>
      </c>
      <c r="I337">
        <v>210</v>
      </c>
      <c r="J337">
        <v>53</v>
      </c>
      <c r="K337">
        <v>0</v>
      </c>
      <c r="L337">
        <v>53</v>
      </c>
      <c r="M337">
        <v>0</v>
      </c>
      <c r="N337">
        <v>263</v>
      </c>
      <c r="O337" s="3">
        <f t="shared" si="55"/>
        <v>0</v>
      </c>
      <c r="P337">
        <f t="shared" si="56"/>
        <v>0</v>
      </c>
      <c r="Q337">
        <f t="shared" si="57"/>
        <v>0</v>
      </c>
      <c r="S337">
        <f t="shared" si="58"/>
        <v>-23.482608695652175</v>
      </c>
      <c r="T337">
        <f t="shared" si="59"/>
        <v>0</v>
      </c>
      <c r="U337">
        <f t="shared" si="60"/>
        <v>-2.2826086956521738</v>
      </c>
      <c r="V337">
        <f t="shared" si="61"/>
        <v>-21.200000000000003</v>
      </c>
      <c r="W337">
        <f t="shared" si="62"/>
        <v>0</v>
      </c>
      <c r="X337">
        <f t="shared" si="63"/>
        <v>0</v>
      </c>
      <c r="Y337">
        <f t="shared" si="64"/>
        <v>0</v>
      </c>
    </row>
    <row r="338" spans="1:25" x14ac:dyDescent="0.2">
      <c r="A338" t="s">
        <v>21</v>
      </c>
      <c r="B338" t="s">
        <v>1054</v>
      </c>
      <c r="C338">
        <v>260</v>
      </c>
      <c r="D338" s="2">
        <v>0</v>
      </c>
      <c r="E338">
        <v>0</v>
      </c>
      <c r="F338">
        <v>0</v>
      </c>
      <c r="G338">
        <v>0</v>
      </c>
      <c r="H338">
        <v>0</v>
      </c>
      <c r="I338">
        <v>260</v>
      </c>
      <c r="J338">
        <v>67</v>
      </c>
      <c r="K338">
        <v>0</v>
      </c>
      <c r="L338">
        <v>67</v>
      </c>
      <c r="M338">
        <v>0</v>
      </c>
      <c r="N338">
        <v>327</v>
      </c>
      <c r="O338" s="3">
        <f t="shared" si="55"/>
        <v>0</v>
      </c>
      <c r="P338">
        <f t="shared" si="56"/>
        <v>0</v>
      </c>
      <c r="Q338">
        <f t="shared" si="57"/>
        <v>0</v>
      </c>
      <c r="S338">
        <f t="shared" si="58"/>
        <v>-29.626086956521739</v>
      </c>
      <c r="T338">
        <f t="shared" si="59"/>
        <v>0</v>
      </c>
      <c r="U338">
        <f t="shared" si="60"/>
        <v>-2.8260869565217392</v>
      </c>
      <c r="V338">
        <f t="shared" si="61"/>
        <v>-26.8</v>
      </c>
      <c r="W338">
        <f t="shared" si="62"/>
        <v>0</v>
      </c>
      <c r="X338">
        <f t="shared" si="63"/>
        <v>0</v>
      </c>
      <c r="Y338">
        <f t="shared" si="64"/>
        <v>0</v>
      </c>
    </row>
    <row r="339" spans="1:25" x14ac:dyDescent="0.2">
      <c r="A339" t="s">
        <v>21</v>
      </c>
      <c r="B339" t="s">
        <v>1055</v>
      </c>
      <c r="C339">
        <v>390</v>
      </c>
      <c r="D339" s="2">
        <v>0</v>
      </c>
      <c r="E339">
        <v>0</v>
      </c>
      <c r="F339">
        <v>0</v>
      </c>
      <c r="G339">
        <v>0</v>
      </c>
      <c r="H339">
        <v>0</v>
      </c>
      <c r="I339">
        <v>390</v>
      </c>
      <c r="J339">
        <v>100</v>
      </c>
      <c r="K339">
        <v>0</v>
      </c>
      <c r="L339">
        <v>100</v>
      </c>
      <c r="M339">
        <v>0</v>
      </c>
      <c r="N339">
        <v>490</v>
      </c>
      <c r="O339" s="3">
        <f t="shared" si="55"/>
        <v>0</v>
      </c>
      <c r="P339">
        <f t="shared" si="56"/>
        <v>0</v>
      </c>
      <c r="Q339">
        <f t="shared" si="57"/>
        <v>0</v>
      </c>
      <c r="S339">
        <f t="shared" si="58"/>
        <v>-44.239130434782609</v>
      </c>
      <c r="T339">
        <f t="shared" si="59"/>
        <v>0</v>
      </c>
      <c r="U339">
        <f t="shared" si="60"/>
        <v>-4.2391304347826084</v>
      </c>
      <c r="V339">
        <f t="shared" si="61"/>
        <v>-40</v>
      </c>
      <c r="W339">
        <f t="shared" si="62"/>
        <v>0</v>
      </c>
      <c r="X339">
        <f t="shared" si="63"/>
        <v>0</v>
      </c>
      <c r="Y339">
        <f t="shared" si="64"/>
        <v>0</v>
      </c>
    </row>
    <row r="340" spans="1:25" x14ac:dyDescent="0.2">
      <c r="A340" t="s">
        <v>21</v>
      </c>
      <c r="B340" t="s">
        <v>1056</v>
      </c>
      <c r="C340">
        <v>170</v>
      </c>
      <c r="D340" s="2">
        <v>0</v>
      </c>
      <c r="E340">
        <v>0</v>
      </c>
      <c r="F340">
        <v>0</v>
      </c>
      <c r="G340">
        <v>0</v>
      </c>
      <c r="H340">
        <v>0</v>
      </c>
      <c r="I340">
        <v>35</v>
      </c>
      <c r="J340">
        <v>46</v>
      </c>
      <c r="K340">
        <v>0</v>
      </c>
      <c r="L340">
        <v>46</v>
      </c>
      <c r="M340">
        <v>0</v>
      </c>
      <c r="N340">
        <v>216</v>
      </c>
      <c r="O340" s="3">
        <f t="shared" si="55"/>
        <v>0</v>
      </c>
      <c r="P340">
        <f t="shared" si="56"/>
        <v>0</v>
      </c>
      <c r="Q340">
        <f t="shared" si="57"/>
        <v>0</v>
      </c>
      <c r="S340">
        <f t="shared" si="58"/>
        <v>-18.780434782608697</v>
      </c>
      <c r="T340">
        <f t="shared" si="59"/>
        <v>0</v>
      </c>
      <c r="U340">
        <f t="shared" si="60"/>
        <v>-0.38043478260869568</v>
      </c>
      <c r="V340">
        <f t="shared" si="61"/>
        <v>-18.400000000000002</v>
      </c>
      <c r="W340">
        <f t="shared" si="62"/>
        <v>0</v>
      </c>
      <c r="X340">
        <f t="shared" si="63"/>
        <v>0</v>
      </c>
      <c r="Y340">
        <f t="shared" si="64"/>
        <v>0</v>
      </c>
    </row>
    <row r="341" spans="1:25" x14ac:dyDescent="0.2">
      <c r="A341" t="s">
        <v>21</v>
      </c>
      <c r="B341" t="s">
        <v>1057</v>
      </c>
      <c r="C341">
        <v>230</v>
      </c>
      <c r="D341" s="2">
        <v>0</v>
      </c>
      <c r="E341">
        <v>0</v>
      </c>
      <c r="F341">
        <v>0</v>
      </c>
      <c r="G341">
        <v>0</v>
      </c>
      <c r="H341">
        <v>0</v>
      </c>
      <c r="I341">
        <v>50</v>
      </c>
      <c r="J341">
        <v>61</v>
      </c>
      <c r="K341">
        <v>0</v>
      </c>
      <c r="L341">
        <v>61</v>
      </c>
      <c r="M341">
        <v>0</v>
      </c>
      <c r="N341">
        <v>291</v>
      </c>
      <c r="O341" s="3">
        <f t="shared" si="55"/>
        <v>0</v>
      </c>
      <c r="P341">
        <f t="shared" si="56"/>
        <v>0</v>
      </c>
      <c r="Q341">
        <f t="shared" si="57"/>
        <v>0</v>
      </c>
      <c r="S341">
        <f t="shared" si="58"/>
        <v>-24.943478260869565</v>
      </c>
      <c r="T341">
        <f t="shared" si="59"/>
        <v>0</v>
      </c>
      <c r="U341">
        <f t="shared" si="60"/>
        <v>-0.54347826086956519</v>
      </c>
      <c r="V341">
        <f t="shared" si="61"/>
        <v>-24.4</v>
      </c>
      <c r="W341">
        <f t="shared" si="62"/>
        <v>0</v>
      </c>
      <c r="X341">
        <f t="shared" si="63"/>
        <v>0</v>
      </c>
      <c r="Y341">
        <f t="shared" si="64"/>
        <v>0</v>
      </c>
    </row>
    <row r="342" spans="1:25" x14ac:dyDescent="0.2">
      <c r="A342" t="s">
        <v>21</v>
      </c>
      <c r="B342" t="s">
        <v>1058</v>
      </c>
      <c r="C342">
        <v>290</v>
      </c>
      <c r="D342" s="2">
        <v>0</v>
      </c>
      <c r="E342">
        <v>0</v>
      </c>
      <c r="F342">
        <v>0</v>
      </c>
      <c r="G342">
        <v>0</v>
      </c>
      <c r="H342">
        <v>0</v>
      </c>
      <c r="I342">
        <v>60</v>
      </c>
      <c r="J342">
        <v>76</v>
      </c>
      <c r="K342">
        <v>0</v>
      </c>
      <c r="L342">
        <v>76</v>
      </c>
      <c r="M342">
        <v>0</v>
      </c>
      <c r="N342">
        <v>366</v>
      </c>
      <c r="O342" s="3">
        <f t="shared" si="55"/>
        <v>0</v>
      </c>
      <c r="P342">
        <f t="shared" si="56"/>
        <v>0</v>
      </c>
      <c r="Q342">
        <f t="shared" si="57"/>
        <v>0</v>
      </c>
      <c r="S342">
        <f t="shared" si="58"/>
        <v>-31.052173913043482</v>
      </c>
      <c r="T342">
        <f t="shared" si="59"/>
        <v>0</v>
      </c>
      <c r="U342">
        <f t="shared" si="60"/>
        <v>-0.65217391304347827</v>
      </c>
      <c r="V342">
        <f t="shared" si="61"/>
        <v>-30.400000000000006</v>
      </c>
      <c r="W342">
        <f t="shared" si="62"/>
        <v>0</v>
      </c>
      <c r="X342">
        <f t="shared" si="63"/>
        <v>0</v>
      </c>
      <c r="Y342">
        <f t="shared" si="64"/>
        <v>0</v>
      </c>
    </row>
    <row r="343" spans="1:25" x14ac:dyDescent="0.2">
      <c r="A343" t="s">
        <v>21</v>
      </c>
      <c r="B343" t="s">
        <v>1059</v>
      </c>
      <c r="C343">
        <v>430</v>
      </c>
      <c r="D343" s="2">
        <v>0</v>
      </c>
      <c r="E343">
        <v>0</v>
      </c>
      <c r="F343">
        <v>0</v>
      </c>
      <c r="G343">
        <v>0</v>
      </c>
      <c r="H343">
        <v>0</v>
      </c>
      <c r="I343">
        <v>90</v>
      </c>
      <c r="J343">
        <v>115</v>
      </c>
      <c r="K343">
        <v>0</v>
      </c>
      <c r="L343">
        <v>114</v>
      </c>
      <c r="M343">
        <v>0</v>
      </c>
      <c r="N343">
        <v>544</v>
      </c>
      <c r="O343" s="3">
        <f t="shared" si="55"/>
        <v>0</v>
      </c>
      <c r="P343">
        <f t="shared" si="56"/>
        <v>0</v>
      </c>
      <c r="Q343">
        <f t="shared" si="57"/>
        <v>0</v>
      </c>
      <c r="S343">
        <f t="shared" si="58"/>
        <v>-46.578260869565213</v>
      </c>
      <c r="T343">
        <f t="shared" si="59"/>
        <v>0</v>
      </c>
      <c r="U343">
        <f t="shared" si="60"/>
        <v>-0.97826086956521752</v>
      </c>
      <c r="V343">
        <f t="shared" si="61"/>
        <v>-45.599999999999994</v>
      </c>
      <c r="W343">
        <f t="shared" si="62"/>
        <v>0</v>
      </c>
      <c r="X343">
        <f t="shared" si="63"/>
        <v>0</v>
      </c>
      <c r="Y343">
        <f t="shared" si="64"/>
        <v>0</v>
      </c>
    </row>
    <row r="344" spans="1:25" x14ac:dyDescent="0.2">
      <c r="A344" t="s">
        <v>21</v>
      </c>
      <c r="B344" t="s">
        <v>1060</v>
      </c>
      <c r="C344">
        <v>160</v>
      </c>
      <c r="D344" s="2">
        <v>0</v>
      </c>
      <c r="E344">
        <v>0</v>
      </c>
      <c r="F344">
        <v>0</v>
      </c>
      <c r="G344">
        <v>0</v>
      </c>
      <c r="H344">
        <v>0</v>
      </c>
      <c r="I344">
        <v>30</v>
      </c>
      <c r="J344">
        <v>42</v>
      </c>
      <c r="K344">
        <v>0</v>
      </c>
      <c r="L344">
        <v>42</v>
      </c>
      <c r="M344">
        <v>0</v>
      </c>
      <c r="N344">
        <v>202</v>
      </c>
      <c r="O344" s="3">
        <f t="shared" si="55"/>
        <v>0</v>
      </c>
      <c r="P344">
        <f t="shared" si="56"/>
        <v>0</v>
      </c>
      <c r="Q344">
        <f t="shared" si="57"/>
        <v>0</v>
      </c>
      <c r="S344">
        <f t="shared" si="58"/>
        <v>-17.126086956521739</v>
      </c>
      <c r="T344">
        <f t="shared" si="59"/>
        <v>0</v>
      </c>
      <c r="U344">
        <f t="shared" si="60"/>
        <v>-0.32608695652173914</v>
      </c>
      <c r="V344">
        <f t="shared" si="61"/>
        <v>-16.8</v>
      </c>
      <c r="W344">
        <f t="shared" si="62"/>
        <v>0</v>
      </c>
      <c r="X344">
        <f t="shared" si="63"/>
        <v>0</v>
      </c>
      <c r="Y344">
        <f t="shared" si="64"/>
        <v>0</v>
      </c>
    </row>
    <row r="345" spans="1:25" x14ac:dyDescent="0.2">
      <c r="A345" t="s">
        <v>21</v>
      </c>
      <c r="B345" t="s">
        <v>1061</v>
      </c>
      <c r="C345">
        <v>210</v>
      </c>
      <c r="D345" s="2">
        <v>0</v>
      </c>
      <c r="E345">
        <v>0</v>
      </c>
      <c r="F345">
        <v>0</v>
      </c>
      <c r="G345">
        <v>0</v>
      </c>
      <c r="H345">
        <v>0</v>
      </c>
      <c r="I345">
        <v>40</v>
      </c>
      <c r="J345">
        <v>56</v>
      </c>
      <c r="K345">
        <v>0</v>
      </c>
      <c r="L345">
        <v>56</v>
      </c>
      <c r="M345">
        <v>0</v>
      </c>
      <c r="N345">
        <v>266</v>
      </c>
      <c r="O345" s="3">
        <f t="shared" si="55"/>
        <v>0</v>
      </c>
      <c r="P345">
        <f t="shared" si="56"/>
        <v>0</v>
      </c>
      <c r="Q345">
        <f t="shared" si="57"/>
        <v>0</v>
      </c>
      <c r="S345">
        <f t="shared" si="58"/>
        <v>-22.834782608695654</v>
      </c>
      <c r="T345">
        <f t="shared" si="59"/>
        <v>0</v>
      </c>
      <c r="U345">
        <f t="shared" si="60"/>
        <v>-0.43478260869565216</v>
      </c>
      <c r="V345">
        <f t="shared" si="61"/>
        <v>-22.400000000000002</v>
      </c>
      <c r="W345">
        <f t="shared" si="62"/>
        <v>0</v>
      </c>
      <c r="X345">
        <f t="shared" si="63"/>
        <v>0</v>
      </c>
      <c r="Y345">
        <f t="shared" si="64"/>
        <v>0</v>
      </c>
    </row>
    <row r="346" spans="1:25" x14ac:dyDescent="0.2">
      <c r="A346" t="s">
        <v>21</v>
      </c>
      <c r="B346" t="s">
        <v>1062</v>
      </c>
      <c r="C346">
        <v>260</v>
      </c>
      <c r="D346" s="2">
        <v>0</v>
      </c>
      <c r="E346">
        <v>0</v>
      </c>
      <c r="F346">
        <v>0</v>
      </c>
      <c r="G346">
        <v>0</v>
      </c>
      <c r="H346">
        <v>0</v>
      </c>
      <c r="I346">
        <v>50</v>
      </c>
      <c r="J346">
        <v>70</v>
      </c>
      <c r="K346">
        <v>0</v>
      </c>
      <c r="L346">
        <v>70</v>
      </c>
      <c r="M346">
        <v>0</v>
      </c>
      <c r="N346">
        <v>330</v>
      </c>
      <c r="O346" s="3">
        <f t="shared" si="55"/>
        <v>0</v>
      </c>
      <c r="P346">
        <f t="shared" si="56"/>
        <v>0</v>
      </c>
      <c r="Q346">
        <f t="shared" si="57"/>
        <v>0</v>
      </c>
      <c r="S346">
        <f t="shared" si="58"/>
        <v>-28.543478260869563</v>
      </c>
      <c r="T346">
        <f t="shared" si="59"/>
        <v>0</v>
      </c>
      <c r="U346">
        <f t="shared" si="60"/>
        <v>-0.54347826086956519</v>
      </c>
      <c r="V346">
        <f t="shared" si="61"/>
        <v>-27.999999999999996</v>
      </c>
      <c r="W346">
        <f t="shared" si="62"/>
        <v>0</v>
      </c>
      <c r="X346">
        <f t="shared" si="63"/>
        <v>0</v>
      </c>
      <c r="Y346">
        <f t="shared" si="64"/>
        <v>0</v>
      </c>
    </row>
    <row r="347" spans="1:25" x14ac:dyDescent="0.2">
      <c r="A347" t="s">
        <v>21</v>
      </c>
      <c r="B347" t="s">
        <v>1063</v>
      </c>
      <c r="C347">
        <v>390</v>
      </c>
      <c r="D347" s="2">
        <v>0</v>
      </c>
      <c r="E347">
        <v>0</v>
      </c>
      <c r="F347">
        <v>0</v>
      </c>
      <c r="G347">
        <v>0</v>
      </c>
      <c r="H347">
        <v>0</v>
      </c>
      <c r="I347">
        <v>80</v>
      </c>
      <c r="J347">
        <v>105</v>
      </c>
      <c r="K347">
        <v>0</v>
      </c>
      <c r="L347">
        <v>105</v>
      </c>
      <c r="M347">
        <v>0</v>
      </c>
      <c r="N347">
        <v>495</v>
      </c>
      <c r="O347" s="3">
        <f t="shared" si="55"/>
        <v>0</v>
      </c>
      <c r="P347">
        <f t="shared" si="56"/>
        <v>0</v>
      </c>
      <c r="Q347">
        <f t="shared" si="57"/>
        <v>0</v>
      </c>
      <c r="S347">
        <f t="shared" si="58"/>
        <v>-42.869565217391312</v>
      </c>
      <c r="T347">
        <f t="shared" si="59"/>
        <v>0</v>
      </c>
      <c r="U347">
        <f t="shared" si="60"/>
        <v>-0.86956521739130432</v>
      </c>
      <c r="V347">
        <f t="shared" si="61"/>
        <v>-42.000000000000007</v>
      </c>
      <c r="W347">
        <f t="shared" si="62"/>
        <v>0</v>
      </c>
      <c r="X347">
        <f t="shared" si="63"/>
        <v>0</v>
      </c>
      <c r="Y347">
        <f t="shared" si="64"/>
        <v>0</v>
      </c>
    </row>
    <row r="348" spans="1:25" x14ac:dyDescent="0.2">
      <c r="A348" t="s">
        <v>25</v>
      </c>
      <c r="B348" t="s">
        <v>26</v>
      </c>
      <c r="C348">
        <v>220</v>
      </c>
      <c r="D348">
        <v>60</v>
      </c>
      <c r="E348">
        <v>6</v>
      </c>
      <c r="F348">
        <v>3</v>
      </c>
      <c r="G348">
        <v>0</v>
      </c>
      <c r="H348">
        <v>75</v>
      </c>
      <c r="I348">
        <v>890</v>
      </c>
      <c r="J348">
        <v>12</v>
      </c>
      <c r="K348">
        <v>3</v>
      </c>
      <c r="L348">
        <v>5</v>
      </c>
      <c r="M348">
        <v>30</v>
      </c>
      <c r="N348">
        <v>198</v>
      </c>
      <c r="O348" s="3">
        <f t="shared" si="55"/>
        <v>13.636363636363635</v>
      </c>
      <c r="P348">
        <f t="shared" si="56"/>
        <v>1</v>
      </c>
      <c r="Q348">
        <f t="shared" si="57"/>
        <v>0</v>
      </c>
      <c r="S348">
        <f t="shared" si="58"/>
        <v>-5.3524844720496887</v>
      </c>
      <c r="T348">
        <f t="shared" si="59"/>
        <v>-0.75</v>
      </c>
      <c r="U348">
        <f t="shared" si="60"/>
        <v>-9.6739130434782599</v>
      </c>
      <c r="V348">
        <f t="shared" si="61"/>
        <v>-2.0000000000000004</v>
      </c>
      <c r="W348">
        <f t="shared" si="62"/>
        <v>0</v>
      </c>
      <c r="X348">
        <f t="shared" si="63"/>
        <v>6</v>
      </c>
      <c r="Y348">
        <f t="shared" si="64"/>
        <v>1.0714285714285714</v>
      </c>
    </row>
    <row r="349" spans="1:25" x14ac:dyDescent="0.2">
      <c r="A349" t="s">
        <v>25</v>
      </c>
      <c r="B349" t="s">
        <v>28</v>
      </c>
      <c r="C349">
        <v>260</v>
      </c>
      <c r="D349">
        <v>90</v>
      </c>
      <c r="E349">
        <v>9</v>
      </c>
      <c r="F349">
        <v>4</v>
      </c>
      <c r="G349">
        <v>0</v>
      </c>
      <c r="H349">
        <v>90</v>
      </c>
      <c r="I349">
        <v>1010</v>
      </c>
      <c r="J349">
        <v>12</v>
      </c>
      <c r="K349">
        <v>3</v>
      </c>
      <c r="L349">
        <v>5</v>
      </c>
      <c r="M349">
        <v>33</v>
      </c>
      <c r="N349">
        <v>236</v>
      </c>
      <c r="O349" s="3">
        <f t="shared" si="55"/>
        <v>12.692307692307692</v>
      </c>
      <c r="P349">
        <f t="shared" si="56"/>
        <v>1</v>
      </c>
      <c r="Q349">
        <f t="shared" si="57"/>
        <v>0</v>
      </c>
      <c r="S349">
        <f t="shared" si="58"/>
        <v>-6.3068322981366469</v>
      </c>
      <c r="T349">
        <f t="shared" si="59"/>
        <v>-1</v>
      </c>
      <c r="U349">
        <f t="shared" si="60"/>
        <v>-10.978260869565219</v>
      </c>
      <c r="V349">
        <f t="shared" si="61"/>
        <v>-2.0000000000000004</v>
      </c>
      <c r="W349">
        <f t="shared" si="62"/>
        <v>0</v>
      </c>
      <c r="X349">
        <f t="shared" si="63"/>
        <v>6.6000000000000005</v>
      </c>
      <c r="Y349">
        <f t="shared" si="64"/>
        <v>1.0714285714285714</v>
      </c>
    </row>
    <row r="350" spans="1:25" x14ac:dyDescent="0.2">
      <c r="A350" t="s">
        <v>25</v>
      </c>
      <c r="B350" t="s">
        <v>31</v>
      </c>
      <c r="C350">
        <v>60</v>
      </c>
      <c r="D350">
        <v>0</v>
      </c>
      <c r="E350">
        <v>0</v>
      </c>
      <c r="F350">
        <v>0</v>
      </c>
      <c r="G350">
        <v>0</v>
      </c>
      <c r="H350">
        <v>5</v>
      </c>
      <c r="I350">
        <v>85</v>
      </c>
      <c r="J350">
        <v>9</v>
      </c>
      <c r="K350">
        <v>0</v>
      </c>
      <c r="L350">
        <v>9</v>
      </c>
      <c r="M350">
        <v>6</v>
      </c>
      <c r="N350">
        <v>63</v>
      </c>
      <c r="O350" s="3">
        <f t="shared" si="55"/>
        <v>10</v>
      </c>
      <c r="P350">
        <f t="shared" si="56"/>
        <v>0</v>
      </c>
      <c r="Q350">
        <f t="shared" si="57"/>
        <v>0</v>
      </c>
      <c r="S350">
        <f t="shared" si="58"/>
        <v>-3.3239130434782602</v>
      </c>
      <c r="T350">
        <f t="shared" si="59"/>
        <v>0</v>
      </c>
      <c r="U350">
        <f t="shared" si="60"/>
        <v>-0.92391304347826086</v>
      </c>
      <c r="V350">
        <f t="shared" si="61"/>
        <v>-3.5999999999999996</v>
      </c>
      <c r="W350">
        <f t="shared" si="62"/>
        <v>0</v>
      </c>
      <c r="X350">
        <f t="shared" si="63"/>
        <v>1.2</v>
      </c>
      <c r="Y350">
        <f t="shared" si="64"/>
        <v>0</v>
      </c>
    </row>
    <row r="351" spans="1:25" x14ac:dyDescent="0.2">
      <c r="A351" t="s">
        <v>25</v>
      </c>
      <c r="B351" t="s">
        <v>32</v>
      </c>
      <c r="C351">
        <v>80</v>
      </c>
      <c r="D351">
        <v>0</v>
      </c>
      <c r="E351">
        <v>0</v>
      </c>
      <c r="F351">
        <v>0</v>
      </c>
      <c r="G351">
        <v>0</v>
      </c>
      <c r="H351">
        <v>5</v>
      </c>
      <c r="I351">
        <v>110</v>
      </c>
      <c r="J351">
        <v>12</v>
      </c>
      <c r="K351">
        <v>0</v>
      </c>
      <c r="L351">
        <v>12</v>
      </c>
      <c r="M351">
        <v>8</v>
      </c>
      <c r="N351">
        <v>84</v>
      </c>
      <c r="O351" s="3">
        <f t="shared" si="55"/>
        <v>10</v>
      </c>
      <c r="P351">
        <f t="shared" si="56"/>
        <v>0</v>
      </c>
      <c r="Q351">
        <f t="shared" si="57"/>
        <v>0</v>
      </c>
      <c r="S351">
        <f t="shared" si="58"/>
        <v>-4.3956521739130441</v>
      </c>
      <c r="T351">
        <f t="shared" si="59"/>
        <v>0</v>
      </c>
      <c r="U351">
        <f t="shared" si="60"/>
        <v>-1.1956521739130435</v>
      </c>
      <c r="V351">
        <f t="shared" si="61"/>
        <v>-4.8</v>
      </c>
      <c r="W351">
        <f t="shared" si="62"/>
        <v>0</v>
      </c>
      <c r="X351">
        <f t="shared" si="63"/>
        <v>1.6</v>
      </c>
      <c r="Y351">
        <f t="shared" si="64"/>
        <v>0</v>
      </c>
    </row>
    <row r="352" spans="1:25" x14ac:dyDescent="0.2">
      <c r="A352" t="s">
        <v>25</v>
      </c>
      <c r="B352" t="s">
        <v>33</v>
      </c>
      <c r="C352">
        <v>90</v>
      </c>
      <c r="D352">
        <v>0</v>
      </c>
      <c r="E352">
        <v>0</v>
      </c>
      <c r="F352">
        <v>0</v>
      </c>
      <c r="G352">
        <v>0</v>
      </c>
      <c r="H352">
        <v>5</v>
      </c>
      <c r="I352">
        <v>130</v>
      </c>
      <c r="J352">
        <v>13</v>
      </c>
      <c r="K352">
        <v>0</v>
      </c>
      <c r="L352">
        <v>13</v>
      </c>
      <c r="M352">
        <v>9</v>
      </c>
      <c r="N352">
        <v>94</v>
      </c>
      <c r="O352" s="3">
        <f t="shared" si="55"/>
        <v>10</v>
      </c>
      <c r="P352">
        <f t="shared" si="56"/>
        <v>0</v>
      </c>
      <c r="Q352">
        <f t="shared" si="57"/>
        <v>0</v>
      </c>
      <c r="S352">
        <f t="shared" si="58"/>
        <v>-4.8130434782608704</v>
      </c>
      <c r="T352">
        <f t="shared" si="59"/>
        <v>0</v>
      </c>
      <c r="U352">
        <f t="shared" si="60"/>
        <v>-1.4130434782608696</v>
      </c>
      <c r="V352">
        <f t="shared" si="61"/>
        <v>-5.2</v>
      </c>
      <c r="W352">
        <f t="shared" si="62"/>
        <v>0</v>
      </c>
      <c r="X352">
        <f t="shared" si="63"/>
        <v>1.7999999999999998</v>
      </c>
      <c r="Y352">
        <f t="shared" si="64"/>
        <v>0</v>
      </c>
    </row>
    <row r="353" spans="1:25" x14ac:dyDescent="0.2">
      <c r="A353" t="s">
        <v>25</v>
      </c>
      <c r="B353" t="s">
        <v>34</v>
      </c>
      <c r="C353">
        <v>90</v>
      </c>
      <c r="D353">
        <v>0</v>
      </c>
      <c r="E353">
        <v>0</v>
      </c>
      <c r="F353">
        <v>0</v>
      </c>
      <c r="G353">
        <v>0</v>
      </c>
      <c r="H353">
        <v>5</v>
      </c>
      <c r="I353">
        <v>115</v>
      </c>
      <c r="J353">
        <v>13</v>
      </c>
      <c r="K353">
        <v>0</v>
      </c>
      <c r="L353">
        <v>13</v>
      </c>
      <c r="M353">
        <v>9</v>
      </c>
      <c r="N353">
        <v>94</v>
      </c>
      <c r="O353" s="3">
        <f t="shared" si="55"/>
        <v>10</v>
      </c>
      <c r="P353">
        <f t="shared" si="56"/>
        <v>0</v>
      </c>
      <c r="Q353">
        <f t="shared" si="57"/>
        <v>0</v>
      </c>
      <c r="S353">
        <f t="shared" si="58"/>
        <v>-4.6500000000000004</v>
      </c>
      <c r="T353">
        <f t="shared" si="59"/>
        <v>0</v>
      </c>
      <c r="U353">
        <f t="shared" si="60"/>
        <v>-1.25</v>
      </c>
      <c r="V353">
        <f t="shared" si="61"/>
        <v>-5.2</v>
      </c>
      <c r="W353">
        <f t="shared" si="62"/>
        <v>0</v>
      </c>
      <c r="X353">
        <f t="shared" si="63"/>
        <v>1.7999999999999998</v>
      </c>
      <c r="Y353">
        <f t="shared" si="64"/>
        <v>0</v>
      </c>
    </row>
    <row r="354" spans="1:25" x14ac:dyDescent="0.2">
      <c r="A354" t="s">
        <v>25</v>
      </c>
      <c r="B354" t="s">
        <v>35</v>
      </c>
      <c r="C354">
        <v>120</v>
      </c>
      <c r="D354">
        <v>0</v>
      </c>
      <c r="E354">
        <v>0</v>
      </c>
      <c r="F354">
        <v>0</v>
      </c>
      <c r="G354">
        <v>0</v>
      </c>
      <c r="H354">
        <v>5</v>
      </c>
      <c r="I354">
        <v>160</v>
      </c>
      <c r="J354">
        <v>18</v>
      </c>
      <c r="K354">
        <v>0</v>
      </c>
      <c r="L354">
        <v>18</v>
      </c>
      <c r="M354">
        <v>12</v>
      </c>
      <c r="N354">
        <v>126</v>
      </c>
      <c r="O354" s="3">
        <f t="shared" si="55"/>
        <v>10</v>
      </c>
      <c r="P354">
        <f t="shared" si="56"/>
        <v>0</v>
      </c>
      <c r="Q354">
        <f t="shared" si="57"/>
        <v>0</v>
      </c>
      <c r="S354">
        <f t="shared" si="58"/>
        <v>-6.5391304347826082</v>
      </c>
      <c r="T354">
        <f t="shared" si="59"/>
        <v>0</v>
      </c>
      <c r="U354">
        <f t="shared" si="60"/>
        <v>-1.7391304347826086</v>
      </c>
      <c r="V354">
        <f t="shared" si="61"/>
        <v>-7.1999999999999993</v>
      </c>
      <c r="W354">
        <f t="shared" si="62"/>
        <v>0</v>
      </c>
      <c r="X354">
        <f t="shared" si="63"/>
        <v>2.4</v>
      </c>
      <c r="Y354">
        <f t="shared" si="64"/>
        <v>0</v>
      </c>
    </row>
    <row r="355" spans="1:25" x14ac:dyDescent="0.2">
      <c r="A355" t="s">
        <v>25</v>
      </c>
      <c r="B355" t="s">
        <v>36</v>
      </c>
      <c r="C355">
        <v>50</v>
      </c>
      <c r="D355">
        <v>0</v>
      </c>
      <c r="E355">
        <v>0</v>
      </c>
      <c r="F355">
        <v>0</v>
      </c>
      <c r="G355">
        <v>0</v>
      </c>
      <c r="H355">
        <v>5</v>
      </c>
      <c r="I355">
        <v>100</v>
      </c>
      <c r="J355">
        <v>15</v>
      </c>
      <c r="K355">
        <v>0</v>
      </c>
      <c r="L355">
        <v>8</v>
      </c>
      <c r="M355">
        <v>5</v>
      </c>
      <c r="N355">
        <v>53</v>
      </c>
      <c r="O355" s="3">
        <f t="shared" si="55"/>
        <v>10</v>
      </c>
      <c r="P355">
        <f t="shared" si="56"/>
        <v>0</v>
      </c>
      <c r="Q355">
        <f t="shared" si="57"/>
        <v>0</v>
      </c>
      <c r="S355">
        <f t="shared" si="58"/>
        <v>-3.2869565217391301</v>
      </c>
      <c r="T355">
        <f t="shared" si="59"/>
        <v>0</v>
      </c>
      <c r="U355">
        <f t="shared" si="60"/>
        <v>-1.0869565217391304</v>
      </c>
      <c r="V355">
        <f t="shared" si="61"/>
        <v>-3.2</v>
      </c>
      <c r="W355">
        <f t="shared" si="62"/>
        <v>0</v>
      </c>
      <c r="X355">
        <f t="shared" si="63"/>
        <v>1.0000000000000002</v>
      </c>
      <c r="Y355">
        <f t="shared" si="64"/>
        <v>0</v>
      </c>
    </row>
    <row r="356" spans="1:25" x14ac:dyDescent="0.2">
      <c r="A356" t="s">
        <v>25</v>
      </c>
      <c r="B356" t="s">
        <v>37</v>
      </c>
      <c r="C356">
        <v>70</v>
      </c>
      <c r="D356">
        <v>0</v>
      </c>
      <c r="E356">
        <v>0</v>
      </c>
      <c r="F356">
        <v>0</v>
      </c>
      <c r="G356">
        <v>0</v>
      </c>
      <c r="H356">
        <v>5</v>
      </c>
      <c r="I356">
        <v>130</v>
      </c>
      <c r="J356">
        <v>19</v>
      </c>
      <c r="K356">
        <v>0</v>
      </c>
      <c r="L356">
        <v>10</v>
      </c>
      <c r="M356">
        <v>7</v>
      </c>
      <c r="N356">
        <v>73</v>
      </c>
      <c r="O356" s="3">
        <f t="shared" si="55"/>
        <v>10</v>
      </c>
      <c r="P356">
        <f t="shared" si="56"/>
        <v>0</v>
      </c>
      <c r="Q356">
        <f t="shared" si="57"/>
        <v>0</v>
      </c>
      <c r="S356">
        <f t="shared" si="58"/>
        <v>-4.0130434782608706</v>
      </c>
      <c r="T356">
        <f t="shared" si="59"/>
        <v>0</v>
      </c>
      <c r="U356">
        <f t="shared" si="60"/>
        <v>-1.4130434782608696</v>
      </c>
      <c r="V356">
        <f t="shared" si="61"/>
        <v>-4.0000000000000009</v>
      </c>
      <c r="W356">
        <f t="shared" si="62"/>
        <v>0</v>
      </c>
      <c r="X356">
        <f t="shared" si="63"/>
        <v>1.4000000000000001</v>
      </c>
      <c r="Y356">
        <f t="shared" si="64"/>
        <v>0</v>
      </c>
    </row>
    <row r="357" spans="1:25" x14ac:dyDescent="0.2">
      <c r="A357" t="s">
        <v>25</v>
      </c>
      <c r="B357" t="s">
        <v>38</v>
      </c>
      <c r="C357">
        <v>80</v>
      </c>
      <c r="D357">
        <v>0</v>
      </c>
      <c r="E357">
        <v>0</v>
      </c>
      <c r="F357">
        <v>0</v>
      </c>
      <c r="G357">
        <v>0</v>
      </c>
      <c r="H357">
        <v>5</v>
      </c>
      <c r="I357">
        <v>150</v>
      </c>
      <c r="J357">
        <v>22</v>
      </c>
      <c r="K357">
        <v>0</v>
      </c>
      <c r="L357">
        <v>11</v>
      </c>
      <c r="M357">
        <v>8</v>
      </c>
      <c r="N357">
        <v>83</v>
      </c>
      <c r="O357" s="3">
        <f t="shared" si="55"/>
        <v>10</v>
      </c>
      <c r="P357">
        <f t="shared" si="56"/>
        <v>0</v>
      </c>
      <c r="Q357">
        <f t="shared" si="57"/>
        <v>0</v>
      </c>
      <c r="S357">
        <f t="shared" si="58"/>
        <v>-4.4304347826086961</v>
      </c>
      <c r="T357">
        <f t="shared" si="59"/>
        <v>0</v>
      </c>
      <c r="U357">
        <f t="shared" si="60"/>
        <v>-1.6304347826086956</v>
      </c>
      <c r="V357">
        <f t="shared" si="61"/>
        <v>-4.4000000000000004</v>
      </c>
      <c r="W357">
        <f t="shared" si="62"/>
        <v>0</v>
      </c>
      <c r="X357">
        <f t="shared" si="63"/>
        <v>1.6</v>
      </c>
      <c r="Y357">
        <f t="shared" si="64"/>
        <v>0</v>
      </c>
    </row>
    <row r="358" spans="1:25" x14ac:dyDescent="0.2">
      <c r="A358" t="s">
        <v>25</v>
      </c>
      <c r="B358" t="s">
        <v>39</v>
      </c>
      <c r="C358">
        <v>90</v>
      </c>
      <c r="D358">
        <v>0</v>
      </c>
      <c r="E358">
        <v>0</v>
      </c>
      <c r="F358">
        <v>0</v>
      </c>
      <c r="G358">
        <v>0</v>
      </c>
      <c r="H358">
        <v>5</v>
      </c>
      <c r="I358">
        <v>160</v>
      </c>
      <c r="J358">
        <v>22</v>
      </c>
      <c r="K358">
        <v>0</v>
      </c>
      <c r="L358">
        <v>13</v>
      </c>
      <c r="M358">
        <v>9</v>
      </c>
      <c r="N358">
        <v>94</v>
      </c>
      <c r="O358" s="3">
        <f t="shared" si="55"/>
        <v>10</v>
      </c>
      <c r="P358">
        <f t="shared" si="56"/>
        <v>0</v>
      </c>
      <c r="Q358">
        <f t="shared" si="57"/>
        <v>0</v>
      </c>
      <c r="S358">
        <f t="shared" si="58"/>
        <v>-5.1391304347826088</v>
      </c>
      <c r="T358">
        <f t="shared" si="59"/>
        <v>0</v>
      </c>
      <c r="U358">
        <f t="shared" si="60"/>
        <v>-1.7391304347826086</v>
      </c>
      <c r="V358">
        <f t="shared" si="61"/>
        <v>-5.2</v>
      </c>
      <c r="W358">
        <f t="shared" si="62"/>
        <v>0</v>
      </c>
      <c r="X358">
        <f t="shared" si="63"/>
        <v>1.7999999999999998</v>
      </c>
      <c r="Y358">
        <f t="shared" si="64"/>
        <v>0</v>
      </c>
    </row>
    <row r="359" spans="1:25" x14ac:dyDescent="0.2">
      <c r="A359" t="s">
        <v>25</v>
      </c>
      <c r="B359" t="s">
        <v>40</v>
      </c>
      <c r="C359">
        <v>110</v>
      </c>
      <c r="D359">
        <v>0</v>
      </c>
      <c r="E359">
        <v>0</v>
      </c>
      <c r="F359">
        <v>0</v>
      </c>
      <c r="G359">
        <v>0</v>
      </c>
      <c r="H359">
        <v>5</v>
      </c>
      <c r="I359">
        <v>190</v>
      </c>
      <c r="J359">
        <v>27</v>
      </c>
      <c r="K359">
        <v>0</v>
      </c>
      <c r="L359">
        <v>15</v>
      </c>
      <c r="M359">
        <v>11</v>
      </c>
      <c r="N359">
        <v>114</v>
      </c>
      <c r="O359" s="3">
        <f t="shared" si="55"/>
        <v>10</v>
      </c>
      <c r="P359">
        <f t="shared" si="56"/>
        <v>0</v>
      </c>
      <c r="Q359">
        <f t="shared" si="57"/>
        <v>0</v>
      </c>
      <c r="S359">
        <f t="shared" si="58"/>
        <v>-5.8652173913043475</v>
      </c>
      <c r="T359">
        <f t="shared" si="59"/>
        <v>0</v>
      </c>
      <c r="U359">
        <f t="shared" si="60"/>
        <v>-2.0652173913043477</v>
      </c>
      <c r="V359">
        <f t="shared" si="61"/>
        <v>-6</v>
      </c>
      <c r="W359">
        <f t="shared" si="62"/>
        <v>0</v>
      </c>
      <c r="X359">
        <f t="shared" si="63"/>
        <v>2.2000000000000002</v>
      </c>
      <c r="Y359">
        <f t="shared" si="64"/>
        <v>0</v>
      </c>
    </row>
    <row r="360" spans="1:25" x14ac:dyDescent="0.2">
      <c r="A360" t="s">
        <v>25</v>
      </c>
      <c r="B360" t="s">
        <v>43</v>
      </c>
      <c r="C360">
        <v>50</v>
      </c>
      <c r="D360">
        <v>0</v>
      </c>
      <c r="E360">
        <v>0</v>
      </c>
      <c r="F360">
        <v>0</v>
      </c>
      <c r="G360">
        <v>0</v>
      </c>
      <c r="H360">
        <v>5</v>
      </c>
      <c r="I360">
        <v>70</v>
      </c>
      <c r="J360">
        <v>7</v>
      </c>
      <c r="K360">
        <v>0</v>
      </c>
      <c r="L360">
        <v>7</v>
      </c>
      <c r="M360">
        <v>5</v>
      </c>
      <c r="N360">
        <v>52</v>
      </c>
      <c r="O360" s="3">
        <f t="shared" si="55"/>
        <v>10</v>
      </c>
      <c r="P360">
        <f t="shared" si="56"/>
        <v>0</v>
      </c>
      <c r="Q360">
        <f t="shared" si="57"/>
        <v>0</v>
      </c>
      <c r="S360">
        <f t="shared" si="58"/>
        <v>-2.5608695652173914</v>
      </c>
      <c r="T360">
        <f t="shared" si="59"/>
        <v>0</v>
      </c>
      <c r="U360">
        <f t="shared" si="60"/>
        <v>-0.76086956521739135</v>
      </c>
      <c r="V360">
        <f t="shared" si="61"/>
        <v>-2.8000000000000003</v>
      </c>
      <c r="W360">
        <f t="shared" si="62"/>
        <v>0</v>
      </c>
      <c r="X360">
        <f t="shared" si="63"/>
        <v>1.0000000000000002</v>
      </c>
      <c r="Y360">
        <f t="shared" si="64"/>
        <v>0</v>
      </c>
    </row>
    <row r="361" spans="1:25" x14ac:dyDescent="0.2">
      <c r="A361" t="s">
        <v>25</v>
      </c>
      <c r="B361" t="s">
        <v>46</v>
      </c>
      <c r="C361">
        <v>60</v>
      </c>
      <c r="D361">
        <v>0</v>
      </c>
      <c r="E361">
        <v>0</v>
      </c>
      <c r="F361">
        <v>0</v>
      </c>
      <c r="G361">
        <v>0</v>
      </c>
      <c r="H361">
        <v>5</v>
      </c>
      <c r="I361">
        <v>90</v>
      </c>
      <c r="J361">
        <v>9</v>
      </c>
      <c r="K361">
        <v>0</v>
      </c>
      <c r="L361">
        <v>9</v>
      </c>
      <c r="M361">
        <v>6</v>
      </c>
      <c r="N361">
        <v>63</v>
      </c>
      <c r="O361" s="3">
        <f t="shared" si="55"/>
        <v>10</v>
      </c>
      <c r="P361">
        <f t="shared" si="56"/>
        <v>0</v>
      </c>
      <c r="Q361">
        <f t="shared" si="57"/>
        <v>0</v>
      </c>
      <c r="S361">
        <f t="shared" si="58"/>
        <v>-3.3782608695652172</v>
      </c>
      <c r="T361">
        <f t="shared" si="59"/>
        <v>0</v>
      </c>
      <c r="U361">
        <f t="shared" si="60"/>
        <v>-0.97826086956521752</v>
      </c>
      <c r="V361">
        <f t="shared" si="61"/>
        <v>-3.5999999999999996</v>
      </c>
      <c r="W361">
        <f t="shared" si="62"/>
        <v>0</v>
      </c>
      <c r="X361">
        <f t="shared" si="63"/>
        <v>1.2</v>
      </c>
      <c r="Y361">
        <f t="shared" si="64"/>
        <v>0</v>
      </c>
    </row>
    <row r="362" spans="1:25" x14ac:dyDescent="0.2">
      <c r="A362" t="s">
        <v>25</v>
      </c>
      <c r="B362" t="s">
        <v>47</v>
      </c>
      <c r="C362">
        <v>70</v>
      </c>
      <c r="D362">
        <v>0</v>
      </c>
      <c r="E362">
        <v>0</v>
      </c>
      <c r="F362">
        <v>0</v>
      </c>
      <c r="G362">
        <v>0</v>
      </c>
      <c r="H362">
        <v>5</v>
      </c>
      <c r="I362">
        <v>105</v>
      </c>
      <c r="J362">
        <v>11</v>
      </c>
      <c r="K362">
        <v>0</v>
      </c>
      <c r="L362">
        <v>11</v>
      </c>
      <c r="M362">
        <v>7</v>
      </c>
      <c r="N362">
        <v>74</v>
      </c>
      <c r="O362" s="3">
        <f t="shared" si="55"/>
        <v>10</v>
      </c>
      <c r="P362">
        <f t="shared" si="56"/>
        <v>0</v>
      </c>
      <c r="Q362">
        <f t="shared" si="57"/>
        <v>0</v>
      </c>
      <c r="S362">
        <f t="shared" si="58"/>
        <v>-4.1413043478260869</v>
      </c>
      <c r="T362">
        <f t="shared" si="59"/>
        <v>0</v>
      </c>
      <c r="U362">
        <f t="shared" si="60"/>
        <v>-1.1413043478260869</v>
      </c>
      <c r="V362">
        <f t="shared" si="61"/>
        <v>-4.4000000000000004</v>
      </c>
      <c r="W362">
        <f t="shared" si="62"/>
        <v>0</v>
      </c>
      <c r="X362">
        <f t="shared" si="63"/>
        <v>1.4000000000000001</v>
      </c>
      <c r="Y362">
        <f t="shared" si="64"/>
        <v>0</v>
      </c>
    </row>
    <row r="363" spans="1:25" x14ac:dyDescent="0.2">
      <c r="A363" t="s">
        <v>25</v>
      </c>
      <c r="B363" t="s">
        <v>48</v>
      </c>
      <c r="C363">
        <v>40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85</v>
      </c>
      <c r="J363">
        <v>13</v>
      </c>
      <c r="K363">
        <v>0</v>
      </c>
      <c r="L363">
        <v>5</v>
      </c>
      <c r="M363">
        <v>4</v>
      </c>
      <c r="N363">
        <v>41</v>
      </c>
      <c r="O363" s="3">
        <f t="shared" si="55"/>
        <v>10</v>
      </c>
      <c r="P363">
        <f t="shared" si="56"/>
        <v>0</v>
      </c>
      <c r="Q363">
        <f t="shared" si="57"/>
        <v>0</v>
      </c>
      <c r="S363">
        <f t="shared" si="58"/>
        <v>-2.1239130434782609</v>
      </c>
      <c r="T363">
        <f t="shared" si="59"/>
        <v>0</v>
      </c>
      <c r="U363">
        <f t="shared" si="60"/>
        <v>-0.92391304347826086</v>
      </c>
      <c r="V363">
        <f t="shared" si="61"/>
        <v>-2.0000000000000004</v>
      </c>
      <c r="W363">
        <f t="shared" si="62"/>
        <v>0</v>
      </c>
      <c r="X363">
        <f t="shared" si="63"/>
        <v>0.8</v>
      </c>
      <c r="Y363">
        <f t="shared" si="64"/>
        <v>0</v>
      </c>
    </row>
    <row r="364" spans="1:25" x14ac:dyDescent="0.2">
      <c r="A364" t="s">
        <v>25</v>
      </c>
      <c r="B364" t="s">
        <v>49</v>
      </c>
      <c r="C364">
        <v>50</v>
      </c>
      <c r="D364">
        <v>0</v>
      </c>
      <c r="E364">
        <v>0</v>
      </c>
      <c r="F364">
        <v>0</v>
      </c>
      <c r="G364">
        <v>0</v>
      </c>
      <c r="H364">
        <v>5</v>
      </c>
      <c r="I364">
        <v>100</v>
      </c>
      <c r="J364">
        <v>14</v>
      </c>
      <c r="K364">
        <v>0</v>
      </c>
      <c r="L364">
        <v>6</v>
      </c>
      <c r="M364">
        <v>5</v>
      </c>
      <c r="N364">
        <v>51</v>
      </c>
      <c r="O364" s="3">
        <f t="shared" si="55"/>
        <v>10</v>
      </c>
      <c r="P364">
        <f t="shared" si="56"/>
        <v>0</v>
      </c>
      <c r="Q364">
        <f t="shared" si="57"/>
        <v>0</v>
      </c>
      <c r="S364">
        <f t="shared" si="58"/>
        <v>-2.4869565217391303</v>
      </c>
      <c r="T364">
        <f t="shared" si="59"/>
        <v>0</v>
      </c>
      <c r="U364">
        <f t="shared" si="60"/>
        <v>-1.0869565217391304</v>
      </c>
      <c r="V364">
        <f t="shared" si="61"/>
        <v>-2.4</v>
      </c>
      <c r="W364">
        <f t="shared" si="62"/>
        <v>0</v>
      </c>
      <c r="X364">
        <f t="shared" si="63"/>
        <v>1.0000000000000002</v>
      </c>
      <c r="Y364">
        <f t="shared" si="64"/>
        <v>0</v>
      </c>
    </row>
    <row r="365" spans="1:25" x14ac:dyDescent="0.2">
      <c r="A365" t="s">
        <v>25</v>
      </c>
      <c r="B365" t="s">
        <v>50</v>
      </c>
      <c r="C365">
        <v>60</v>
      </c>
      <c r="D365">
        <v>0</v>
      </c>
      <c r="E365">
        <v>0</v>
      </c>
      <c r="F365">
        <v>0</v>
      </c>
      <c r="G365">
        <v>0</v>
      </c>
      <c r="H365">
        <v>5</v>
      </c>
      <c r="I365">
        <v>130</v>
      </c>
      <c r="J365">
        <v>19</v>
      </c>
      <c r="K365">
        <v>0</v>
      </c>
      <c r="L365">
        <v>8</v>
      </c>
      <c r="M365">
        <v>6</v>
      </c>
      <c r="N365">
        <v>62</v>
      </c>
      <c r="O365" s="3">
        <f t="shared" si="55"/>
        <v>10</v>
      </c>
      <c r="P365">
        <f t="shared" si="56"/>
        <v>0</v>
      </c>
      <c r="Q365">
        <f t="shared" si="57"/>
        <v>0</v>
      </c>
      <c r="S365">
        <f t="shared" si="58"/>
        <v>-3.4130434782608701</v>
      </c>
      <c r="T365">
        <f t="shared" si="59"/>
        <v>0</v>
      </c>
      <c r="U365">
        <f t="shared" si="60"/>
        <v>-1.4130434782608696</v>
      </c>
      <c r="V365">
        <f t="shared" si="61"/>
        <v>-3.2</v>
      </c>
      <c r="W365">
        <f t="shared" si="62"/>
        <v>0</v>
      </c>
      <c r="X365">
        <f t="shared" si="63"/>
        <v>1.2</v>
      </c>
      <c r="Y365">
        <f t="shared" si="64"/>
        <v>0</v>
      </c>
    </row>
    <row r="366" spans="1:25" x14ac:dyDescent="0.2">
      <c r="A366" t="s">
        <v>25</v>
      </c>
      <c r="B366" t="s">
        <v>56</v>
      </c>
      <c r="C366">
        <v>320</v>
      </c>
      <c r="D366">
        <v>80</v>
      </c>
      <c r="E366">
        <v>9</v>
      </c>
      <c r="F366">
        <v>3</v>
      </c>
      <c r="G366">
        <v>0</v>
      </c>
      <c r="H366">
        <v>70</v>
      </c>
      <c r="I366">
        <v>960</v>
      </c>
      <c r="J366">
        <v>30</v>
      </c>
      <c r="K366">
        <v>6</v>
      </c>
      <c r="L366">
        <v>11</v>
      </c>
      <c r="M366">
        <v>30</v>
      </c>
      <c r="N366">
        <v>304</v>
      </c>
      <c r="O366" s="3">
        <f t="shared" si="55"/>
        <v>9.375</v>
      </c>
      <c r="P366">
        <f t="shared" si="56"/>
        <v>1</v>
      </c>
      <c r="Q366">
        <f t="shared" si="57"/>
        <v>0</v>
      </c>
      <c r="S366">
        <f t="shared" si="58"/>
        <v>-7.4419254658385103</v>
      </c>
      <c r="T366">
        <f t="shared" si="59"/>
        <v>-0.75</v>
      </c>
      <c r="U366">
        <f t="shared" si="60"/>
        <v>-10.434782608695652</v>
      </c>
      <c r="V366">
        <f t="shared" si="61"/>
        <v>-4.4000000000000004</v>
      </c>
      <c r="W366">
        <f t="shared" si="62"/>
        <v>0</v>
      </c>
      <c r="X366">
        <f t="shared" si="63"/>
        <v>6</v>
      </c>
      <c r="Y366">
        <f t="shared" si="64"/>
        <v>2.1428571428571428</v>
      </c>
    </row>
    <row r="367" spans="1:25" x14ac:dyDescent="0.2">
      <c r="A367" t="s">
        <v>25</v>
      </c>
      <c r="B367" t="s">
        <v>61</v>
      </c>
      <c r="C367">
        <v>110</v>
      </c>
      <c r="D367">
        <v>0</v>
      </c>
      <c r="E367">
        <v>0</v>
      </c>
      <c r="F367">
        <v>0</v>
      </c>
      <c r="G367">
        <v>0</v>
      </c>
      <c r="H367">
        <v>5</v>
      </c>
      <c r="I367">
        <v>140</v>
      </c>
      <c r="J367">
        <v>15</v>
      </c>
      <c r="K367">
        <v>0</v>
      </c>
      <c r="L367">
        <v>15</v>
      </c>
      <c r="M367">
        <v>10</v>
      </c>
      <c r="N367">
        <v>115</v>
      </c>
      <c r="O367" s="3">
        <f t="shared" si="55"/>
        <v>9.0909090909090917</v>
      </c>
      <c r="P367">
        <f t="shared" si="56"/>
        <v>0</v>
      </c>
      <c r="Q367">
        <f t="shared" si="57"/>
        <v>0</v>
      </c>
      <c r="S367">
        <f t="shared" si="58"/>
        <v>-5.5217391304347831</v>
      </c>
      <c r="T367">
        <f t="shared" si="59"/>
        <v>0</v>
      </c>
      <c r="U367">
        <f t="shared" si="60"/>
        <v>-1.5217391304347827</v>
      </c>
      <c r="V367">
        <f t="shared" si="61"/>
        <v>-6</v>
      </c>
      <c r="W367">
        <f t="shared" si="62"/>
        <v>0</v>
      </c>
      <c r="X367">
        <f t="shared" si="63"/>
        <v>2.0000000000000004</v>
      </c>
      <c r="Y367">
        <f t="shared" si="64"/>
        <v>0</v>
      </c>
    </row>
    <row r="368" spans="1:25" x14ac:dyDescent="0.2">
      <c r="A368" t="s">
        <v>25</v>
      </c>
      <c r="B368" t="s">
        <v>65</v>
      </c>
      <c r="C368">
        <v>80</v>
      </c>
      <c r="D368">
        <v>0</v>
      </c>
      <c r="E368">
        <v>0</v>
      </c>
      <c r="F368">
        <v>0</v>
      </c>
      <c r="G368">
        <v>0</v>
      </c>
      <c r="H368">
        <v>5</v>
      </c>
      <c r="I368">
        <v>130</v>
      </c>
      <c r="J368">
        <v>18</v>
      </c>
      <c r="K368">
        <v>0</v>
      </c>
      <c r="L368">
        <v>11</v>
      </c>
      <c r="M368">
        <v>7</v>
      </c>
      <c r="N368">
        <v>84</v>
      </c>
      <c r="O368" s="3">
        <f t="shared" si="55"/>
        <v>8.75</v>
      </c>
      <c r="P368">
        <f t="shared" si="56"/>
        <v>0</v>
      </c>
      <c r="Q368">
        <f t="shared" si="57"/>
        <v>0</v>
      </c>
      <c r="S368">
        <f t="shared" si="58"/>
        <v>-4.4130434782608692</v>
      </c>
      <c r="T368">
        <f t="shared" si="59"/>
        <v>0</v>
      </c>
      <c r="U368">
        <f t="shared" si="60"/>
        <v>-1.4130434782608696</v>
      </c>
      <c r="V368">
        <f t="shared" si="61"/>
        <v>-4.4000000000000004</v>
      </c>
      <c r="W368">
        <f t="shared" si="62"/>
        <v>0</v>
      </c>
      <c r="X368">
        <f t="shared" si="63"/>
        <v>1.4000000000000001</v>
      </c>
      <c r="Y368">
        <f t="shared" si="64"/>
        <v>0</v>
      </c>
    </row>
    <row r="369" spans="1:25" x14ac:dyDescent="0.2">
      <c r="A369" t="s">
        <v>25</v>
      </c>
      <c r="B369" t="s">
        <v>68</v>
      </c>
      <c r="C369">
        <v>380</v>
      </c>
      <c r="D369">
        <v>90</v>
      </c>
      <c r="E369">
        <v>10</v>
      </c>
      <c r="F369">
        <v>3</v>
      </c>
      <c r="G369">
        <v>0</v>
      </c>
      <c r="H369">
        <v>75</v>
      </c>
      <c r="I369">
        <v>1000</v>
      </c>
      <c r="J369">
        <v>41</v>
      </c>
      <c r="K369">
        <v>4</v>
      </c>
      <c r="L369">
        <v>9</v>
      </c>
      <c r="M369">
        <v>31</v>
      </c>
      <c r="N369">
        <v>361</v>
      </c>
      <c r="O369" s="3">
        <f t="shared" si="55"/>
        <v>8.1578947368421062</v>
      </c>
      <c r="P369">
        <f t="shared" si="56"/>
        <v>1</v>
      </c>
      <c r="Q369">
        <f t="shared" si="57"/>
        <v>0</v>
      </c>
      <c r="S369">
        <f t="shared" si="58"/>
        <v>-7.5909937888198744</v>
      </c>
      <c r="T369">
        <f t="shared" si="59"/>
        <v>-0.75</v>
      </c>
      <c r="U369">
        <f t="shared" si="60"/>
        <v>-10.869565217391305</v>
      </c>
      <c r="V369">
        <f t="shared" si="61"/>
        <v>-3.5999999999999996</v>
      </c>
      <c r="W369">
        <f t="shared" si="62"/>
        <v>0</v>
      </c>
      <c r="X369">
        <f t="shared" si="63"/>
        <v>6.2</v>
      </c>
      <c r="Y369">
        <f t="shared" si="64"/>
        <v>1.4285714285714286</v>
      </c>
    </row>
    <row r="370" spans="1:25" x14ac:dyDescent="0.2">
      <c r="A370" t="s">
        <v>25</v>
      </c>
      <c r="B370" t="s">
        <v>70</v>
      </c>
      <c r="C370">
        <v>100</v>
      </c>
      <c r="D370">
        <v>20</v>
      </c>
      <c r="E370">
        <v>2.5</v>
      </c>
      <c r="F370">
        <v>1.5</v>
      </c>
      <c r="G370">
        <v>0</v>
      </c>
      <c r="H370">
        <v>10</v>
      </c>
      <c r="I370">
        <v>125</v>
      </c>
      <c r="J370">
        <v>12</v>
      </c>
      <c r="K370">
        <v>0</v>
      </c>
      <c r="L370">
        <v>12</v>
      </c>
      <c r="M370">
        <v>8</v>
      </c>
      <c r="N370">
        <v>105.5</v>
      </c>
      <c r="O370" s="3">
        <f t="shared" si="55"/>
        <v>8</v>
      </c>
      <c r="P370">
        <f t="shared" si="56"/>
        <v>0</v>
      </c>
      <c r="Q370">
        <f t="shared" si="57"/>
        <v>0</v>
      </c>
      <c r="S370">
        <f t="shared" si="58"/>
        <v>-4.9336956521739133</v>
      </c>
      <c r="T370">
        <f t="shared" si="59"/>
        <v>-0.375</v>
      </c>
      <c r="U370">
        <f t="shared" si="60"/>
        <v>-1.3586956521739131</v>
      </c>
      <c r="V370">
        <f t="shared" si="61"/>
        <v>-4.8</v>
      </c>
      <c r="W370">
        <f t="shared" si="62"/>
        <v>0</v>
      </c>
      <c r="X370">
        <f t="shared" si="63"/>
        <v>1.6</v>
      </c>
      <c r="Y370">
        <f t="shared" si="64"/>
        <v>0</v>
      </c>
    </row>
    <row r="371" spans="1:25" x14ac:dyDescent="0.2">
      <c r="A371" t="s">
        <v>25</v>
      </c>
      <c r="B371" t="s">
        <v>72</v>
      </c>
      <c r="C371">
        <v>330</v>
      </c>
      <c r="D371">
        <v>150</v>
      </c>
      <c r="E371">
        <v>17</v>
      </c>
      <c r="F371">
        <v>4.5</v>
      </c>
      <c r="G371">
        <v>0</v>
      </c>
      <c r="H371">
        <v>60</v>
      </c>
      <c r="I371">
        <v>840</v>
      </c>
      <c r="J371">
        <v>20</v>
      </c>
      <c r="K371">
        <v>3</v>
      </c>
      <c r="L371">
        <v>6</v>
      </c>
      <c r="M371">
        <v>26</v>
      </c>
      <c r="N371">
        <v>314.5</v>
      </c>
      <c r="O371" s="3">
        <f t="shared" si="55"/>
        <v>7.878787878787878</v>
      </c>
      <c r="P371">
        <f t="shared" si="56"/>
        <v>1</v>
      </c>
      <c r="Q371">
        <f t="shared" si="57"/>
        <v>0</v>
      </c>
      <c r="S371">
        <f t="shared" si="58"/>
        <v>-6.3840062111801243</v>
      </c>
      <c r="T371">
        <f t="shared" si="59"/>
        <v>-1.125</v>
      </c>
      <c r="U371">
        <f t="shared" si="60"/>
        <v>-9.1304347826086953</v>
      </c>
      <c r="V371">
        <f t="shared" si="61"/>
        <v>-2.4</v>
      </c>
      <c r="W371">
        <f t="shared" si="62"/>
        <v>0</v>
      </c>
      <c r="X371">
        <f t="shared" si="63"/>
        <v>5.2</v>
      </c>
      <c r="Y371">
        <f t="shared" si="64"/>
        <v>1.0714285714285714</v>
      </c>
    </row>
    <row r="372" spans="1:25" x14ac:dyDescent="0.2">
      <c r="A372" t="s">
        <v>25</v>
      </c>
      <c r="B372" t="s">
        <v>73</v>
      </c>
      <c r="C372">
        <v>370</v>
      </c>
      <c r="D372">
        <v>180</v>
      </c>
      <c r="E372">
        <v>20</v>
      </c>
      <c r="F372">
        <v>6</v>
      </c>
      <c r="G372">
        <v>0</v>
      </c>
      <c r="H372">
        <v>75</v>
      </c>
      <c r="I372">
        <v>970</v>
      </c>
      <c r="J372">
        <v>20</v>
      </c>
      <c r="K372">
        <v>3</v>
      </c>
      <c r="L372">
        <v>6</v>
      </c>
      <c r="M372">
        <v>29</v>
      </c>
      <c r="N372">
        <v>353</v>
      </c>
      <c r="O372" s="3">
        <f t="shared" si="55"/>
        <v>7.8378378378378386</v>
      </c>
      <c r="P372">
        <f t="shared" si="56"/>
        <v>1</v>
      </c>
      <c r="Q372">
        <f t="shared" si="57"/>
        <v>0</v>
      </c>
      <c r="S372">
        <f t="shared" si="58"/>
        <v>-7.5720496894409965</v>
      </c>
      <c r="T372">
        <f t="shared" si="59"/>
        <v>-1.5</v>
      </c>
      <c r="U372">
        <f t="shared" si="60"/>
        <v>-10.543478260869566</v>
      </c>
      <c r="V372">
        <f t="shared" si="61"/>
        <v>-2.4</v>
      </c>
      <c r="W372">
        <f t="shared" si="62"/>
        <v>0</v>
      </c>
      <c r="X372">
        <f t="shared" si="63"/>
        <v>5.8</v>
      </c>
      <c r="Y372">
        <f t="shared" si="64"/>
        <v>1.0714285714285714</v>
      </c>
    </row>
    <row r="373" spans="1:25" x14ac:dyDescent="0.2">
      <c r="A373" t="s">
        <v>25</v>
      </c>
      <c r="B373" t="s">
        <v>74</v>
      </c>
      <c r="C373">
        <v>90</v>
      </c>
      <c r="D373">
        <v>35</v>
      </c>
      <c r="E373">
        <v>4</v>
      </c>
      <c r="F373">
        <v>2.5</v>
      </c>
      <c r="G373">
        <v>0</v>
      </c>
      <c r="H373">
        <v>10</v>
      </c>
      <c r="I373">
        <v>180</v>
      </c>
      <c r="J373">
        <v>9</v>
      </c>
      <c r="K373">
        <v>3</v>
      </c>
      <c r="L373">
        <v>4</v>
      </c>
      <c r="M373">
        <v>7</v>
      </c>
      <c r="N373">
        <v>89.5</v>
      </c>
      <c r="O373" s="3">
        <f t="shared" si="55"/>
        <v>7.7777777777777777</v>
      </c>
      <c r="P373">
        <f t="shared" si="56"/>
        <v>0</v>
      </c>
      <c r="Q373">
        <f t="shared" si="57"/>
        <v>0</v>
      </c>
      <c r="S373">
        <f t="shared" si="58"/>
        <v>-1.7100931677018634</v>
      </c>
      <c r="T373">
        <f t="shared" si="59"/>
        <v>-0.625</v>
      </c>
      <c r="U373">
        <f t="shared" si="60"/>
        <v>-1.956521739130435</v>
      </c>
      <c r="V373">
        <f t="shared" si="61"/>
        <v>-1.6</v>
      </c>
      <c r="W373">
        <f t="shared" si="62"/>
        <v>0</v>
      </c>
      <c r="X373">
        <f t="shared" si="63"/>
        <v>1.4000000000000001</v>
      </c>
      <c r="Y373">
        <f t="shared" si="64"/>
        <v>1.0714285714285714</v>
      </c>
    </row>
    <row r="374" spans="1:25" x14ac:dyDescent="0.2">
      <c r="A374" t="s">
        <v>25</v>
      </c>
      <c r="B374" t="s">
        <v>78</v>
      </c>
      <c r="C374">
        <v>460</v>
      </c>
      <c r="D374">
        <v>150</v>
      </c>
      <c r="E374">
        <v>17</v>
      </c>
      <c r="F374">
        <v>6</v>
      </c>
      <c r="G374">
        <v>0</v>
      </c>
      <c r="H374">
        <v>90</v>
      </c>
      <c r="I374">
        <v>1040</v>
      </c>
      <c r="J374">
        <v>43</v>
      </c>
      <c r="K374">
        <v>4</v>
      </c>
      <c r="L374">
        <v>9</v>
      </c>
      <c r="M374">
        <v>35</v>
      </c>
      <c r="N374">
        <v>440</v>
      </c>
      <c r="O374" s="3">
        <f t="shared" si="55"/>
        <v>7.608695652173914</v>
      </c>
      <c r="P374">
        <f t="shared" si="56"/>
        <v>1</v>
      </c>
      <c r="Q374">
        <f t="shared" si="57"/>
        <v>0</v>
      </c>
      <c r="S374">
        <f t="shared" si="58"/>
        <v>-7.975776397515526</v>
      </c>
      <c r="T374">
        <f t="shared" si="59"/>
        <v>-1.5</v>
      </c>
      <c r="U374">
        <f t="shared" si="60"/>
        <v>-11.304347826086957</v>
      </c>
      <c r="V374">
        <f t="shared" si="61"/>
        <v>-3.5999999999999996</v>
      </c>
      <c r="W374">
        <f t="shared" si="62"/>
        <v>0</v>
      </c>
      <c r="X374">
        <f t="shared" si="63"/>
        <v>6.9999999999999991</v>
      </c>
      <c r="Y374">
        <f t="shared" si="64"/>
        <v>1.4285714285714286</v>
      </c>
    </row>
    <row r="375" spans="1:25" x14ac:dyDescent="0.2">
      <c r="A375" t="s">
        <v>25</v>
      </c>
      <c r="B375" t="s">
        <v>79</v>
      </c>
      <c r="C375">
        <v>360</v>
      </c>
      <c r="D375">
        <v>80</v>
      </c>
      <c r="E375">
        <v>9</v>
      </c>
      <c r="F375">
        <v>2</v>
      </c>
      <c r="G375">
        <v>0</v>
      </c>
      <c r="H375">
        <v>65</v>
      </c>
      <c r="I375">
        <v>820</v>
      </c>
      <c r="J375">
        <v>41</v>
      </c>
      <c r="K375">
        <v>4</v>
      </c>
      <c r="L375">
        <v>8</v>
      </c>
      <c r="M375">
        <v>27</v>
      </c>
      <c r="N375">
        <v>343</v>
      </c>
      <c r="O375" s="3">
        <f t="shared" si="55"/>
        <v>7.5</v>
      </c>
      <c r="P375">
        <f t="shared" si="56"/>
        <v>1</v>
      </c>
      <c r="Q375">
        <f t="shared" si="57"/>
        <v>0</v>
      </c>
      <c r="S375">
        <f t="shared" si="58"/>
        <v>-5.7844720496894411</v>
      </c>
      <c r="T375">
        <f t="shared" si="59"/>
        <v>-0.5</v>
      </c>
      <c r="U375">
        <f t="shared" si="60"/>
        <v>-8.9130434782608692</v>
      </c>
      <c r="V375">
        <f t="shared" si="61"/>
        <v>-3.2</v>
      </c>
      <c r="W375">
        <f t="shared" si="62"/>
        <v>0</v>
      </c>
      <c r="X375">
        <f t="shared" si="63"/>
        <v>5.4</v>
      </c>
      <c r="Y375">
        <f t="shared" si="64"/>
        <v>1.4285714285714286</v>
      </c>
    </row>
    <row r="376" spans="1:25" x14ac:dyDescent="0.2">
      <c r="A376" t="s">
        <v>25</v>
      </c>
      <c r="B376" t="s">
        <v>92</v>
      </c>
      <c r="C376">
        <v>260</v>
      </c>
      <c r="D376">
        <v>80</v>
      </c>
      <c r="E376">
        <v>9</v>
      </c>
      <c r="F376">
        <v>3.5</v>
      </c>
      <c r="G376">
        <v>0</v>
      </c>
      <c r="H376">
        <v>45</v>
      </c>
      <c r="I376">
        <v>800</v>
      </c>
      <c r="J376">
        <v>27</v>
      </c>
      <c r="K376">
        <v>1</v>
      </c>
      <c r="L376">
        <v>4</v>
      </c>
      <c r="M376">
        <v>18</v>
      </c>
      <c r="N376">
        <v>249.5</v>
      </c>
      <c r="O376" s="3">
        <f t="shared" si="55"/>
        <v>6.9230769230769234</v>
      </c>
      <c r="P376">
        <f t="shared" si="56"/>
        <v>1</v>
      </c>
      <c r="Q376">
        <f t="shared" si="57"/>
        <v>0</v>
      </c>
      <c r="S376">
        <f t="shared" si="58"/>
        <v>-7.2135093167701863</v>
      </c>
      <c r="T376">
        <f t="shared" si="59"/>
        <v>-0.875</v>
      </c>
      <c r="U376">
        <f t="shared" si="60"/>
        <v>-8.695652173913043</v>
      </c>
      <c r="V376">
        <f t="shared" si="61"/>
        <v>-1.6</v>
      </c>
      <c r="W376">
        <f t="shared" si="62"/>
        <v>0</v>
      </c>
      <c r="X376">
        <f t="shared" si="63"/>
        <v>3.5999999999999996</v>
      </c>
      <c r="Y376">
        <f t="shared" si="64"/>
        <v>0.35714285714285715</v>
      </c>
    </row>
    <row r="377" spans="1:25" x14ac:dyDescent="0.2">
      <c r="A377" t="s">
        <v>25</v>
      </c>
      <c r="B377" t="s">
        <v>93</v>
      </c>
      <c r="C377">
        <v>260</v>
      </c>
      <c r="D377">
        <v>80</v>
      </c>
      <c r="E377">
        <v>9</v>
      </c>
      <c r="F377">
        <v>3.5</v>
      </c>
      <c r="G377">
        <v>0</v>
      </c>
      <c r="H377">
        <v>45</v>
      </c>
      <c r="I377">
        <v>830</v>
      </c>
      <c r="J377">
        <v>28</v>
      </c>
      <c r="K377">
        <v>1</v>
      </c>
      <c r="L377">
        <v>5</v>
      </c>
      <c r="M377">
        <v>18</v>
      </c>
      <c r="N377">
        <v>250.5</v>
      </c>
      <c r="O377" s="3">
        <f t="shared" si="55"/>
        <v>6.9230769230769234</v>
      </c>
      <c r="P377">
        <f t="shared" si="56"/>
        <v>1</v>
      </c>
      <c r="Q377">
        <f t="shared" si="57"/>
        <v>0</v>
      </c>
      <c r="S377">
        <f t="shared" si="58"/>
        <v>-7.9395962732919267</v>
      </c>
      <c r="T377">
        <f t="shared" si="59"/>
        <v>-0.875</v>
      </c>
      <c r="U377">
        <f t="shared" si="60"/>
        <v>-9.0217391304347831</v>
      </c>
      <c r="V377">
        <f t="shared" si="61"/>
        <v>-2.0000000000000004</v>
      </c>
      <c r="W377">
        <f t="shared" si="62"/>
        <v>0</v>
      </c>
      <c r="X377">
        <f t="shared" si="63"/>
        <v>3.5999999999999996</v>
      </c>
      <c r="Y377">
        <f t="shared" si="64"/>
        <v>0.35714285714285715</v>
      </c>
    </row>
    <row r="378" spans="1:25" x14ac:dyDescent="0.2">
      <c r="A378" t="s">
        <v>25</v>
      </c>
      <c r="B378" t="s">
        <v>98</v>
      </c>
      <c r="C378">
        <v>270</v>
      </c>
      <c r="D378">
        <v>90</v>
      </c>
      <c r="E378">
        <v>10</v>
      </c>
      <c r="F378">
        <v>4</v>
      </c>
      <c r="G378">
        <v>0</v>
      </c>
      <c r="H378">
        <v>45</v>
      </c>
      <c r="I378">
        <v>830</v>
      </c>
      <c r="J378">
        <v>26</v>
      </c>
      <c r="K378">
        <v>1</v>
      </c>
      <c r="L378">
        <v>2</v>
      </c>
      <c r="M378">
        <v>18</v>
      </c>
      <c r="N378">
        <v>258</v>
      </c>
      <c r="O378" s="3">
        <f t="shared" si="55"/>
        <v>6.666666666666667</v>
      </c>
      <c r="P378">
        <f t="shared" si="56"/>
        <v>1</v>
      </c>
      <c r="Q378">
        <f t="shared" si="57"/>
        <v>0</v>
      </c>
      <c r="S378">
        <f t="shared" si="58"/>
        <v>-6.8645962732919275</v>
      </c>
      <c r="T378">
        <f t="shared" si="59"/>
        <v>-1</v>
      </c>
      <c r="U378">
        <f t="shared" si="60"/>
        <v>-9.0217391304347831</v>
      </c>
      <c r="V378">
        <f t="shared" si="61"/>
        <v>-0.8</v>
      </c>
      <c r="W378">
        <f t="shared" si="62"/>
        <v>0</v>
      </c>
      <c r="X378">
        <f t="shared" si="63"/>
        <v>3.5999999999999996</v>
      </c>
      <c r="Y378">
        <f t="shared" si="64"/>
        <v>0.35714285714285715</v>
      </c>
    </row>
    <row r="379" spans="1:25" x14ac:dyDescent="0.2">
      <c r="A379" t="s">
        <v>25</v>
      </c>
      <c r="B379" t="s">
        <v>105</v>
      </c>
      <c r="C379">
        <v>740</v>
      </c>
      <c r="D379">
        <v>380</v>
      </c>
      <c r="E379">
        <v>42</v>
      </c>
      <c r="F379">
        <v>19</v>
      </c>
      <c r="G379">
        <v>2.5</v>
      </c>
      <c r="H379">
        <v>155</v>
      </c>
      <c r="I379">
        <v>1380</v>
      </c>
      <c r="J379">
        <v>40</v>
      </c>
      <c r="K379">
        <v>3</v>
      </c>
      <c r="L379">
        <v>9</v>
      </c>
      <c r="M379">
        <v>48</v>
      </c>
      <c r="N379">
        <v>720</v>
      </c>
      <c r="O379" s="3">
        <f t="shared" si="55"/>
        <v>6.4864864864864868</v>
      </c>
      <c r="P379">
        <f t="shared" si="56"/>
        <v>1</v>
      </c>
      <c r="Q379">
        <f t="shared" si="57"/>
        <v>0</v>
      </c>
      <c r="S379">
        <f t="shared" si="58"/>
        <v>-12.681071428571432</v>
      </c>
      <c r="T379">
        <f t="shared" si="59"/>
        <v>-4.75</v>
      </c>
      <c r="U379">
        <f t="shared" si="60"/>
        <v>-15</v>
      </c>
      <c r="V379">
        <f t="shared" si="61"/>
        <v>-3.5999999999999996</v>
      </c>
      <c r="W379">
        <f t="shared" si="62"/>
        <v>-2.5000000000000005E-3</v>
      </c>
      <c r="X379">
        <f t="shared" si="63"/>
        <v>9.6</v>
      </c>
      <c r="Y379">
        <f t="shared" si="64"/>
        <v>1.0714285714285714</v>
      </c>
    </row>
    <row r="380" spans="1:25" x14ac:dyDescent="0.2">
      <c r="A380" t="s">
        <v>25</v>
      </c>
      <c r="B380" t="s">
        <v>106</v>
      </c>
      <c r="C380">
        <v>140</v>
      </c>
      <c r="D380">
        <v>70</v>
      </c>
      <c r="E380">
        <v>7</v>
      </c>
      <c r="F380">
        <v>3.5</v>
      </c>
      <c r="G380">
        <v>0</v>
      </c>
      <c r="H380">
        <v>25</v>
      </c>
      <c r="I380">
        <v>300</v>
      </c>
      <c r="J380">
        <v>10</v>
      </c>
      <c r="K380">
        <v>3</v>
      </c>
      <c r="L380">
        <v>4</v>
      </c>
      <c r="M380">
        <v>9</v>
      </c>
      <c r="N380">
        <v>138.5</v>
      </c>
      <c r="O380" s="3">
        <f t="shared" si="55"/>
        <v>6.4285714285714279</v>
      </c>
      <c r="P380">
        <f t="shared" si="56"/>
        <v>0</v>
      </c>
      <c r="Q380">
        <f t="shared" si="57"/>
        <v>0</v>
      </c>
      <c r="S380">
        <f t="shared" si="58"/>
        <v>-2.8644409937888193</v>
      </c>
      <c r="T380">
        <f t="shared" si="59"/>
        <v>-0.875</v>
      </c>
      <c r="U380">
        <f t="shared" si="60"/>
        <v>-3.2608695652173911</v>
      </c>
      <c r="V380">
        <f t="shared" si="61"/>
        <v>-1.6</v>
      </c>
      <c r="W380">
        <f t="shared" si="62"/>
        <v>0</v>
      </c>
      <c r="X380">
        <f t="shared" si="63"/>
        <v>1.7999999999999998</v>
      </c>
      <c r="Y380">
        <f t="shared" si="64"/>
        <v>1.0714285714285714</v>
      </c>
    </row>
    <row r="381" spans="1:25" x14ac:dyDescent="0.2">
      <c r="A381" t="s">
        <v>25</v>
      </c>
      <c r="B381" t="s">
        <v>113</v>
      </c>
      <c r="C381">
        <v>430</v>
      </c>
      <c r="D381">
        <v>180</v>
      </c>
      <c r="E381">
        <v>20</v>
      </c>
      <c r="F381">
        <v>4</v>
      </c>
      <c r="G381">
        <v>0</v>
      </c>
      <c r="H381">
        <v>55</v>
      </c>
      <c r="I381">
        <v>920</v>
      </c>
      <c r="J381">
        <v>38</v>
      </c>
      <c r="K381">
        <v>6</v>
      </c>
      <c r="L381">
        <v>12</v>
      </c>
      <c r="M381">
        <v>26</v>
      </c>
      <c r="N381">
        <v>420</v>
      </c>
      <c r="O381" s="3">
        <f t="shared" si="55"/>
        <v>6.0465116279069768</v>
      </c>
      <c r="P381">
        <f t="shared" si="56"/>
        <v>1</v>
      </c>
      <c r="Q381">
        <f t="shared" si="57"/>
        <v>0</v>
      </c>
      <c r="S381">
        <f t="shared" si="58"/>
        <v>-8.4571428571428591</v>
      </c>
      <c r="T381">
        <f t="shared" si="59"/>
        <v>-1</v>
      </c>
      <c r="U381">
        <f t="shared" si="60"/>
        <v>-10</v>
      </c>
      <c r="V381">
        <f t="shared" si="61"/>
        <v>-4.8</v>
      </c>
      <c r="W381">
        <f t="shared" si="62"/>
        <v>0</v>
      </c>
      <c r="X381">
        <f t="shared" si="63"/>
        <v>5.2</v>
      </c>
      <c r="Y381">
        <f t="shared" si="64"/>
        <v>2.1428571428571428</v>
      </c>
    </row>
    <row r="382" spans="1:25" x14ac:dyDescent="0.2">
      <c r="A382" t="s">
        <v>25</v>
      </c>
      <c r="B382" t="s">
        <v>114</v>
      </c>
      <c r="C382">
        <v>400</v>
      </c>
      <c r="D382">
        <v>150</v>
      </c>
      <c r="E382">
        <v>17</v>
      </c>
      <c r="F382">
        <v>3</v>
      </c>
      <c r="G382">
        <v>0</v>
      </c>
      <c r="H382">
        <v>45</v>
      </c>
      <c r="I382">
        <v>1030</v>
      </c>
      <c r="J382">
        <v>39</v>
      </c>
      <c r="K382">
        <v>1</v>
      </c>
      <c r="L382">
        <v>6</v>
      </c>
      <c r="M382">
        <v>24</v>
      </c>
      <c r="N382">
        <v>385</v>
      </c>
      <c r="O382" s="3">
        <f t="shared" si="55"/>
        <v>6</v>
      </c>
      <c r="P382">
        <f t="shared" si="56"/>
        <v>1</v>
      </c>
      <c r="Q382">
        <f t="shared" si="57"/>
        <v>0</v>
      </c>
      <c r="S382">
        <f t="shared" si="58"/>
        <v>-9.1885093167701868</v>
      </c>
      <c r="T382">
        <f t="shared" si="59"/>
        <v>-0.75</v>
      </c>
      <c r="U382">
        <f t="shared" si="60"/>
        <v>-11.195652173913045</v>
      </c>
      <c r="V382">
        <f t="shared" si="61"/>
        <v>-2.4</v>
      </c>
      <c r="W382">
        <f t="shared" si="62"/>
        <v>0</v>
      </c>
      <c r="X382">
        <f t="shared" si="63"/>
        <v>4.8</v>
      </c>
      <c r="Y382">
        <f t="shared" si="64"/>
        <v>0.35714285714285715</v>
      </c>
    </row>
    <row r="383" spans="1:25" x14ac:dyDescent="0.2">
      <c r="A383" t="s">
        <v>25</v>
      </c>
      <c r="B383" t="s">
        <v>115</v>
      </c>
      <c r="C383">
        <v>300</v>
      </c>
      <c r="D383">
        <v>110</v>
      </c>
      <c r="E383">
        <v>12</v>
      </c>
      <c r="F383">
        <v>5</v>
      </c>
      <c r="G383">
        <v>0</v>
      </c>
      <c r="H383">
        <v>260</v>
      </c>
      <c r="I383">
        <v>820</v>
      </c>
      <c r="J383">
        <v>30</v>
      </c>
      <c r="K383">
        <v>2</v>
      </c>
      <c r="L383">
        <v>3</v>
      </c>
      <c r="M383">
        <v>18</v>
      </c>
      <c r="N383">
        <v>290</v>
      </c>
      <c r="O383" s="3">
        <f t="shared" si="55"/>
        <v>6</v>
      </c>
      <c r="P383">
        <f t="shared" si="56"/>
        <v>1</v>
      </c>
      <c r="Q383">
        <f t="shared" si="57"/>
        <v>0</v>
      </c>
      <c r="S383">
        <f t="shared" si="58"/>
        <v>-7.0487577639751544</v>
      </c>
      <c r="T383">
        <f t="shared" si="59"/>
        <v>-1.25</v>
      </c>
      <c r="U383">
        <f t="shared" si="60"/>
        <v>-8.9130434782608692</v>
      </c>
      <c r="V383">
        <f t="shared" si="61"/>
        <v>-1.2</v>
      </c>
      <c r="W383">
        <f t="shared" si="62"/>
        <v>0</v>
      </c>
      <c r="X383">
        <f t="shared" si="63"/>
        <v>3.5999999999999996</v>
      </c>
      <c r="Y383">
        <f t="shared" si="64"/>
        <v>0.7142857142857143</v>
      </c>
    </row>
    <row r="384" spans="1:25" x14ac:dyDescent="0.2">
      <c r="A384" t="s">
        <v>25</v>
      </c>
      <c r="B384" t="s">
        <v>116</v>
      </c>
      <c r="C384">
        <v>100</v>
      </c>
      <c r="D384">
        <v>50</v>
      </c>
      <c r="E384">
        <v>6</v>
      </c>
      <c r="F384">
        <v>3.5</v>
      </c>
      <c r="G384">
        <v>0</v>
      </c>
      <c r="H384">
        <v>15</v>
      </c>
      <c r="I384">
        <v>80</v>
      </c>
      <c r="J384">
        <v>8</v>
      </c>
      <c r="K384">
        <v>0</v>
      </c>
      <c r="L384">
        <v>8</v>
      </c>
      <c r="M384">
        <v>6</v>
      </c>
      <c r="N384">
        <v>105.5</v>
      </c>
      <c r="O384" s="3">
        <f t="shared" si="55"/>
        <v>6</v>
      </c>
      <c r="P384">
        <f t="shared" si="56"/>
        <v>0</v>
      </c>
      <c r="Q384">
        <f t="shared" si="57"/>
        <v>0</v>
      </c>
      <c r="S384">
        <f t="shared" si="58"/>
        <v>-3.7445652173913038</v>
      </c>
      <c r="T384">
        <f t="shared" si="59"/>
        <v>-0.875</v>
      </c>
      <c r="U384">
        <f t="shared" si="60"/>
        <v>-0.86956521739130432</v>
      </c>
      <c r="V384">
        <f t="shared" si="61"/>
        <v>-3.2</v>
      </c>
      <c r="W384">
        <f t="shared" si="62"/>
        <v>0</v>
      </c>
      <c r="X384">
        <f t="shared" si="63"/>
        <v>1.2</v>
      </c>
      <c r="Y384">
        <f t="shared" si="64"/>
        <v>0</v>
      </c>
    </row>
    <row r="385" spans="1:25" x14ac:dyDescent="0.2">
      <c r="A385" t="s">
        <v>25</v>
      </c>
      <c r="B385" t="s">
        <v>129</v>
      </c>
      <c r="C385">
        <v>660</v>
      </c>
      <c r="D385">
        <v>360</v>
      </c>
      <c r="E385">
        <v>40</v>
      </c>
      <c r="F385">
        <v>6</v>
      </c>
      <c r="G385">
        <v>0</v>
      </c>
      <c r="H385">
        <v>85</v>
      </c>
      <c r="I385">
        <v>1680</v>
      </c>
      <c r="J385">
        <v>39</v>
      </c>
      <c r="K385">
        <v>0</v>
      </c>
      <c r="L385">
        <v>0</v>
      </c>
      <c r="M385">
        <v>38</v>
      </c>
      <c r="N385">
        <v>628</v>
      </c>
      <c r="O385" s="3">
        <f t="shared" si="55"/>
        <v>5.7575757575757578</v>
      </c>
      <c r="P385">
        <f t="shared" si="56"/>
        <v>1</v>
      </c>
      <c r="Q385">
        <f t="shared" si="57"/>
        <v>0</v>
      </c>
      <c r="S385">
        <f t="shared" si="58"/>
        <v>-12.160869565217389</v>
      </c>
      <c r="T385">
        <f t="shared" si="59"/>
        <v>-1.5</v>
      </c>
      <c r="U385">
        <f t="shared" si="60"/>
        <v>-18.260869565217391</v>
      </c>
      <c r="V385">
        <f t="shared" si="61"/>
        <v>0</v>
      </c>
      <c r="W385">
        <f t="shared" si="62"/>
        <v>0</v>
      </c>
      <c r="X385">
        <f t="shared" si="63"/>
        <v>7.6000000000000014</v>
      </c>
      <c r="Y385">
        <f t="shared" si="64"/>
        <v>0</v>
      </c>
    </row>
    <row r="386" spans="1:25" x14ac:dyDescent="0.2">
      <c r="A386" t="s">
        <v>25</v>
      </c>
      <c r="B386" t="s">
        <v>131</v>
      </c>
      <c r="C386">
        <v>400</v>
      </c>
      <c r="D386">
        <v>210</v>
      </c>
      <c r="E386">
        <v>24</v>
      </c>
      <c r="F386">
        <v>3.5</v>
      </c>
      <c r="G386">
        <v>0</v>
      </c>
      <c r="H386">
        <v>50</v>
      </c>
      <c r="I386">
        <v>1010</v>
      </c>
      <c r="J386">
        <v>23</v>
      </c>
      <c r="K386">
        <v>0</v>
      </c>
      <c r="L386">
        <v>0</v>
      </c>
      <c r="M386">
        <v>23</v>
      </c>
      <c r="N386">
        <v>380.5</v>
      </c>
      <c r="O386" s="3">
        <f t="shared" si="55"/>
        <v>5.75</v>
      </c>
      <c r="P386">
        <f t="shared" si="56"/>
        <v>1</v>
      </c>
      <c r="Q386">
        <f t="shared" si="57"/>
        <v>0</v>
      </c>
      <c r="S386">
        <f t="shared" si="58"/>
        <v>-7.2532608695652181</v>
      </c>
      <c r="T386">
        <f t="shared" si="59"/>
        <v>-0.875</v>
      </c>
      <c r="U386">
        <f t="shared" si="60"/>
        <v>-10.978260869565219</v>
      </c>
      <c r="V386">
        <f t="shared" si="61"/>
        <v>0</v>
      </c>
      <c r="W386">
        <f t="shared" si="62"/>
        <v>0</v>
      </c>
      <c r="X386">
        <f t="shared" si="63"/>
        <v>4.6000000000000005</v>
      </c>
      <c r="Y386">
        <f t="shared" si="64"/>
        <v>0</v>
      </c>
    </row>
    <row r="387" spans="1:25" x14ac:dyDescent="0.2">
      <c r="A387" t="s">
        <v>25</v>
      </c>
      <c r="B387" t="s">
        <v>133</v>
      </c>
      <c r="C387">
        <v>770</v>
      </c>
      <c r="D387">
        <v>360</v>
      </c>
      <c r="E387">
        <v>40</v>
      </c>
      <c r="F387">
        <v>17</v>
      </c>
      <c r="G387">
        <v>2</v>
      </c>
      <c r="H387">
        <v>135</v>
      </c>
      <c r="I387">
        <v>1170</v>
      </c>
      <c r="J387">
        <v>59</v>
      </c>
      <c r="K387">
        <v>4</v>
      </c>
      <c r="L387">
        <v>8</v>
      </c>
      <c r="M387">
        <v>44</v>
      </c>
      <c r="N387">
        <v>751</v>
      </c>
      <c r="O387" s="3">
        <f t="shared" si="55"/>
        <v>5.7142857142857144</v>
      </c>
      <c r="P387">
        <f t="shared" si="56"/>
        <v>1</v>
      </c>
      <c r="Q387">
        <f t="shared" si="57"/>
        <v>0</v>
      </c>
      <c r="S387">
        <f t="shared" si="58"/>
        <v>-9.940819875776393</v>
      </c>
      <c r="T387">
        <f t="shared" si="59"/>
        <v>-4.25</v>
      </c>
      <c r="U387">
        <f t="shared" si="60"/>
        <v>-12.717391304347824</v>
      </c>
      <c r="V387">
        <f t="shared" si="61"/>
        <v>-3.2</v>
      </c>
      <c r="W387">
        <f t="shared" si="62"/>
        <v>-2E-3</v>
      </c>
      <c r="X387">
        <f t="shared" si="63"/>
        <v>8.8000000000000007</v>
      </c>
      <c r="Y387">
        <f t="shared" si="64"/>
        <v>1.4285714285714286</v>
      </c>
    </row>
    <row r="388" spans="1:25" x14ac:dyDescent="0.2">
      <c r="A388" t="s">
        <v>25</v>
      </c>
      <c r="B388" t="s">
        <v>134</v>
      </c>
      <c r="C388">
        <v>140</v>
      </c>
      <c r="D388">
        <v>70</v>
      </c>
      <c r="E388">
        <v>8</v>
      </c>
      <c r="F388">
        <v>4.5</v>
      </c>
      <c r="G388">
        <v>0</v>
      </c>
      <c r="H388">
        <v>25</v>
      </c>
      <c r="I388">
        <v>105</v>
      </c>
      <c r="J388">
        <v>11</v>
      </c>
      <c r="K388">
        <v>0</v>
      </c>
      <c r="L388">
        <v>11</v>
      </c>
      <c r="M388">
        <v>8</v>
      </c>
      <c r="N388">
        <v>147.5</v>
      </c>
      <c r="O388" s="3">
        <f t="shared" ref="O388:O451" si="65">M388/C388*100</f>
        <v>5.7142857142857144</v>
      </c>
      <c r="P388">
        <f t="shared" ref="P388:P451" si="66">IF(I388&gt;2300*0.2,1,0)</f>
        <v>0</v>
      </c>
      <c r="Q388">
        <f t="shared" ref="Q388:Q451" si="67">IF(H388&gt;300,1,0)</f>
        <v>0</v>
      </c>
      <c r="S388">
        <f t="shared" ref="S388:S451" si="68">T388+U388+V388+W388+X388+Y388</f>
        <v>-5.0663043478260867</v>
      </c>
      <c r="T388">
        <f t="shared" ref="T388:T451" si="69">$T$1*F388</f>
        <v>-1.125</v>
      </c>
      <c r="U388">
        <f t="shared" ref="U388:U451" si="70">($U$1*(I388/2300))*100</f>
        <v>-1.1413043478260869</v>
      </c>
      <c r="V388">
        <f t="shared" ref="V388:V451" si="71">((L388/50)*$V$1)*100</f>
        <v>-4.4000000000000004</v>
      </c>
      <c r="W388">
        <f t="shared" ref="W388:W451" si="72">(G388/100)*$W$1</f>
        <v>0</v>
      </c>
      <c r="X388">
        <f t="shared" ref="X388:X451" si="73">($X$1*(M388/50))*100</f>
        <v>1.6</v>
      </c>
      <c r="Y388">
        <f t="shared" ref="Y388:Y451" si="74">($Y$1*(K388/28))*100</f>
        <v>0</v>
      </c>
    </row>
    <row r="389" spans="1:25" x14ac:dyDescent="0.2">
      <c r="A389" t="s">
        <v>25</v>
      </c>
      <c r="B389" t="s">
        <v>136</v>
      </c>
      <c r="C389">
        <v>790</v>
      </c>
      <c r="D389">
        <v>350</v>
      </c>
      <c r="E389">
        <v>39</v>
      </c>
      <c r="F389">
        <v>17</v>
      </c>
      <c r="G389">
        <v>2</v>
      </c>
      <c r="H389">
        <v>145</v>
      </c>
      <c r="I389">
        <v>2070</v>
      </c>
      <c r="J389">
        <v>63</v>
      </c>
      <c r="K389">
        <v>4</v>
      </c>
      <c r="L389">
        <v>13</v>
      </c>
      <c r="M389">
        <v>45</v>
      </c>
      <c r="N389">
        <v>775</v>
      </c>
      <c r="O389" s="3">
        <f t="shared" si="65"/>
        <v>5.6962025316455698</v>
      </c>
      <c r="P389">
        <f t="shared" si="66"/>
        <v>1</v>
      </c>
      <c r="Q389">
        <f t="shared" si="67"/>
        <v>0</v>
      </c>
      <c r="S389">
        <f t="shared" si="68"/>
        <v>-21.523428571428571</v>
      </c>
      <c r="T389">
        <f t="shared" si="69"/>
        <v>-4.25</v>
      </c>
      <c r="U389">
        <f t="shared" si="70"/>
        <v>-22.5</v>
      </c>
      <c r="V389">
        <f t="shared" si="71"/>
        <v>-5.2</v>
      </c>
      <c r="W389">
        <f t="shared" si="72"/>
        <v>-2E-3</v>
      </c>
      <c r="X389">
        <f t="shared" si="73"/>
        <v>9.0000000000000018</v>
      </c>
      <c r="Y389">
        <f t="shared" si="74"/>
        <v>1.4285714285714286</v>
      </c>
    </row>
    <row r="390" spans="1:25" x14ac:dyDescent="0.2">
      <c r="A390" t="s">
        <v>25</v>
      </c>
      <c r="B390" t="s">
        <v>137</v>
      </c>
      <c r="C390">
        <v>510</v>
      </c>
      <c r="D390">
        <v>230</v>
      </c>
      <c r="E390">
        <v>26</v>
      </c>
      <c r="F390">
        <v>12</v>
      </c>
      <c r="G390">
        <v>1.5</v>
      </c>
      <c r="H390">
        <v>90</v>
      </c>
      <c r="I390">
        <v>1190</v>
      </c>
      <c r="J390">
        <v>40</v>
      </c>
      <c r="K390">
        <v>3</v>
      </c>
      <c r="L390">
        <v>9</v>
      </c>
      <c r="M390">
        <v>29</v>
      </c>
      <c r="N390">
        <v>502</v>
      </c>
      <c r="O390" s="3">
        <f t="shared" si="65"/>
        <v>5.6862745098039218</v>
      </c>
      <c r="P390">
        <f t="shared" si="66"/>
        <v>1</v>
      </c>
      <c r="Q390">
        <f t="shared" si="67"/>
        <v>0</v>
      </c>
      <c r="S390">
        <f t="shared" si="68"/>
        <v>-12.664854037267078</v>
      </c>
      <c r="T390">
        <f t="shared" si="69"/>
        <v>-3</v>
      </c>
      <c r="U390">
        <f t="shared" si="70"/>
        <v>-12.934782608695652</v>
      </c>
      <c r="V390">
        <f t="shared" si="71"/>
        <v>-3.5999999999999996</v>
      </c>
      <c r="W390">
        <f t="shared" si="72"/>
        <v>-1.5E-3</v>
      </c>
      <c r="X390">
        <f t="shared" si="73"/>
        <v>5.8</v>
      </c>
      <c r="Y390">
        <f t="shared" si="74"/>
        <v>1.0714285714285714</v>
      </c>
    </row>
    <row r="391" spans="1:25" x14ac:dyDescent="0.2">
      <c r="A391" t="s">
        <v>25</v>
      </c>
      <c r="B391" t="s">
        <v>120</v>
      </c>
      <c r="C391">
        <v>440</v>
      </c>
      <c r="D391">
        <v>210</v>
      </c>
      <c r="E391">
        <v>23</v>
      </c>
      <c r="F391">
        <v>11</v>
      </c>
      <c r="G391">
        <v>1.5</v>
      </c>
      <c r="H391">
        <v>80</v>
      </c>
      <c r="I391">
        <v>1150</v>
      </c>
      <c r="J391">
        <v>34</v>
      </c>
      <c r="K391">
        <v>2</v>
      </c>
      <c r="L391">
        <v>7</v>
      </c>
      <c r="M391">
        <v>25</v>
      </c>
      <c r="N391">
        <v>433</v>
      </c>
      <c r="O391" s="3">
        <f t="shared" si="65"/>
        <v>5.6818181818181817</v>
      </c>
      <c r="P391">
        <f t="shared" si="66"/>
        <v>1</v>
      </c>
      <c r="Q391">
        <f t="shared" si="67"/>
        <v>0</v>
      </c>
      <c r="S391">
        <f t="shared" si="68"/>
        <v>-12.337214285714287</v>
      </c>
      <c r="T391">
        <f t="shared" si="69"/>
        <v>-2.75</v>
      </c>
      <c r="U391">
        <f t="shared" si="70"/>
        <v>-12.5</v>
      </c>
      <c r="V391">
        <f t="shared" si="71"/>
        <v>-2.8000000000000003</v>
      </c>
      <c r="W391">
        <f t="shared" si="72"/>
        <v>-1.5E-3</v>
      </c>
      <c r="X391">
        <f t="shared" si="73"/>
        <v>5</v>
      </c>
      <c r="Y391">
        <f t="shared" si="74"/>
        <v>0.7142857142857143</v>
      </c>
    </row>
    <row r="392" spans="1:25" x14ac:dyDescent="0.2">
      <c r="A392" t="s">
        <v>25</v>
      </c>
      <c r="B392" t="s">
        <v>142</v>
      </c>
      <c r="C392">
        <v>390</v>
      </c>
      <c r="D392">
        <v>170</v>
      </c>
      <c r="E392">
        <v>19</v>
      </c>
      <c r="F392">
        <v>8</v>
      </c>
      <c r="G392">
        <v>1</v>
      </c>
      <c r="H392">
        <v>65</v>
      </c>
      <c r="I392">
        <v>920</v>
      </c>
      <c r="J392">
        <v>33</v>
      </c>
      <c r="K392">
        <v>2</v>
      </c>
      <c r="L392">
        <v>7</v>
      </c>
      <c r="M392">
        <v>22</v>
      </c>
      <c r="N392">
        <v>383</v>
      </c>
      <c r="O392" s="3">
        <f t="shared" si="65"/>
        <v>5.6410256410256414</v>
      </c>
      <c r="P392">
        <f t="shared" si="66"/>
        <v>1</v>
      </c>
      <c r="Q392">
        <f t="shared" si="67"/>
        <v>0</v>
      </c>
      <c r="S392">
        <f t="shared" si="68"/>
        <v>-9.6867142857142863</v>
      </c>
      <c r="T392">
        <f t="shared" si="69"/>
        <v>-2</v>
      </c>
      <c r="U392">
        <f t="shared" si="70"/>
        <v>-10</v>
      </c>
      <c r="V392">
        <f t="shared" si="71"/>
        <v>-2.8000000000000003</v>
      </c>
      <c r="W392">
        <f t="shared" si="72"/>
        <v>-1E-3</v>
      </c>
      <c r="X392">
        <f t="shared" si="73"/>
        <v>4.4000000000000004</v>
      </c>
      <c r="Y392">
        <f t="shared" si="74"/>
        <v>0.7142857142857143</v>
      </c>
    </row>
    <row r="393" spans="1:25" x14ac:dyDescent="0.2">
      <c r="A393" t="s">
        <v>25</v>
      </c>
      <c r="B393" t="s">
        <v>143</v>
      </c>
      <c r="C393">
        <v>800</v>
      </c>
      <c r="D393">
        <v>350</v>
      </c>
      <c r="E393">
        <v>39</v>
      </c>
      <c r="F393">
        <v>18</v>
      </c>
      <c r="G393">
        <v>2</v>
      </c>
      <c r="H393">
        <v>145</v>
      </c>
      <c r="I393">
        <v>2020</v>
      </c>
      <c r="J393">
        <v>66</v>
      </c>
      <c r="K393">
        <v>4</v>
      </c>
      <c r="L393">
        <v>16</v>
      </c>
      <c r="M393">
        <v>45</v>
      </c>
      <c r="N393">
        <v>789</v>
      </c>
      <c r="O393" s="3">
        <f t="shared" si="65"/>
        <v>5.625</v>
      </c>
      <c r="P393">
        <f t="shared" si="66"/>
        <v>1</v>
      </c>
      <c r="Q393">
        <f t="shared" si="67"/>
        <v>0</v>
      </c>
      <c r="S393">
        <f t="shared" si="68"/>
        <v>-22.429950310559011</v>
      </c>
      <c r="T393">
        <f t="shared" si="69"/>
        <v>-4.5</v>
      </c>
      <c r="U393">
        <f t="shared" si="70"/>
        <v>-21.956521739130437</v>
      </c>
      <c r="V393">
        <f t="shared" si="71"/>
        <v>-6.4</v>
      </c>
      <c r="W393">
        <f t="shared" si="72"/>
        <v>-2E-3</v>
      </c>
      <c r="X393">
        <f t="shared" si="73"/>
        <v>9.0000000000000018</v>
      </c>
      <c r="Y393">
        <f t="shared" si="74"/>
        <v>1.4285714285714286</v>
      </c>
    </row>
    <row r="394" spans="1:25" x14ac:dyDescent="0.2">
      <c r="A394" t="s">
        <v>25</v>
      </c>
      <c r="B394" t="s">
        <v>146</v>
      </c>
      <c r="C394">
        <v>180</v>
      </c>
      <c r="D394">
        <v>90</v>
      </c>
      <c r="E394">
        <v>10</v>
      </c>
      <c r="F394">
        <v>6</v>
      </c>
      <c r="G394">
        <v>0</v>
      </c>
      <c r="H394">
        <v>30</v>
      </c>
      <c r="I394">
        <v>130</v>
      </c>
      <c r="J394">
        <v>13</v>
      </c>
      <c r="K394">
        <v>0</v>
      </c>
      <c r="L394">
        <v>13</v>
      </c>
      <c r="M394">
        <v>10</v>
      </c>
      <c r="N394">
        <v>189</v>
      </c>
      <c r="O394" s="3">
        <f t="shared" si="65"/>
        <v>5.5555555555555554</v>
      </c>
      <c r="P394">
        <f t="shared" si="66"/>
        <v>0</v>
      </c>
      <c r="Q394">
        <f t="shared" si="67"/>
        <v>0</v>
      </c>
      <c r="S394">
        <f t="shared" si="68"/>
        <v>-6.1130434782608702</v>
      </c>
      <c r="T394">
        <f t="shared" si="69"/>
        <v>-1.5</v>
      </c>
      <c r="U394">
        <f t="shared" si="70"/>
        <v>-1.4130434782608696</v>
      </c>
      <c r="V394">
        <f t="shared" si="71"/>
        <v>-5.2</v>
      </c>
      <c r="W394">
        <f t="shared" si="72"/>
        <v>0</v>
      </c>
      <c r="X394">
        <f t="shared" si="73"/>
        <v>2.0000000000000004</v>
      </c>
      <c r="Y394">
        <f t="shared" si="74"/>
        <v>0</v>
      </c>
    </row>
    <row r="395" spans="1:25" x14ac:dyDescent="0.2">
      <c r="A395" t="s">
        <v>25</v>
      </c>
      <c r="B395" t="s">
        <v>147</v>
      </c>
      <c r="C395">
        <v>180</v>
      </c>
      <c r="D395">
        <v>90</v>
      </c>
      <c r="E395">
        <v>10</v>
      </c>
      <c r="F395">
        <v>6</v>
      </c>
      <c r="G395">
        <v>0</v>
      </c>
      <c r="H395">
        <v>30</v>
      </c>
      <c r="I395">
        <v>180</v>
      </c>
      <c r="J395">
        <v>25</v>
      </c>
      <c r="K395">
        <v>0</v>
      </c>
      <c r="L395">
        <v>13</v>
      </c>
      <c r="M395">
        <v>10</v>
      </c>
      <c r="N395">
        <v>189</v>
      </c>
      <c r="O395" s="3">
        <f t="shared" si="65"/>
        <v>5.5555555555555554</v>
      </c>
      <c r="P395">
        <f t="shared" si="66"/>
        <v>0</v>
      </c>
      <c r="Q395">
        <f t="shared" si="67"/>
        <v>0</v>
      </c>
      <c r="S395">
        <f t="shared" si="68"/>
        <v>-6.6565217391304348</v>
      </c>
      <c r="T395">
        <f t="shared" si="69"/>
        <v>-1.5</v>
      </c>
      <c r="U395">
        <f t="shared" si="70"/>
        <v>-1.956521739130435</v>
      </c>
      <c r="V395">
        <f t="shared" si="71"/>
        <v>-5.2</v>
      </c>
      <c r="W395">
        <f t="shared" si="72"/>
        <v>0</v>
      </c>
      <c r="X395">
        <f t="shared" si="73"/>
        <v>2.0000000000000004</v>
      </c>
      <c r="Y395">
        <f t="shared" si="74"/>
        <v>0</v>
      </c>
    </row>
    <row r="396" spans="1:25" x14ac:dyDescent="0.2">
      <c r="A396" t="s">
        <v>25</v>
      </c>
      <c r="B396" t="s">
        <v>148</v>
      </c>
      <c r="C396">
        <v>90</v>
      </c>
      <c r="D396">
        <v>40</v>
      </c>
      <c r="E396">
        <v>5</v>
      </c>
      <c r="F396">
        <v>3</v>
      </c>
      <c r="G396">
        <v>0</v>
      </c>
      <c r="H396">
        <v>15</v>
      </c>
      <c r="I396">
        <v>105</v>
      </c>
      <c r="J396">
        <v>14</v>
      </c>
      <c r="K396">
        <v>0</v>
      </c>
      <c r="L396">
        <v>6</v>
      </c>
      <c r="M396">
        <v>5</v>
      </c>
      <c r="N396">
        <v>94</v>
      </c>
      <c r="O396" s="3">
        <f t="shared" si="65"/>
        <v>5.5555555555555554</v>
      </c>
      <c r="P396">
        <f t="shared" si="66"/>
        <v>0</v>
      </c>
      <c r="Q396">
        <f t="shared" si="67"/>
        <v>0</v>
      </c>
      <c r="S396">
        <f t="shared" si="68"/>
        <v>-3.2913043478260864</v>
      </c>
      <c r="T396">
        <f t="shared" si="69"/>
        <v>-0.75</v>
      </c>
      <c r="U396">
        <f t="shared" si="70"/>
        <v>-1.1413043478260869</v>
      </c>
      <c r="V396">
        <f t="shared" si="71"/>
        <v>-2.4</v>
      </c>
      <c r="W396">
        <f t="shared" si="72"/>
        <v>0</v>
      </c>
      <c r="X396">
        <f t="shared" si="73"/>
        <v>1.0000000000000002</v>
      </c>
      <c r="Y396">
        <f t="shared" si="74"/>
        <v>0</v>
      </c>
    </row>
    <row r="397" spans="1:25" x14ac:dyDescent="0.2">
      <c r="A397" t="s">
        <v>25</v>
      </c>
      <c r="B397" t="s">
        <v>153</v>
      </c>
      <c r="C397">
        <v>110</v>
      </c>
      <c r="D397">
        <v>50</v>
      </c>
      <c r="E397">
        <v>6</v>
      </c>
      <c r="F397">
        <v>3.5</v>
      </c>
      <c r="G397">
        <v>0</v>
      </c>
      <c r="H397">
        <v>15</v>
      </c>
      <c r="I397">
        <v>130</v>
      </c>
      <c r="J397">
        <v>19</v>
      </c>
      <c r="K397">
        <v>0</v>
      </c>
      <c r="L397">
        <v>8</v>
      </c>
      <c r="M397">
        <v>6</v>
      </c>
      <c r="N397">
        <v>115.5</v>
      </c>
      <c r="O397" s="3">
        <f t="shared" si="65"/>
        <v>5.4545454545454541</v>
      </c>
      <c r="P397">
        <f t="shared" si="66"/>
        <v>0</v>
      </c>
      <c r="Q397">
        <f t="shared" si="67"/>
        <v>0</v>
      </c>
      <c r="S397">
        <f t="shared" si="68"/>
        <v>-4.2880434782608701</v>
      </c>
      <c r="T397">
        <f t="shared" si="69"/>
        <v>-0.875</v>
      </c>
      <c r="U397">
        <f t="shared" si="70"/>
        <v>-1.4130434782608696</v>
      </c>
      <c r="V397">
        <f t="shared" si="71"/>
        <v>-3.2</v>
      </c>
      <c r="W397">
        <f t="shared" si="72"/>
        <v>0</v>
      </c>
      <c r="X397">
        <f t="shared" si="73"/>
        <v>1.2</v>
      </c>
      <c r="Y397">
        <f t="shared" si="74"/>
        <v>0</v>
      </c>
    </row>
    <row r="398" spans="1:25" x14ac:dyDescent="0.2">
      <c r="A398" t="s">
        <v>25</v>
      </c>
      <c r="B398" t="s">
        <v>157</v>
      </c>
      <c r="C398">
        <v>390</v>
      </c>
      <c r="D398">
        <v>190</v>
      </c>
      <c r="E398">
        <v>21</v>
      </c>
      <c r="F398">
        <v>9</v>
      </c>
      <c r="G398">
        <v>1</v>
      </c>
      <c r="H398">
        <v>75</v>
      </c>
      <c r="I398">
        <v>1080</v>
      </c>
      <c r="J398">
        <v>28</v>
      </c>
      <c r="K398">
        <v>1</v>
      </c>
      <c r="L398">
        <v>4</v>
      </c>
      <c r="M398">
        <v>21</v>
      </c>
      <c r="N398">
        <v>382</v>
      </c>
      <c r="O398" s="3">
        <f t="shared" si="65"/>
        <v>5.384615384615385</v>
      </c>
      <c r="P398">
        <f t="shared" si="66"/>
        <v>1</v>
      </c>
      <c r="Q398">
        <f t="shared" si="67"/>
        <v>0</v>
      </c>
      <c r="S398">
        <f t="shared" si="68"/>
        <v>-11.032987577639751</v>
      </c>
      <c r="T398">
        <f t="shared" si="69"/>
        <v>-2.25</v>
      </c>
      <c r="U398">
        <f t="shared" si="70"/>
        <v>-11.739130434782609</v>
      </c>
      <c r="V398">
        <f t="shared" si="71"/>
        <v>-1.6</v>
      </c>
      <c r="W398">
        <f t="shared" si="72"/>
        <v>-1E-3</v>
      </c>
      <c r="X398">
        <f t="shared" si="73"/>
        <v>4.2</v>
      </c>
      <c r="Y398">
        <f t="shared" si="74"/>
        <v>0.35714285714285715</v>
      </c>
    </row>
    <row r="399" spans="1:25" x14ac:dyDescent="0.2">
      <c r="A399" t="s">
        <v>25</v>
      </c>
      <c r="B399" t="s">
        <v>158</v>
      </c>
      <c r="C399">
        <v>130</v>
      </c>
      <c r="D399">
        <v>60</v>
      </c>
      <c r="E399">
        <v>7</v>
      </c>
      <c r="F399">
        <v>4</v>
      </c>
      <c r="G399">
        <v>0</v>
      </c>
      <c r="H399">
        <v>20</v>
      </c>
      <c r="I399">
        <v>125</v>
      </c>
      <c r="J399">
        <v>17</v>
      </c>
      <c r="K399">
        <v>0</v>
      </c>
      <c r="L399">
        <v>10</v>
      </c>
      <c r="M399">
        <v>7</v>
      </c>
      <c r="N399">
        <v>137</v>
      </c>
      <c r="O399" s="3">
        <f t="shared" si="65"/>
        <v>5.384615384615385</v>
      </c>
      <c r="P399">
        <f t="shared" si="66"/>
        <v>0</v>
      </c>
      <c r="Q399">
        <f t="shared" si="67"/>
        <v>0</v>
      </c>
      <c r="S399">
        <f t="shared" si="68"/>
        <v>-4.9586956521739136</v>
      </c>
      <c r="T399">
        <f t="shared" si="69"/>
        <v>-1</v>
      </c>
      <c r="U399">
        <f t="shared" si="70"/>
        <v>-1.3586956521739131</v>
      </c>
      <c r="V399">
        <f t="shared" si="71"/>
        <v>-4.0000000000000009</v>
      </c>
      <c r="W399">
        <f t="shared" si="72"/>
        <v>0</v>
      </c>
      <c r="X399">
        <f t="shared" si="73"/>
        <v>1.4000000000000001</v>
      </c>
      <c r="Y399">
        <f t="shared" si="74"/>
        <v>0</v>
      </c>
    </row>
    <row r="400" spans="1:25" x14ac:dyDescent="0.2">
      <c r="A400" t="s">
        <v>25</v>
      </c>
      <c r="B400" t="s">
        <v>165</v>
      </c>
      <c r="C400">
        <v>750</v>
      </c>
      <c r="D400">
        <v>350</v>
      </c>
      <c r="E400">
        <v>39</v>
      </c>
      <c r="F400">
        <v>16</v>
      </c>
      <c r="G400">
        <v>2</v>
      </c>
      <c r="H400">
        <v>135</v>
      </c>
      <c r="I400">
        <v>1700</v>
      </c>
      <c r="J400">
        <v>61</v>
      </c>
      <c r="K400">
        <v>4</v>
      </c>
      <c r="L400">
        <v>10</v>
      </c>
      <c r="M400">
        <v>40</v>
      </c>
      <c r="N400">
        <v>736</v>
      </c>
      <c r="O400" s="3">
        <f t="shared" si="65"/>
        <v>5.3333333333333339</v>
      </c>
      <c r="P400">
        <f t="shared" si="66"/>
        <v>1</v>
      </c>
      <c r="Q400">
        <f t="shared" si="67"/>
        <v>0</v>
      </c>
      <c r="S400">
        <f t="shared" si="68"/>
        <v>-17.051689440993787</v>
      </c>
      <c r="T400">
        <f t="shared" si="69"/>
        <v>-4</v>
      </c>
      <c r="U400">
        <f t="shared" si="70"/>
        <v>-18.478260869565215</v>
      </c>
      <c r="V400">
        <f t="shared" si="71"/>
        <v>-4.0000000000000009</v>
      </c>
      <c r="W400">
        <f t="shared" si="72"/>
        <v>-2E-3</v>
      </c>
      <c r="X400">
        <f t="shared" si="73"/>
        <v>8.0000000000000018</v>
      </c>
      <c r="Y400">
        <f t="shared" si="74"/>
        <v>1.4285714285714286</v>
      </c>
    </row>
    <row r="401" spans="1:25" x14ac:dyDescent="0.2">
      <c r="A401" t="s">
        <v>25</v>
      </c>
      <c r="B401" t="s">
        <v>166</v>
      </c>
      <c r="C401">
        <v>150</v>
      </c>
      <c r="D401">
        <v>70</v>
      </c>
      <c r="E401">
        <v>8</v>
      </c>
      <c r="F401">
        <v>4.5</v>
      </c>
      <c r="G401">
        <v>0</v>
      </c>
      <c r="H401">
        <v>25</v>
      </c>
      <c r="I401">
        <v>105</v>
      </c>
      <c r="J401">
        <v>11</v>
      </c>
      <c r="K401">
        <v>0</v>
      </c>
      <c r="L401">
        <v>11</v>
      </c>
      <c r="M401">
        <v>8</v>
      </c>
      <c r="N401">
        <v>157.5</v>
      </c>
      <c r="O401" s="3">
        <f t="shared" si="65"/>
        <v>5.3333333333333339</v>
      </c>
      <c r="P401">
        <f t="shared" si="66"/>
        <v>0</v>
      </c>
      <c r="Q401">
        <f t="shared" si="67"/>
        <v>0</v>
      </c>
      <c r="S401">
        <f t="shared" si="68"/>
        <v>-5.0663043478260867</v>
      </c>
      <c r="T401">
        <f t="shared" si="69"/>
        <v>-1.125</v>
      </c>
      <c r="U401">
        <f t="shared" si="70"/>
        <v>-1.1413043478260869</v>
      </c>
      <c r="V401">
        <f t="shared" si="71"/>
        <v>-4.4000000000000004</v>
      </c>
      <c r="W401">
        <f t="shared" si="72"/>
        <v>0</v>
      </c>
      <c r="X401">
        <f t="shared" si="73"/>
        <v>1.6</v>
      </c>
      <c r="Y401">
        <f t="shared" si="74"/>
        <v>0</v>
      </c>
    </row>
    <row r="402" spans="1:25" x14ac:dyDescent="0.2">
      <c r="A402" t="s">
        <v>25</v>
      </c>
      <c r="B402" t="s">
        <v>167</v>
      </c>
      <c r="C402">
        <v>150</v>
      </c>
      <c r="D402">
        <v>70</v>
      </c>
      <c r="E402">
        <v>8</v>
      </c>
      <c r="F402">
        <v>4.5</v>
      </c>
      <c r="G402">
        <v>0</v>
      </c>
      <c r="H402">
        <v>25</v>
      </c>
      <c r="I402">
        <v>160</v>
      </c>
      <c r="J402">
        <v>22</v>
      </c>
      <c r="K402">
        <v>0</v>
      </c>
      <c r="L402">
        <v>11</v>
      </c>
      <c r="M402">
        <v>8</v>
      </c>
      <c r="N402">
        <v>157.5</v>
      </c>
      <c r="O402" s="3">
        <f t="shared" si="65"/>
        <v>5.3333333333333339</v>
      </c>
      <c r="P402">
        <f t="shared" si="66"/>
        <v>0</v>
      </c>
      <c r="Q402">
        <f t="shared" si="67"/>
        <v>0</v>
      </c>
      <c r="S402">
        <f t="shared" si="68"/>
        <v>-5.6641304347826082</v>
      </c>
      <c r="T402">
        <f t="shared" si="69"/>
        <v>-1.125</v>
      </c>
      <c r="U402">
        <f t="shared" si="70"/>
        <v>-1.7391304347826086</v>
      </c>
      <c r="V402">
        <f t="shared" si="71"/>
        <v>-4.4000000000000004</v>
      </c>
      <c r="W402">
        <f t="shared" si="72"/>
        <v>0</v>
      </c>
      <c r="X402">
        <f t="shared" si="73"/>
        <v>1.6</v>
      </c>
      <c r="Y402">
        <f t="shared" si="74"/>
        <v>0</v>
      </c>
    </row>
    <row r="403" spans="1:25" x14ac:dyDescent="0.2">
      <c r="A403" t="s">
        <v>25</v>
      </c>
      <c r="B403" t="s">
        <v>173</v>
      </c>
      <c r="C403">
        <v>510</v>
      </c>
      <c r="D403">
        <v>250</v>
      </c>
      <c r="E403">
        <v>28</v>
      </c>
      <c r="F403">
        <v>11</v>
      </c>
      <c r="G403">
        <v>1.5</v>
      </c>
      <c r="H403">
        <v>85</v>
      </c>
      <c r="I403">
        <v>960</v>
      </c>
      <c r="J403">
        <v>38</v>
      </c>
      <c r="K403">
        <v>3</v>
      </c>
      <c r="L403">
        <v>8</v>
      </c>
      <c r="M403">
        <v>27</v>
      </c>
      <c r="N403">
        <v>502</v>
      </c>
      <c r="O403" s="3">
        <f t="shared" si="65"/>
        <v>5.2941176470588234</v>
      </c>
      <c r="P403">
        <f t="shared" si="66"/>
        <v>1</v>
      </c>
      <c r="Q403">
        <f t="shared" si="67"/>
        <v>0</v>
      </c>
      <c r="S403">
        <f t="shared" si="68"/>
        <v>-9.9148540372670801</v>
      </c>
      <c r="T403">
        <f t="shared" si="69"/>
        <v>-2.75</v>
      </c>
      <c r="U403">
        <f t="shared" si="70"/>
        <v>-10.434782608695652</v>
      </c>
      <c r="V403">
        <f t="shared" si="71"/>
        <v>-3.2</v>
      </c>
      <c r="W403">
        <f t="shared" si="72"/>
        <v>-1.5E-3</v>
      </c>
      <c r="X403">
        <f t="shared" si="73"/>
        <v>5.4</v>
      </c>
      <c r="Y403">
        <f t="shared" si="74"/>
        <v>1.0714285714285714</v>
      </c>
    </row>
    <row r="404" spans="1:25" x14ac:dyDescent="0.2">
      <c r="A404" t="s">
        <v>25</v>
      </c>
      <c r="B404" t="s">
        <v>174</v>
      </c>
      <c r="C404">
        <v>170</v>
      </c>
      <c r="D404">
        <v>25</v>
      </c>
      <c r="E404">
        <v>3</v>
      </c>
      <c r="F404">
        <v>1.5</v>
      </c>
      <c r="G404">
        <v>0</v>
      </c>
      <c r="H404">
        <v>5</v>
      </c>
      <c r="I404">
        <v>150</v>
      </c>
      <c r="J404">
        <v>26</v>
      </c>
      <c r="K404">
        <v>1</v>
      </c>
      <c r="L404">
        <v>25</v>
      </c>
      <c r="M404">
        <v>9</v>
      </c>
      <c r="N404">
        <v>187.5</v>
      </c>
      <c r="O404" s="3">
        <f t="shared" si="65"/>
        <v>5.2941176470588234</v>
      </c>
      <c r="P404">
        <f t="shared" si="66"/>
        <v>0</v>
      </c>
      <c r="Q404">
        <f t="shared" si="67"/>
        <v>0</v>
      </c>
      <c r="S404">
        <f t="shared" si="68"/>
        <v>-9.848291925465837</v>
      </c>
      <c r="T404">
        <f t="shared" si="69"/>
        <v>-0.375</v>
      </c>
      <c r="U404">
        <f t="shared" si="70"/>
        <v>-1.6304347826086956</v>
      </c>
      <c r="V404">
        <f t="shared" si="71"/>
        <v>-10</v>
      </c>
      <c r="W404">
        <f t="shared" si="72"/>
        <v>0</v>
      </c>
      <c r="X404">
        <f t="shared" si="73"/>
        <v>1.7999999999999998</v>
      </c>
      <c r="Y404">
        <f t="shared" si="74"/>
        <v>0.35714285714285715</v>
      </c>
    </row>
    <row r="405" spans="1:25" x14ac:dyDescent="0.2">
      <c r="A405" t="s">
        <v>25</v>
      </c>
      <c r="B405" t="s">
        <v>180</v>
      </c>
      <c r="C405">
        <v>400</v>
      </c>
      <c r="D405">
        <v>190</v>
      </c>
      <c r="E405">
        <v>22</v>
      </c>
      <c r="F405">
        <v>10</v>
      </c>
      <c r="G405">
        <v>1</v>
      </c>
      <c r="H405">
        <v>75</v>
      </c>
      <c r="I405">
        <v>1060</v>
      </c>
      <c r="J405">
        <v>30</v>
      </c>
      <c r="K405">
        <v>1</v>
      </c>
      <c r="L405">
        <v>6</v>
      </c>
      <c r="M405">
        <v>21</v>
      </c>
      <c r="N405">
        <v>395</v>
      </c>
      <c r="O405" s="3">
        <f t="shared" si="65"/>
        <v>5.25</v>
      </c>
      <c r="P405">
        <f t="shared" si="66"/>
        <v>1</v>
      </c>
      <c r="Q405">
        <f t="shared" si="67"/>
        <v>0</v>
      </c>
      <c r="S405">
        <f t="shared" si="68"/>
        <v>-11.865596273291928</v>
      </c>
      <c r="T405">
        <f t="shared" si="69"/>
        <v>-2.5</v>
      </c>
      <c r="U405">
        <f t="shared" si="70"/>
        <v>-11.521739130434783</v>
      </c>
      <c r="V405">
        <f t="shared" si="71"/>
        <v>-2.4</v>
      </c>
      <c r="W405">
        <f t="shared" si="72"/>
        <v>-1E-3</v>
      </c>
      <c r="X405">
        <f t="shared" si="73"/>
        <v>4.2</v>
      </c>
      <c r="Y405">
        <f t="shared" si="74"/>
        <v>0.35714285714285715</v>
      </c>
    </row>
    <row r="406" spans="1:25" x14ac:dyDescent="0.2">
      <c r="A406" t="s">
        <v>25</v>
      </c>
      <c r="B406" t="s">
        <v>181</v>
      </c>
      <c r="C406">
        <v>210</v>
      </c>
      <c r="D406">
        <v>100</v>
      </c>
      <c r="E406">
        <v>11</v>
      </c>
      <c r="F406">
        <v>7</v>
      </c>
      <c r="G406">
        <v>0</v>
      </c>
      <c r="H406">
        <v>35</v>
      </c>
      <c r="I406">
        <v>150</v>
      </c>
      <c r="J406">
        <v>16</v>
      </c>
      <c r="K406">
        <v>0</v>
      </c>
      <c r="L406">
        <v>16</v>
      </c>
      <c r="M406">
        <v>11</v>
      </c>
      <c r="N406">
        <v>222</v>
      </c>
      <c r="O406" s="3">
        <f t="shared" si="65"/>
        <v>5.2380952380952381</v>
      </c>
      <c r="P406">
        <f t="shared" si="66"/>
        <v>0</v>
      </c>
      <c r="Q406">
        <f t="shared" si="67"/>
        <v>0</v>
      </c>
      <c r="S406">
        <f t="shared" si="68"/>
        <v>-7.5804347826086955</v>
      </c>
      <c r="T406">
        <f t="shared" si="69"/>
        <v>-1.75</v>
      </c>
      <c r="U406">
        <f t="shared" si="70"/>
        <v>-1.6304347826086956</v>
      </c>
      <c r="V406">
        <f t="shared" si="71"/>
        <v>-6.4</v>
      </c>
      <c r="W406">
        <f t="shared" si="72"/>
        <v>0</v>
      </c>
      <c r="X406">
        <f t="shared" si="73"/>
        <v>2.2000000000000002</v>
      </c>
      <c r="Y406">
        <f t="shared" si="74"/>
        <v>0</v>
      </c>
    </row>
    <row r="407" spans="1:25" x14ac:dyDescent="0.2">
      <c r="A407" t="s">
        <v>25</v>
      </c>
      <c r="B407" t="s">
        <v>184</v>
      </c>
      <c r="C407">
        <v>460</v>
      </c>
      <c r="D407">
        <v>220</v>
      </c>
      <c r="E407">
        <v>24</v>
      </c>
      <c r="F407">
        <v>8</v>
      </c>
      <c r="G407">
        <v>1.5</v>
      </c>
      <c r="H407">
        <v>70</v>
      </c>
      <c r="I407">
        <v>720</v>
      </c>
      <c r="J407">
        <v>37</v>
      </c>
      <c r="K407">
        <v>3</v>
      </c>
      <c r="L407">
        <v>8</v>
      </c>
      <c r="M407">
        <v>24</v>
      </c>
      <c r="N407">
        <v>452</v>
      </c>
      <c r="O407" s="3">
        <f t="shared" si="65"/>
        <v>5.2173913043478262</v>
      </c>
      <c r="P407">
        <f t="shared" si="66"/>
        <v>1</v>
      </c>
      <c r="Q407">
        <f t="shared" si="67"/>
        <v>0</v>
      </c>
      <c r="S407">
        <f t="shared" si="68"/>
        <v>-7.1561583850931694</v>
      </c>
      <c r="T407">
        <f t="shared" si="69"/>
        <v>-2</v>
      </c>
      <c r="U407">
        <f t="shared" si="70"/>
        <v>-7.8260869565217401</v>
      </c>
      <c r="V407">
        <f t="shared" si="71"/>
        <v>-3.2</v>
      </c>
      <c r="W407">
        <f t="shared" si="72"/>
        <v>-1.5E-3</v>
      </c>
      <c r="X407">
        <f t="shared" si="73"/>
        <v>4.8</v>
      </c>
      <c r="Y407">
        <f t="shared" si="74"/>
        <v>1.0714285714285714</v>
      </c>
    </row>
    <row r="408" spans="1:25" x14ac:dyDescent="0.2">
      <c r="A408" t="s">
        <v>25</v>
      </c>
      <c r="B408" t="s">
        <v>190</v>
      </c>
      <c r="C408">
        <v>430</v>
      </c>
      <c r="D408">
        <v>230</v>
      </c>
      <c r="E408">
        <v>26</v>
      </c>
      <c r="F408">
        <v>10</v>
      </c>
      <c r="G408">
        <v>1.5</v>
      </c>
      <c r="H408">
        <v>75</v>
      </c>
      <c r="I408">
        <v>730</v>
      </c>
      <c r="J408">
        <v>27</v>
      </c>
      <c r="K408">
        <v>2</v>
      </c>
      <c r="L408">
        <v>2</v>
      </c>
      <c r="M408">
        <v>22</v>
      </c>
      <c r="N408">
        <v>420</v>
      </c>
      <c r="O408" s="3">
        <f t="shared" si="65"/>
        <v>5.1162790697674421</v>
      </c>
      <c r="P408">
        <f t="shared" si="66"/>
        <v>1</v>
      </c>
      <c r="Q408">
        <f t="shared" si="67"/>
        <v>0</v>
      </c>
      <c r="S408">
        <f t="shared" si="68"/>
        <v>-6.1219968944099383</v>
      </c>
      <c r="T408">
        <f t="shared" si="69"/>
        <v>-2.5</v>
      </c>
      <c r="U408">
        <f t="shared" si="70"/>
        <v>-7.9347826086956523</v>
      </c>
      <c r="V408">
        <f t="shared" si="71"/>
        <v>-0.8</v>
      </c>
      <c r="W408">
        <f t="shared" si="72"/>
        <v>-1.5E-3</v>
      </c>
      <c r="X408">
        <f t="shared" si="73"/>
        <v>4.4000000000000004</v>
      </c>
      <c r="Y408">
        <f t="shared" si="74"/>
        <v>0.7142857142857143</v>
      </c>
    </row>
    <row r="409" spans="1:25" x14ac:dyDescent="0.2">
      <c r="A409" t="s">
        <v>25</v>
      </c>
      <c r="B409" t="s">
        <v>192</v>
      </c>
      <c r="C409">
        <v>475</v>
      </c>
      <c r="D409" s="2">
        <v>0</v>
      </c>
      <c r="E409">
        <v>22</v>
      </c>
      <c r="F409">
        <v>4.5</v>
      </c>
      <c r="G409">
        <v>0</v>
      </c>
      <c r="H409">
        <v>50</v>
      </c>
      <c r="I409">
        <v>680</v>
      </c>
      <c r="J409">
        <v>46</v>
      </c>
      <c r="K409">
        <v>2</v>
      </c>
      <c r="L409">
        <v>14</v>
      </c>
      <c r="M409">
        <v>24</v>
      </c>
      <c r="O409" s="3">
        <f t="shared" si="65"/>
        <v>5.0526315789473681</v>
      </c>
      <c r="P409">
        <f t="shared" si="66"/>
        <v>1</v>
      </c>
      <c r="Q409">
        <f t="shared" si="67"/>
        <v>0</v>
      </c>
      <c r="S409">
        <f t="shared" si="68"/>
        <v>-8.6020186335403732</v>
      </c>
      <c r="T409">
        <f t="shared" si="69"/>
        <v>-1.125</v>
      </c>
      <c r="U409">
        <f t="shared" si="70"/>
        <v>-7.3913043478260869</v>
      </c>
      <c r="V409">
        <f t="shared" si="71"/>
        <v>-5.6000000000000005</v>
      </c>
      <c r="W409">
        <f t="shared" si="72"/>
        <v>0</v>
      </c>
      <c r="X409">
        <f t="shared" si="73"/>
        <v>4.8</v>
      </c>
      <c r="Y409">
        <f t="shared" si="74"/>
        <v>0.7142857142857143</v>
      </c>
    </row>
    <row r="410" spans="1:25" x14ac:dyDescent="0.2">
      <c r="A410" t="s">
        <v>25</v>
      </c>
      <c r="B410" t="s">
        <v>162</v>
      </c>
      <c r="C410">
        <v>300</v>
      </c>
      <c r="D410">
        <v>110</v>
      </c>
      <c r="E410">
        <v>12</v>
      </c>
      <c r="F410">
        <v>6</v>
      </c>
      <c r="G410">
        <v>0.5</v>
      </c>
      <c r="H410">
        <v>40</v>
      </c>
      <c r="I410">
        <v>750</v>
      </c>
      <c r="J410">
        <v>33</v>
      </c>
      <c r="K410">
        <v>2</v>
      </c>
      <c r="L410">
        <v>6</v>
      </c>
      <c r="M410">
        <v>15</v>
      </c>
      <c r="N410">
        <v>297</v>
      </c>
      <c r="O410" s="3">
        <f t="shared" si="65"/>
        <v>5</v>
      </c>
      <c r="P410">
        <f t="shared" si="66"/>
        <v>1</v>
      </c>
      <c r="Q410">
        <f t="shared" si="67"/>
        <v>0</v>
      </c>
      <c r="S410">
        <f t="shared" si="68"/>
        <v>-8.3383881987577659</v>
      </c>
      <c r="T410">
        <f t="shared" si="69"/>
        <v>-1.5</v>
      </c>
      <c r="U410">
        <f t="shared" si="70"/>
        <v>-8.1521739130434785</v>
      </c>
      <c r="V410">
        <f t="shared" si="71"/>
        <v>-2.4</v>
      </c>
      <c r="W410">
        <f t="shared" si="72"/>
        <v>-5.0000000000000001E-4</v>
      </c>
      <c r="X410">
        <f t="shared" si="73"/>
        <v>3</v>
      </c>
      <c r="Y410">
        <f t="shared" si="74"/>
        <v>0.7142857142857143</v>
      </c>
    </row>
    <row r="411" spans="1:25" x14ac:dyDescent="0.2">
      <c r="A411" t="s">
        <v>25</v>
      </c>
      <c r="B411" t="s">
        <v>193</v>
      </c>
      <c r="C411">
        <v>620</v>
      </c>
      <c r="D411">
        <v>260</v>
      </c>
      <c r="E411">
        <v>29</v>
      </c>
      <c r="F411">
        <v>7</v>
      </c>
      <c r="G411">
        <v>0</v>
      </c>
      <c r="H411">
        <v>70</v>
      </c>
      <c r="I411">
        <v>1200</v>
      </c>
      <c r="J411">
        <v>57</v>
      </c>
      <c r="K411">
        <v>3</v>
      </c>
      <c r="L411">
        <v>11</v>
      </c>
      <c r="M411">
        <v>31</v>
      </c>
      <c r="N411">
        <v>607</v>
      </c>
      <c r="O411" s="3">
        <f t="shared" si="65"/>
        <v>5</v>
      </c>
      <c r="P411">
        <f t="shared" si="66"/>
        <v>1</v>
      </c>
      <c r="Q411">
        <f t="shared" si="67"/>
        <v>0</v>
      </c>
      <c r="S411">
        <f t="shared" si="68"/>
        <v>-11.922049689440994</v>
      </c>
      <c r="T411">
        <f t="shared" si="69"/>
        <v>-1.75</v>
      </c>
      <c r="U411">
        <f t="shared" si="70"/>
        <v>-13.043478260869565</v>
      </c>
      <c r="V411">
        <f t="shared" si="71"/>
        <v>-4.4000000000000004</v>
      </c>
      <c r="W411">
        <f t="shared" si="72"/>
        <v>0</v>
      </c>
      <c r="X411">
        <f t="shared" si="73"/>
        <v>6.2</v>
      </c>
      <c r="Y411">
        <f t="shared" si="74"/>
        <v>1.0714285714285714</v>
      </c>
    </row>
    <row r="412" spans="1:25" x14ac:dyDescent="0.2">
      <c r="A412" t="s">
        <v>25</v>
      </c>
      <c r="B412" t="s">
        <v>194</v>
      </c>
      <c r="C412">
        <v>540</v>
      </c>
      <c r="D412">
        <v>210</v>
      </c>
      <c r="E412">
        <v>23</v>
      </c>
      <c r="F412">
        <v>4.5</v>
      </c>
      <c r="G412">
        <v>0</v>
      </c>
      <c r="H412">
        <v>55</v>
      </c>
      <c r="I412">
        <v>1160</v>
      </c>
      <c r="J412">
        <v>56</v>
      </c>
      <c r="K412">
        <v>3</v>
      </c>
      <c r="L412">
        <v>11</v>
      </c>
      <c r="M412">
        <v>27</v>
      </c>
      <c r="N412">
        <v>528.5</v>
      </c>
      <c r="O412" s="3">
        <f t="shared" si="65"/>
        <v>5</v>
      </c>
      <c r="P412">
        <f t="shared" si="66"/>
        <v>1</v>
      </c>
      <c r="Q412">
        <f t="shared" si="67"/>
        <v>0</v>
      </c>
      <c r="S412">
        <f t="shared" si="68"/>
        <v>-11.662267080745341</v>
      </c>
      <c r="T412">
        <f t="shared" si="69"/>
        <v>-1.125</v>
      </c>
      <c r="U412">
        <f t="shared" si="70"/>
        <v>-12.608695652173912</v>
      </c>
      <c r="V412">
        <f t="shared" si="71"/>
        <v>-4.4000000000000004</v>
      </c>
      <c r="W412">
        <f t="shared" si="72"/>
        <v>0</v>
      </c>
      <c r="X412">
        <f t="shared" si="73"/>
        <v>5.4</v>
      </c>
      <c r="Y412">
        <f t="shared" si="74"/>
        <v>1.0714285714285714</v>
      </c>
    </row>
    <row r="413" spans="1:25" x14ac:dyDescent="0.2">
      <c r="A413" t="s">
        <v>25</v>
      </c>
      <c r="B413" t="s">
        <v>195</v>
      </c>
      <c r="C413">
        <v>20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10</v>
      </c>
      <c r="J413">
        <v>4</v>
      </c>
      <c r="K413">
        <v>1</v>
      </c>
      <c r="L413">
        <v>2</v>
      </c>
      <c r="M413">
        <v>1</v>
      </c>
      <c r="N413">
        <v>21</v>
      </c>
      <c r="O413" s="3">
        <f t="shared" si="65"/>
        <v>5</v>
      </c>
      <c r="P413">
        <f t="shared" si="66"/>
        <v>0</v>
      </c>
      <c r="Q413">
        <f t="shared" si="67"/>
        <v>0</v>
      </c>
      <c r="S413">
        <f t="shared" si="68"/>
        <v>-0.35155279503105602</v>
      </c>
      <c r="T413">
        <f t="shared" si="69"/>
        <v>0</v>
      </c>
      <c r="U413">
        <f t="shared" si="70"/>
        <v>-0.10869565217391304</v>
      </c>
      <c r="V413">
        <f t="shared" si="71"/>
        <v>-0.8</v>
      </c>
      <c r="W413">
        <f t="shared" si="72"/>
        <v>0</v>
      </c>
      <c r="X413">
        <f t="shared" si="73"/>
        <v>0.2</v>
      </c>
      <c r="Y413">
        <f t="shared" si="74"/>
        <v>0.35714285714285715</v>
      </c>
    </row>
    <row r="414" spans="1:25" x14ac:dyDescent="0.2">
      <c r="A414" t="s">
        <v>25</v>
      </c>
      <c r="B414" t="s">
        <v>196</v>
      </c>
      <c r="C414">
        <v>660</v>
      </c>
      <c r="D414">
        <v>300</v>
      </c>
      <c r="E414">
        <v>33</v>
      </c>
      <c r="F414">
        <v>12</v>
      </c>
      <c r="G414">
        <v>1</v>
      </c>
      <c r="H414">
        <v>300</v>
      </c>
      <c r="I414">
        <v>1580</v>
      </c>
      <c r="J414">
        <v>56</v>
      </c>
      <c r="K414">
        <v>3</v>
      </c>
      <c r="L414">
        <v>7</v>
      </c>
      <c r="M414">
        <v>33</v>
      </c>
      <c r="N414">
        <v>646</v>
      </c>
      <c r="O414" s="3">
        <f t="shared" si="65"/>
        <v>5</v>
      </c>
      <c r="P414">
        <f t="shared" si="66"/>
        <v>1</v>
      </c>
      <c r="Q414">
        <f t="shared" si="67"/>
        <v>0</v>
      </c>
      <c r="S414">
        <f t="shared" si="68"/>
        <v>-15.303484472049691</v>
      </c>
      <c r="T414">
        <f t="shared" si="69"/>
        <v>-3</v>
      </c>
      <c r="U414">
        <f t="shared" si="70"/>
        <v>-17.173913043478262</v>
      </c>
      <c r="V414">
        <f t="shared" si="71"/>
        <v>-2.8000000000000003</v>
      </c>
      <c r="W414">
        <f t="shared" si="72"/>
        <v>-1E-3</v>
      </c>
      <c r="X414">
        <f t="shared" si="73"/>
        <v>6.6000000000000005</v>
      </c>
      <c r="Y414">
        <f t="shared" si="74"/>
        <v>1.0714285714285714</v>
      </c>
    </row>
    <row r="415" spans="1:25" x14ac:dyDescent="0.2">
      <c r="A415" t="s">
        <v>25</v>
      </c>
      <c r="B415" t="s">
        <v>197</v>
      </c>
      <c r="C415">
        <v>120</v>
      </c>
      <c r="D415">
        <v>60</v>
      </c>
      <c r="E415">
        <v>7</v>
      </c>
      <c r="F415">
        <v>4</v>
      </c>
      <c r="G415">
        <v>0</v>
      </c>
      <c r="H415">
        <v>20</v>
      </c>
      <c r="I415">
        <v>85</v>
      </c>
      <c r="J415">
        <v>9</v>
      </c>
      <c r="K415">
        <v>0</v>
      </c>
      <c r="L415">
        <v>9</v>
      </c>
      <c r="M415">
        <v>6</v>
      </c>
      <c r="N415">
        <v>127</v>
      </c>
      <c r="O415" s="3">
        <f t="shared" si="65"/>
        <v>5</v>
      </c>
      <c r="P415">
        <f t="shared" si="66"/>
        <v>0</v>
      </c>
      <c r="Q415">
        <f t="shared" si="67"/>
        <v>0</v>
      </c>
      <c r="S415">
        <f t="shared" si="68"/>
        <v>-4.3239130434782602</v>
      </c>
      <c r="T415">
        <f t="shared" si="69"/>
        <v>-1</v>
      </c>
      <c r="U415">
        <f t="shared" si="70"/>
        <v>-0.92391304347826086</v>
      </c>
      <c r="V415">
        <f t="shared" si="71"/>
        <v>-3.5999999999999996</v>
      </c>
      <c r="W415">
        <f t="shared" si="72"/>
        <v>0</v>
      </c>
      <c r="X415">
        <f t="shared" si="73"/>
        <v>1.2</v>
      </c>
      <c r="Y415">
        <f t="shared" si="74"/>
        <v>0</v>
      </c>
    </row>
    <row r="416" spans="1:25" x14ac:dyDescent="0.2">
      <c r="A416" t="s">
        <v>25</v>
      </c>
      <c r="B416" t="s">
        <v>198</v>
      </c>
      <c r="C416">
        <v>180</v>
      </c>
      <c r="D416">
        <v>90</v>
      </c>
      <c r="E416">
        <v>10</v>
      </c>
      <c r="F416">
        <v>6</v>
      </c>
      <c r="G416">
        <v>0</v>
      </c>
      <c r="H416">
        <v>30</v>
      </c>
      <c r="I416">
        <v>130</v>
      </c>
      <c r="J416">
        <v>13</v>
      </c>
      <c r="K416">
        <v>0</v>
      </c>
      <c r="L416">
        <v>13</v>
      </c>
      <c r="M416">
        <v>9</v>
      </c>
      <c r="N416">
        <v>190</v>
      </c>
      <c r="O416" s="3">
        <f t="shared" si="65"/>
        <v>5</v>
      </c>
      <c r="P416">
        <f t="shared" si="66"/>
        <v>0</v>
      </c>
      <c r="Q416">
        <f t="shared" si="67"/>
        <v>0</v>
      </c>
      <c r="S416">
        <f t="shared" si="68"/>
        <v>-6.3130434782608704</v>
      </c>
      <c r="T416">
        <f t="shared" si="69"/>
        <v>-1.5</v>
      </c>
      <c r="U416">
        <f t="shared" si="70"/>
        <v>-1.4130434782608696</v>
      </c>
      <c r="V416">
        <f t="shared" si="71"/>
        <v>-5.2</v>
      </c>
      <c r="W416">
        <f t="shared" si="72"/>
        <v>0</v>
      </c>
      <c r="X416">
        <f t="shared" si="73"/>
        <v>1.7999999999999998</v>
      </c>
      <c r="Y416">
        <f t="shared" si="74"/>
        <v>0</v>
      </c>
    </row>
    <row r="417" spans="1:25" x14ac:dyDescent="0.2">
      <c r="A417" t="s">
        <v>25</v>
      </c>
      <c r="B417" t="s">
        <v>199</v>
      </c>
      <c r="C417">
        <v>100</v>
      </c>
      <c r="D417">
        <v>50</v>
      </c>
      <c r="E417">
        <v>5</v>
      </c>
      <c r="F417">
        <v>3</v>
      </c>
      <c r="G417">
        <v>0</v>
      </c>
      <c r="H417">
        <v>15</v>
      </c>
      <c r="I417">
        <v>105</v>
      </c>
      <c r="J417">
        <v>15</v>
      </c>
      <c r="K417">
        <v>0</v>
      </c>
      <c r="L417">
        <v>7</v>
      </c>
      <c r="M417">
        <v>5</v>
      </c>
      <c r="N417">
        <v>105</v>
      </c>
      <c r="O417" s="3">
        <f t="shared" si="65"/>
        <v>5</v>
      </c>
      <c r="P417">
        <f t="shared" si="66"/>
        <v>0</v>
      </c>
      <c r="Q417">
        <f t="shared" si="67"/>
        <v>0</v>
      </c>
      <c r="S417">
        <f t="shared" si="68"/>
        <v>-3.6913043478260867</v>
      </c>
      <c r="T417">
        <f t="shared" si="69"/>
        <v>-0.75</v>
      </c>
      <c r="U417">
        <f t="shared" si="70"/>
        <v>-1.1413043478260869</v>
      </c>
      <c r="V417">
        <f t="shared" si="71"/>
        <v>-2.8000000000000003</v>
      </c>
      <c r="W417">
        <f t="shared" si="72"/>
        <v>0</v>
      </c>
      <c r="X417">
        <f t="shared" si="73"/>
        <v>1.0000000000000002</v>
      </c>
      <c r="Y417">
        <f t="shared" si="74"/>
        <v>0</v>
      </c>
    </row>
    <row r="418" spans="1:25" x14ac:dyDescent="0.2">
      <c r="A418" t="s">
        <v>25</v>
      </c>
      <c r="B418" t="s">
        <v>200</v>
      </c>
      <c r="C418">
        <v>120</v>
      </c>
      <c r="D418">
        <v>60</v>
      </c>
      <c r="E418">
        <v>6</v>
      </c>
      <c r="F418">
        <v>3.5</v>
      </c>
      <c r="G418">
        <v>0</v>
      </c>
      <c r="H418">
        <v>20</v>
      </c>
      <c r="I418">
        <v>130</v>
      </c>
      <c r="J418">
        <v>18</v>
      </c>
      <c r="K418">
        <v>0</v>
      </c>
      <c r="L418">
        <v>9</v>
      </c>
      <c r="M418">
        <v>6</v>
      </c>
      <c r="N418">
        <v>126.5</v>
      </c>
      <c r="O418" s="3">
        <f t="shared" si="65"/>
        <v>5</v>
      </c>
      <c r="P418">
        <f t="shared" si="66"/>
        <v>0</v>
      </c>
      <c r="Q418">
        <f t="shared" si="67"/>
        <v>0</v>
      </c>
      <c r="S418">
        <f t="shared" si="68"/>
        <v>-4.6880434782608686</v>
      </c>
      <c r="T418">
        <f t="shared" si="69"/>
        <v>-0.875</v>
      </c>
      <c r="U418">
        <f t="shared" si="70"/>
        <v>-1.4130434782608696</v>
      </c>
      <c r="V418">
        <f t="shared" si="71"/>
        <v>-3.5999999999999996</v>
      </c>
      <c r="W418">
        <f t="shared" si="72"/>
        <v>0</v>
      </c>
      <c r="X418">
        <f t="shared" si="73"/>
        <v>1.2</v>
      </c>
      <c r="Y418">
        <f t="shared" si="74"/>
        <v>0</v>
      </c>
    </row>
    <row r="419" spans="1:25" x14ac:dyDescent="0.2">
      <c r="A419" t="s">
        <v>25</v>
      </c>
      <c r="B419" t="s">
        <v>201</v>
      </c>
      <c r="C419">
        <v>160</v>
      </c>
      <c r="D419">
        <v>70</v>
      </c>
      <c r="E419">
        <v>8</v>
      </c>
      <c r="F419">
        <v>5</v>
      </c>
      <c r="G419">
        <v>0</v>
      </c>
      <c r="H419">
        <v>25</v>
      </c>
      <c r="I419">
        <v>150</v>
      </c>
      <c r="J419">
        <v>21</v>
      </c>
      <c r="K419">
        <v>0</v>
      </c>
      <c r="L419">
        <v>11</v>
      </c>
      <c r="M419">
        <v>8</v>
      </c>
      <c r="N419">
        <v>168</v>
      </c>
      <c r="O419" s="3">
        <f t="shared" si="65"/>
        <v>5</v>
      </c>
      <c r="P419">
        <f t="shared" si="66"/>
        <v>0</v>
      </c>
      <c r="Q419">
        <f t="shared" si="67"/>
        <v>0</v>
      </c>
      <c r="S419">
        <f t="shared" si="68"/>
        <v>-5.6804347826086961</v>
      </c>
      <c r="T419">
        <f t="shared" si="69"/>
        <v>-1.25</v>
      </c>
      <c r="U419">
        <f t="shared" si="70"/>
        <v>-1.6304347826086956</v>
      </c>
      <c r="V419">
        <f t="shared" si="71"/>
        <v>-4.4000000000000004</v>
      </c>
      <c r="W419">
        <f t="shared" si="72"/>
        <v>0</v>
      </c>
      <c r="X419">
        <f t="shared" si="73"/>
        <v>1.6</v>
      </c>
      <c r="Y419">
        <f t="shared" si="74"/>
        <v>0</v>
      </c>
    </row>
    <row r="420" spans="1:25" x14ac:dyDescent="0.2">
      <c r="A420" t="s">
        <v>25</v>
      </c>
      <c r="B420" t="s">
        <v>202</v>
      </c>
      <c r="C420">
        <v>80</v>
      </c>
      <c r="D420">
        <v>40</v>
      </c>
      <c r="E420">
        <v>4.5</v>
      </c>
      <c r="F420">
        <v>2.5</v>
      </c>
      <c r="G420">
        <v>0</v>
      </c>
      <c r="H420">
        <v>15</v>
      </c>
      <c r="I420">
        <v>65</v>
      </c>
      <c r="J420">
        <v>6</v>
      </c>
      <c r="K420">
        <v>0</v>
      </c>
      <c r="L420">
        <v>6</v>
      </c>
      <c r="M420">
        <v>4</v>
      </c>
      <c r="N420">
        <v>84.5</v>
      </c>
      <c r="O420" s="3">
        <f t="shared" si="65"/>
        <v>5</v>
      </c>
      <c r="P420">
        <f t="shared" si="66"/>
        <v>0</v>
      </c>
      <c r="Q420">
        <f t="shared" si="67"/>
        <v>0</v>
      </c>
      <c r="S420">
        <f t="shared" si="68"/>
        <v>-2.9315217391304351</v>
      </c>
      <c r="T420">
        <f t="shared" si="69"/>
        <v>-0.625</v>
      </c>
      <c r="U420">
        <f t="shared" si="70"/>
        <v>-0.70652173913043481</v>
      </c>
      <c r="V420">
        <f t="shared" si="71"/>
        <v>-2.4</v>
      </c>
      <c r="W420">
        <f t="shared" si="72"/>
        <v>0</v>
      </c>
      <c r="X420">
        <f t="shared" si="73"/>
        <v>0.8</v>
      </c>
      <c r="Y420">
        <f t="shared" si="74"/>
        <v>0</v>
      </c>
    </row>
    <row r="421" spans="1:25" x14ac:dyDescent="0.2">
      <c r="A421" t="s">
        <v>25</v>
      </c>
      <c r="B421" t="s">
        <v>203</v>
      </c>
      <c r="C421">
        <v>140</v>
      </c>
      <c r="D421">
        <v>70</v>
      </c>
      <c r="E421">
        <v>8</v>
      </c>
      <c r="F421">
        <v>4.5</v>
      </c>
      <c r="G421">
        <v>0</v>
      </c>
      <c r="H421">
        <v>25</v>
      </c>
      <c r="I421">
        <v>105</v>
      </c>
      <c r="J421">
        <v>10</v>
      </c>
      <c r="K421">
        <v>0</v>
      </c>
      <c r="L421">
        <v>10</v>
      </c>
      <c r="M421">
        <v>7</v>
      </c>
      <c r="N421">
        <v>147.5</v>
      </c>
      <c r="O421" s="3">
        <f t="shared" si="65"/>
        <v>5</v>
      </c>
      <c r="P421">
        <f t="shared" si="66"/>
        <v>0</v>
      </c>
      <c r="Q421">
        <f t="shared" si="67"/>
        <v>0</v>
      </c>
      <c r="S421">
        <f t="shared" si="68"/>
        <v>-4.8663043478260875</v>
      </c>
      <c r="T421">
        <f t="shared" si="69"/>
        <v>-1.125</v>
      </c>
      <c r="U421">
        <f t="shared" si="70"/>
        <v>-1.1413043478260869</v>
      </c>
      <c r="V421">
        <f t="shared" si="71"/>
        <v>-4.0000000000000009</v>
      </c>
      <c r="W421">
        <f t="shared" si="72"/>
        <v>0</v>
      </c>
      <c r="X421">
        <f t="shared" si="73"/>
        <v>1.4000000000000001</v>
      </c>
      <c r="Y421">
        <f t="shared" si="74"/>
        <v>0</v>
      </c>
    </row>
    <row r="422" spans="1:25" x14ac:dyDescent="0.2">
      <c r="A422" t="s">
        <v>25</v>
      </c>
      <c r="B422" t="s">
        <v>204</v>
      </c>
      <c r="C422">
        <v>60</v>
      </c>
      <c r="D422">
        <v>30</v>
      </c>
      <c r="E422">
        <v>3</v>
      </c>
      <c r="F422">
        <v>2</v>
      </c>
      <c r="G422">
        <v>0</v>
      </c>
      <c r="H422">
        <v>10</v>
      </c>
      <c r="I422">
        <v>80</v>
      </c>
      <c r="J422">
        <v>12</v>
      </c>
      <c r="K422">
        <v>0</v>
      </c>
      <c r="L422">
        <v>4</v>
      </c>
      <c r="M422">
        <v>3</v>
      </c>
      <c r="N422">
        <v>63</v>
      </c>
      <c r="O422" s="3">
        <f t="shared" si="65"/>
        <v>5</v>
      </c>
      <c r="P422">
        <f t="shared" si="66"/>
        <v>0</v>
      </c>
      <c r="Q422">
        <f t="shared" si="67"/>
        <v>0</v>
      </c>
      <c r="S422">
        <f t="shared" si="68"/>
        <v>-2.3695652173913042</v>
      </c>
      <c r="T422">
        <f t="shared" si="69"/>
        <v>-0.5</v>
      </c>
      <c r="U422">
        <f t="shared" si="70"/>
        <v>-0.86956521739130432</v>
      </c>
      <c r="V422">
        <f t="shared" si="71"/>
        <v>-1.6</v>
      </c>
      <c r="W422">
        <f t="shared" si="72"/>
        <v>0</v>
      </c>
      <c r="X422">
        <f t="shared" si="73"/>
        <v>0.6</v>
      </c>
      <c r="Y422">
        <f t="shared" si="74"/>
        <v>0</v>
      </c>
    </row>
    <row r="423" spans="1:25" x14ac:dyDescent="0.2">
      <c r="A423" t="s">
        <v>25</v>
      </c>
      <c r="B423" t="s">
        <v>219</v>
      </c>
      <c r="C423">
        <v>410</v>
      </c>
      <c r="D423">
        <v>220</v>
      </c>
      <c r="E423">
        <v>25</v>
      </c>
      <c r="F423">
        <v>10</v>
      </c>
      <c r="G423">
        <v>1.5</v>
      </c>
      <c r="H423">
        <v>75</v>
      </c>
      <c r="I423">
        <v>990</v>
      </c>
      <c r="J423">
        <v>27</v>
      </c>
      <c r="K423">
        <v>2</v>
      </c>
      <c r="L423">
        <v>3</v>
      </c>
      <c r="M423">
        <v>20</v>
      </c>
      <c r="N423">
        <v>403</v>
      </c>
      <c r="O423" s="3">
        <f t="shared" si="65"/>
        <v>4.8780487804878048</v>
      </c>
      <c r="P423">
        <f t="shared" si="66"/>
        <v>1</v>
      </c>
      <c r="Q423">
        <f t="shared" si="67"/>
        <v>0</v>
      </c>
      <c r="S423">
        <f t="shared" si="68"/>
        <v>-9.7480838509316765</v>
      </c>
      <c r="T423">
        <f t="shared" si="69"/>
        <v>-2.5</v>
      </c>
      <c r="U423">
        <f t="shared" si="70"/>
        <v>-10.760869565217392</v>
      </c>
      <c r="V423">
        <f t="shared" si="71"/>
        <v>-1.2</v>
      </c>
      <c r="W423">
        <f t="shared" si="72"/>
        <v>-1.5E-3</v>
      </c>
      <c r="X423">
        <f t="shared" si="73"/>
        <v>4.0000000000000009</v>
      </c>
      <c r="Y423">
        <f t="shared" si="74"/>
        <v>0.7142857142857143</v>
      </c>
    </row>
    <row r="424" spans="1:25" x14ac:dyDescent="0.2">
      <c r="A424" t="s">
        <v>25</v>
      </c>
      <c r="B424" t="s">
        <v>229</v>
      </c>
      <c r="C424">
        <v>395</v>
      </c>
      <c r="D424" s="2">
        <v>0</v>
      </c>
      <c r="E424">
        <v>17</v>
      </c>
      <c r="F424">
        <v>3.5</v>
      </c>
      <c r="G424">
        <v>0</v>
      </c>
      <c r="H424">
        <v>35</v>
      </c>
      <c r="I424">
        <v>510</v>
      </c>
      <c r="J424">
        <v>41</v>
      </c>
      <c r="K424">
        <v>1</v>
      </c>
      <c r="L424">
        <v>14</v>
      </c>
      <c r="M424">
        <v>19</v>
      </c>
      <c r="O424" s="3">
        <f t="shared" si="65"/>
        <v>4.8101265822784809</v>
      </c>
      <c r="P424">
        <f t="shared" si="66"/>
        <v>1</v>
      </c>
      <c r="Q424">
        <f t="shared" si="67"/>
        <v>0</v>
      </c>
      <c r="S424">
        <f t="shared" si="68"/>
        <v>-7.8613354037267085</v>
      </c>
      <c r="T424">
        <f t="shared" si="69"/>
        <v>-0.875</v>
      </c>
      <c r="U424">
        <f t="shared" si="70"/>
        <v>-5.5434782608695654</v>
      </c>
      <c r="V424">
        <f t="shared" si="71"/>
        <v>-5.6000000000000005</v>
      </c>
      <c r="W424">
        <f t="shared" si="72"/>
        <v>0</v>
      </c>
      <c r="X424">
        <f t="shared" si="73"/>
        <v>3.8000000000000007</v>
      </c>
      <c r="Y424">
        <f t="shared" si="74"/>
        <v>0.35714285714285715</v>
      </c>
    </row>
    <row r="425" spans="1:25" x14ac:dyDescent="0.2">
      <c r="A425" t="s">
        <v>25</v>
      </c>
      <c r="B425" t="s">
        <v>154</v>
      </c>
      <c r="C425">
        <v>250</v>
      </c>
      <c r="D425">
        <v>80</v>
      </c>
      <c r="E425">
        <v>9</v>
      </c>
      <c r="F425">
        <v>3.5</v>
      </c>
      <c r="G425">
        <v>0.5</v>
      </c>
      <c r="H425">
        <v>25</v>
      </c>
      <c r="I425">
        <v>520</v>
      </c>
      <c r="J425">
        <v>31</v>
      </c>
      <c r="K425">
        <v>2</v>
      </c>
      <c r="L425">
        <v>6</v>
      </c>
      <c r="M425">
        <v>12</v>
      </c>
      <c r="N425">
        <v>247.5</v>
      </c>
      <c r="O425" s="3">
        <f t="shared" si="65"/>
        <v>4.8</v>
      </c>
      <c r="P425">
        <f t="shared" si="66"/>
        <v>1</v>
      </c>
      <c r="Q425">
        <f t="shared" si="67"/>
        <v>0</v>
      </c>
      <c r="S425">
        <f t="shared" si="68"/>
        <v>-5.8133881987577647</v>
      </c>
      <c r="T425">
        <f t="shared" si="69"/>
        <v>-0.875</v>
      </c>
      <c r="U425">
        <f t="shared" si="70"/>
        <v>-5.6521739130434785</v>
      </c>
      <c r="V425">
        <f t="shared" si="71"/>
        <v>-2.4</v>
      </c>
      <c r="W425">
        <f t="shared" si="72"/>
        <v>-5.0000000000000001E-4</v>
      </c>
      <c r="X425">
        <f t="shared" si="73"/>
        <v>2.4</v>
      </c>
      <c r="Y425">
        <f t="shared" si="74"/>
        <v>0.7142857142857143</v>
      </c>
    </row>
    <row r="426" spans="1:25" x14ac:dyDescent="0.2">
      <c r="A426" t="s">
        <v>25</v>
      </c>
      <c r="B426" t="s">
        <v>237</v>
      </c>
      <c r="C426">
        <v>190</v>
      </c>
      <c r="D426">
        <v>110</v>
      </c>
      <c r="E426">
        <v>12</v>
      </c>
      <c r="F426">
        <v>2</v>
      </c>
      <c r="G426">
        <v>0</v>
      </c>
      <c r="H426">
        <v>25</v>
      </c>
      <c r="I426">
        <v>360</v>
      </c>
      <c r="J426">
        <v>12</v>
      </c>
      <c r="K426">
        <v>1</v>
      </c>
      <c r="L426">
        <v>0</v>
      </c>
      <c r="M426">
        <v>9</v>
      </c>
      <c r="N426">
        <v>183</v>
      </c>
      <c r="O426" s="3">
        <f t="shared" si="65"/>
        <v>4.7368421052631584</v>
      </c>
      <c r="P426">
        <f t="shared" si="66"/>
        <v>0</v>
      </c>
      <c r="Q426">
        <f t="shared" si="67"/>
        <v>0</v>
      </c>
      <c r="S426">
        <f t="shared" si="68"/>
        <v>-2.255900621118013</v>
      </c>
      <c r="T426">
        <f t="shared" si="69"/>
        <v>-0.5</v>
      </c>
      <c r="U426">
        <f t="shared" si="70"/>
        <v>-3.9130434782608701</v>
      </c>
      <c r="V426">
        <f t="shared" si="71"/>
        <v>0</v>
      </c>
      <c r="W426">
        <f t="shared" si="72"/>
        <v>0</v>
      </c>
      <c r="X426">
        <f t="shared" si="73"/>
        <v>1.7999999999999998</v>
      </c>
      <c r="Y426">
        <f t="shared" si="74"/>
        <v>0.35714285714285715</v>
      </c>
    </row>
    <row r="427" spans="1:25" x14ac:dyDescent="0.2">
      <c r="A427" t="s">
        <v>25</v>
      </c>
      <c r="B427" t="s">
        <v>240</v>
      </c>
      <c r="C427">
        <v>510</v>
      </c>
      <c r="D427">
        <v>200</v>
      </c>
      <c r="E427">
        <v>22</v>
      </c>
      <c r="F427">
        <v>3.5</v>
      </c>
      <c r="G427">
        <v>0</v>
      </c>
      <c r="H427">
        <v>45</v>
      </c>
      <c r="I427">
        <v>990</v>
      </c>
      <c r="J427">
        <v>56</v>
      </c>
      <c r="K427">
        <v>3</v>
      </c>
      <c r="L427">
        <v>10</v>
      </c>
      <c r="M427">
        <v>24</v>
      </c>
      <c r="N427">
        <v>499.5</v>
      </c>
      <c r="O427" s="3">
        <f t="shared" si="65"/>
        <v>4.7058823529411766</v>
      </c>
      <c r="P427">
        <f t="shared" si="66"/>
        <v>1</v>
      </c>
      <c r="Q427">
        <f t="shared" si="67"/>
        <v>0</v>
      </c>
      <c r="S427">
        <f t="shared" si="68"/>
        <v>-9.7644409937888224</v>
      </c>
      <c r="T427">
        <f t="shared" si="69"/>
        <v>-0.875</v>
      </c>
      <c r="U427">
        <f t="shared" si="70"/>
        <v>-10.760869565217392</v>
      </c>
      <c r="V427">
        <f t="shared" si="71"/>
        <v>-4.0000000000000009</v>
      </c>
      <c r="W427">
        <f t="shared" si="72"/>
        <v>0</v>
      </c>
      <c r="X427">
        <f t="shared" si="73"/>
        <v>4.8</v>
      </c>
      <c r="Y427">
        <f t="shared" si="74"/>
        <v>1.0714285714285714</v>
      </c>
    </row>
    <row r="428" spans="1:25" x14ac:dyDescent="0.2">
      <c r="A428" t="s">
        <v>25</v>
      </c>
      <c r="B428" t="s">
        <v>249</v>
      </c>
      <c r="C428">
        <v>470</v>
      </c>
      <c r="D428">
        <v>270</v>
      </c>
      <c r="E428">
        <v>30</v>
      </c>
      <c r="F428">
        <v>5</v>
      </c>
      <c r="G428">
        <v>0</v>
      </c>
      <c r="H428">
        <v>65</v>
      </c>
      <c r="I428">
        <v>900</v>
      </c>
      <c r="J428">
        <v>30</v>
      </c>
      <c r="K428">
        <v>2</v>
      </c>
      <c r="L428">
        <v>0</v>
      </c>
      <c r="M428">
        <v>22</v>
      </c>
      <c r="N428">
        <v>453</v>
      </c>
      <c r="O428" s="3">
        <f t="shared" si="65"/>
        <v>4.6808510638297873</v>
      </c>
      <c r="P428">
        <f t="shared" si="66"/>
        <v>1</v>
      </c>
      <c r="Q428">
        <f t="shared" si="67"/>
        <v>0</v>
      </c>
      <c r="S428">
        <f t="shared" si="68"/>
        <v>-5.9183229813664591</v>
      </c>
      <c r="T428">
        <f t="shared" si="69"/>
        <v>-1.25</v>
      </c>
      <c r="U428">
        <f t="shared" si="70"/>
        <v>-9.7826086956521738</v>
      </c>
      <c r="V428">
        <f t="shared" si="71"/>
        <v>0</v>
      </c>
      <c r="W428">
        <f t="shared" si="72"/>
        <v>0</v>
      </c>
      <c r="X428">
        <f t="shared" si="73"/>
        <v>4.4000000000000004</v>
      </c>
      <c r="Y428">
        <f t="shared" si="74"/>
        <v>0.7142857142857143</v>
      </c>
    </row>
    <row r="429" spans="1:25" x14ac:dyDescent="0.2">
      <c r="A429" t="s">
        <v>25</v>
      </c>
      <c r="B429" t="s">
        <v>250</v>
      </c>
      <c r="C429">
        <v>450</v>
      </c>
      <c r="D429">
        <v>250</v>
      </c>
      <c r="E429">
        <v>27</v>
      </c>
      <c r="F429">
        <v>10</v>
      </c>
      <c r="G429">
        <v>0</v>
      </c>
      <c r="H429">
        <v>285</v>
      </c>
      <c r="I429">
        <v>920</v>
      </c>
      <c r="J429">
        <v>30</v>
      </c>
      <c r="K429">
        <v>2</v>
      </c>
      <c r="L429">
        <v>2</v>
      </c>
      <c r="M429">
        <v>21</v>
      </c>
      <c r="N429">
        <v>441</v>
      </c>
      <c r="O429" s="3">
        <f t="shared" si="65"/>
        <v>4.666666666666667</v>
      </c>
      <c r="P429">
        <f t="shared" si="66"/>
        <v>1</v>
      </c>
      <c r="Q429">
        <f t="shared" si="67"/>
        <v>0</v>
      </c>
      <c r="S429">
        <f t="shared" si="68"/>
        <v>-8.3857142857142879</v>
      </c>
      <c r="T429">
        <f t="shared" si="69"/>
        <v>-2.5</v>
      </c>
      <c r="U429">
        <f t="shared" si="70"/>
        <v>-10</v>
      </c>
      <c r="V429">
        <f t="shared" si="71"/>
        <v>-0.8</v>
      </c>
      <c r="W429">
        <f t="shared" si="72"/>
        <v>0</v>
      </c>
      <c r="X429">
        <f t="shared" si="73"/>
        <v>4.2</v>
      </c>
      <c r="Y429">
        <f t="shared" si="74"/>
        <v>0.7142857142857143</v>
      </c>
    </row>
    <row r="430" spans="1:25" x14ac:dyDescent="0.2">
      <c r="A430" t="s">
        <v>25</v>
      </c>
      <c r="B430" t="s">
        <v>259</v>
      </c>
      <c r="C430">
        <v>280</v>
      </c>
      <c r="D430">
        <v>160</v>
      </c>
      <c r="E430">
        <v>18</v>
      </c>
      <c r="F430">
        <v>3</v>
      </c>
      <c r="G430">
        <v>0</v>
      </c>
      <c r="H430">
        <v>40</v>
      </c>
      <c r="I430">
        <v>540</v>
      </c>
      <c r="J430">
        <v>18</v>
      </c>
      <c r="K430">
        <v>1</v>
      </c>
      <c r="L430">
        <v>0</v>
      </c>
      <c r="M430">
        <v>13</v>
      </c>
      <c r="N430">
        <v>270</v>
      </c>
      <c r="O430" s="3">
        <f t="shared" si="65"/>
        <v>4.6428571428571432</v>
      </c>
      <c r="P430">
        <f t="shared" si="66"/>
        <v>1</v>
      </c>
      <c r="Q430">
        <f t="shared" si="67"/>
        <v>0</v>
      </c>
      <c r="S430">
        <f t="shared" si="68"/>
        <v>-3.6624223602484478</v>
      </c>
      <c r="T430">
        <f t="shared" si="69"/>
        <v>-0.75</v>
      </c>
      <c r="U430">
        <f t="shared" si="70"/>
        <v>-5.8695652173913047</v>
      </c>
      <c r="V430">
        <f t="shared" si="71"/>
        <v>0</v>
      </c>
      <c r="W430">
        <f t="shared" si="72"/>
        <v>0</v>
      </c>
      <c r="X430">
        <f t="shared" si="73"/>
        <v>2.6</v>
      </c>
      <c r="Y430">
        <f t="shared" si="74"/>
        <v>0.35714285714285715</v>
      </c>
    </row>
    <row r="431" spans="1:25" x14ac:dyDescent="0.2">
      <c r="A431" t="s">
        <v>25</v>
      </c>
      <c r="B431" t="s">
        <v>262</v>
      </c>
      <c r="C431">
        <v>475</v>
      </c>
      <c r="D431" s="2">
        <v>0</v>
      </c>
      <c r="E431">
        <v>16</v>
      </c>
      <c r="F431">
        <v>5.5</v>
      </c>
      <c r="G431">
        <v>0</v>
      </c>
      <c r="H431">
        <v>40</v>
      </c>
      <c r="I431">
        <v>690</v>
      </c>
      <c r="J431">
        <v>62</v>
      </c>
      <c r="K431">
        <v>2</v>
      </c>
      <c r="L431">
        <v>20</v>
      </c>
      <c r="M431">
        <v>22</v>
      </c>
      <c r="O431" s="3">
        <f t="shared" si="65"/>
        <v>4.6315789473684212</v>
      </c>
      <c r="P431">
        <f t="shared" si="66"/>
        <v>1</v>
      </c>
      <c r="Q431">
        <f t="shared" si="67"/>
        <v>0</v>
      </c>
      <c r="S431">
        <f t="shared" si="68"/>
        <v>-11.760714285714286</v>
      </c>
      <c r="T431">
        <f t="shared" si="69"/>
        <v>-1.375</v>
      </c>
      <c r="U431">
        <f t="shared" si="70"/>
        <v>-7.5</v>
      </c>
      <c r="V431">
        <f t="shared" si="71"/>
        <v>-8.0000000000000018</v>
      </c>
      <c r="W431">
        <f t="shared" si="72"/>
        <v>0</v>
      </c>
      <c r="X431">
        <f t="shared" si="73"/>
        <v>4.4000000000000004</v>
      </c>
      <c r="Y431">
        <f t="shared" si="74"/>
        <v>0.7142857142857143</v>
      </c>
    </row>
    <row r="432" spans="1:25" x14ac:dyDescent="0.2">
      <c r="A432" t="s">
        <v>25</v>
      </c>
      <c r="B432" t="s">
        <v>264</v>
      </c>
      <c r="C432">
        <v>540</v>
      </c>
      <c r="D432">
        <v>260</v>
      </c>
      <c r="E432">
        <v>29</v>
      </c>
      <c r="F432">
        <v>10</v>
      </c>
      <c r="G432">
        <v>1.5</v>
      </c>
      <c r="H432">
        <v>75</v>
      </c>
      <c r="I432">
        <v>1040</v>
      </c>
      <c r="J432">
        <v>45</v>
      </c>
      <c r="K432">
        <v>3</v>
      </c>
      <c r="L432">
        <v>9</v>
      </c>
      <c r="M432">
        <v>25</v>
      </c>
      <c r="N432">
        <v>534</v>
      </c>
      <c r="O432" s="3">
        <f t="shared" si="65"/>
        <v>4.6296296296296298</v>
      </c>
      <c r="P432">
        <f t="shared" si="66"/>
        <v>1</v>
      </c>
      <c r="Q432">
        <f t="shared" si="67"/>
        <v>0</v>
      </c>
      <c r="S432">
        <f t="shared" si="68"/>
        <v>-11.334419254658384</v>
      </c>
      <c r="T432">
        <f t="shared" si="69"/>
        <v>-2.5</v>
      </c>
      <c r="U432">
        <f t="shared" si="70"/>
        <v>-11.304347826086957</v>
      </c>
      <c r="V432">
        <f t="shared" si="71"/>
        <v>-3.5999999999999996</v>
      </c>
      <c r="W432">
        <f t="shared" si="72"/>
        <v>-1.5E-3</v>
      </c>
      <c r="X432">
        <f t="shared" si="73"/>
        <v>5</v>
      </c>
      <c r="Y432">
        <f t="shared" si="74"/>
        <v>1.0714285714285714</v>
      </c>
    </row>
    <row r="433" spans="1:25" x14ac:dyDescent="0.2">
      <c r="A433" t="s">
        <v>25</v>
      </c>
      <c r="B433" t="s">
        <v>275</v>
      </c>
      <c r="C433">
        <v>330</v>
      </c>
      <c r="D433">
        <v>170</v>
      </c>
      <c r="E433">
        <v>19</v>
      </c>
      <c r="F433">
        <v>7</v>
      </c>
      <c r="G433">
        <v>1</v>
      </c>
      <c r="H433">
        <v>45</v>
      </c>
      <c r="I433">
        <v>690</v>
      </c>
      <c r="J433">
        <v>26</v>
      </c>
      <c r="K433">
        <v>1</v>
      </c>
      <c r="L433">
        <v>3</v>
      </c>
      <c r="M433">
        <v>15</v>
      </c>
      <c r="N433">
        <v>325</v>
      </c>
      <c r="O433" s="3">
        <f t="shared" si="65"/>
        <v>4.5454545454545459</v>
      </c>
      <c r="P433">
        <f t="shared" si="66"/>
        <v>1</v>
      </c>
      <c r="Q433">
        <f t="shared" si="67"/>
        <v>0</v>
      </c>
      <c r="S433">
        <f t="shared" si="68"/>
        <v>-7.093857142857142</v>
      </c>
      <c r="T433">
        <f t="shared" si="69"/>
        <v>-1.75</v>
      </c>
      <c r="U433">
        <f t="shared" si="70"/>
        <v>-7.5</v>
      </c>
      <c r="V433">
        <f t="shared" si="71"/>
        <v>-1.2</v>
      </c>
      <c r="W433">
        <f t="shared" si="72"/>
        <v>-1E-3</v>
      </c>
      <c r="X433">
        <f t="shared" si="73"/>
        <v>3</v>
      </c>
      <c r="Y433">
        <f t="shared" si="74"/>
        <v>0.35714285714285715</v>
      </c>
    </row>
    <row r="434" spans="1:25" x14ac:dyDescent="0.2">
      <c r="A434" t="s">
        <v>25</v>
      </c>
      <c r="B434" t="s">
        <v>288</v>
      </c>
      <c r="C434">
        <v>45</v>
      </c>
      <c r="D434">
        <v>30</v>
      </c>
      <c r="E434">
        <v>3.5</v>
      </c>
      <c r="F434">
        <v>0.5</v>
      </c>
      <c r="G434">
        <v>0</v>
      </c>
      <c r="H434">
        <v>0</v>
      </c>
      <c r="I434">
        <v>0</v>
      </c>
      <c r="J434">
        <v>2</v>
      </c>
      <c r="K434">
        <v>1</v>
      </c>
      <c r="L434">
        <v>0</v>
      </c>
      <c r="M434">
        <v>2</v>
      </c>
      <c r="N434">
        <v>43.5</v>
      </c>
      <c r="O434" s="3">
        <f t="shared" si="65"/>
        <v>4.4444444444444446</v>
      </c>
      <c r="P434">
        <f t="shared" si="66"/>
        <v>0</v>
      </c>
      <c r="Q434">
        <f t="shared" si="67"/>
        <v>0</v>
      </c>
      <c r="S434">
        <f t="shared" si="68"/>
        <v>0.63214285714285712</v>
      </c>
      <c r="T434">
        <f t="shared" si="69"/>
        <v>-0.125</v>
      </c>
      <c r="U434">
        <f t="shared" si="70"/>
        <v>0</v>
      </c>
      <c r="V434">
        <f t="shared" si="71"/>
        <v>0</v>
      </c>
      <c r="W434">
        <f t="shared" si="72"/>
        <v>0</v>
      </c>
      <c r="X434">
        <f t="shared" si="73"/>
        <v>0.4</v>
      </c>
      <c r="Y434">
        <f t="shared" si="74"/>
        <v>0.35714285714285715</v>
      </c>
    </row>
    <row r="435" spans="1:25" x14ac:dyDescent="0.2">
      <c r="A435" t="s">
        <v>25</v>
      </c>
      <c r="B435" t="s">
        <v>298</v>
      </c>
      <c r="C435">
        <v>610</v>
      </c>
      <c r="D435">
        <v>320</v>
      </c>
      <c r="E435">
        <v>36</v>
      </c>
      <c r="F435">
        <v>14</v>
      </c>
      <c r="G435">
        <v>0.5</v>
      </c>
      <c r="H435">
        <v>410</v>
      </c>
      <c r="I435">
        <v>1390</v>
      </c>
      <c r="J435">
        <v>44</v>
      </c>
      <c r="K435">
        <v>3</v>
      </c>
      <c r="L435">
        <v>4</v>
      </c>
      <c r="M435">
        <v>27</v>
      </c>
      <c r="N435">
        <v>601</v>
      </c>
      <c r="O435" s="3">
        <f t="shared" si="65"/>
        <v>4.4262295081967213</v>
      </c>
      <c r="P435">
        <f t="shared" si="66"/>
        <v>1</v>
      </c>
      <c r="Q435">
        <f t="shared" si="67"/>
        <v>1</v>
      </c>
      <c r="S435">
        <f t="shared" si="68"/>
        <v>-13.737767080745343</v>
      </c>
      <c r="T435">
        <f t="shared" si="69"/>
        <v>-3.5</v>
      </c>
      <c r="U435">
        <f t="shared" si="70"/>
        <v>-15.108695652173912</v>
      </c>
      <c r="V435">
        <f t="shared" si="71"/>
        <v>-1.6</v>
      </c>
      <c r="W435">
        <f t="shared" si="72"/>
        <v>-5.0000000000000001E-4</v>
      </c>
      <c r="X435">
        <f t="shared" si="73"/>
        <v>5.4</v>
      </c>
      <c r="Y435">
        <f t="shared" si="74"/>
        <v>1.0714285714285714</v>
      </c>
    </row>
    <row r="436" spans="1:25" x14ac:dyDescent="0.2">
      <c r="A436" t="s">
        <v>25</v>
      </c>
      <c r="B436" t="s">
        <v>300</v>
      </c>
      <c r="C436">
        <v>500</v>
      </c>
      <c r="D436">
        <v>240</v>
      </c>
      <c r="E436">
        <v>26</v>
      </c>
      <c r="F436">
        <v>10</v>
      </c>
      <c r="G436">
        <v>0</v>
      </c>
      <c r="H436">
        <v>70</v>
      </c>
      <c r="I436">
        <v>980</v>
      </c>
      <c r="J436">
        <v>44</v>
      </c>
      <c r="K436">
        <v>3</v>
      </c>
      <c r="L436">
        <v>11</v>
      </c>
      <c r="M436">
        <v>22</v>
      </c>
      <c r="N436">
        <v>499</v>
      </c>
      <c r="O436" s="3">
        <f t="shared" si="65"/>
        <v>4.3999999999999995</v>
      </c>
      <c r="P436">
        <f t="shared" si="66"/>
        <v>1</v>
      </c>
      <c r="Q436">
        <f t="shared" si="67"/>
        <v>0</v>
      </c>
      <c r="S436">
        <f t="shared" si="68"/>
        <v>-12.080745341614907</v>
      </c>
      <c r="T436">
        <f t="shared" si="69"/>
        <v>-2.5</v>
      </c>
      <c r="U436">
        <f t="shared" si="70"/>
        <v>-10.652173913043478</v>
      </c>
      <c r="V436">
        <f t="shared" si="71"/>
        <v>-4.4000000000000004</v>
      </c>
      <c r="W436">
        <f t="shared" si="72"/>
        <v>0</v>
      </c>
      <c r="X436">
        <f t="shared" si="73"/>
        <v>4.4000000000000004</v>
      </c>
      <c r="Y436">
        <f t="shared" si="74"/>
        <v>1.0714285714285714</v>
      </c>
    </row>
    <row r="437" spans="1:25" x14ac:dyDescent="0.2">
      <c r="A437" t="s">
        <v>25</v>
      </c>
      <c r="B437" t="s">
        <v>319</v>
      </c>
      <c r="C437">
        <v>140</v>
      </c>
      <c r="D437">
        <v>40</v>
      </c>
      <c r="E437">
        <v>4.5</v>
      </c>
      <c r="F437">
        <v>2</v>
      </c>
      <c r="G437">
        <v>0</v>
      </c>
      <c r="H437">
        <v>10</v>
      </c>
      <c r="I437">
        <v>150</v>
      </c>
      <c r="J437">
        <v>20</v>
      </c>
      <c r="K437">
        <v>6</v>
      </c>
      <c r="L437">
        <v>6</v>
      </c>
      <c r="M437">
        <v>6</v>
      </c>
      <c r="N437">
        <v>142</v>
      </c>
      <c r="O437" s="3">
        <f t="shared" si="65"/>
        <v>4.2857142857142856</v>
      </c>
      <c r="P437">
        <f t="shared" si="66"/>
        <v>0</v>
      </c>
      <c r="Q437">
        <f t="shared" si="67"/>
        <v>0</v>
      </c>
      <c r="S437">
        <f t="shared" si="68"/>
        <v>-1.1875776397515527</v>
      </c>
      <c r="T437">
        <f t="shared" si="69"/>
        <v>-0.5</v>
      </c>
      <c r="U437">
        <f t="shared" si="70"/>
        <v>-1.6304347826086956</v>
      </c>
      <c r="V437">
        <f t="shared" si="71"/>
        <v>-2.4</v>
      </c>
      <c r="W437">
        <f t="shared" si="72"/>
        <v>0</v>
      </c>
      <c r="X437">
        <f t="shared" si="73"/>
        <v>1.2</v>
      </c>
      <c r="Y437">
        <f t="shared" si="74"/>
        <v>2.1428571428571428</v>
      </c>
    </row>
    <row r="438" spans="1:25" x14ac:dyDescent="0.2">
      <c r="A438" t="s">
        <v>25</v>
      </c>
      <c r="B438" t="s">
        <v>320</v>
      </c>
      <c r="C438">
        <v>560</v>
      </c>
      <c r="D438">
        <v>240</v>
      </c>
      <c r="E438">
        <v>27</v>
      </c>
      <c r="F438">
        <v>9</v>
      </c>
      <c r="G438">
        <v>0.5</v>
      </c>
      <c r="H438">
        <v>260</v>
      </c>
      <c r="I438">
        <v>1300</v>
      </c>
      <c r="J438">
        <v>56</v>
      </c>
      <c r="K438">
        <v>3</v>
      </c>
      <c r="L438">
        <v>7</v>
      </c>
      <c r="M438">
        <v>24</v>
      </c>
      <c r="N438">
        <v>552</v>
      </c>
      <c r="O438" s="3">
        <f t="shared" si="65"/>
        <v>4.2857142857142856</v>
      </c>
      <c r="P438">
        <f t="shared" si="66"/>
        <v>1</v>
      </c>
      <c r="Q438">
        <f t="shared" si="67"/>
        <v>0</v>
      </c>
      <c r="S438">
        <f t="shared" si="68"/>
        <v>-13.309506211180123</v>
      </c>
      <c r="T438">
        <f t="shared" si="69"/>
        <v>-2.25</v>
      </c>
      <c r="U438">
        <f t="shared" si="70"/>
        <v>-14.130434782608695</v>
      </c>
      <c r="V438">
        <f t="shared" si="71"/>
        <v>-2.8000000000000003</v>
      </c>
      <c r="W438">
        <f t="shared" si="72"/>
        <v>-5.0000000000000001E-4</v>
      </c>
      <c r="X438">
        <f t="shared" si="73"/>
        <v>4.8</v>
      </c>
      <c r="Y438">
        <f t="shared" si="74"/>
        <v>1.0714285714285714</v>
      </c>
    </row>
    <row r="439" spans="1:25" x14ac:dyDescent="0.2">
      <c r="A439" t="s">
        <v>25</v>
      </c>
      <c r="B439" t="s">
        <v>321</v>
      </c>
      <c r="C439">
        <v>280</v>
      </c>
      <c r="D439">
        <v>35</v>
      </c>
      <c r="E439">
        <v>4</v>
      </c>
      <c r="F439">
        <v>2.5</v>
      </c>
      <c r="G439">
        <v>0</v>
      </c>
      <c r="H439">
        <v>10</v>
      </c>
      <c r="I439">
        <v>260</v>
      </c>
      <c r="J439">
        <v>49</v>
      </c>
      <c r="K439">
        <v>0</v>
      </c>
      <c r="L439">
        <v>46</v>
      </c>
      <c r="M439">
        <v>12</v>
      </c>
      <c r="N439">
        <v>316.5</v>
      </c>
      <c r="O439" s="3">
        <f t="shared" si="65"/>
        <v>4.2857142857142856</v>
      </c>
      <c r="P439">
        <f t="shared" si="66"/>
        <v>0</v>
      </c>
      <c r="Q439">
        <f t="shared" si="67"/>
        <v>0</v>
      </c>
      <c r="S439">
        <f t="shared" si="68"/>
        <v>-19.451086956521742</v>
      </c>
      <c r="T439">
        <f t="shared" si="69"/>
        <v>-0.625</v>
      </c>
      <c r="U439">
        <f t="shared" si="70"/>
        <v>-2.8260869565217392</v>
      </c>
      <c r="V439">
        <f t="shared" si="71"/>
        <v>-18.400000000000002</v>
      </c>
      <c r="W439">
        <f t="shared" si="72"/>
        <v>0</v>
      </c>
      <c r="X439">
        <f t="shared" si="73"/>
        <v>2.4</v>
      </c>
      <c r="Y439">
        <f t="shared" si="74"/>
        <v>0</v>
      </c>
    </row>
    <row r="440" spans="1:25" x14ac:dyDescent="0.2">
      <c r="A440" t="s">
        <v>25</v>
      </c>
      <c r="B440" t="s">
        <v>329</v>
      </c>
      <c r="C440">
        <v>330</v>
      </c>
      <c r="D440">
        <v>140</v>
      </c>
      <c r="E440">
        <v>16</v>
      </c>
      <c r="F440">
        <v>4.5</v>
      </c>
      <c r="G440">
        <v>0</v>
      </c>
      <c r="H440">
        <v>30</v>
      </c>
      <c r="I440">
        <v>780</v>
      </c>
      <c r="J440">
        <v>34</v>
      </c>
      <c r="K440">
        <v>1</v>
      </c>
      <c r="L440">
        <v>4</v>
      </c>
      <c r="M440">
        <v>14</v>
      </c>
      <c r="N440">
        <v>324.5</v>
      </c>
      <c r="O440" s="3">
        <f t="shared" si="65"/>
        <v>4.2424242424242431</v>
      </c>
      <c r="P440">
        <f t="shared" si="66"/>
        <v>1</v>
      </c>
      <c r="Q440">
        <f t="shared" si="67"/>
        <v>0</v>
      </c>
      <c r="S440">
        <f t="shared" si="68"/>
        <v>-8.0461180124223581</v>
      </c>
      <c r="T440">
        <f t="shared" si="69"/>
        <v>-1.125</v>
      </c>
      <c r="U440">
        <f t="shared" si="70"/>
        <v>-8.4782608695652169</v>
      </c>
      <c r="V440">
        <f t="shared" si="71"/>
        <v>-1.6</v>
      </c>
      <c r="W440">
        <f t="shared" si="72"/>
        <v>0</v>
      </c>
      <c r="X440">
        <f t="shared" si="73"/>
        <v>2.8000000000000003</v>
      </c>
      <c r="Y440">
        <f t="shared" si="74"/>
        <v>0.35714285714285715</v>
      </c>
    </row>
    <row r="441" spans="1:25" x14ac:dyDescent="0.2">
      <c r="A441" t="s">
        <v>25</v>
      </c>
      <c r="B441" t="s">
        <v>330</v>
      </c>
      <c r="C441">
        <v>330</v>
      </c>
      <c r="D441">
        <v>140</v>
      </c>
      <c r="E441">
        <v>15</v>
      </c>
      <c r="F441">
        <v>4.5</v>
      </c>
      <c r="G441">
        <v>0</v>
      </c>
      <c r="H441">
        <v>30</v>
      </c>
      <c r="I441">
        <v>810</v>
      </c>
      <c r="J441">
        <v>35</v>
      </c>
      <c r="K441">
        <v>1</v>
      </c>
      <c r="L441">
        <v>4</v>
      </c>
      <c r="M441">
        <v>14</v>
      </c>
      <c r="N441">
        <v>324.5</v>
      </c>
      <c r="O441" s="3">
        <f t="shared" si="65"/>
        <v>4.2424242424242431</v>
      </c>
      <c r="P441">
        <f t="shared" si="66"/>
        <v>1</v>
      </c>
      <c r="Q441">
        <f t="shared" si="67"/>
        <v>0</v>
      </c>
      <c r="S441">
        <f t="shared" si="68"/>
        <v>-8.3722049689440983</v>
      </c>
      <c r="T441">
        <f t="shared" si="69"/>
        <v>-1.125</v>
      </c>
      <c r="U441">
        <f t="shared" si="70"/>
        <v>-8.804347826086957</v>
      </c>
      <c r="V441">
        <f t="shared" si="71"/>
        <v>-1.6</v>
      </c>
      <c r="W441">
        <f t="shared" si="72"/>
        <v>0</v>
      </c>
      <c r="X441">
        <f t="shared" si="73"/>
        <v>2.8000000000000003</v>
      </c>
      <c r="Y441">
        <f t="shared" si="74"/>
        <v>0.35714285714285715</v>
      </c>
    </row>
    <row r="442" spans="1:25" x14ac:dyDescent="0.2">
      <c r="A442" t="s">
        <v>25</v>
      </c>
      <c r="B442" t="s">
        <v>345</v>
      </c>
      <c r="C442">
        <v>410</v>
      </c>
      <c r="D442">
        <v>180</v>
      </c>
      <c r="E442">
        <v>20</v>
      </c>
      <c r="F442">
        <v>8</v>
      </c>
      <c r="G442">
        <v>0</v>
      </c>
      <c r="H442">
        <v>30</v>
      </c>
      <c r="I442">
        <v>1180</v>
      </c>
      <c r="J442">
        <v>41</v>
      </c>
      <c r="K442">
        <v>2</v>
      </c>
      <c r="L442">
        <v>3</v>
      </c>
      <c r="M442">
        <v>17</v>
      </c>
      <c r="N442">
        <v>404</v>
      </c>
      <c r="O442" s="3">
        <f t="shared" si="65"/>
        <v>4.1463414634146343</v>
      </c>
      <c r="P442">
        <f t="shared" si="66"/>
        <v>1</v>
      </c>
      <c r="Q442">
        <f t="shared" si="67"/>
        <v>0</v>
      </c>
      <c r="S442">
        <f t="shared" si="68"/>
        <v>-11.911801242236027</v>
      </c>
      <c r="T442">
        <f t="shared" si="69"/>
        <v>-2</v>
      </c>
      <c r="U442">
        <f t="shared" si="70"/>
        <v>-12.82608695652174</v>
      </c>
      <c r="V442">
        <f t="shared" si="71"/>
        <v>-1.2</v>
      </c>
      <c r="W442">
        <f t="shared" si="72"/>
        <v>0</v>
      </c>
      <c r="X442">
        <f t="shared" si="73"/>
        <v>3.4000000000000004</v>
      </c>
      <c r="Y442">
        <f t="shared" si="74"/>
        <v>0.7142857142857143</v>
      </c>
    </row>
    <row r="443" spans="1:25" x14ac:dyDescent="0.2">
      <c r="A443" t="s">
        <v>25</v>
      </c>
      <c r="B443" t="s">
        <v>348</v>
      </c>
      <c r="C443">
        <v>340</v>
      </c>
      <c r="D443">
        <v>150</v>
      </c>
      <c r="E443">
        <v>17</v>
      </c>
      <c r="F443">
        <v>4.5</v>
      </c>
      <c r="G443">
        <v>0</v>
      </c>
      <c r="H443">
        <v>30</v>
      </c>
      <c r="I443">
        <v>810</v>
      </c>
      <c r="J443">
        <v>33</v>
      </c>
      <c r="K443">
        <v>1</v>
      </c>
      <c r="L443">
        <v>2</v>
      </c>
      <c r="M443">
        <v>14</v>
      </c>
      <c r="N443">
        <v>332.5</v>
      </c>
      <c r="O443" s="3">
        <f t="shared" si="65"/>
        <v>4.117647058823529</v>
      </c>
      <c r="P443">
        <f t="shared" si="66"/>
        <v>1</v>
      </c>
      <c r="Q443">
        <f t="shared" si="67"/>
        <v>0</v>
      </c>
      <c r="S443">
        <f t="shared" si="68"/>
        <v>-7.5722049689441002</v>
      </c>
      <c r="T443">
        <f t="shared" si="69"/>
        <v>-1.125</v>
      </c>
      <c r="U443">
        <f t="shared" si="70"/>
        <v>-8.804347826086957</v>
      </c>
      <c r="V443">
        <f t="shared" si="71"/>
        <v>-0.8</v>
      </c>
      <c r="W443">
        <f t="shared" si="72"/>
        <v>0</v>
      </c>
      <c r="X443">
        <f t="shared" si="73"/>
        <v>2.8000000000000003</v>
      </c>
      <c r="Y443">
        <f t="shared" si="74"/>
        <v>0.35714285714285715</v>
      </c>
    </row>
    <row r="444" spans="1:25" x14ac:dyDescent="0.2">
      <c r="A444" t="s">
        <v>25</v>
      </c>
      <c r="B444" t="s">
        <v>349</v>
      </c>
      <c r="C444">
        <v>170</v>
      </c>
      <c r="D444">
        <v>0</v>
      </c>
      <c r="E444">
        <v>0</v>
      </c>
      <c r="F444">
        <v>0</v>
      </c>
      <c r="G444">
        <v>0</v>
      </c>
      <c r="H444">
        <v>5</v>
      </c>
      <c r="I444">
        <v>150</v>
      </c>
      <c r="J444">
        <v>36</v>
      </c>
      <c r="K444">
        <v>0</v>
      </c>
      <c r="L444">
        <v>36</v>
      </c>
      <c r="M444">
        <v>7</v>
      </c>
      <c r="N444">
        <v>199</v>
      </c>
      <c r="O444" s="3">
        <f t="shared" si="65"/>
        <v>4.117647058823529</v>
      </c>
      <c r="P444">
        <f t="shared" si="66"/>
        <v>0</v>
      </c>
      <c r="Q444">
        <f t="shared" si="67"/>
        <v>0</v>
      </c>
      <c r="S444">
        <f t="shared" si="68"/>
        <v>-14.630434782608694</v>
      </c>
      <c r="T444">
        <f t="shared" si="69"/>
        <v>0</v>
      </c>
      <c r="U444">
        <f t="shared" si="70"/>
        <v>-1.6304347826086956</v>
      </c>
      <c r="V444">
        <f t="shared" si="71"/>
        <v>-14.399999999999999</v>
      </c>
      <c r="W444">
        <f t="shared" si="72"/>
        <v>0</v>
      </c>
      <c r="X444">
        <f t="shared" si="73"/>
        <v>1.4000000000000001</v>
      </c>
      <c r="Y444">
        <f t="shared" si="74"/>
        <v>0</v>
      </c>
    </row>
    <row r="445" spans="1:25" x14ac:dyDescent="0.2">
      <c r="A445" t="s">
        <v>25</v>
      </c>
      <c r="B445" t="s">
        <v>352</v>
      </c>
      <c r="C445">
        <v>390</v>
      </c>
      <c r="D445">
        <v>50</v>
      </c>
      <c r="E445">
        <v>6</v>
      </c>
      <c r="F445">
        <v>3.5</v>
      </c>
      <c r="G445">
        <v>0</v>
      </c>
      <c r="H445">
        <v>10</v>
      </c>
      <c r="I445">
        <v>250</v>
      </c>
      <c r="J445">
        <v>68</v>
      </c>
      <c r="K445">
        <v>0</v>
      </c>
      <c r="L445">
        <v>59</v>
      </c>
      <c r="M445">
        <v>16</v>
      </c>
      <c r="N445">
        <v>436.5</v>
      </c>
      <c r="O445" s="3">
        <f t="shared" si="65"/>
        <v>4.1025641025641022</v>
      </c>
      <c r="P445">
        <f t="shared" si="66"/>
        <v>0</v>
      </c>
      <c r="Q445">
        <f t="shared" si="67"/>
        <v>0</v>
      </c>
      <c r="S445">
        <f t="shared" si="68"/>
        <v>-23.992391304347823</v>
      </c>
      <c r="T445">
        <f t="shared" si="69"/>
        <v>-0.875</v>
      </c>
      <c r="U445">
        <f t="shared" si="70"/>
        <v>-2.7173913043478262</v>
      </c>
      <c r="V445">
        <f t="shared" si="71"/>
        <v>-23.599999999999998</v>
      </c>
      <c r="W445">
        <f t="shared" si="72"/>
        <v>0</v>
      </c>
      <c r="X445">
        <f t="shared" si="73"/>
        <v>3.2</v>
      </c>
      <c r="Y445">
        <f t="shared" si="74"/>
        <v>0</v>
      </c>
    </row>
    <row r="446" spans="1:25" x14ac:dyDescent="0.2">
      <c r="A446" t="s">
        <v>25</v>
      </c>
      <c r="B446" t="s">
        <v>356</v>
      </c>
      <c r="C446">
        <v>220</v>
      </c>
      <c r="D446">
        <v>0</v>
      </c>
      <c r="E446">
        <v>0</v>
      </c>
      <c r="F446">
        <v>0</v>
      </c>
      <c r="G446">
        <v>0</v>
      </c>
      <c r="H446">
        <v>5</v>
      </c>
      <c r="I446">
        <v>180</v>
      </c>
      <c r="J446">
        <v>45</v>
      </c>
      <c r="K446">
        <v>0</v>
      </c>
      <c r="L446">
        <v>45</v>
      </c>
      <c r="M446">
        <v>9</v>
      </c>
      <c r="N446">
        <v>256</v>
      </c>
      <c r="O446" s="3">
        <f t="shared" si="65"/>
        <v>4.0909090909090908</v>
      </c>
      <c r="P446">
        <f t="shared" si="66"/>
        <v>0</v>
      </c>
      <c r="Q446">
        <f t="shared" si="67"/>
        <v>0</v>
      </c>
      <c r="S446">
        <f t="shared" si="68"/>
        <v>-18.156521739130437</v>
      </c>
      <c r="T446">
        <f t="shared" si="69"/>
        <v>0</v>
      </c>
      <c r="U446">
        <f t="shared" si="70"/>
        <v>-1.956521739130435</v>
      </c>
      <c r="V446">
        <f t="shared" si="71"/>
        <v>-18.000000000000004</v>
      </c>
      <c r="W446">
        <f t="shared" si="72"/>
        <v>0</v>
      </c>
      <c r="X446">
        <f t="shared" si="73"/>
        <v>1.7999999999999998</v>
      </c>
      <c r="Y446">
        <f t="shared" si="74"/>
        <v>0</v>
      </c>
    </row>
    <row r="447" spans="1:25" x14ac:dyDescent="0.2">
      <c r="A447" t="s">
        <v>25</v>
      </c>
      <c r="B447" t="s">
        <v>357</v>
      </c>
      <c r="C447">
        <v>220</v>
      </c>
      <c r="D447">
        <v>0</v>
      </c>
      <c r="E447">
        <v>0</v>
      </c>
      <c r="F447">
        <v>0</v>
      </c>
      <c r="G447">
        <v>0</v>
      </c>
      <c r="H447">
        <v>5</v>
      </c>
      <c r="I447">
        <v>115</v>
      </c>
      <c r="J447">
        <v>46</v>
      </c>
      <c r="K447">
        <v>0</v>
      </c>
      <c r="L447">
        <v>46</v>
      </c>
      <c r="M447">
        <v>9</v>
      </c>
      <c r="N447">
        <v>257</v>
      </c>
      <c r="O447" s="3">
        <f t="shared" si="65"/>
        <v>4.0909090909090908</v>
      </c>
      <c r="P447">
        <f t="shared" si="66"/>
        <v>0</v>
      </c>
      <c r="Q447">
        <f t="shared" si="67"/>
        <v>0</v>
      </c>
      <c r="S447">
        <f t="shared" si="68"/>
        <v>-17.850000000000001</v>
      </c>
      <c r="T447">
        <f t="shared" si="69"/>
        <v>0</v>
      </c>
      <c r="U447">
        <f t="shared" si="70"/>
        <v>-1.25</v>
      </c>
      <c r="V447">
        <f t="shared" si="71"/>
        <v>-18.400000000000002</v>
      </c>
      <c r="W447">
        <f t="shared" si="72"/>
        <v>0</v>
      </c>
      <c r="X447">
        <f t="shared" si="73"/>
        <v>1.7999999999999998</v>
      </c>
      <c r="Y447">
        <f t="shared" si="74"/>
        <v>0</v>
      </c>
    </row>
    <row r="448" spans="1:25" x14ac:dyDescent="0.2">
      <c r="A448" t="s">
        <v>25</v>
      </c>
      <c r="B448" t="s">
        <v>358</v>
      </c>
      <c r="C448">
        <v>220</v>
      </c>
      <c r="D448">
        <v>0</v>
      </c>
      <c r="E448">
        <v>0</v>
      </c>
      <c r="F448">
        <v>0</v>
      </c>
      <c r="G448">
        <v>0</v>
      </c>
      <c r="H448">
        <v>5</v>
      </c>
      <c r="I448">
        <v>115</v>
      </c>
      <c r="J448">
        <v>46</v>
      </c>
      <c r="K448">
        <v>0</v>
      </c>
      <c r="L448">
        <v>46</v>
      </c>
      <c r="M448">
        <v>9</v>
      </c>
      <c r="N448">
        <v>257</v>
      </c>
      <c r="O448" s="3">
        <f t="shared" si="65"/>
        <v>4.0909090909090908</v>
      </c>
      <c r="P448">
        <f t="shared" si="66"/>
        <v>0</v>
      </c>
      <c r="Q448">
        <f t="shared" si="67"/>
        <v>0</v>
      </c>
      <c r="S448">
        <f t="shared" si="68"/>
        <v>-17.850000000000001</v>
      </c>
      <c r="T448">
        <f t="shared" si="69"/>
        <v>0</v>
      </c>
      <c r="U448">
        <f t="shared" si="70"/>
        <v>-1.25</v>
      </c>
      <c r="V448">
        <f t="shared" si="71"/>
        <v>-18.400000000000002</v>
      </c>
      <c r="W448">
        <f t="shared" si="72"/>
        <v>0</v>
      </c>
      <c r="X448">
        <f t="shared" si="73"/>
        <v>1.7999999999999998</v>
      </c>
      <c r="Y448">
        <f t="shared" si="74"/>
        <v>0</v>
      </c>
    </row>
    <row r="449" spans="1:25" x14ac:dyDescent="0.2">
      <c r="A449" t="s">
        <v>25</v>
      </c>
      <c r="B449" t="s">
        <v>372</v>
      </c>
      <c r="C449">
        <v>300</v>
      </c>
      <c r="D449">
        <v>140</v>
      </c>
      <c r="E449">
        <v>16</v>
      </c>
      <c r="F449">
        <v>7</v>
      </c>
      <c r="G449">
        <v>0</v>
      </c>
      <c r="H449">
        <v>115</v>
      </c>
      <c r="I449">
        <v>830</v>
      </c>
      <c r="J449">
        <v>26</v>
      </c>
      <c r="K449">
        <v>1</v>
      </c>
      <c r="L449">
        <v>2</v>
      </c>
      <c r="M449">
        <v>12</v>
      </c>
      <c r="N449">
        <v>297</v>
      </c>
      <c r="O449" s="3">
        <f t="shared" si="65"/>
        <v>4</v>
      </c>
      <c r="P449">
        <f t="shared" si="66"/>
        <v>1</v>
      </c>
      <c r="Q449">
        <f t="shared" si="67"/>
        <v>0</v>
      </c>
      <c r="S449">
        <f t="shared" si="68"/>
        <v>-8.8145962732919259</v>
      </c>
      <c r="T449">
        <f t="shared" si="69"/>
        <v>-1.75</v>
      </c>
      <c r="U449">
        <f t="shared" si="70"/>
        <v>-9.0217391304347831</v>
      </c>
      <c r="V449">
        <f t="shared" si="71"/>
        <v>-0.8</v>
      </c>
      <c r="W449">
        <f t="shared" si="72"/>
        <v>0</v>
      </c>
      <c r="X449">
        <f t="shared" si="73"/>
        <v>2.4</v>
      </c>
      <c r="Y449">
        <f t="shared" si="74"/>
        <v>0.35714285714285715</v>
      </c>
    </row>
    <row r="450" spans="1:25" x14ac:dyDescent="0.2">
      <c r="A450" t="s">
        <v>25</v>
      </c>
      <c r="B450" t="s">
        <v>373</v>
      </c>
      <c r="C450">
        <v>200</v>
      </c>
      <c r="D450">
        <v>35</v>
      </c>
      <c r="E450">
        <v>4</v>
      </c>
      <c r="F450">
        <v>2.5</v>
      </c>
      <c r="G450">
        <v>0</v>
      </c>
      <c r="H450">
        <v>5</v>
      </c>
      <c r="I450">
        <v>170</v>
      </c>
      <c r="J450">
        <v>34</v>
      </c>
      <c r="K450">
        <v>0</v>
      </c>
      <c r="L450">
        <v>31</v>
      </c>
      <c r="M450">
        <v>8</v>
      </c>
      <c r="N450">
        <v>225.5</v>
      </c>
      <c r="O450" s="3">
        <f t="shared" si="65"/>
        <v>4</v>
      </c>
      <c r="P450">
        <f t="shared" si="66"/>
        <v>0</v>
      </c>
      <c r="Q450">
        <f t="shared" si="67"/>
        <v>0</v>
      </c>
      <c r="S450">
        <f t="shared" si="68"/>
        <v>-13.272826086956522</v>
      </c>
      <c r="T450">
        <f t="shared" si="69"/>
        <v>-0.625</v>
      </c>
      <c r="U450">
        <f t="shared" si="70"/>
        <v>-1.8478260869565217</v>
      </c>
      <c r="V450">
        <f t="shared" si="71"/>
        <v>-12.4</v>
      </c>
      <c r="W450">
        <f t="shared" si="72"/>
        <v>0</v>
      </c>
      <c r="X450">
        <f t="shared" si="73"/>
        <v>1.6</v>
      </c>
      <c r="Y450">
        <f t="shared" si="74"/>
        <v>0</v>
      </c>
    </row>
    <row r="451" spans="1:25" x14ac:dyDescent="0.2">
      <c r="A451" t="s">
        <v>25</v>
      </c>
      <c r="B451" t="s">
        <v>389</v>
      </c>
      <c r="C451">
        <v>380</v>
      </c>
      <c r="D451">
        <v>170</v>
      </c>
      <c r="E451">
        <v>18</v>
      </c>
      <c r="F451">
        <v>3.5</v>
      </c>
      <c r="G451">
        <v>0</v>
      </c>
      <c r="H451">
        <v>40</v>
      </c>
      <c r="I451">
        <v>640</v>
      </c>
      <c r="J451">
        <v>38</v>
      </c>
      <c r="K451">
        <v>2</v>
      </c>
      <c r="L451">
        <v>5</v>
      </c>
      <c r="M451">
        <v>15</v>
      </c>
      <c r="N451">
        <v>373.5</v>
      </c>
      <c r="O451" s="3">
        <f t="shared" si="65"/>
        <v>3.9473684210526314</v>
      </c>
      <c r="P451">
        <f t="shared" si="66"/>
        <v>1</v>
      </c>
      <c r="Q451">
        <f t="shared" si="67"/>
        <v>0</v>
      </c>
      <c r="S451">
        <f t="shared" si="68"/>
        <v>-6.1172360248447211</v>
      </c>
      <c r="T451">
        <f t="shared" si="69"/>
        <v>-0.875</v>
      </c>
      <c r="U451">
        <f t="shared" si="70"/>
        <v>-6.9565217391304346</v>
      </c>
      <c r="V451">
        <f t="shared" si="71"/>
        <v>-2.0000000000000004</v>
      </c>
      <c r="W451">
        <f t="shared" si="72"/>
        <v>0</v>
      </c>
      <c r="X451">
        <f t="shared" si="73"/>
        <v>3</v>
      </c>
      <c r="Y451">
        <f t="shared" si="74"/>
        <v>0.7142857142857143</v>
      </c>
    </row>
    <row r="452" spans="1:25" x14ac:dyDescent="0.2">
      <c r="A452" t="s">
        <v>25</v>
      </c>
      <c r="B452" t="s">
        <v>392</v>
      </c>
      <c r="C452">
        <v>360</v>
      </c>
      <c r="D452">
        <v>150</v>
      </c>
      <c r="E452">
        <v>16</v>
      </c>
      <c r="F452">
        <v>3</v>
      </c>
      <c r="G452">
        <v>0</v>
      </c>
      <c r="H452">
        <v>35</v>
      </c>
      <c r="I452">
        <v>830</v>
      </c>
      <c r="J452">
        <v>40</v>
      </c>
      <c r="K452">
        <v>2</v>
      </c>
      <c r="L452">
        <v>5</v>
      </c>
      <c r="M452">
        <v>14</v>
      </c>
      <c r="N452">
        <v>354</v>
      </c>
      <c r="O452" s="3">
        <f t="shared" ref="O452:O515" si="75">M452/C452*100</f>
        <v>3.8888888888888888</v>
      </c>
      <c r="P452">
        <f t="shared" ref="P452:P515" si="76">IF(I452&gt;2300*0.2,1,0)</f>
        <v>1</v>
      </c>
      <c r="Q452">
        <f t="shared" ref="Q452:Q515" si="77">IF(H452&gt;300,1,0)</f>
        <v>0</v>
      </c>
      <c r="S452">
        <f t="shared" ref="S452:S515" si="78">T452+U452+V452+W452+X452+Y452</f>
        <v>-8.2574534161490689</v>
      </c>
      <c r="T452">
        <f t="shared" ref="T452:T515" si="79">$T$1*F452</f>
        <v>-0.75</v>
      </c>
      <c r="U452">
        <f t="shared" ref="U452:U515" si="80">($U$1*(I452/2300))*100</f>
        <v>-9.0217391304347831</v>
      </c>
      <c r="V452">
        <f t="shared" ref="V452:V515" si="81">((L452/50)*$V$1)*100</f>
        <v>-2.0000000000000004</v>
      </c>
      <c r="W452">
        <f t="shared" ref="W452:W515" si="82">(G452/100)*$W$1</f>
        <v>0</v>
      </c>
      <c r="X452">
        <f t="shared" ref="X452:X515" si="83">($X$1*(M452/50))*100</f>
        <v>2.8000000000000003</v>
      </c>
      <c r="Y452">
        <f t="shared" ref="Y452:Y515" si="84">($Y$1*(K452/28))*100</f>
        <v>0.7142857142857143</v>
      </c>
    </row>
    <row r="453" spans="1:25" x14ac:dyDescent="0.2">
      <c r="A453" t="s">
        <v>25</v>
      </c>
      <c r="B453" t="s">
        <v>393</v>
      </c>
      <c r="C453">
        <v>180</v>
      </c>
      <c r="D453">
        <v>0</v>
      </c>
      <c r="E453">
        <v>0</v>
      </c>
      <c r="F453">
        <v>0</v>
      </c>
      <c r="G453">
        <v>0</v>
      </c>
      <c r="H453">
        <v>5</v>
      </c>
      <c r="I453">
        <v>95</v>
      </c>
      <c r="J453">
        <v>37</v>
      </c>
      <c r="K453">
        <v>0</v>
      </c>
      <c r="L453">
        <v>37</v>
      </c>
      <c r="M453">
        <v>7</v>
      </c>
      <c r="N453">
        <v>210</v>
      </c>
      <c r="O453" s="3">
        <f t="shared" si="75"/>
        <v>3.8888888888888888</v>
      </c>
      <c r="P453">
        <f t="shared" si="76"/>
        <v>0</v>
      </c>
      <c r="Q453">
        <f t="shared" si="77"/>
        <v>0</v>
      </c>
      <c r="S453">
        <f t="shared" si="78"/>
        <v>-14.432608695652172</v>
      </c>
      <c r="T453">
        <f t="shared" si="79"/>
        <v>0</v>
      </c>
      <c r="U453">
        <f t="shared" si="80"/>
        <v>-1.0326086956521738</v>
      </c>
      <c r="V453">
        <f t="shared" si="81"/>
        <v>-14.799999999999999</v>
      </c>
      <c r="W453">
        <f t="shared" si="82"/>
        <v>0</v>
      </c>
      <c r="X453">
        <f t="shared" si="83"/>
        <v>1.4000000000000001</v>
      </c>
      <c r="Y453">
        <f t="shared" si="84"/>
        <v>0</v>
      </c>
    </row>
    <row r="454" spans="1:25" x14ac:dyDescent="0.2">
      <c r="A454" t="s">
        <v>25</v>
      </c>
      <c r="B454" t="s">
        <v>394</v>
      </c>
      <c r="C454">
        <v>180</v>
      </c>
      <c r="D454">
        <v>0</v>
      </c>
      <c r="E454">
        <v>0</v>
      </c>
      <c r="F454">
        <v>0</v>
      </c>
      <c r="G454">
        <v>0</v>
      </c>
      <c r="H454">
        <v>5</v>
      </c>
      <c r="I454">
        <v>95</v>
      </c>
      <c r="J454">
        <v>37</v>
      </c>
      <c r="K454">
        <v>0</v>
      </c>
      <c r="L454">
        <v>37</v>
      </c>
      <c r="M454">
        <v>7</v>
      </c>
      <c r="N454">
        <v>210</v>
      </c>
      <c r="O454" s="3">
        <f t="shared" si="75"/>
        <v>3.8888888888888888</v>
      </c>
      <c r="P454">
        <f t="shared" si="76"/>
        <v>0</v>
      </c>
      <c r="Q454">
        <f t="shared" si="77"/>
        <v>0</v>
      </c>
      <c r="S454">
        <f t="shared" si="78"/>
        <v>-14.432608695652172</v>
      </c>
      <c r="T454">
        <f t="shared" si="79"/>
        <v>0</v>
      </c>
      <c r="U454">
        <f t="shared" si="80"/>
        <v>-1.0326086956521738</v>
      </c>
      <c r="V454">
        <f t="shared" si="81"/>
        <v>-14.799999999999999</v>
      </c>
      <c r="W454">
        <f t="shared" si="82"/>
        <v>0</v>
      </c>
      <c r="X454">
        <f t="shared" si="83"/>
        <v>1.4000000000000001</v>
      </c>
      <c r="Y454">
        <f t="shared" si="84"/>
        <v>0</v>
      </c>
    </row>
    <row r="455" spans="1:25" x14ac:dyDescent="0.2">
      <c r="A455" t="s">
        <v>25</v>
      </c>
      <c r="B455" t="s">
        <v>397</v>
      </c>
      <c r="C455">
        <v>260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220</v>
      </c>
      <c r="J455">
        <v>53</v>
      </c>
      <c r="K455">
        <v>0</v>
      </c>
      <c r="L455">
        <v>53</v>
      </c>
      <c r="M455">
        <v>10</v>
      </c>
      <c r="N455">
        <v>303</v>
      </c>
      <c r="O455" s="3">
        <f t="shared" si="75"/>
        <v>3.8461538461538463</v>
      </c>
      <c r="P455">
        <f t="shared" si="76"/>
        <v>0</v>
      </c>
      <c r="Q455">
        <f t="shared" si="77"/>
        <v>0</v>
      </c>
      <c r="S455">
        <f t="shared" si="78"/>
        <v>-21.591304347826089</v>
      </c>
      <c r="T455">
        <f t="shared" si="79"/>
        <v>0</v>
      </c>
      <c r="U455">
        <f t="shared" si="80"/>
        <v>-2.3913043478260869</v>
      </c>
      <c r="V455">
        <f t="shared" si="81"/>
        <v>-21.200000000000003</v>
      </c>
      <c r="W455">
        <f t="shared" si="82"/>
        <v>0</v>
      </c>
      <c r="X455">
        <f t="shared" si="83"/>
        <v>2.0000000000000004</v>
      </c>
      <c r="Y455">
        <f t="shared" si="84"/>
        <v>0</v>
      </c>
    </row>
    <row r="456" spans="1:25" x14ac:dyDescent="0.2">
      <c r="A456" t="s">
        <v>25</v>
      </c>
      <c r="B456" t="s">
        <v>398</v>
      </c>
      <c r="C456">
        <v>260</v>
      </c>
      <c r="D456">
        <v>0</v>
      </c>
      <c r="E456">
        <v>0</v>
      </c>
      <c r="F456">
        <v>0</v>
      </c>
      <c r="G456">
        <v>0</v>
      </c>
      <c r="H456">
        <v>5</v>
      </c>
      <c r="I456">
        <v>135</v>
      </c>
      <c r="J456">
        <v>55</v>
      </c>
      <c r="K456">
        <v>0</v>
      </c>
      <c r="L456">
        <v>55</v>
      </c>
      <c r="M456">
        <v>10</v>
      </c>
      <c r="N456">
        <v>305</v>
      </c>
      <c r="O456" s="3">
        <f t="shared" si="75"/>
        <v>3.8461538461538463</v>
      </c>
      <c r="P456">
        <f t="shared" si="76"/>
        <v>0</v>
      </c>
      <c r="Q456">
        <f t="shared" si="77"/>
        <v>0</v>
      </c>
      <c r="S456">
        <f t="shared" si="78"/>
        <v>-21.467391304347828</v>
      </c>
      <c r="T456">
        <f t="shared" si="79"/>
        <v>0</v>
      </c>
      <c r="U456">
        <f t="shared" si="80"/>
        <v>-1.4673913043478262</v>
      </c>
      <c r="V456">
        <f t="shared" si="81"/>
        <v>-22.000000000000004</v>
      </c>
      <c r="W456">
        <f t="shared" si="82"/>
        <v>0</v>
      </c>
      <c r="X456">
        <f t="shared" si="83"/>
        <v>2.0000000000000004</v>
      </c>
      <c r="Y456">
        <f t="shared" si="84"/>
        <v>0</v>
      </c>
    </row>
    <row r="457" spans="1:25" x14ac:dyDescent="0.2">
      <c r="A457" t="s">
        <v>25</v>
      </c>
      <c r="B457" t="s">
        <v>399</v>
      </c>
      <c r="C457">
        <v>260</v>
      </c>
      <c r="D457">
        <v>0</v>
      </c>
      <c r="E457">
        <v>0</v>
      </c>
      <c r="F457">
        <v>0</v>
      </c>
      <c r="G457">
        <v>0</v>
      </c>
      <c r="H457">
        <v>5</v>
      </c>
      <c r="I457">
        <v>135</v>
      </c>
      <c r="J457">
        <v>55</v>
      </c>
      <c r="K457">
        <v>0</v>
      </c>
      <c r="L457">
        <v>55</v>
      </c>
      <c r="M457">
        <v>10</v>
      </c>
      <c r="N457">
        <v>305</v>
      </c>
      <c r="O457" s="3">
        <f t="shared" si="75"/>
        <v>3.8461538461538463</v>
      </c>
      <c r="P457">
        <f t="shared" si="76"/>
        <v>0</v>
      </c>
      <c r="Q457">
        <f t="shared" si="77"/>
        <v>0</v>
      </c>
      <c r="S457">
        <f t="shared" si="78"/>
        <v>-21.467391304347828</v>
      </c>
      <c r="T457">
        <f t="shared" si="79"/>
        <v>0</v>
      </c>
      <c r="U457">
        <f t="shared" si="80"/>
        <v>-1.4673913043478262</v>
      </c>
      <c r="V457">
        <f t="shared" si="81"/>
        <v>-22.000000000000004</v>
      </c>
      <c r="W457">
        <f t="shared" si="82"/>
        <v>0</v>
      </c>
      <c r="X457">
        <f t="shared" si="83"/>
        <v>2.0000000000000004</v>
      </c>
      <c r="Y457">
        <f t="shared" si="84"/>
        <v>0</v>
      </c>
    </row>
    <row r="458" spans="1:25" x14ac:dyDescent="0.2">
      <c r="A458" t="s">
        <v>25</v>
      </c>
      <c r="B458" t="s">
        <v>406</v>
      </c>
      <c r="C458">
        <v>370</v>
      </c>
      <c r="D458">
        <v>200</v>
      </c>
      <c r="E458">
        <v>22</v>
      </c>
      <c r="F458">
        <v>8</v>
      </c>
      <c r="G458">
        <v>0</v>
      </c>
      <c r="H458">
        <v>45</v>
      </c>
      <c r="I458">
        <v>850</v>
      </c>
      <c r="J458">
        <v>29</v>
      </c>
      <c r="K458">
        <v>2</v>
      </c>
      <c r="L458">
        <v>2</v>
      </c>
      <c r="M458">
        <v>14</v>
      </c>
      <c r="N458">
        <v>366</v>
      </c>
      <c r="O458" s="3">
        <f t="shared" si="75"/>
        <v>3.7837837837837842</v>
      </c>
      <c r="P458">
        <f t="shared" si="76"/>
        <v>1</v>
      </c>
      <c r="Q458">
        <f t="shared" si="77"/>
        <v>0</v>
      </c>
      <c r="S458">
        <f t="shared" si="78"/>
        <v>-8.524844720496894</v>
      </c>
      <c r="T458">
        <f t="shared" si="79"/>
        <v>-2</v>
      </c>
      <c r="U458">
        <f t="shared" si="80"/>
        <v>-9.2391304347826075</v>
      </c>
      <c r="V458">
        <f t="shared" si="81"/>
        <v>-0.8</v>
      </c>
      <c r="W458">
        <f t="shared" si="82"/>
        <v>0</v>
      </c>
      <c r="X458">
        <f t="shared" si="83"/>
        <v>2.8000000000000003</v>
      </c>
      <c r="Y458">
        <f t="shared" si="84"/>
        <v>0.7142857142857143</v>
      </c>
    </row>
    <row r="459" spans="1:25" x14ac:dyDescent="0.2">
      <c r="A459" t="s">
        <v>25</v>
      </c>
      <c r="B459" t="s">
        <v>407</v>
      </c>
      <c r="C459">
        <v>740</v>
      </c>
      <c r="D459">
        <v>430</v>
      </c>
      <c r="E459">
        <v>48</v>
      </c>
      <c r="F459">
        <v>17</v>
      </c>
      <c r="G459">
        <v>0</v>
      </c>
      <c r="H459">
        <v>555</v>
      </c>
      <c r="I459">
        <v>1560</v>
      </c>
      <c r="J459">
        <v>51</v>
      </c>
      <c r="K459">
        <v>3</v>
      </c>
      <c r="L459">
        <v>3</v>
      </c>
      <c r="M459">
        <v>28</v>
      </c>
      <c r="N459">
        <v>732</v>
      </c>
      <c r="O459" s="3">
        <f t="shared" si="75"/>
        <v>3.7837837837837842</v>
      </c>
      <c r="P459">
        <f t="shared" si="76"/>
        <v>1</v>
      </c>
      <c r="Q459">
        <f t="shared" si="77"/>
        <v>1</v>
      </c>
      <c r="S459">
        <f t="shared" si="78"/>
        <v>-15.73509316770186</v>
      </c>
      <c r="T459">
        <f t="shared" si="79"/>
        <v>-4.25</v>
      </c>
      <c r="U459">
        <f t="shared" si="80"/>
        <v>-16.956521739130434</v>
      </c>
      <c r="V459">
        <f t="shared" si="81"/>
        <v>-1.2</v>
      </c>
      <c r="W459">
        <f t="shared" si="82"/>
        <v>0</v>
      </c>
      <c r="X459">
        <f t="shared" si="83"/>
        <v>5.6000000000000005</v>
      </c>
      <c r="Y459">
        <f t="shared" si="84"/>
        <v>1.0714285714285714</v>
      </c>
    </row>
    <row r="460" spans="1:25" x14ac:dyDescent="0.2">
      <c r="A460" t="s">
        <v>25</v>
      </c>
      <c r="B460" t="s">
        <v>410</v>
      </c>
      <c r="C460">
        <v>240</v>
      </c>
      <c r="D460">
        <v>60</v>
      </c>
      <c r="E460">
        <v>6</v>
      </c>
      <c r="F460">
        <v>4</v>
      </c>
      <c r="G460">
        <v>0</v>
      </c>
      <c r="H460">
        <v>10</v>
      </c>
      <c r="I460">
        <v>190</v>
      </c>
      <c r="J460">
        <v>37</v>
      </c>
      <c r="K460">
        <v>0</v>
      </c>
      <c r="L460">
        <v>34</v>
      </c>
      <c r="M460">
        <v>9</v>
      </c>
      <c r="N460">
        <v>269</v>
      </c>
      <c r="O460" s="3">
        <f t="shared" si="75"/>
        <v>3.75</v>
      </c>
      <c r="P460">
        <f t="shared" si="76"/>
        <v>0</v>
      </c>
      <c r="Q460">
        <f t="shared" si="77"/>
        <v>0</v>
      </c>
      <c r="S460">
        <f t="shared" si="78"/>
        <v>-14.865217391304348</v>
      </c>
      <c r="T460">
        <f t="shared" si="79"/>
        <v>-1</v>
      </c>
      <c r="U460">
        <f t="shared" si="80"/>
        <v>-2.0652173913043477</v>
      </c>
      <c r="V460">
        <f t="shared" si="81"/>
        <v>-13.600000000000001</v>
      </c>
      <c r="W460">
        <f t="shared" si="82"/>
        <v>0</v>
      </c>
      <c r="X460">
        <f t="shared" si="83"/>
        <v>1.7999999999999998</v>
      </c>
      <c r="Y460">
        <f t="shared" si="84"/>
        <v>0</v>
      </c>
    </row>
    <row r="461" spans="1:25" x14ac:dyDescent="0.2">
      <c r="A461" t="s">
        <v>25</v>
      </c>
      <c r="B461" t="s">
        <v>411</v>
      </c>
      <c r="C461">
        <v>240</v>
      </c>
      <c r="D461">
        <v>35</v>
      </c>
      <c r="E461">
        <v>4</v>
      </c>
      <c r="F461">
        <v>2.5</v>
      </c>
      <c r="G461">
        <v>0</v>
      </c>
      <c r="H461">
        <v>5</v>
      </c>
      <c r="I461">
        <v>200</v>
      </c>
      <c r="J461">
        <v>41</v>
      </c>
      <c r="K461">
        <v>0</v>
      </c>
      <c r="L461">
        <v>38</v>
      </c>
      <c r="M461">
        <v>9</v>
      </c>
      <c r="N461">
        <v>271.5</v>
      </c>
      <c r="O461" s="3">
        <f t="shared" si="75"/>
        <v>3.75</v>
      </c>
      <c r="P461">
        <f t="shared" si="76"/>
        <v>0</v>
      </c>
      <c r="Q461">
        <f t="shared" si="77"/>
        <v>0</v>
      </c>
      <c r="S461">
        <f t="shared" si="78"/>
        <v>-16.198913043478264</v>
      </c>
      <c r="T461">
        <f t="shared" si="79"/>
        <v>-0.625</v>
      </c>
      <c r="U461">
        <f t="shared" si="80"/>
        <v>-2.1739130434782608</v>
      </c>
      <c r="V461">
        <f t="shared" si="81"/>
        <v>-15.200000000000003</v>
      </c>
      <c r="W461">
        <f t="shared" si="82"/>
        <v>0</v>
      </c>
      <c r="X461">
        <f t="shared" si="83"/>
        <v>1.7999999999999998</v>
      </c>
      <c r="Y461">
        <f t="shared" si="84"/>
        <v>0</v>
      </c>
    </row>
    <row r="462" spans="1:25" x14ac:dyDescent="0.2">
      <c r="A462" t="s">
        <v>25</v>
      </c>
      <c r="B462" t="s">
        <v>422</v>
      </c>
      <c r="C462">
        <v>300</v>
      </c>
      <c r="D462">
        <v>60</v>
      </c>
      <c r="E462">
        <v>6</v>
      </c>
      <c r="F462">
        <v>4</v>
      </c>
      <c r="G462">
        <v>0</v>
      </c>
      <c r="H462">
        <v>10</v>
      </c>
      <c r="I462">
        <v>230</v>
      </c>
      <c r="J462">
        <v>49</v>
      </c>
      <c r="K462">
        <v>0</v>
      </c>
      <c r="L462">
        <v>45</v>
      </c>
      <c r="M462">
        <v>11</v>
      </c>
      <c r="N462">
        <v>338</v>
      </c>
      <c r="O462" s="3">
        <f t="shared" si="75"/>
        <v>3.6666666666666665</v>
      </c>
      <c r="P462">
        <f t="shared" si="76"/>
        <v>0</v>
      </c>
      <c r="Q462">
        <f t="shared" si="77"/>
        <v>0</v>
      </c>
      <c r="S462">
        <f t="shared" si="78"/>
        <v>-19.300000000000004</v>
      </c>
      <c r="T462">
        <f t="shared" si="79"/>
        <v>-1</v>
      </c>
      <c r="U462">
        <f t="shared" si="80"/>
        <v>-2.5</v>
      </c>
      <c r="V462">
        <f t="shared" si="81"/>
        <v>-18.000000000000004</v>
      </c>
      <c r="W462">
        <f t="shared" si="82"/>
        <v>0</v>
      </c>
      <c r="X462">
        <f t="shared" si="83"/>
        <v>2.2000000000000002</v>
      </c>
      <c r="Y462">
        <f t="shared" si="84"/>
        <v>0</v>
      </c>
    </row>
    <row r="463" spans="1:25" x14ac:dyDescent="0.2">
      <c r="A463" t="s">
        <v>25</v>
      </c>
      <c r="B463" t="s">
        <v>426</v>
      </c>
      <c r="C463">
        <v>470</v>
      </c>
      <c r="D463">
        <v>220</v>
      </c>
      <c r="E463">
        <v>24</v>
      </c>
      <c r="F463">
        <v>9</v>
      </c>
      <c r="G463">
        <v>0</v>
      </c>
      <c r="H463">
        <v>30</v>
      </c>
      <c r="I463">
        <v>1290</v>
      </c>
      <c r="J463">
        <v>46</v>
      </c>
      <c r="K463">
        <v>3</v>
      </c>
      <c r="L463">
        <v>4</v>
      </c>
      <c r="M463">
        <v>17</v>
      </c>
      <c r="N463">
        <v>466</v>
      </c>
      <c r="O463" s="3">
        <f t="shared" si="75"/>
        <v>3.6170212765957444</v>
      </c>
      <c r="P463">
        <f t="shared" si="76"/>
        <v>1</v>
      </c>
      <c r="Q463">
        <f t="shared" si="77"/>
        <v>0</v>
      </c>
      <c r="S463">
        <f t="shared" si="78"/>
        <v>-13.400310559006211</v>
      </c>
      <c r="T463">
        <f t="shared" si="79"/>
        <v>-2.25</v>
      </c>
      <c r="U463">
        <f t="shared" si="80"/>
        <v>-14.021739130434781</v>
      </c>
      <c r="V463">
        <f t="shared" si="81"/>
        <v>-1.6</v>
      </c>
      <c r="W463">
        <f t="shared" si="82"/>
        <v>0</v>
      </c>
      <c r="X463">
        <f t="shared" si="83"/>
        <v>3.4000000000000004</v>
      </c>
      <c r="Y463">
        <f t="shared" si="84"/>
        <v>1.0714285714285714</v>
      </c>
    </row>
    <row r="464" spans="1:25" x14ac:dyDescent="0.2">
      <c r="A464" t="s">
        <v>25</v>
      </c>
      <c r="B464" t="s">
        <v>430</v>
      </c>
      <c r="C464">
        <v>420</v>
      </c>
      <c r="D464">
        <v>210</v>
      </c>
      <c r="E464">
        <v>23</v>
      </c>
      <c r="F464">
        <v>12</v>
      </c>
      <c r="G464">
        <v>0</v>
      </c>
      <c r="H464">
        <v>235</v>
      </c>
      <c r="I464">
        <v>1160</v>
      </c>
      <c r="J464">
        <v>37</v>
      </c>
      <c r="K464">
        <v>2</v>
      </c>
      <c r="L464">
        <v>3</v>
      </c>
      <c r="M464">
        <v>15</v>
      </c>
      <c r="N464">
        <v>420</v>
      </c>
      <c r="O464" s="3">
        <f t="shared" si="75"/>
        <v>3.5714285714285712</v>
      </c>
      <c r="P464">
        <f t="shared" si="76"/>
        <v>1</v>
      </c>
      <c r="Q464">
        <f t="shared" si="77"/>
        <v>0</v>
      </c>
      <c r="S464">
        <f t="shared" si="78"/>
        <v>-13.0944099378882</v>
      </c>
      <c r="T464">
        <f t="shared" si="79"/>
        <v>-3</v>
      </c>
      <c r="U464">
        <f t="shared" si="80"/>
        <v>-12.608695652173912</v>
      </c>
      <c r="V464">
        <f t="shared" si="81"/>
        <v>-1.2</v>
      </c>
      <c r="W464">
        <f t="shared" si="82"/>
        <v>0</v>
      </c>
      <c r="X464">
        <f t="shared" si="83"/>
        <v>3</v>
      </c>
      <c r="Y464">
        <f t="shared" si="84"/>
        <v>0.7142857142857143</v>
      </c>
    </row>
    <row r="465" spans="1:25" x14ac:dyDescent="0.2">
      <c r="A465" t="s">
        <v>25</v>
      </c>
      <c r="B465" t="s">
        <v>431</v>
      </c>
      <c r="C465">
        <v>420</v>
      </c>
      <c r="D465">
        <v>160</v>
      </c>
      <c r="E465">
        <v>18</v>
      </c>
      <c r="F465">
        <v>8</v>
      </c>
      <c r="G465">
        <v>0</v>
      </c>
      <c r="H465">
        <v>240</v>
      </c>
      <c r="I465">
        <v>1110</v>
      </c>
      <c r="J465">
        <v>48</v>
      </c>
      <c r="K465">
        <v>2</v>
      </c>
      <c r="L465">
        <v>15</v>
      </c>
      <c r="M465">
        <v>15</v>
      </c>
      <c r="N465">
        <v>428</v>
      </c>
      <c r="O465" s="3">
        <f t="shared" si="75"/>
        <v>3.5714285714285712</v>
      </c>
      <c r="P465">
        <f t="shared" si="76"/>
        <v>1</v>
      </c>
      <c r="Q465">
        <f t="shared" si="77"/>
        <v>0</v>
      </c>
      <c r="S465">
        <f t="shared" si="78"/>
        <v>-16.350931677018632</v>
      </c>
      <c r="T465">
        <f t="shared" si="79"/>
        <v>-2</v>
      </c>
      <c r="U465">
        <f t="shared" si="80"/>
        <v>-12.065217391304348</v>
      </c>
      <c r="V465">
        <f t="shared" si="81"/>
        <v>-6</v>
      </c>
      <c r="W465">
        <f t="shared" si="82"/>
        <v>0</v>
      </c>
      <c r="X465">
        <f t="shared" si="83"/>
        <v>3</v>
      </c>
      <c r="Y465">
        <f t="shared" si="84"/>
        <v>0.7142857142857143</v>
      </c>
    </row>
    <row r="466" spans="1:25" x14ac:dyDescent="0.2">
      <c r="A466" t="s">
        <v>25</v>
      </c>
      <c r="B466" t="s">
        <v>432</v>
      </c>
      <c r="C466">
        <v>560</v>
      </c>
      <c r="D466">
        <v>290</v>
      </c>
      <c r="E466">
        <v>32</v>
      </c>
      <c r="F466">
        <v>12</v>
      </c>
      <c r="G466">
        <v>0</v>
      </c>
      <c r="H466">
        <v>265</v>
      </c>
      <c r="I466">
        <v>1360</v>
      </c>
      <c r="J466">
        <v>48</v>
      </c>
      <c r="K466">
        <v>2</v>
      </c>
      <c r="L466">
        <v>15</v>
      </c>
      <c r="M466">
        <v>20</v>
      </c>
      <c r="N466">
        <v>567</v>
      </c>
      <c r="O466" s="3">
        <f t="shared" si="75"/>
        <v>3.5714285714285712</v>
      </c>
      <c r="P466">
        <f t="shared" si="76"/>
        <v>1</v>
      </c>
      <c r="Q466">
        <f t="shared" si="77"/>
        <v>0</v>
      </c>
      <c r="S466">
        <f t="shared" si="78"/>
        <v>-19.068322981366457</v>
      </c>
      <c r="T466">
        <f t="shared" si="79"/>
        <v>-3</v>
      </c>
      <c r="U466">
        <f t="shared" si="80"/>
        <v>-14.782608695652174</v>
      </c>
      <c r="V466">
        <f t="shared" si="81"/>
        <v>-6</v>
      </c>
      <c r="W466">
        <f t="shared" si="82"/>
        <v>0</v>
      </c>
      <c r="X466">
        <f t="shared" si="83"/>
        <v>4.0000000000000009</v>
      </c>
      <c r="Y466">
        <f t="shared" si="84"/>
        <v>0.7142857142857143</v>
      </c>
    </row>
    <row r="467" spans="1:25" x14ac:dyDescent="0.2">
      <c r="A467" t="s">
        <v>25</v>
      </c>
      <c r="B467" t="s">
        <v>436</v>
      </c>
      <c r="C467">
        <v>310</v>
      </c>
      <c r="D467">
        <v>50</v>
      </c>
      <c r="E467">
        <v>6</v>
      </c>
      <c r="F467">
        <v>3.5</v>
      </c>
      <c r="G467">
        <v>0</v>
      </c>
      <c r="H467">
        <v>10</v>
      </c>
      <c r="I467">
        <v>190</v>
      </c>
      <c r="J467">
        <v>55</v>
      </c>
      <c r="K467">
        <v>0</v>
      </c>
      <c r="L467">
        <v>47</v>
      </c>
      <c r="M467">
        <v>11</v>
      </c>
      <c r="N467">
        <v>349.5</v>
      </c>
      <c r="O467" s="3">
        <f t="shared" si="75"/>
        <v>3.5483870967741935</v>
      </c>
      <c r="P467">
        <f t="shared" si="76"/>
        <v>0</v>
      </c>
      <c r="Q467">
        <f t="shared" si="77"/>
        <v>0</v>
      </c>
      <c r="S467">
        <f t="shared" si="78"/>
        <v>-19.540217391304349</v>
      </c>
      <c r="T467">
        <f t="shared" si="79"/>
        <v>-0.875</v>
      </c>
      <c r="U467">
        <f t="shared" si="80"/>
        <v>-2.0652173913043477</v>
      </c>
      <c r="V467">
        <f t="shared" si="81"/>
        <v>-18.8</v>
      </c>
      <c r="W467">
        <f t="shared" si="82"/>
        <v>0</v>
      </c>
      <c r="X467">
        <f t="shared" si="83"/>
        <v>2.2000000000000002</v>
      </c>
      <c r="Y467">
        <f t="shared" si="84"/>
        <v>0</v>
      </c>
    </row>
    <row r="468" spans="1:25" x14ac:dyDescent="0.2">
      <c r="A468" t="s">
        <v>25</v>
      </c>
      <c r="B468" t="s">
        <v>438</v>
      </c>
      <c r="C468">
        <v>510</v>
      </c>
      <c r="D468">
        <v>290</v>
      </c>
      <c r="E468">
        <v>33</v>
      </c>
      <c r="F468">
        <v>14</v>
      </c>
      <c r="G468">
        <v>0</v>
      </c>
      <c r="H468">
        <v>250</v>
      </c>
      <c r="I468">
        <v>1170</v>
      </c>
      <c r="J468">
        <v>36</v>
      </c>
      <c r="K468">
        <v>2</v>
      </c>
      <c r="L468">
        <v>2</v>
      </c>
      <c r="M468">
        <v>18</v>
      </c>
      <c r="N468">
        <v>508</v>
      </c>
      <c r="O468" s="3">
        <f t="shared" si="75"/>
        <v>3.5294117647058822</v>
      </c>
      <c r="P468">
        <f t="shared" si="76"/>
        <v>1</v>
      </c>
      <c r="Q468">
        <f t="shared" si="77"/>
        <v>0</v>
      </c>
      <c r="S468">
        <f t="shared" si="78"/>
        <v>-12.703105590062112</v>
      </c>
      <c r="T468">
        <f t="shared" si="79"/>
        <v>-3.5</v>
      </c>
      <c r="U468">
        <f t="shared" si="80"/>
        <v>-12.717391304347824</v>
      </c>
      <c r="V468">
        <f t="shared" si="81"/>
        <v>-0.8</v>
      </c>
      <c r="W468">
        <f t="shared" si="82"/>
        <v>0</v>
      </c>
      <c r="X468">
        <f t="shared" si="83"/>
        <v>3.5999999999999996</v>
      </c>
      <c r="Y468">
        <f t="shared" si="84"/>
        <v>0.7142857142857143</v>
      </c>
    </row>
    <row r="469" spans="1:25" x14ac:dyDescent="0.2">
      <c r="A469" t="s">
        <v>25</v>
      </c>
      <c r="B469" t="s">
        <v>441</v>
      </c>
      <c r="C469">
        <v>800</v>
      </c>
      <c r="D469">
        <v>470</v>
      </c>
      <c r="E469">
        <v>52</v>
      </c>
      <c r="F469">
        <v>18</v>
      </c>
      <c r="G469">
        <v>0</v>
      </c>
      <c r="H469">
        <v>555</v>
      </c>
      <c r="I469">
        <v>1680</v>
      </c>
      <c r="J469">
        <v>56</v>
      </c>
      <c r="K469">
        <v>4</v>
      </c>
      <c r="L469">
        <v>3</v>
      </c>
      <c r="M469">
        <v>28</v>
      </c>
      <c r="N469">
        <v>793</v>
      </c>
      <c r="O469" s="3">
        <f t="shared" si="75"/>
        <v>3.5000000000000004</v>
      </c>
      <c r="P469">
        <f t="shared" si="76"/>
        <v>1</v>
      </c>
      <c r="Q469">
        <f t="shared" si="77"/>
        <v>1</v>
      </c>
      <c r="S469">
        <f t="shared" si="78"/>
        <v>-16.932298136645962</v>
      </c>
      <c r="T469">
        <f t="shared" si="79"/>
        <v>-4.5</v>
      </c>
      <c r="U469">
        <f t="shared" si="80"/>
        <v>-18.260869565217391</v>
      </c>
      <c r="V469">
        <f t="shared" si="81"/>
        <v>-1.2</v>
      </c>
      <c r="W469">
        <f t="shared" si="82"/>
        <v>0</v>
      </c>
      <c r="X469">
        <f t="shared" si="83"/>
        <v>5.6000000000000005</v>
      </c>
      <c r="Y469">
        <f t="shared" si="84"/>
        <v>1.4285714285714286</v>
      </c>
    </row>
    <row r="470" spans="1:25" x14ac:dyDescent="0.2">
      <c r="A470" t="s">
        <v>25</v>
      </c>
      <c r="B470" t="s">
        <v>448</v>
      </c>
      <c r="C470">
        <v>60</v>
      </c>
      <c r="D470">
        <v>15</v>
      </c>
      <c r="E470">
        <v>1.5</v>
      </c>
      <c r="F470">
        <v>0</v>
      </c>
      <c r="G470">
        <v>0</v>
      </c>
      <c r="H470">
        <v>0</v>
      </c>
      <c r="I470">
        <v>140</v>
      </c>
      <c r="J470">
        <v>10</v>
      </c>
      <c r="K470">
        <v>1</v>
      </c>
      <c r="L470">
        <v>0</v>
      </c>
      <c r="M470">
        <v>2</v>
      </c>
      <c r="N470">
        <v>58</v>
      </c>
      <c r="O470" s="3">
        <f t="shared" si="75"/>
        <v>3.3333333333333335</v>
      </c>
      <c r="P470">
        <f t="shared" si="76"/>
        <v>0</v>
      </c>
      <c r="Q470">
        <f t="shared" si="77"/>
        <v>0</v>
      </c>
      <c r="S470">
        <f t="shared" si="78"/>
        <v>-0.76459627329192559</v>
      </c>
      <c r="T470">
        <f t="shared" si="79"/>
        <v>0</v>
      </c>
      <c r="U470">
        <f t="shared" si="80"/>
        <v>-1.5217391304347827</v>
      </c>
      <c r="V470">
        <f t="shared" si="81"/>
        <v>0</v>
      </c>
      <c r="W470">
        <f t="shared" si="82"/>
        <v>0</v>
      </c>
      <c r="X470">
        <f t="shared" si="83"/>
        <v>0.4</v>
      </c>
      <c r="Y470">
        <f t="shared" si="84"/>
        <v>0.35714285714285715</v>
      </c>
    </row>
    <row r="471" spans="1:25" x14ac:dyDescent="0.2">
      <c r="A471" t="s">
        <v>25</v>
      </c>
      <c r="B471" t="s">
        <v>449</v>
      </c>
      <c r="C471">
        <v>150</v>
      </c>
      <c r="D471">
        <v>0</v>
      </c>
      <c r="E471">
        <v>0</v>
      </c>
      <c r="F471">
        <v>0</v>
      </c>
      <c r="G471">
        <v>0</v>
      </c>
      <c r="H471">
        <v>5</v>
      </c>
      <c r="I471">
        <v>120</v>
      </c>
      <c r="J471">
        <v>33</v>
      </c>
      <c r="K471">
        <v>0</v>
      </c>
      <c r="L471">
        <v>32</v>
      </c>
      <c r="M471">
        <v>5</v>
      </c>
      <c r="N471">
        <v>177</v>
      </c>
      <c r="O471" s="3">
        <f t="shared" si="75"/>
        <v>3.3333333333333335</v>
      </c>
      <c r="P471">
        <f t="shared" si="76"/>
        <v>0</v>
      </c>
      <c r="Q471">
        <f t="shared" si="77"/>
        <v>0</v>
      </c>
      <c r="S471">
        <f t="shared" si="78"/>
        <v>-13.104347826086958</v>
      </c>
      <c r="T471">
        <f t="shared" si="79"/>
        <v>0</v>
      </c>
      <c r="U471">
        <f t="shared" si="80"/>
        <v>-1.3043478260869565</v>
      </c>
      <c r="V471">
        <f t="shared" si="81"/>
        <v>-12.8</v>
      </c>
      <c r="W471">
        <f t="shared" si="82"/>
        <v>0</v>
      </c>
      <c r="X471">
        <f t="shared" si="83"/>
        <v>1.0000000000000002</v>
      </c>
      <c r="Y471">
        <f t="shared" si="84"/>
        <v>0</v>
      </c>
    </row>
    <row r="472" spans="1:25" x14ac:dyDescent="0.2">
      <c r="A472" t="s">
        <v>25</v>
      </c>
      <c r="B472" t="s">
        <v>450</v>
      </c>
      <c r="C472">
        <v>150</v>
      </c>
      <c r="D472">
        <v>0</v>
      </c>
      <c r="E472">
        <v>0</v>
      </c>
      <c r="F472">
        <v>0</v>
      </c>
      <c r="G472">
        <v>0</v>
      </c>
      <c r="H472">
        <v>5</v>
      </c>
      <c r="I472">
        <v>70</v>
      </c>
      <c r="J472">
        <v>34</v>
      </c>
      <c r="K472">
        <v>0</v>
      </c>
      <c r="L472">
        <v>34</v>
      </c>
      <c r="M472">
        <v>5</v>
      </c>
      <c r="N472">
        <v>179</v>
      </c>
      <c r="O472" s="3">
        <f t="shared" si="75"/>
        <v>3.3333333333333335</v>
      </c>
      <c r="P472">
        <f t="shared" si="76"/>
        <v>0</v>
      </c>
      <c r="Q472">
        <f t="shared" si="77"/>
        <v>0</v>
      </c>
      <c r="S472">
        <f t="shared" si="78"/>
        <v>-13.360869565217392</v>
      </c>
      <c r="T472">
        <f t="shared" si="79"/>
        <v>0</v>
      </c>
      <c r="U472">
        <f t="shared" si="80"/>
        <v>-0.76086956521739135</v>
      </c>
      <c r="V472">
        <f t="shared" si="81"/>
        <v>-13.600000000000001</v>
      </c>
      <c r="W472">
        <f t="shared" si="82"/>
        <v>0</v>
      </c>
      <c r="X472">
        <f t="shared" si="83"/>
        <v>1.0000000000000002</v>
      </c>
      <c r="Y472">
        <f t="shared" si="84"/>
        <v>0</v>
      </c>
    </row>
    <row r="473" spans="1:25" x14ac:dyDescent="0.2">
      <c r="A473" t="s">
        <v>25</v>
      </c>
      <c r="B473" t="s">
        <v>451</v>
      </c>
      <c r="C473">
        <v>150</v>
      </c>
      <c r="D473">
        <v>0</v>
      </c>
      <c r="E473">
        <v>0</v>
      </c>
      <c r="F473">
        <v>0</v>
      </c>
      <c r="G473">
        <v>0</v>
      </c>
      <c r="H473">
        <v>5</v>
      </c>
      <c r="I473">
        <v>70</v>
      </c>
      <c r="J473">
        <v>34</v>
      </c>
      <c r="K473">
        <v>0</v>
      </c>
      <c r="L473">
        <v>34</v>
      </c>
      <c r="M473">
        <v>5</v>
      </c>
      <c r="N473">
        <v>179</v>
      </c>
      <c r="O473" s="3">
        <f t="shared" si="75"/>
        <v>3.3333333333333335</v>
      </c>
      <c r="P473">
        <f t="shared" si="76"/>
        <v>0</v>
      </c>
      <c r="Q473">
        <f t="shared" si="77"/>
        <v>0</v>
      </c>
      <c r="S473">
        <f t="shared" si="78"/>
        <v>-13.360869565217392</v>
      </c>
      <c r="T473">
        <f t="shared" si="79"/>
        <v>0</v>
      </c>
      <c r="U473">
        <f t="shared" si="80"/>
        <v>-0.76086956521739135</v>
      </c>
      <c r="V473">
        <f t="shared" si="81"/>
        <v>-13.600000000000001</v>
      </c>
      <c r="W473">
        <f t="shared" si="82"/>
        <v>0</v>
      </c>
      <c r="X473">
        <f t="shared" si="83"/>
        <v>1.0000000000000002</v>
      </c>
      <c r="Y473">
        <f t="shared" si="84"/>
        <v>0</v>
      </c>
    </row>
    <row r="474" spans="1:25" x14ac:dyDescent="0.2">
      <c r="A474" t="s">
        <v>25</v>
      </c>
      <c r="B474" t="s">
        <v>452</v>
      </c>
      <c r="C474">
        <v>150</v>
      </c>
      <c r="D474">
        <v>0</v>
      </c>
      <c r="E474">
        <v>0</v>
      </c>
      <c r="F474">
        <v>0</v>
      </c>
      <c r="G474">
        <v>0</v>
      </c>
      <c r="H474">
        <v>5</v>
      </c>
      <c r="I474">
        <v>120</v>
      </c>
      <c r="J474">
        <v>32</v>
      </c>
      <c r="K474">
        <v>0</v>
      </c>
      <c r="L474">
        <v>32</v>
      </c>
      <c r="M474">
        <v>5</v>
      </c>
      <c r="N474">
        <v>177</v>
      </c>
      <c r="O474" s="3">
        <f t="shared" si="75"/>
        <v>3.3333333333333335</v>
      </c>
      <c r="P474">
        <f t="shared" si="76"/>
        <v>0</v>
      </c>
      <c r="Q474">
        <f t="shared" si="77"/>
        <v>0</v>
      </c>
      <c r="S474">
        <f t="shared" si="78"/>
        <v>-13.104347826086958</v>
      </c>
      <c r="T474">
        <f t="shared" si="79"/>
        <v>0</v>
      </c>
      <c r="U474">
        <f t="shared" si="80"/>
        <v>-1.3043478260869565</v>
      </c>
      <c r="V474">
        <f t="shared" si="81"/>
        <v>-12.8</v>
      </c>
      <c r="W474">
        <f t="shared" si="82"/>
        <v>0</v>
      </c>
      <c r="X474">
        <f t="shared" si="83"/>
        <v>1.0000000000000002</v>
      </c>
      <c r="Y474">
        <f t="shared" si="84"/>
        <v>0</v>
      </c>
    </row>
    <row r="475" spans="1:25" x14ac:dyDescent="0.2">
      <c r="A475" t="s">
        <v>25</v>
      </c>
      <c r="B475" t="s">
        <v>453</v>
      </c>
      <c r="C475">
        <v>150</v>
      </c>
      <c r="D475">
        <v>0</v>
      </c>
      <c r="E475">
        <v>0</v>
      </c>
      <c r="F475">
        <v>0</v>
      </c>
      <c r="G475">
        <v>0</v>
      </c>
      <c r="H475">
        <v>5</v>
      </c>
      <c r="I475">
        <v>70</v>
      </c>
      <c r="J475">
        <v>33</v>
      </c>
      <c r="K475">
        <v>0</v>
      </c>
      <c r="L475">
        <v>33</v>
      </c>
      <c r="M475">
        <v>5</v>
      </c>
      <c r="N475">
        <v>178</v>
      </c>
      <c r="O475" s="3">
        <f t="shared" si="75"/>
        <v>3.3333333333333335</v>
      </c>
      <c r="P475">
        <f t="shared" si="76"/>
        <v>0</v>
      </c>
      <c r="Q475">
        <f t="shared" si="77"/>
        <v>0</v>
      </c>
      <c r="S475">
        <f t="shared" si="78"/>
        <v>-12.960869565217392</v>
      </c>
      <c r="T475">
        <f t="shared" si="79"/>
        <v>0</v>
      </c>
      <c r="U475">
        <f t="shared" si="80"/>
        <v>-0.76086956521739135</v>
      </c>
      <c r="V475">
        <f t="shared" si="81"/>
        <v>-13.200000000000001</v>
      </c>
      <c r="W475">
        <f t="shared" si="82"/>
        <v>0</v>
      </c>
      <c r="X475">
        <f t="shared" si="83"/>
        <v>1.0000000000000002</v>
      </c>
      <c r="Y475">
        <f t="shared" si="84"/>
        <v>0</v>
      </c>
    </row>
    <row r="476" spans="1:25" x14ac:dyDescent="0.2">
      <c r="A476" t="s">
        <v>25</v>
      </c>
      <c r="B476" t="s">
        <v>454</v>
      </c>
      <c r="C476">
        <v>150</v>
      </c>
      <c r="D476">
        <v>0</v>
      </c>
      <c r="E476">
        <v>0</v>
      </c>
      <c r="F476">
        <v>0</v>
      </c>
      <c r="G476">
        <v>0</v>
      </c>
      <c r="H476">
        <v>5</v>
      </c>
      <c r="I476">
        <v>70</v>
      </c>
      <c r="J476">
        <v>33</v>
      </c>
      <c r="K476">
        <v>0</v>
      </c>
      <c r="L476">
        <v>33</v>
      </c>
      <c r="M476">
        <v>5</v>
      </c>
      <c r="N476">
        <v>178</v>
      </c>
      <c r="O476" s="3">
        <f t="shared" si="75"/>
        <v>3.3333333333333335</v>
      </c>
      <c r="P476">
        <f t="shared" si="76"/>
        <v>0</v>
      </c>
      <c r="Q476">
        <f t="shared" si="77"/>
        <v>0</v>
      </c>
      <c r="S476">
        <f t="shared" si="78"/>
        <v>-12.960869565217392</v>
      </c>
      <c r="T476">
        <f t="shared" si="79"/>
        <v>0</v>
      </c>
      <c r="U476">
        <f t="shared" si="80"/>
        <v>-0.76086956521739135</v>
      </c>
      <c r="V476">
        <f t="shared" si="81"/>
        <v>-13.200000000000001</v>
      </c>
      <c r="W476">
        <f t="shared" si="82"/>
        <v>0</v>
      </c>
      <c r="X476">
        <f t="shared" si="83"/>
        <v>1.0000000000000002</v>
      </c>
      <c r="Y476">
        <f t="shared" si="84"/>
        <v>0</v>
      </c>
    </row>
    <row r="477" spans="1:25" x14ac:dyDescent="0.2">
      <c r="A477" t="s">
        <v>25</v>
      </c>
      <c r="B477" t="s">
        <v>458</v>
      </c>
      <c r="C477">
        <v>1090</v>
      </c>
      <c r="D477">
        <v>510</v>
      </c>
      <c r="E477">
        <v>56</v>
      </c>
      <c r="F477">
        <v>19</v>
      </c>
      <c r="G477">
        <v>0</v>
      </c>
      <c r="H477">
        <v>575</v>
      </c>
      <c r="I477">
        <v>2150</v>
      </c>
      <c r="J477">
        <v>111</v>
      </c>
      <c r="K477">
        <v>6</v>
      </c>
      <c r="L477">
        <v>17</v>
      </c>
      <c r="M477">
        <v>36</v>
      </c>
      <c r="N477">
        <v>1090</v>
      </c>
      <c r="O477" s="3">
        <f t="shared" si="75"/>
        <v>3.3027522935779818</v>
      </c>
      <c r="P477">
        <f t="shared" si="76"/>
        <v>1</v>
      </c>
      <c r="Q477">
        <f t="shared" si="77"/>
        <v>1</v>
      </c>
      <c r="S477">
        <f t="shared" si="78"/>
        <v>-25.576708074534167</v>
      </c>
      <c r="T477">
        <f t="shared" si="79"/>
        <v>-4.75</v>
      </c>
      <c r="U477">
        <f t="shared" si="80"/>
        <v>-23.369565217391305</v>
      </c>
      <c r="V477">
        <f t="shared" si="81"/>
        <v>-6.8000000000000007</v>
      </c>
      <c r="W477">
        <f t="shared" si="82"/>
        <v>0</v>
      </c>
      <c r="X477">
        <f t="shared" si="83"/>
        <v>7.1999999999999993</v>
      </c>
      <c r="Y477">
        <f t="shared" si="84"/>
        <v>2.1428571428571428</v>
      </c>
    </row>
    <row r="478" spans="1:25" x14ac:dyDescent="0.2">
      <c r="A478" t="s">
        <v>25</v>
      </c>
      <c r="B478" t="s">
        <v>464</v>
      </c>
      <c r="C478">
        <v>250</v>
      </c>
      <c r="D478">
        <v>45</v>
      </c>
      <c r="E478">
        <v>5</v>
      </c>
      <c r="F478">
        <v>3</v>
      </c>
      <c r="G478">
        <v>0</v>
      </c>
      <c r="H478">
        <v>10</v>
      </c>
      <c r="I478">
        <v>140</v>
      </c>
      <c r="J478">
        <v>43</v>
      </c>
      <c r="K478">
        <v>0</v>
      </c>
      <c r="L478">
        <v>37</v>
      </c>
      <c r="M478">
        <v>8</v>
      </c>
      <c r="N478">
        <v>282</v>
      </c>
      <c r="O478" s="3">
        <f t="shared" si="75"/>
        <v>3.2</v>
      </c>
      <c r="P478">
        <f t="shared" si="76"/>
        <v>0</v>
      </c>
      <c r="Q478">
        <f t="shared" si="77"/>
        <v>0</v>
      </c>
      <c r="S478">
        <f t="shared" si="78"/>
        <v>-15.471739130434782</v>
      </c>
      <c r="T478">
        <f t="shared" si="79"/>
        <v>-0.75</v>
      </c>
      <c r="U478">
        <f t="shared" si="80"/>
        <v>-1.5217391304347827</v>
      </c>
      <c r="V478">
        <f t="shared" si="81"/>
        <v>-14.799999999999999</v>
      </c>
      <c r="W478">
        <f t="shared" si="82"/>
        <v>0</v>
      </c>
      <c r="X478">
        <f t="shared" si="83"/>
        <v>1.6</v>
      </c>
      <c r="Y478">
        <f t="shared" si="84"/>
        <v>0</v>
      </c>
    </row>
    <row r="479" spans="1:25" x14ac:dyDescent="0.2">
      <c r="A479" t="s">
        <v>25</v>
      </c>
      <c r="B479" t="s">
        <v>466</v>
      </c>
      <c r="C479">
        <v>570</v>
      </c>
      <c r="D479">
        <v>330</v>
      </c>
      <c r="E479">
        <v>37</v>
      </c>
      <c r="F479">
        <v>15</v>
      </c>
      <c r="G479">
        <v>0</v>
      </c>
      <c r="H479">
        <v>250</v>
      </c>
      <c r="I479">
        <v>1280</v>
      </c>
      <c r="J479">
        <v>42</v>
      </c>
      <c r="K479">
        <v>3</v>
      </c>
      <c r="L479">
        <v>3</v>
      </c>
      <c r="M479">
        <v>18</v>
      </c>
      <c r="N479">
        <v>570</v>
      </c>
      <c r="O479" s="3">
        <f t="shared" si="75"/>
        <v>3.1578947368421053</v>
      </c>
      <c r="P479">
        <f t="shared" si="76"/>
        <v>1</v>
      </c>
      <c r="Q479">
        <f t="shared" si="77"/>
        <v>0</v>
      </c>
      <c r="S479">
        <f t="shared" si="78"/>
        <v>-14.191614906832296</v>
      </c>
      <c r="T479">
        <f t="shared" si="79"/>
        <v>-3.75</v>
      </c>
      <c r="U479">
        <f t="shared" si="80"/>
        <v>-13.913043478260869</v>
      </c>
      <c r="V479">
        <f t="shared" si="81"/>
        <v>-1.2</v>
      </c>
      <c r="W479">
        <f t="shared" si="82"/>
        <v>0</v>
      </c>
      <c r="X479">
        <f t="shared" si="83"/>
        <v>3.5999999999999996</v>
      </c>
      <c r="Y479">
        <f t="shared" si="84"/>
        <v>1.0714285714285714</v>
      </c>
    </row>
    <row r="480" spans="1:25" x14ac:dyDescent="0.2">
      <c r="A480" t="s">
        <v>25</v>
      </c>
      <c r="B480" t="s">
        <v>467</v>
      </c>
      <c r="C480">
        <v>190</v>
      </c>
      <c r="D480">
        <v>0</v>
      </c>
      <c r="E480">
        <v>0</v>
      </c>
      <c r="F480">
        <v>0</v>
      </c>
      <c r="G480">
        <v>0</v>
      </c>
      <c r="H480">
        <v>5</v>
      </c>
      <c r="I480">
        <v>150</v>
      </c>
      <c r="J480">
        <v>41</v>
      </c>
      <c r="K480">
        <v>0</v>
      </c>
      <c r="L480">
        <v>41</v>
      </c>
      <c r="M480">
        <v>6</v>
      </c>
      <c r="N480">
        <v>225</v>
      </c>
      <c r="O480" s="3">
        <f t="shared" si="75"/>
        <v>3.1578947368421053</v>
      </c>
      <c r="P480">
        <f t="shared" si="76"/>
        <v>0</v>
      </c>
      <c r="Q480">
        <f t="shared" si="77"/>
        <v>0</v>
      </c>
      <c r="S480">
        <f t="shared" si="78"/>
        <v>-16.830434782608698</v>
      </c>
      <c r="T480">
        <f t="shared" si="79"/>
        <v>0</v>
      </c>
      <c r="U480">
        <f t="shared" si="80"/>
        <v>-1.6304347826086956</v>
      </c>
      <c r="V480">
        <f t="shared" si="81"/>
        <v>-16.400000000000002</v>
      </c>
      <c r="W480">
        <f t="shared" si="82"/>
        <v>0</v>
      </c>
      <c r="X480">
        <f t="shared" si="83"/>
        <v>1.2</v>
      </c>
      <c r="Y480">
        <f t="shared" si="84"/>
        <v>0</v>
      </c>
    </row>
    <row r="481" spans="1:25" x14ac:dyDescent="0.2">
      <c r="A481" t="s">
        <v>25</v>
      </c>
      <c r="B481" t="s">
        <v>468</v>
      </c>
      <c r="C481">
        <v>190</v>
      </c>
      <c r="D481">
        <v>0</v>
      </c>
      <c r="E481">
        <v>0</v>
      </c>
      <c r="F481">
        <v>0</v>
      </c>
      <c r="G481">
        <v>0</v>
      </c>
      <c r="H481">
        <v>5</v>
      </c>
      <c r="I481">
        <v>90</v>
      </c>
      <c r="J481">
        <v>43</v>
      </c>
      <c r="K481">
        <v>0</v>
      </c>
      <c r="L481">
        <v>43</v>
      </c>
      <c r="M481">
        <v>6</v>
      </c>
      <c r="N481">
        <v>227</v>
      </c>
      <c r="O481" s="3">
        <f t="shared" si="75"/>
        <v>3.1578947368421053</v>
      </c>
      <c r="P481">
        <f t="shared" si="76"/>
        <v>0</v>
      </c>
      <c r="Q481">
        <f t="shared" si="77"/>
        <v>0</v>
      </c>
      <c r="S481">
        <f t="shared" si="78"/>
        <v>-16.978260869565222</v>
      </c>
      <c r="T481">
        <f t="shared" si="79"/>
        <v>0</v>
      </c>
      <c r="U481">
        <f t="shared" si="80"/>
        <v>-0.97826086956521752</v>
      </c>
      <c r="V481">
        <f t="shared" si="81"/>
        <v>-17.200000000000003</v>
      </c>
      <c r="W481">
        <f t="shared" si="82"/>
        <v>0</v>
      </c>
      <c r="X481">
        <f t="shared" si="83"/>
        <v>1.2</v>
      </c>
      <c r="Y481">
        <f t="shared" si="84"/>
        <v>0</v>
      </c>
    </row>
    <row r="482" spans="1:25" x14ac:dyDescent="0.2">
      <c r="A482" t="s">
        <v>25</v>
      </c>
      <c r="B482" t="s">
        <v>469</v>
      </c>
      <c r="C482">
        <v>190</v>
      </c>
      <c r="D482">
        <v>0</v>
      </c>
      <c r="E482">
        <v>0</v>
      </c>
      <c r="F482">
        <v>0</v>
      </c>
      <c r="G482">
        <v>0</v>
      </c>
      <c r="H482">
        <v>5</v>
      </c>
      <c r="I482">
        <v>90</v>
      </c>
      <c r="J482">
        <v>42</v>
      </c>
      <c r="K482">
        <v>0</v>
      </c>
      <c r="L482">
        <v>42</v>
      </c>
      <c r="M482">
        <v>6</v>
      </c>
      <c r="N482">
        <v>226</v>
      </c>
      <c r="O482" s="3">
        <f t="shared" si="75"/>
        <v>3.1578947368421053</v>
      </c>
      <c r="P482">
        <f t="shared" si="76"/>
        <v>0</v>
      </c>
      <c r="Q482">
        <f t="shared" si="77"/>
        <v>0</v>
      </c>
      <c r="S482">
        <f t="shared" si="78"/>
        <v>-16.57826086956522</v>
      </c>
      <c r="T482">
        <f t="shared" si="79"/>
        <v>0</v>
      </c>
      <c r="U482">
        <f t="shared" si="80"/>
        <v>-0.97826086956521752</v>
      </c>
      <c r="V482">
        <f t="shared" si="81"/>
        <v>-16.8</v>
      </c>
      <c r="W482">
        <f t="shared" si="82"/>
        <v>0</v>
      </c>
      <c r="X482">
        <f t="shared" si="83"/>
        <v>1.2</v>
      </c>
      <c r="Y482">
        <f t="shared" si="84"/>
        <v>0</v>
      </c>
    </row>
    <row r="483" spans="1:25" x14ac:dyDescent="0.2">
      <c r="A483" t="s">
        <v>25</v>
      </c>
      <c r="B483" t="s">
        <v>470</v>
      </c>
      <c r="C483">
        <v>190</v>
      </c>
      <c r="D483">
        <v>0</v>
      </c>
      <c r="E483">
        <v>0</v>
      </c>
      <c r="F483">
        <v>0</v>
      </c>
      <c r="G483">
        <v>0</v>
      </c>
      <c r="H483">
        <v>5</v>
      </c>
      <c r="I483">
        <v>150</v>
      </c>
      <c r="J483">
        <v>40</v>
      </c>
      <c r="K483">
        <v>0</v>
      </c>
      <c r="L483">
        <v>40</v>
      </c>
      <c r="M483">
        <v>6</v>
      </c>
      <c r="N483">
        <v>224</v>
      </c>
      <c r="O483" s="3">
        <f t="shared" si="75"/>
        <v>3.1578947368421053</v>
      </c>
      <c r="P483">
        <f t="shared" si="76"/>
        <v>0</v>
      </c>
      <c r="Q483">
        <f t="shared" si="77"/>
        <v>0</v>
      </c>
      <c r="S483">
        <f t="shared" si="78"/>
        <v>-16.4304347826087</v>
      </c>
      <c r="T483">
        <f t="shared" si="79"/>
        <v>0</v>
      </c>
      <c r="U483">
        <f t="shared" si="80"/>
        <v>-1.6304347826086956</v>
      </c>
      <c r="V483">
        <f t="shared" si="81"/>
        <v>-16.000000000000004</v>
      </c>
      <c r="W483">
        <f t="shared" si="82"/>
        <v>0</v>
      </c>
      <c r="X483">
        <f t="shared" si="83"/>
        <v>1.2</v>
      </c>
      <c r="Y483">
        <f t="shared" si="84"/>
        <v>0</v>
      </c>
    </row>
    <row r="484" spans="1:25" x14ac:dyDescent="0.2">
      <c r="A484" t="s">
        <v>25</v>
      </c>
      <c r="B484" t="s">
        <v>471</v>
      </c>
      <c r="C484">
        <v>190</v>
      </c>
      <c r="D484">
        <v>0</v>
      </c>
      <c r="E484">
        <v>0</v>
      </c>
      <c r="F484">
        <v>0</v>
      </c>
      <c r="G484">
        <v>0</v>
      </c>
      <c r="H484">
        <v>5</v>
      </c>
      <c r="I484">
        <v>80</v>
      </c>
      <c r="J484">
        <v>42</v>
      </c>
      <c r="K484">
        <v>0</v>
      </c>
      <c r="L484">
        <v>42</v>
      </c>
      <c r="M484">
        <v>6</v>
      </c>
      <c r="N484">
        <v>226</v>
      </c>
      <c r="O484" s="3">
        <f t="shared" si="75"/>
        <v>3.1578947368421053</v>
      </c>
      <c r="P484">
        <f t="shared" si="76"/>
        <v>0</v>
      </c>
      <c r="Q484">
        <f t="shared" si="77"/>
        <v>0</v>
      </c>
      <c r="S484">
        <f t="shared" si="78"/>
        <v>-16.469565217391306</v>
      </c>
      <c r="T484">
        <f t="shared" si="79"/>
        <v>0</v>
      </c>
      <c r="U484">
        <f t="shared" si="80"/>
        <v>-0.86956521739130432</v>
      </c>
      <c r="V484">
        <f t="shared" si="81"/>
        <v>-16.8</v>
      </c>
      <c r="W484">
        <f t="shared" si="82"/>
        <v>0</v>
      </c>
      <c r="X484">
        <f t="shared" si="83"/>
        <v>1.2</v>
      </c>
      <c r="Y484">
        <f t="shared" si="84"/>
        <v>0</v>
      </c>
    </row>
    <row r="485" spans="1:25" x14ac:dyDescent="0.2">
      <c r="A485" t="s">
        <v>25</v>
      </c>
      <c r="B485" t="s">
        <v>472</v>
      </c>
      <c r="C485">
        <v>190</v>
      </c>
      <c r="D485">
        <v>0</v>
      </c>
      <c r="E485">
        <v>0</v>
      </c>
      <c r="F485">
        <v>0</v>
      </c>
      <c r="G485">
        <v>0</v>
      </c>
      <c r="H485">
        <v>5</v>
      </c>
      <c r="I485">
        <v>85</v>
      </c>
      <c r="J485">
        <v>41</v>
      </c>
      <c r="K485">
        <v>0</v>
      </c>
      <c r="L485">
        <v>41</v>
      </c>
      <c r="M485">
        <v>6</v>
      </c>
      <c r="N485">
        <v>225</v>
      </c>
      <c r="O485" s="3">
        <f t="shared" si="75"/>
        <v>3.1578947368421053</v>
      </c>
      <c r="P485">
        <f t="shared" si="76"/>
        <v>0</v>
      </c>
      <c r="Q485">
        <f t="shared" si="77"/>
        <v>0</v>
      </c>
      <c r="S485">
        <f t="shared" si="78"/>
        <v>-16.123913043478264</v>
      </c>
      <c r="T485">
        <f t="shared" si="79"/>
        <v>0</v>
      </c>
      <c r="U485">
        <f t="shared" si="80"/>
        <v>-0.92391304347826086</v>
      </c>
      <c r="V485">
        <f t="shared" si="81"/>
        <v>-16.400000000000002</v>
      </c>
      <c r="W485">
        <f t="shared" si="82"/>
        <v>0</v>
      </c>
      <c r="X485">
        <f t="shared" si="83"/>
        <v>1.2</v>
      </c>
      <c r="Y485">
        <f t="shared" si="84"/>
        <v>0</v>
      </c>
    </row>
    <row r="486" spans="1:25" x14ac:dyDescent="0.2">
      <c r="A486" t="s">
        <v>25</v>
      </c>
      <c r="B486" t="s">
        <v>476</v>
      </c>
      <c r="C486">
        <v>1150</v>
      </c>
      <c r="D486">
        <v>540</v>
      </c>
      <c r="E486">
        <v>60</v>
      </c>
      <c r="F486">
        <v>20</v>
      </c>
      <c r="G486">
        <v>0</v>
      </c>
      <c r="H486">
        <v>575</v>
      </c>
      <c r="I486">
        <v>2260</v>
      </c>
      <c r="J486">
        <v>116</v>
      </c>
      <c r="K486">
        <v>7</v>
      </c>
      <c r="L486">
        <v>17</v>
      </c>
      <c r="M486">
        <v>36</v>
      </c>
      <c r="N486">
        <v>1151</v>
      </c>
      <c r="O486" s="3">
        <f t="shared" si="75"/>
        <v>3.1304347826086958</v>
      </c>
      <c r="P486">
        <f t="shared" si="76"/>
        <v>1</v>
      </c>
      <c r="Q486">
        <f t="shared" si="77"/>
        <v>1</v>
      </c>
      <c r="S486">
        <f t="shared" si="78"/>
        <v>-26.665217391304349</v>
      </c>
      <c r="T486">
        <f t="shared" si="79"/>
        <v>-5</v>
      </c>
      <c r="U486">
        <f t="shared" si="80"/>
        <v>-24.565217391304348</v>
      </c>
      <c r="V486">
        <f t="shared" si="81"/>
        <v>-6.8000000000000007</v>
      </c>
      <c r="W486">
        <f t="shared" si="82"/>
        <v>0</v>
      </c>
      <c r="X486">
        <f t="shared" si="83"/>
        <v>7.1999999999999993</v>
      </c>
      <c r="Y486">
        <f t="shared" si="84"/>
        <v>2.5</v>
      </c>
    </row>
    <row r="487" spans="1:25" x14ac:dyDescent="0.2">
      <c r="A487" t="s">
        <v>25</v>
      </c>
      <c r="B487" t="s">
        <v>477</v>
      </c>
      <c r="C487">
        <v>160</v>
      </c>
      <c r="D487">
        <v>30</v>
      </c>
      <c r="E487">
        <v>3</v>
      </c>
      <c r="F487">
        <v>0.5</v>
      </c>
      <c r="G487">
        <v>0</v>
      </c>
      <c r="H487">
        <v>0</v>
      </c>
      <c r="I487">
        <v>280</v>
      </c>
      <c r="J487">
        <v>27</v>
      </c>
      <c r="K487">
        <v>2</v>
      </c>
      <c r="L487">
        <v>2</v>
      </c>
      <c r="M487">
        <v>5</v>
      </c>
      <c r="N487">
        <v>157.5</v>
      </c>
      <c r="O487" s="3">
        <f t="shared" si="75"/>
        <v>3.125</v>
      </c>
      <c r="P487">
        <f t="shared" si="76"/>
        <v>0</v>
      </c>
      <c r="Q487">
        <f t="shared" si="77"/>
        <v>0</v>
      </c>
      <c r="S487">
        <f t="shared" si="78"/>
        <v>-2.2541925465838508</v>
      </c>
      <c r="T487">
        <f t="shared" si="79"/>
        <v>-0.125</v>
      </c>
      <c r="U487">
        <f t="shared" si="80"/>
        <v>-3.0434782608695654</v>
      </c>
      <c r="V487">
        <f t="shared" si="81"/>
        <v>-0.8</v>
      </c>
      <c r="W487">
        <f t="shared" si="82"/>
        <v>0</v>
      </c>
      <c r="X487">
        <f t="shared" si="83"/>
        <v>1.0000000000000002</v>
      </c>
      <c r="Y487">
        <f t="shared" si="84"/>
        <v>0.7142857142857143</v>
      </c>
    </row>
    <row r="488" spans="1:25" x14ac:dyDescent="0.2">
      <c r="A488" t="s">
        <v>25</v>
      </c>
      <c r="B488" t="s">
        <v>478</v>
      </c>
      <c r="C488">
        <v>480</v>
      </c>
      <c r="D488">
        <v>240</v>
      </c>
      <c r="E488">
        <v>27</v>
      </c>
      <c r="F488">
        <v>12</v>
      </c>
      <c r="G488">
        <v>0</v>
      </c>
      <c r="H488">
        <v>235</v>
      </c>
      <c r="I488">
        <v>1270</v>
      </c>
      <c r="J488">
        <v>43</v>
      </c>
      <c r="K488">
        <v>3</v>
      </c>
      <c r="L488">
        <v>4</v>
      </c>
      <c r="M488">
        <v>15</v>
      </c>
      <c r="N488">
        <v>481</v>
      </c>
      <c r="O488" s="3">
        <f t="shared" si="75"/>
        <v>3.125</v>
      </c>
      <c r="P488">
        <f t="shared" si="76"/>
        <v>1</v>
      </c>
      <c r="Q488">
        <f t="shared" si="77"/>
        <v>0</v>
      </c>
      <c r="S488">
        <f t="shared" si="78"/>
        <v>-14.332919254658387</v>
      </c>
      <c r="T488">
        <f t="shared" si="79"/>
        <v>-3</v>
      </c>
      <c r="U488">
        <f t="shared" si="80"/>
        <v>-13.804347826086957</v>
      </c>
      <c r="V488">
        <f t="shared" si="81"/>
        <v>-1.6</v>
      </c>
      <c r="W488">
        <f t="shared" si="82"/>
        <v>0</v>
      </c>
      <c r="X488">
        <f t="shared" si="83"/>
        <v>3</v>
      </c>
      <c r="Y488">
        <f t="shared" si="84"/>
        <v>1.0714285714285714</v>
      </c>
    </row>
    <row r="489" spans="1:25" x14ac:dyDescent="0.2">
      <c r="A489" t="s">
        <v>25</v>
      </c>
      <c r="B489" t="s">
        <v>480</v>
      </c>
      <c r="C489">
        <v>230</v>
      </c>
      <c r="D489">
        <v>0</v>
      </c>
      <c r="E489">
        <v>0</v>
      </c>
      <c r="F489">
        <v>0</v>
      </c>
      <c r="G489">
        <v>0</v>
      </c>
      <c r="H489">
        <v>5</v>
      </c>
      <c r="I489">
        <v>180</v>
      </c>
      <c r="J489">
        <v>49</v>
      </c>
      <c r="K489">
        <v>0</v>
      </c>
      <c r="L489">
        <v>49</v>
      </c>
      <c r="M489">
        <v>7</v>
      </c>
      <c r="N489">
        <v>272</v>
      </c>
      <c r="O489" s="3">
        <f t="shared" si="75"/>
        <v>3.0434782608695654</v>
      </c>
      <c r="P489">
        <f t="shared" si="76"/>
        <v>0</v>
      </c>
      <c r="Q489">
        <f t="shared" si="77"/>
        <v>0</v>
      </c>
      <c r="S489">
        <f t="shared" si="78"/>
        <v>-20.156521739130437</v>
      </c>
      <c r="T489">
        <f t="shared" si="79"/>
        <v>0</v>
      </c>
      <c r="U489">
        <f t="shared" si="80"/>
        <v>-1.956521739130435</v>
      </c>
      <c r="V489">
        <f t="shared" si="81"/>
        <v>-19.600000000000001</v>
      </c>
      <c r="W489">
        <f t="shared" si="82"/>
        <v>0</v>
      </c>
      <c r="X489">
        <f t="shared" si="83"/>
        <v>1.4000000000000001</v>
      </c>
      <c r="Y489">
        <f t="shared" si="84"/>
        <v>0</v>
      </c>
    </row>
    <row r="490" spans="1:25" x14ac:dyDescent="0.2">
      <c r="A490" t="s">
        <v>25</v>
      </c>
      <c r="B490" t="s">
        <v>481</v>
      </c>
      <c r="C490">
        <v>230</v>
      </c>
      <c r="D490">
        <v>0</v>
      </c>
      <c r="E490">
        <v>0</v>
      </c>
      <c r="F490">
        <v>0</v>
      </c>
      <c r="G490">
        <v>0</v>
      </c>
      <c r="H490">
        <v>5</v>
      </c>
      <c r="I490">
        <v>100</v>
      </c>
      <c r="J490">
        <v>51</v>
      </c>
      <c r="K490">
        <v>0</v>
      </c>
      <c r="L490">
        <v>51</v>
      </c>
      <c r="M490">
        <v>7</v>
      </c>
      <c r="N490">
        <v>274</v>
      </c>
      <c r="O490" s="3">
        <f t="shared" si="75"/>
        <v>3.0434782608695654</v>
      </c>
      <c r="P490">
        <f t="shared" si="76"/>
        <v>0</v>
      </c>
      <c r="Q490">
        <f t="shared" si="77"/>
        <v>0</v>
      </c>
      <c r="S490">
        <f t="shared" si="78"/>
        <v>-20.086956521739133</v>
      </c>
      <c r="T490">
        <f t="shared" si="79"/>
        <v>0</v>
      </c>
      <c r="U490">
        <f t="shared" si="80"/>
        <v>-1.0869565217391304</v>
      </c>
      <c r="V490">
        <f t="shared" si="81"/>
        <v>-20.400000000000002</v>
      </c>
      <c r="W490">
        <f t="shared" si="82"/>
        <v>0</v>
      </c>
      <c r="X490">
        <f t="shared" si="83"/>
        <v>1.4000000000000001</v>
      </c>
      <c r="Y490">
        <f t="shared" si="84"/>
        <v>0</v>
      </c>
    </row>
    <row r="491" spans="1:25" x14ac:dyDescent="0.2">
      <c r="A491" t="s">
        <v>25</v>
      </c>
      <c r="B491" t="s">
        <v>482</v>
      </c>
      <c r="C491">
        <v>230</v>
      </c>
      <c r="D491">
        <v>0</v>
      </c>
      <c r="E491">
        <v>0</v>
      </c>
      <c r="F491">
        <v>0</v>
      </c>
      <c r="G491">
        <v>0</v>
      </c>
      <c r="H491">
        <v>5</v>
      </c>
      <c r="I491">
        <v>100</v>
      </c>
      <c r="J491">
        <v>51</v>
      </c>
      <c r="K491">
        <v>0</v>
      </c>
      <c r="L491">
        <v>51</v>
      </c>
      <c r="M491">
        <v>7</v>
      </c>
      <c r="N491">
        <v>274</v>
      </c>
      <c r="O491" s="3">
        <f t="shared" si="75"/>
        <v>3.0434782608695654</v>
      </c>
      <c r="P491">
        <f t="shared" si="76"/>
        <v>0</v>
      </c>
      <c r="Q491">
        <f t="shared" si="77"/>
        <v>0</v>
      </c>
      <c r="S491">
        <f t="shared" si="78"/>
        <v>-20.086956521739133</v>
      </c>
      <c r="T491">
        <f t="shared" si="79"/>
        <v>0</v>
      </c>
      <c r="U491">
        <f t="shared" si="80"/>
        <v>-1.0869565217391304</v>
      </c>
      <c r="V491">
        <f t="shared" si="81"/>
        <v>-20.400000000000002</v>
      </c>
      <c r="W491">
        <f t="shared" si="82"/>
        <v>0</v>
      </c>
      <c r="X491">
        <f t="shared" si="83"/>
        <v>1.4000000000000001</v>
      </c>
      <c r="Y491">
        <f t="shared" si="84"/>
        <v>0</v>
      </c>
    </row>
    <row r="492" spans="1:25" x14ac:dyDescent="0.2">
      <c r="A492" t="s">
        <v>25</v>
      </c>
      <c r="B492" t="s">
        <v>483</v>
      </c>
      <c r="C492">
        <v>230</v>
      </c>
      <c r="D492">
        <v>60</v>
      </c>
      <c r="E492">
        <v>7</v>
      </c>
      <c r="F492">
        <v>4</v>
      </c>
      <c r="G492">
        <v>0</v>
      </c>
      <c r="H492">
        <v>20</v>
      </c>
      <c r="I492">
        <v>140</v>
      </c>
      <c r="J492">
        <v>35</v>
      </c>
      <c r="K492">
        <v>0</v>
      </c>
      <c r="L492">
        <v>35</v>
      </c>
      <c r="M492">
        <v>7</v>
      </c>
      <c r="N492">
        <v>262</v>
      </c>
      <c r="O492" s="3">
        <f t="shared" si="75"/>
        <v>3.0434782608695654</v>
      </c>
      <c r="P492">
        <f t="shared" si="76"/>
        <v>0</v>
      </c>
      <c r="Q492">
        <f t="shared" si="77"/>
        <v>0</v>
      </c>
      <c r="S492">
        <f t="shared" si="78"/>
        <v>-15.121739130434781</v>
      </c>
      <c r="T492">
        <f t="shared" si="79"/>
        <v>-1</v>
      </c>
      <c r="U492">
        <f t="shared" si="80"/>
        <v>-1.5217391304347827</v>
      </c>
      <c r="V492">
        <f t="shared" si="81"/>
        <v>-13.999999999999998</v>
      </c>
      <c r="W492">
        <f t="shared" si="82"/>
        <v>0</v>
      </c>
      <c r="X492">
        <f t="shared" si="83"/>
        <v>1.4000000000000001</v>
      </c>
      <c r="Y492">
        <f t="shared" si="84"/>
        <v>0</v>
      </c>
    </row>
    <row r="493" spans="1:25" x14ac:dyDescent="0.2">
      <c r="A493" t="s">
        <v>25</v>
      </c>
      <c r="B493" t="s">
        <v>484</v>
      </c>
      <c r="C493">
        <v>230</v>
      </c>
      <c r="D493">
        <v>60</v>
      </c>
      <c r="E493">
        <v>7</v>
      </c>
      <c r="F493">
        <v>4</v>
      </c>
      <c r="G493">
        <v>0</v>
      </c>
      <c r="H493">
        <v>20</v>
      </c>
      <c r="I493">
        <v>90</v>
      </c>
      <c r="J493">
        <v>36</v>
      </c>
      <c r="K493">
        <v>0</v>
      </c>
      <c r="L493">
        <v>36</v>
      </c>
      <c r="M493">
        <v>7</v>
      </c>
      <c r="N493">
        <v>263</v>
      </c>
      <c r="O493" s="3">
        <f t="shared" si="75"/>
        <v>3.0434782608695654</v>
      </c>
      <c r="P493">
        <f t="shared" si="76"/>
        <v>0</v>
      </c>
      <c r="Q493">
        <f t="shared" si="77"/>
        <v>0</v>
      </c>
      <c r="S493">
        <f t="shared" si="78"/>
        <v>-14.978260869565217</v>
      </c>
      <c r="T493">
        <f t="shared" si="79"/>
        <v>-1</v>
      </c>
      <c r="U493">
        <f t="shared" si="80"/>
        <v>-0.97826086956521752</v>
      </c>
      <c r="V493">
        <f t="shared" si="81"/>
        <v>-14.399999999999999</v>
      </c>
      <c r="W493">
        <f t="shared" si="82"/>
        <v>0</v>
      </c>
      <c r="X493">
        <f t="shared" si="83"/>
        <v>1.4000000000000001</v>
      </c>
      <c r="Y493">
        <f t="shared" si="84"/>
        <v>0</v>
      </c>
    </row>
    <row r="494" spans="1:25" x14ac:dyDescent="0.2">
      <c r="A494" t="s">
        <v>25</v>
      </c>
      <c r="B494" t="s">
        <v>485</v>
      </c>
      <c r="C494">
        <v>230</v>
      </c>
      <c r="D494">
        <v>60</v>
      </c>
      <c r="E494">
        <v>7</v>
      </c>
      <c r="F494">
        <v>4</v>
      </c>
      <c r="G494">
        <v>0</v>
      </c>
      <c r="H494">
        <v>20</v>
      </c>
      <c r="I494">
        <v>90</v>
      </c>
      <c r="J494">
        <v>36</v>
      </c>
      <c r="K494">
        <v>0</v>
      </c>
      <c r="L494">
        <v>36</v>
      </c>
      <c r="M494">
        <v>7</v>
      </c>
      <c r="N494">
        <v>263</v>
      </c>
      <c r="O494" s="3">
        <f t="shared" si="75"/>
        <v>3.0434782608695654</v>
      </c>
      <c r="P494">
        <f t="shared" si="76"/>
        <v>0</v>
      </c>
      <c r="Q494">
        <f t="shared" si="77"/>
        <v>0</v>
      </c>
      <c r="S494">
        <f t="shared" si="78"/>
        <v>-14.978260869565217</v>
      </c>
      <c r="T494">
        <f t="shared" si="79"/>
        <v>-1</v>
      </c>
      <c r="U494">
        <f t="shared" si="80"/>
        <v>-0.97826086956521752</v>
      </c>
      <c r="V494">
        <f t="shared" si="81"/>
        <v>-14.399999999999999</v>
      </c>
      <c r="W494">
        <f t="shared" si="82"/>
        <v>0</v>
      </c>
      <c r="X494">
        <f t="shared" si="83"/>
        <v>1.4000000000000001</v>
      </c>
      <c r="Y494">
        <f t="shared" si="84"/>
        <v>0</v>
      </c>
    </row>
    <row r="495" spans="1:25" x14ac:dyDescent="0.2">
      <c r="A495" t="s">
        <v>25</v>
      </c>
      <c r="B495" t="s">
        <v>486</v>
      </c>
      <c r="C495">
        <v>330</v>
      </c>
      <c r="D495">
        <v>50</v>
      </c>
      <c r="E495">
        <v>6</v>
      </c>
      <c r="F495">
        <v>3.5</v>
      </c>
      <c r="G495">
        <v>0</v>
      </c>
      <c r="H495">
        <v>10</v>
      </c>
      <c r="I495">
        <v>190</v>
      </c>
      <c r="J495">
        <v>58</v>
      </c>
      <c r="K495">
        <v>0</v>
      </c>
      <c r="L495">
        <v>50</v>
      </c>
      <c r="M495">
        <v>10</v>
      </c>
      <c r="N495">
        <v>373.5</v>
      </c>
      <c r="O495" s="3">
        <f t="shared" si="75"/>
        <v>3.0303030303030303</v>
      </c>
      <c r="P495">
        <f t="shared" si="76"/>
        <v>0</v>
      </c>
      <c r="Q495">
        <f t="shared" si="77"/>
        <v>0</v>
      </c>
      <c r="S495">
        <f t="shared" si="78"/>
        <v>-20.940217391304348</v>
      </c>
      <c r="T495">
        <f t="shared" si="79"/>
        <v>-0.875</v>
      </c>
      <c r="U495">
        <f t="shared" si="80"/>
        <v>-2.0652173913043477</v>
      </c>
      <c r="V495">
        <f t="shared" si="81"/>
        <v>-20</v>
      </c>
      <c r="W495">
        <f t="shared" si="82"/>
        <v>0</v>
      </c>
      <c r="X495">
        <f t="shared" si="83"/>
        <v>2.0000000000000004</v>
      </c>
      <c r="Y495">
        <f t="shared" si="84"/>
        <v>0</v>
      </c>
    </row>
    <row r="496" spans="1:25" x14ac:dyDescent="0.2">
      <c r="A496" t="s">
        <v>25</v>
      </c>
      <c r="B496" t="s">
        <v>495</v>
      </c>
      <c r="C496">
        <v>200</v>
      </c>
      <c r="D496">
        <v>50</v>
      </c>
      <c r="E496">
        <v>6</v>
      </c>
      <c r="F496">
        <v>4</v>
      </c>
      <c r="G496">
        <v>0</v>
      </c>
      <c r="H496">
        <v>10</v>
      </c>
      <c r="I496">
        <v>140</v>
      </c>
      <c r="J496">
        <v>29</v>
      </c>
      <c r="K496">
        <v>0</v>
      </c>
      <c r="L496">
        <v>26</v>
      </c>
      <c r="M496">
        <v>6</v>
      </c>
      <c r="N496">
        <v>224</v>
      </c>
      <c r="O496" s="3">
        <f t="shared" si="75"/>
        <v>3</v>
      </c>
      <c r="P496">
        <f t="shared" si="76"/>
        <v>0</v>
      </c>
      <c r="Q496">
        <f t="shared" si="77"/>
        <v>0</v>
      </c>
      <c r="S496">
        <f t="shared" si="78"/>
        <v>-11.721739130434784</v>
      </c>
      <c r="T496">
        <f t="shared" si="79"/>
        <v>-1</v>
      </c>
      <c r="U496">
        <f t="shared" si="80"/>
        <v>-1.5217391304347827</v>
      </c>
      <c r="V496">
        <f t="shared" si="81"/>
        <v>-10.4</v>
      </c>
      <c r="W496">
        <f t="shared" si="82"/>
        <v>0</v>
      </c>
      <c r="X496">
        <f t="shared" si="83"/>
        <v>1.2</v>
      </c>
      <c r="Y496">
        <f t="shared" si="84"/>
        <v>0</v>
      </c>
    </row>
    <row r="497" spans="1:25" x14ac:dyDescent="0.2">
      <c r="A497" t="s">
        <v>25</v>
      </c>
      <c r="B497" t="s">
        <v>501</v>
      </c>
      <c r="C497">
        <v>240</v>
      </c>
      <c r="D497">
        <v>45</v>
      </c>
      <c r="E497">
        <v>5</v>
      </c>
      <c r="F497">
        <v>3</v>
      </c>
      <c r="G497">
        <v>0</v>
      </c>
      <c r="H497">
        <v>5</v>
      </c>
      <c r="I497">
        <v>130</v>
      </c>
      <c r="J497">
        <v>41</v>
      </c>
      <c r="K497">
        <v>0</v>
      </c>
      <c r="L497">
        <v>34</v>
      </c>
      <c r="M497">
        <v>7</v>
      </c>
      <c r="N497">
        <v>270</v>
      </c>
      <c r="O497" s="3">
        <f t="shared" si="75"/>
        <v>2.9166666666666665</v>
      </c>
      <c r="P497">
        <f t="shared" si="76"/>
        <v>0</v>
      </c>
      <c r="Q497">
        <f t="shared" si="77"/>
        <v>0</v>
      </c>
      <c r="S497">
        <f t="shared" si="78"/>
        <v>-14.36304347826087</v>
      </c>
      <c r="T497">
        <f t="shared" si="79"/>
        <v>-0.75</v>
      </c>
      <c r="U497">
        <f t="shared" si="80"/>
        <v>-1.4130434782608696</v>
      </c>
      <c r="V497">
        <f t="shared" si="81"/>
        <v>-13.600000000000001</v>
      </c>
      <c r="W497">
        <f t="shared" si="82"/>
        <v>0</v>
      </c>
      <c r="X497">
        <f t="shared" si="83"/>
        <v>1.4000000000000001</v>
      </c>
      <c r="Y497">
        <f t="shared" si="84"/>
        <v>0</v>
      </c>
    </row>
    <row r="498" spans="1:25" x14ac:dyDescent="0.2">
      <c r="A498" t="s">
        <v>25</v>
      </c>
      <c r="B498" t="s">
        <v>503</v>
      </c>
      <c r="C498">
        <v>520</v>
      </c>
      <c r="D498">
        <v>210</v>
      </c>
      <c r="E498">
        <v>24</v>
      </c>
      <c r="F498">
        <v>7</v>
      </c>
      <c r="G498">
        <v>0</v>
      </c>
      <c r="H498">
        <v>50</v>
      </c>
      <c r="I498">
        <v>930</v>
      </c>
      <c r="J498">
        <v>61</v>
      </c>
      <c r="K498">
        <v>3</v>
      </c>
      <c r="L498">
        <v>14</v>
      </c>
      <c r="M498">
        <v>15</v>
      </c>
      <c r="N498">
        <v>526</v>
      </c>
      <c r="O498" s="3">
        <f t="shared" si="75"/>
        <v>2.8846153846153846</v>
      </c>
      <c r="P498">
        <f t="shared" si="76"/>
        <v>1</v>
      </c>
      <c r="Q498">
        <f t="shared" si="77"/>
        <v>0</v>
      </c>
      <c r="S498">
        <f t="shared" si="78"/>
        <v>-13.387267080745341</v>
      </c>
      <c r="T498">
        <f t="shared" si="79"/>
        <v>-1.75</v>
      </c>
      <c r="U498">
        <f t="shared" si="80"/>
        <v>-10.108695652173912</v>
      </c>
      <c r="V498">
        <f t="shared" si="81"/>
        <v>-5.6000000000000005</v>
      </c>
      <c r="W498">
        <f t="shared" si="82"/>
        <v>0</v>
      </c>
      <c r="X498">
        <f t="shared" si="83"/>
        <v>3</v>
      </c>
      <c r="Y498">
        <f t="shared" si="84"/>
        <v>1.0714285714285714</v>
      </c>
    </row>
    <row r="499" spans="1:25" x14ac:dyDescent="0.2">
      <c r="A499" t="s">
        <v>25</v>
      </c>
      <c r="B499" t="s">
        <v>505</v>
      </c>
      <c r="C499">
        <v>280</v>
      </c>
      <c r="D499">
        <v>50</v>
      </c>
      <c r="E499">
        <v>6</v>
      </c>
      <c r="F499">
        <v>3.5</v>
      </c>
      <c r="G499">
        <v>0</v>
      </c>
      <c r="H499">
        <v>10</v>
      </c>
      <c r="I499">
        <v>160</v>
      </c>
      <c r="J499">
        <v>50</v>
      </c>
      <c r="K499">
        <v>0</v>
      </c>
      <c r="L499">
        <v>42</v>
      </c>
      <c r="M499">
        <v>8</v>
      </c>
      <c r="N499">
        <v>317.5</v>
      </c>
      <c r="O499" s="3">
        <f t="shared" si="75"/>
        <v>2.8571428571428572</v>
      </c>
      <c r="P499">
        <f t="shared" si="76"/>
        <v>0</v>
      </c>
      <c r="Q499">
        <f t="shared" si="77"/>
        <v>0</v>
      </c>
      <c r="S499">
        <f t="shared" si="78"/>
        <v>-17.814130434782609</v>
      </c>
      <c r="T499">
        <f t="shared" si="79"/>
        <v>-0.875</v>
      </c>
      <c r="U499">
        <f t="shared" si="80"/>
        <v>-1.7391304347826086</v>
      </c>
      <c r="V499">
        <f t="shared" si="81"/>
        <v>-16.8</v>
      </c>
      <c r="W499">
        <f t="shared" si="82"/>
        <v>0</v>
      </c>
      <c r="X499">
        <f t="shared" si="83"/>
        <v>1.6</v>
      </c>
      <c r="Y499">
        <f t="shared" si="84"/>
        <v>0</v>
      </c>
    </row>
    <row r="500" spans="1:25" x14ac:dyDescent="0.2">
      <c r="A500" t="s">
        <v>25</v>
      </c>
      <c r="B500" t="s">
        <v>506</v>
      </c>
      <c r="C500">
        <v>280</v>
      </c>
      <c r="D500">
        <v>70</v>
      </c>
      <c r="E500">
        <v>8</v>
      </c>
      <c r="F500">
        <v>4.5</v>
      </c>
      <c r="G500">
        <v>0</v>
      </c>
      <c r="H500">
        <v>25</v>
      </c>
      <c r="I500">
        <v>170</v>
      </c>
      <c r="J500">
        <v>43</v>
      </c>
      <c r="K500">
        <v>0</v>
      </c>
      <c r="L500">
        <v>43</v>
      </c>
      <c r="M500">
        <v>8</v>
      </c>
      <c r="N500">
        <v>319.5</v>
      </c>
      <c r="O500" s="3">
        <f t="shared" si="75"/>
        <v>2.8571428571428572</v>
      </c>
      <c r="P500">
        <f t="shared" si="76"/>
        <v>0</v>
      </c>
      <c r="Q500">
        <f t="shared" si="77"/>
        <v>0</v>
      </c>
      <c r="S500">
        <f t="shared" si="78"/>
        <v>-18.572826086956525</v>
      </c>
      <c r="T500">
        <f t="shared" si="79"/>
        <v>-1.125</v>
      </c>
      <c r="U500">
        <f t="shared" si="80"/>
        <v>-1.8478260869565217</v>
      </c>
      <c r="V500">
        <f t="shared" si="81"/>
        <v>-17.200000000000003</v>
      </c>
      <c r="W500">
        <f t="shared" si="82"/>
        <v>0</v>
      </c>
      <c r="X500">
        <f t="shared" si="83"/>
        <v>1.6</v>
      </c>
      <c r="Y500">
        <f t="shared" si="84"/>
        <v>0</v>
      </c>
    </row>
    <row r="501" spans="1:25" x14ac:dyDescent="0.2">
      <c r="A501" t="s">
        <v>25</v>
      </c>
      <c r="B501" t="s">
        <v>507</v>
      </c>
      <c r="C501">
        <v>280</v>
      </c>
      <c r="D501">
        <v>70</v>
      </c>
      <c r="E501">
        <v>8</v>
      </c>
      <c r="F501">
        <v>4.5</v>
      </c>
      <c r="G501">
        <v>0</v>
      </c>
      <c r="H501">
        <v>25</v>
      </c>
      <c r="I501">
        <v>110</v>
      </c>
      <c r="J501">
        <v>45</v>
      </c>
      <c r="K501">
        <v>0</v>
      </c>
      <c r="L501">
        <v>45</v>
      </c>
      <c r="M501">
        <v>8</v>
      </c>
      <c r="N501">
        <v>321.5</v>
      </c>
      <c r="O501" s="3">
        <f t="shared" si="75"/>
        <v>2.8571428571428572</v>
      </c>
      <c r="P501">
        <f t="shared" si="76"/>
        <v>0</v>
      </c>
      <c r="Q501">
        <f t="shared" si="77"/>
        <v>0</v>
      </c>
      <c r="S501">
        <f t="shared" si="78"/>
        <v>-18.720652173913045</v>
      </c>
      <c r="T501">
        <f t="shared" si="79"/>
        <v>-1.125</v>
      </c>
      <c r="U501">
        <f t="shared" si="80"/>
        <v>-1.1956521739130435</v>
      </c>
      <c r="V501">
        <f t="shared" si="81"/>
        <v>-18.000000000000004</v>
      </c>
      <c r="W501">
        <f t="shared" si="82"/>
        <v>0</v>
      </c>
      <c r="X501">
        <f t="shared" si="83"/>
        <v>1.6</v>
      </c>
      <c r="Y501">
        <f t="shared" si="84"/>
        <v>0</v>
      </c>
    </row>
    <row r="502" spans="1:25" x14ac:dyDescent="0.2">
      <c r="A502" t="s">
        <v>25</v>
      </c>
      <c r="B502" t="s">
        <v>508</v>
      </c>
      <c r="C502">
        <v>280</v>
      </c>
      <c r="D502">
        <v>70</v>
      </c>
      <c r="E502">
        <v>8</v>
      </c>
      <c r="F502">
        <v>4.5</v>
      </c>
      <c r="G502">
        <v>0</v>
      </c>
      <c r="H502">
        <v>25</v>
      </c>
      <c r="I502">
        <v>110</v>
      </c>
      <c r="J502">
        <v>44</v>
      </c>
      <c r="K502">
        <v>0</v>
      </c>
      <c r="L502">
        <v>44</v>
      </c>
      <c r="M502">
        <v>8</v>
      </c>
      <c r="N502">
        <v>320.5</v>
      </c>
      <c r="O502" s="3">
        <f t="shared" si="75"/>
        <v>2.8571428571428572</v>
      </c>
      <c r="P502">
        <f t="shared" si="76"/>
        <v>0</v>
      </c>
      <c r="Q502">
        <f t="shared" si="77"/>
        <v>0</v>
      </c>
      <c r="S502">
        <f t="shared" si="78"/>
        <v>-18.320652173913043</v>
      </c>
      <c r="T502">
        <f t="shared" si="79"/>
        <v>-1.125</v>
      </c>
      <c r="U502">
        <f t="shared" si="80"/>
        <v>-1.1956521739130435</v>
      </c>
      <c r="V502">
        <f t="shared" si="81"/>
        <v>-17.600000000000001</v>
      </c>
      <c r="W502">
        <f t="shared" si="82"/>
        <v>0</v>
      </c>
      <c r="X502">
        <f t="shared" si="83"/>
        <v>1.6</v>
      </c>
      <c r="Y502">
        <f t="shared" si="84"/>
        <v>0</v>
      </c>
    </row>
    <row r="503" spans="1:25" x14ac:dyDescent="0.2">
      <c r="A503" t="s">
        <v>25</v>
      </c>
      <c r="B503" t="s">
        <v>516</v>
      </c>
      <c r="C503">
        <v>460</v>
      </c>
      <c r="D503">
        <v>160</v>
      </c>
      <c r="E503">
        <v>18</v>
      </c>
      <c r="F503">
        <v>10</v>
      </c>
      <c r="G503">
        <v>0.5</v>
      </c>
      <c r="H503">
        <v>40</v>
      </c>
      <c r="I503">
        <v>220</v>
      </c>
      <c r="J503">
        <v>63</v>
      </c>
      <c r="K503">
        <v>0</v>
      </c>
      <c r="L503">
        <v>54</v>
      </c>
      <c r="M503">
        <v>13</v>
      </c>
      <c r="N503">
        <v>511</v>
      </c>
      <c r="O503" s="3">
        <f t="shared" si="75"/>
        <v>2.8260869565217392</v>
      </c>
      <c r="P503">
        <f t="shared" si="76"/>
        <v>0</v>
      </c>
      <c r="Q503">
        <f t="shared" si="77"/>
        <v>0</v>
      </c>
      <c r="S503">
        <f t="shared" si="78"/>
        <v>-23.891804347826085</v>
      </c>
      <c r="T503">
        <f t="shared" si="79"/>
        <v>-2.5</v>
      </c>
      <c r="U503">
        <f t="shared" si="80"/>
        <v>-2.3913043478260869</v>
      </c>
      <c r="V503">
        <f t="shared" si="81"/>
        <v>-21.6</v>
      </c>
      <c r="W503">
        <f t="shared" si="82"/>
        <v>-5.0000000000000001E-4</v>
      </c>
      <c r="X503">
        <f t="shared" si="83"/>
        <v>2.6</v>
      </c>
      <c r="Y503">
        <f t="shared" si="84"/>
        <v>0</v>
      </c>
    </row>
    <row r="504" spans="1:25" x14ac:dyDescent="0.2">
      <c r="A504" t="s">
        <v>25</v>
      </c>
      <c r="B504" t="s">
        <v>517</v>
      </c>
      <c r="C504">
        <v>250</v>
      </c>
      <c r="D504">
        <v>90</v>
      </c>
      <c r="E504">
        <v>11</v>
      </c>
      <c r="F504">
        <v>6</v>
      </c>
      <c r="G504">
        <v>0</v>
      </c>
      <c r="H504">
        <v>25</v>
      </c>
      <c r="I504">
        <v>150</v>
      </c>
      <c r="J504">
        <v>33</v>
      </c>
      <c r="K504">
        <v>0</v>
      </c>
      <c r="L504">
        <v>31</v>
      </c>
      <c r="M504">
        <v>7</v>
      </c>
      <c r="N504">
        <v>280</v>
      </c>
      <c r="O504" s="3">
        <f t="shared" si="75"/>
        <v>2.8000000000000003</v>
      </c>
      <c r="P504">
        <f t="shared" si="76"/>
        <v>0</v>
      </c>
      <c r="Q504">
        <f t="shared" si="77"/>
        <v>0</v>
      </c>
      <c r="S504">
        <f t="shared" si="78"/>
        <v>-14.130434782608695</v>
      </c>
      <c r="T504">
        <f t="shared" si="79"/>
        <v>-1.5</v>
      </c>
      <c r="U504">
        <f t="shared" si="80"/>
        <v>-1.6304347826086956</v>
      </c>
      <c r="V504">
        <f t="shared" si="81"/>
        <v>-12.4</v>
      </c>
      <c r="W504">
        <f t="shared" si="82"/>
        <v>0</v>
      </c>
      <c r="X504">
        <f t="shared" si="83"/>
        <v>1.4000000000000001</v>
      </c>
      <c r="Y504">
        <f t="shared" si="84"/>
        <v>0</v>
      </c>
    </row>
    <row r="505" spans="1:25" x14ac:dyDescent="0.2">
      <c r="A505" t="s">
        <v>25</v>
      </c>
      <c r="B505" t="s">
        <v>523</v>
      </c>
      <c r="C505">
        <v>360</v>
      </c>
      <c r="D505">
        <v>130</v>
      </c>
      <c r="E505">
        <v>14</v>
      </c>
      <c r="F505">
        <v>8</v>
      </c>
      <c r="G505">
        <v>0.5</v>
      </c>
      <c r="H505">
        <v>35</v>
      </c>
      <c r="I505">
        <v>220</v>
      </c>
      <c r="J505">
        <v>47</v>
      </c>
      <c r="K505">
        <v>0</v>
      </c>
      <c r="L505">
        <v>46</v>
      </c>
      <c r="M505">
        <v>10</v>
      </c>
      <c r="N505">
        <v>404</v>
      </c>
      <c r="O505" s="3">
        <f t="shared" si="75"/>
        <v>2.7777777777777777</v>
      </c>
      <c r="P505">
        <f t="shared" si="76"/>
        <v>0</v>
      </c>
      <c r="Q505">
        <f t="shared" si="77"/>
        <v>0</v>
      </c>
      <c r="S505">
        <f t="shared" si="78"/>
        <v>-20.791804347826087</v>
      </c>
      <c r="T505">
        <f t="shared" si="79"/>
        <v>-2</v>
      </c>
      <c r="U505">
        <f t="shared" si="80"/>
        <v>-2.3913043478260869</v>
      </c>
      <c r="V505">
        <f t="shared" si="81"/>
        <v>-18.400000000000002</v>
      </c>
      <c r="W505">
        <f t="shared" si="82"/>
        <v>-5.0000000000000001E-4</v>
      </c>
      <c r="X505">
        <f t="shared" si="83"/>
        <v>2.0000000000000004</v>
      </c>
      <c r="Y505">
        <f t="shared" si="84"/>
        <v>0</v>
      </c>
    </row>
    <row r="506" spans="1:25" x14ac:dyDescent="0.2">
      <c r="A506" t="s">
        <v>25</v>
      </c>
      <c r="B506" t="s">
        <v>527</v>
      </c>
      <c r="C506">
        <v>290</v>
      </c>
      <c r="D506">
        <v>70</v>
      </c>
      <c r="E506">
        <v>8</v>
      </c>
      <c r="F506">
        <v>4.5</v>
      </c>
      <c r="G506">
        <v>0</v>
      </c>
      <c r="H506">
        <v>25</v>
      </c>
      <c r="I506">
        <v>190</v>
      </c>
      <c r="J506">
        <v>49</v>
      </c>
      <c r="K506">
        <v>0</v>
      </c>
      <c r="L506">
        <v>49</v>
      </c>
      <c r="M506">
        <v>8</v>
      </c>
      <c r="N506">
        <v>335.5</v>
      </c>
      <c r="O506" s="3">
        <f t="shared" si="75"/>
        <v>2.7586206896551726</v>
      </c>
      <c r="P506">
        <f t="shared" si="76"/>
        <v>0</v>
      </c>
      <c r="Q506">
        <f t="shared" si="77"/>
        <v>0</v>
      </c>
      <c r="S506">
        <f t="shared" si="78"/>
        <v>-21.190217391304348</v>
      </c>
      <c r="T506">
        <f t="shared" si="79"/>
        <v>-1.125</v>
      </c>
      <c r="U506">
        <f t="shared" si="80"/>
        <v>-2.0652173913043477</v>
      </c>
      <c r="V506">
        <f t="shared" si="81"/>
        <v>-19.600000000000001</v>
      </c>
      <c r="W506">
        <f t="shared" si="82"/>
        <v>0</v>
      </c>
      <c r="X506">
        <f t="shared" si="83"/>
        <v>1.6</v>
      </c>
      <c r="Y506">
        <f t="shared" si="84"/>
        <v>0</v>
      </c>
    </row>
    <row r="507" spans="1:25" x14ac:dyDescent="0.2">
      <c r="A507" t="s">
        <v>25</v>
      </c>
      <c r="B507" t="s">
        <v>528</v>
      </c>
      <c r="C507">
        <v>290</v>
      </c>
      <c r="D507">
        <v>100</v>
      </c>
      <c r="E507">
        <v>12</v>
      </c>
      <c r="F507">
        <v>7</v>
      </c>
      <c r="G507">
        <v>0</v>
      </c>
      <c r="H507">
        <v>25</v>
      </c>
      <c r="I507">
        <v>180</v>
      </c>
      <c r="J507">
        <v>39</v>
      </c>
      <c r="K507">
        <v>0</v>
      </c>
      <c r="L507">
        <v>38</v>
      </c>
      <c r="M507">
        <v>8</v>
      </c>
      <c r="N507">
        <v>327</v>
      </c>
      <c r="O507" s="3">
        <f t="shared" si="75"/>
        <v>2.7586206896551726</v>
      </c>
      <c r="P507">
        <f t="shared" si="76"/>
        <v>0</v>
      </c>
      <c r="Q507">
        <f t="shared" si="77"/>
        <v>0</v>
      </c>
      <c r="S507">
        <f t="shared" si="78"/>
        <v>-17.306521739130435</v>
      </c>
      <c r="T507">
        <f t="shared" si="79"/>
        <v>-1.75</v>
      </c>
      <c r="U507">
        <f t="shared" si="80"/>
        <v>-1.956521739130435</v>
      </c>
      <c r="V507">
        <f t="shared" si="81"/>
        <v>-15.200000000000003</v>
      </c>
      <c r="W507">
        <f t="shared" si="82"/>
        <v>0</v>
      </c>
      <c r="X507">
        <f t="shared" si="83"/>
        <v>1.6</v>
      </c>
      <c r="Y507">
        <f t="shared" si="84"/>
        <v>0</v>
      </c>
    </row>
    <row r="508" spans="1:25" x14ac:dyDescent="0.2">
      <c r="A508" t="s">
        <v>25</v>
      </c>
      <c r="B508" t="s">
        <v>529</v>
      </c>
      <c r="C508">
        <v>330</v>
      </c>
      <c r="D508">
        <v>80</v>
      </c>
      <c r="E508">
        <v>9</v>
      </c>
      <c r="F508">
        <v>5</v>
      </c>
      <c r="G508">
        <v>0</v>
      </c>
      <c r="H508">
        <v>30</v>
      </c>
      <c r="I508">
        <v>210</v>
      </c>
      <c r="J508">
        <v>52</v>
      </c>
      <c r="K508">
        <v>0</v>
      </c>
      <c r="L508">
        <v>51</v>
      </c>
      <c r="M508">
        <v>9</v>
      </c>
      <c r="N508">
        <v>377</v>
      </c>
      <c r="O508" s="3">
        <f t="shared" si="75"/>
        <v>2.7272727272727271</v>
      </c>
      <c r="P508">
        <f t="shared" si="76"/>
        <v>0</v>
      </c>
      <c r="Q508">
        <f t="shared" si="77"/>
        <v>0</v>
      </c>
      <c r="S508">
        <f t="shared" si="78"/>
        <v>-22.132608695652177</v>
      </c>
      <c r="T508">
        <f t="shared" si="79"/>
        <v>-1.25</v>
      </c>
      <c r="U508">
        <f t="shared" si="80"/>
        <v>-2.2826086956521738</v>
      </c>
      <c r="V508">
        <f t="shared" si="81"/>
        <v>-20.400000000000002</v>
      </c>
      <c r="W508">
        <f t="shared" si="82"/>
        <v>0</v>
      </c>
      <c r="X508">
        <f t="shared" si="83"/>
        <v>1.7999999999999998</v>
      </c>
      <c r="Y508">
        <f t="shared" si="84"/>
        <v>0</v>
      </c>
    </row>
    <row r="509" spans="1:25" x14ac:dyDescent="0.2">
      <c r="A509" t="s">
        <v>25</v>
      </c>
      <c r="B509" t="s">
        <v>530</v>
      </c>
      <c r="C509">
        <v>330</v>
      </c>
      <c r="D509">
        <v>80</v>
      </c>
      <c r="E509">
        <v>9</v>
      </c>
      <c r="F509">
        <v>5</v>
      </c>
      <c r="G509">
        <v>0</v>
      </c>
      <c r="H509">
        <v>30</v>
      </c>
      <c r="I509">
        <v>130</v>
      </c>
      <c r="J509">
        <v>53</v>
      </c>
      <c r="K509">
        <v>0</v>
      </c>
      <c r="L509">
        <v>53</v>
      </c>
      <c r="M509">
        <v>9</v>
      </c>
      <c r="N509">
        <v>379</v>
      </c>
      <c r="O509" s="3">
        <f t="shared" si="75"/>
        <v>2.7272727272727271</v>
      </c>
      <c r="P509">
        <f t="shared" si="76"/>
        <v>0</v>
      </c>
      <c r="Q509">
        <f t="shared" si="77"/>
        <v>0</v>
      </c>
      <c r="S509">
        <f t="shared" si="78"/>
        <v>-22.063043478260873</v>
      </c>
      <c r="T509">
        <f t="shared" si="79"/>
        <v>-1.25</v>
      </c>
      <c r="U509">
        <f t="shared" si="80"/>
        <v>-1.4130434782608696</v>
      </c>
      <c r="V509">
        <f t="shared" si="81"/>
        <v>-21.200000000000003</v>
      </c>
      <c r="W509">
        <f t="shared" si="82"/>
        <v>0</v>
      </c>
      <c r="X509">
        <f t="shared" si="83"/>
        <v>1.7999999999999998</v>
      </c>
      <c r="Y509">
        <f t="shared" si="84"/>
        <v>0</v>
      </c>
    </row>
    <row r="510" spans="1:25" x14ac:dyDescent="0.2">
      <c r="A510" t="s">
        <v>25</v>
      </c>
      <c r="B510" t="s">
        <v>531</v>
      </c>
      <c r="C510">
        <v>330</v>
      </c>
      <c r="D510">
        <v>80</v>
      </c>
      <c r="E510">
        <v>9</v>
      </c>
      <c r="F510">
        <v>5</v>
      </c>
      <c r="G510">
        <v>0</v>
      </c>
      <c r="H510">
        <v>30</v>
      </c>
      <c r="I510">
        <v>130</v>
      </c>
      <c r="J510">
        <v>53</v>
      </c>
      <c r="K510">
        <v>0</v>
      </c>
      <c r="L510">
        <v>53</v>
      </c>
      <c r="M510">
        <v>9</v>
      </c>
      <c r="N510">
        <v>379</v>
      </c>
      <c r="O510" s="3">
        <f t="shared" si="75"/>
        <v>2.7272727272727271</v>
      </c>
      <c r="P510">
        <f t="shared" si="76"/>
        <v>0</v>
      </c>
      <c r="Q510">
        <f t="shared" si="77"/>
        <v>0</v>
      </c>
      <c r="S510">
        <f t="shared" si="78"/>
        <v>-22.063043478260873</v>
      </c>
      <c r="T510">
        <f t="shared" si="79"/>
        <v>-1.25</v>
      </c>
      <c r="U510">
        <f t="shared" si="80"/>
        <v>-1.4130434782608696</v>
      </c>
      <c r="V510">
        <f t="shared" si="81"/>
        <v>-21.200000000000003</v>
      </c>
      <c r="W510">
        <f t="shared" si="82"/>
        <v>0</v>
      </c>
      <c r="X510">
        <f t="shared" si="83"/>
        <v>1.7999999999999998</v>
      </c>
      <c r="Y510">
        <f t="shared" si="84"/>
        <v>0</v>
      </c>
    </row>
    <row r="511" spans="1:25" x14ac:dyDescent="0.2">
      <c r="A511" t="s">
        <v>25</v>
      </c>
      <c r="B511" t="s">
        <v>532</v>
      </c>
      <c r="C511">
        <v>150</v>
      </c>
      <c r="D511">
        <v>35</v>
      </c>
      <c r="E511">
        <v>3.5</v>
      </c>
      <c r="F511">
        <v>2</v>
      </c>
      <c r="G511">
        <v>0</v>
      </c>
      <c r="H511">
        <v>15</v>
      </c>
      <c r="I511">
        <v>60</v>
      </c>
      <c r="J511">
        <v>24</v>
      </c>
      <c r="K511">
        <v>0</v>
      </c>
      <c r="L511">
        <v>18</v>
      </c>
      <c r="M511">
        <v>4</v>
      </c>
      <c r="N511">
        <v>166</v>
      </c>
      <c r="O511" s="3">
        <f t="shared" si="75"/>
        <v>2.666666666666667</v>
      </c>
      <c r="P511">
        <f t="shared" si="76"/>
        <v>0</v>
      </c>
      <c r="Q511">
        <f t="shared" si="77"/>
        <v>0</v>
      </c>
      <c r="S511">
        <f t="shared" si="78"/>
        <v>-7.552173913043478</v>
      </c>
      <c r="T511">
        <f t="shared" si="79"/>
        <v>-0.5</v>
      </c>
      <c r="U511">
        <f t="shared" si="80"/>
        <v>-0.65217391304347827</v>
      </c>
      <c r="V511">
        <f t="shared" si="81"/>
        <v>-7.1999999999999993</v>
      </c>
      <c r="W511">
        <f t="shared" si="82"/>
        <v>0</v>
      </c>
      <c r="X511">
        <f t="shared" si="83"/>
        <v>0.8</v>
      </c>
      <c r="Y511">
        <f t="shared" si="84"/>
        <v>0</v>
      </c>
    </row>
    <row r="512" spans="1:25" x14ac:dyDescent="0.2">
      <c r="A512" t="s">
        <v>25</v>
      </c>
      <c r="B512" t="s">
        <v>533</v>
      </c>
      <c r="C512">
        <v>300</v>
      </c>
      <c r="D512">
        <v>110</v>
      </c>
      <c r="E512">
        <v>12</v>
      </c>
      <c r="F512">
        <v>7</v>
      </c>
      <c r="G512">
        <v>0</v>
      </c>
      <c r="H512">
        <v>25</v>
      </c>
      <c r="I512">
        <v>135</v>
      </c>
      <c r="J512">
        <v>41</v>
      </c>
      <c r="K512">
        <v>0</v>
      </c>
      <c r="L512">
        <v>35</v>
      </c>
      <c r="M512">
        <v>8</v>
      </c>
      <c r="N512">
        <v>334</v>
      </c>
      <c r="O512" s="3">
        <f t="shared" si="75"/>
        <v>2.666666666666667</v>
      </c>
      <c r="P512">
        <f t="shared" si="76"/>
        <v>0</v>
      </c>
      <c r="Q512">
        <f t="shared" si="77"/>
        <v>0</v>
      </c>
      <c r="S512">
        <f t="shared" si="78"/>
        <v>-15.617391304347825</v>
      </c>
      <c r="T512">
        <f t="shared" si="79"/>
        <v>-1.75</v>
      </c>
      <c r="U512">
        <f t="shared" si="80"/>
        <v>-1.4673913043478262</v>
      </c>
      <c r="V512">
        <f t="shared" si="81"/>
        <v>-13.999999999999998</v>
      </c>
      <c r="W512">
        <f t="shared" si="82"/>
        <v>0</v>
      </c>
      <c r="X512">
        <f t="shared" si="83"/>
        <v>1.6</v>
      </c>
      <c r="Y512">
        <f t="shared" si="84"/>
        <v>0</v>
      </c>
    </row>
    <row r="513" spans="1:25" x14ac:dyDescent="0.2">
      <c r="A513" t="s">
        <v>25</v>
      </c>
      <c r="B513" t="s">
        <v>534</v>
      </c>
      <c r="C513">
        <v>300</v>
      </c>
      <c r="D513">
        <v>120</v>
      </c>
      <c r="E513">
        <v>14</v>
      </c>
      <c r="F513">
        <v>8</v>
      </c>
      <c r="G513">
        <v>0</v>
      </c>
      <c r="H513">
        <v>30</v>
      </c>
      <c r="I513">
        <v>160</v>
      </c>
      <c r="J513">
        <v>36</v>
      </c>
      <c r="K513">
        <v>0</v>
      </c>
      <c r="L513">
        <v>33</v>
      </c>
      <c r="M513">
        <v>8</v>
      </c>
      <c r="N513">
        <v>333</v>
      </c>
      <c r="O513" s="3">
        <f t="shared" si="75"/>
        <v>2.666666666666667</v>
      </c>
      <c r="P513">
        <f t="shared" si="76"/>
        <v>0</v>
      </c>
      <c r="Q513">
        <f t="shared" si="77"/>
        <v>0</v>
      </c>
      <c r="S513">
        <f t="shared" si="78"/>
        <v>-15.339130434782609</v>
      </c>
      <c r="T513">
        <f t="shared" si="79"/>
        <v>-2</v>
      </c>
      <c r="U513">
        <f t="shared" si="80"/>
        <v>-1.7391304347826086</v>
      </c>
      <c r="V513">
        <f t="shared" si="81"/>
        <v>-13.200000000000001</v>
      </c>
      <c r="W513">
        <f t="shared" si="82"/>
        <v>0</v>
      </c>
      <c r="X513">
        <f t="shared" si="83"/>
        <v>1.6</v>
      </c>
      <c r="Y513">
        <f t="shared" si="84"/>
        <v>0</v>
      </c>
    </row>
    <row r="514" spans="1:25" x14ac:dyDescent="0.2">
      <c r="A514" t="s">
        <v>25</v>
      </c>
      <c r="B514" t="s">
        <v>540</v>
      </c>
      <c r="C514">
        <v>380</v>
      </c>
      <c r="D514">
        <v>130</v>
      </c>
      <c r="E514">
        <v>15</v>
      </c>
      <c r="F514">
        <v>9</v>
      </c>
      <c r="G514">
        <v>0.5</v>
      </c>
      <c r="H514">
        <v>30</v>
      </c>
      <c r="I514">
        <v>170</v>
      </c>
      <c r="J514">
        <v>53</v>
      </c>
      <c r="K514">
        <v>0</v>
      </c>
      <c r="L514">
        <v>45</v>
      </c>
      <c r="M514">
        <v>10</v>
      </c>
      <c r="N514">
        <v>424</v>
      </c>
      <c r="O514" s="3">
        <f t="shared" si="75"/>
        <v>2.6315789473684208</v>
      </c>
      <c r="P514">
        <f t="shared" si="76"/>
        <v>0</v>
      </c>
      <c r="Q514">
        <f t="shared" si="77"/>
        <v>0</v>
      </c>
      <c r="S514">
        <f t="shared" si="78"/>
        <v>-20.098326086956522</v>
      </c>
      <c r="T514">
        <f t="shared" si="79"/>
        <v>-2.25</v>
      </c>
      <c r="U514">
        <f t="shared" si="80"/>
        <v>-1.8478260869565217</v>
      </c>
      <c r="V514">
        <f t="shared" si="81"/>
        <v>-18.000000000000004</v>
      </c>
      <c r="W514">
        <f t="shared" si="82"/>
        <v>-5.0000000000000001E-4</v>
      </c>
      <c r="X514">
        <f t="shared" si="83"/>
        <v>2.0000000000000004</v>
      </c>
      <c r="Y514">
        <f t="shared" si="84"/>
        <v>0</v>
      </c>
    </row>
    <row r="515" spans="1:25" x14ac:dyDescent="0.2">
      <c r="A515" t="s">
        <v>25</v>
      </c>
      <c r="B515" t="s">
        <v>541</v>
      </c>
      <c r="C515">
        <v>190</v>
      </c>
      <c r="D515">
        <v>40</v>
      </c>
      <c r="E515">
        <v>4.5</v>
      </c>
      <c r="F515">
        <v>2.5</v>
      </c>
      <c r="G515">
        <v>0</v>
      </c>
      <c r="H515">
        <v>15</v>
      </c>
      <c r="I515">
        <v>70</v>
      </c>
      <c r="J515">
        <v>33</v>
      </c>
      <c r="K515">
        <v>0</v>
      </c>
      <c r="L515">
        <v>33</v>
      </c>
      <c r="M515">
        <v>5</v>
      </c>
      <c r="N515">
        <v>220.5</v>
      </c>
      <c r="O515" s="3">
        <f t="shared" si="75"/>
        <v>2.6315789473684208</v>
      </c>
      <c r="P515">
        <f t="shared" si="76"/>
        <v>0</v>
      </c>
      <c r="Q515">
        <f t="shared" si="77"/>
        <v>0</v>
      </c>
      <c r="S515">
        <f t="shared" si="78"/>
        <v>-13.585869565217392</v>
      </c>
      <c r="T515">
        <f t="shared" si="79"/>
        <v>-0.625</v>
      </c>
      <c r="U515">
        <f t="shared" si="80"/>
        <v>-0.76086956521739135</v>
      </c>
      <c r="V515">
        <f t="shared" si="81"/>
        <v>-13.200000000000001</v>
      </c>
      <c r="W515">
        <f t="shared" si="82"/>
        <v>0</v>
      </c>
      <c r="X515">
        <f t="shared" si="83"/>
        <v>1.0000000000000002</v>
      </c>
      <c r="Y515">
        <f t="shared" si="84"/>
        <v>0</v>
      </c>
    </row>
    <row r="516" spans="1:25" x14ac:dyDescent="0.2">
      <c r="A516" t="s">
        <v>25</v>
      </c>
      <c r="B516" t="s">
        <v>542</v>
      </c>
      <c r="C516">
        <v>380</v>
      </c>
      <c r="D516">
        <v>140</v>
      </c>
      <c r="E516">
        <v>16</v>
      </c>
      <c r="F516">
        <v>9</v>
      </c>
      <c r="G516">
        <v>0.5</v>
      </c>
      <c r="H516">
        <v>35</v>
      </c>
      <c r="I516">
        <v>210</v>
      </c>
      <c r="J516">
        <v>48</v>
      </c>
      <c r="K516">
        <v>0</v>
      </c>
      <c r="L516">
        <v>46</v>
      </c>
      <c r="M516">
        <v>10</v>
      </c>
      <c r="N516">
        <v>425</v>
      </c>
      <c r="O516" s="3">
        <f t="shared" ref="O516:O579" si="85">M516/C516*100</f>
        <v>2.6315789473684208</v>
      </c>
      <c r="P516">
        <f t="shared" ref="P516:P579" si="86">IF(I516&gt;2300*0.2,1,0)</f>
        <v>0</v>
      </c>
      <c r="Q516">
        <f t="shared" ref="Q516:Q579" si="87">IF(H516&gt;300,1,0)</f>
        <v>0</v>
      </c>
      <c r="S516">
        <f t="shared" ref="S516:S579" si="88">T516+U516+V516+W516+X516+Y516</f>
        <v>-20.933108695652177</v>
      </c>
      <c r="T516">
        <f t="shared" ref="T516:T579" si="89">$T$1*F516</f>
        <v>-2.25</v>
      </c>
      <c r="U516">
        <f t="shared" ref="U516:U579" si="90">($U$1*(I516/2300))*100</f>
        <v>-2.2826086956521738</v>
      </c>
      <c r="V516">
        <f t="shared" ref="V516:V579" si="91">((L516/50)*$V$1)*100</f>
        <v>-18.400000000000002</v>
      </c>
      <c r="W516">
        <f t="shared" ref="W516:W579" si="92">(G516/100)*$W$1</f>
        <v>-5.0000000000000001E-4</v>
      </c>
      <c r="X516">
        <f t="shared" ref="X516:X579" si="93">($X$1*(M516/50))*100</f>
        <v>2.0000000000000004</v>
      </c>
      <c r="Y516">
        <f t="shared" ref="Y516:Y579" si="94">($Y$1*(K516/28))*100</f>
        <v>0</v>
      </c>
    </row>
    <row r="517" spans="1:25" x14ac:dyDescent="0.2">
      <c r="A517" t="s">
        <v>25</v>
      </c>
      <c r="B517" t="s">
        <v>546</v>
      </c>
      <c r="C517">
        <v>420</v>
      </c>
      <c r="D517">
        <v>200</v>
      </c>
      <c r="E517">
        <v>22</v>
      </c>
      <c r="F517">
        <v>8</v>
      </c>
      <c r="G517">
        <v>0</v>
      </c>
      <c r="H517">
        <v>35</v>
      </c>
      <c r="I517">
        <v>1030</v>
      </c>
      <c r="J517">
        <v>44</v>
      </c>
      <c r="K517">
        <v>2</v>
      </c>
      <c r="L517">
        <v>15</v>
      </c>
      <c r="M517">
        <v>11</v>
      </c>
      <c r="N517">
        <v>432</v>
      </c>
      <c r="O517" s="3">
        <f t="shared" si="85"/>
        <v>2.6190476190476191</v>
      </c>
      <c r="P517">
        <f t="shared" si="86"/>
        <v>1</v>
      </c>
      <c r="Q517">
        <f t="shared" si="87"/>
        <v>0</v>
      </c>
      <c r="S517">
        <f t="shared" si="88"/>
        <v>-16.281366459627332</v>
      </c>
      <c r="T517">
        <f t="shared" si="89"/>
        <v>-2</v>
      </c>
      <c r="U517">
        <f t="shared" si="90"/>
        <v>-11.195652173913045</v>
      </c>
      <c r="V517">
        <f t="shared" si="91"/>
        <v>-6</v>
      </c>
      <c r="W517">
        <f t="shared" si="92"/>
        <v>0</v>
      </c>
      <c r="X517">
        <f t="shared" si="93"/>
        <v>2.2000000000000002</v>
      </c>
      <c r="Y517">
        <f t="shared" si="94"/>
        <v>0.7142857142857143</v>
      </c>
    </row>
    <row r="518" spans="1:25" x14ac:dyDescent="0.2">
      <c r="A518" t="s">
        <v>25</v>
      </c>
      <c r="B518" t="s">
        <v>547</v>
      </c>
      <c r="C518">
        <v>230</v>
      </c>
      <c r="D518">
        <v>50</v>
      </c>
      <c r="E518">
        <v>6</v>
      </c>
      <c r="F518">
        <v>3.5</v>
      </c>
      <c r="G518">
        <v>0</v>
      </c>
      <c r="H518">
        <v>15</v>
      </c>
      <c r="I518">
        <v>150</v>
      </c>
      <c r="J518">
        <v>40</v>
      </c>
      <c r="K518">
        <v>0</v>
      </c>
      <c r="L518">
        <v>40</v>
      </c>
      <c r="M518">
        <v>6</v>
      </c>
      <c r="N518">
        <v>267.5</v>
      </c>
      <c r="O518" s="3">
        <f t="shared" si="85"/>
        <v>2.6086956521739131</v>
      </c>
      <c r="P518">
        <f t="shared" si="86"/>
        <v>0</v>
      </c>
      <c r="Q518">
        <f t="shared" si="87"/>
        <v>0</v>
      </c>
      <c r="S518">
        <f t="shared" si="88"/>
        <v>-17.3054347826087</v>
      </c>
      <c r="T518">
        <f t="shared" si="89"/>
        <v>-0.875</v>
      </c>
      <c r="U518">
        <f t="shared" si="90"/>
        <v>-1.6304347826086956</v>
      </c>
      <c r="V518">
        <f t="shared" si="91"/>
        <v>-16.000000000000004</v>
      </c>
      <c r="W518">
        <f t="shared" si="92"/>
        <v>0</v>
      </c>
      <c r="X518">
        <f t="shared" si="93"/>
        <v>1.2</v>
      </c>
      <c r="Y518">
        <f t="shared" si="94"/>
        <v>0</v>
      </c>
    </row>
    <row r="519" spans="1:25" x14ac:dyDescent="0.2">
      <c r="A519" t="s">
        <v>25</v>
      </c>
      <c r="B519" t="s">
        <v>548</v>
      </c>
      <c r="C519">
        <v>230</v>
      </c>
      <c r="D519">
        <v>50</v>
      </c>
      <c r="E519">
        <v>6</v>
      </c>
      <c r="F519">
        <v>3.5</v>
      </c>
      <c r="G519">
        <v>0</v>
      </c>
      <c r="H519">
        <v>15</v>
      </c>
      <c r="I519">
        <v>85</v>
      </c>
      <c r="J519">
        <v>41</v>
      </c>
      <c r="K519">
        <v>0</v>
      </c>
      <c r="L519">
        <v>41</v>
      </c>
      <c r="M519">
        <v>6</v>
      </c>
      <c r="N519">
        <v>268.5</v>
      </c>
      <c r="O519" s="3">
        <f t="shared" si="85"/>
        <v>2.6086956521739131</v>
      </c>
      <c r="P519">
        <f t="shared" si="86"/>
        <v>0</v>
      </c>
      <c r="Q519">
        <f t="shared" si="87"/>
        <v>0</v>
      </c>
      <c r="S519">
        <f t="shared" si="88"/>
        <v>-16.998913043478264</v>
      </c>
      <c r="T519">
        <f t="shared" si="89"/>
        <v>-0.875</v>
      </c>
      <c r="U519">
        <f t="shared" si="90"/>
        <v>-0.92391304347826086</v>
      </c>
      <c r="V519">
        <f t="shared" si="91"/>
        <v>-16.400000000000002</v>
      </c>
      <c r="W519">
        <f t="shared" si="92"/>
        <v>0</v>
      </c>
      <c r="X519">
        <f t="shared" si="93"/>
        <v>1.2</v>
      </c>
      <c r="Y519">
        <f t="shared" si="94"/>
        <v>0</v>
      </c>
    </row>
    <row r="520" spans="1:25" x14ac:dyDescent="0.2">
      <c r="A520" t="s">
        <v>25</v>
      </c>
      <c r="B520" t="s">
        <v>549</v>
      </c>
      <c r="C520">
        <v>230</v>
      </c>
      <c r="D520">
        <v>50</v>
      </c>
      <c r="E520">
        <v>6</v>
      </c>
      <c r="F520">
        <v>3.5</v>
      </c>
      <c r="G520">
        <v>0</v>
      </c>
      <c r="H520">
        <v>15</v>
      </c>
      <c r="I520">
        <v>85</v>
      </c>
      <c r="J520">
        <v>41</v>
      </c>
      <c r="K520">
        <v>0</v>
      </c>
      <c r="L520">
        <v>41</v>
      </c>
      <c r="M520">
        <v>6</v>
      </c>
      <c r="N520">
        <v>268.5</v>
      </c>
      <c r="O520" s="3">
        <f t="shared" si="85"/>
        <v>2.6086956521739131</v>
      </c>
      <c r="P520">
        <f t="shared" si="86"/>
        <v>0</v>
      </c>
      <c r="Q520">
        <f t="shared" si="87"/>
        <v>0</v>
      </c>
      <c r="S520">
        <f t="shared" si="88"/>
        <v>-16.998913043478264</v>
      </c>
      <c r="T520">
        <f t="shared" si="89"/>
        <v>-0.875</v>
      </c>
      <c r="U520">
        <f t="shared" si="90"/>
        <v>-0.92391304347826086</v>
      </c>
      <c r="V520">
        <f t="shared" si="91"/>
        <v>-16.400000000000002</v>
      </c>
      <c r="W520">
        <f t="shared" si="92"/>
        <v>0</v>
      </c>
      <c r="X520">
        <f t="shared" si="93"/>
        <v>1.2</v>
      </c>
      <c r="Y520">
        <f t="shared" si="94"/>
        <v>0</v>
      </c>
    </row>
    <row r="521" spans="1:25" x14ac:dyDescent="0.2">
      <c r="A521" t="s">
        <v>25</v>
      </c>
      <c r="B521" t="s">
        <v>550</v>
      </c>
      <c r="C521">
        <v>270</v>
      </c>
      <c r="D521">
        <v>70</v>
      </c>
      <c r="E521">
        <v>8</v>
      </c>
      <c r="F521">
        <v>4.5</v>
      </c>
      <c r="G521">
        <v>0</v>
      </c>
      <c r="H521">
        <v>10</v>
      </c>
      <c r="I521">
        <v>140</v>
      </c>
      <c r="J521">
        <v>43</v>
      </c>
      <c r="K521">
        <v>0</v>
      </c>
      <c r="L521">
        <v>35</v>
      </c>
      <c r="M521">
        <v>7</v>
      </c>
      <c r="N521">
        <v>302.5</v>
      </c>
      <c r="O521" s="3">
        <f t="shared" si="85"/>
        <v>2.5925925925925926</v>
      </c>
      <c r="P521">
        <f t="shared" si="86"/>
        <v>0</v>
      </c>
      <c r="Q521">
        <f t="shared" si="87"/>
        <v>0</v>
      </c>
      <c r="S521">
        <f t="shared" si="88"/>
        <v>-15.246739130434781</v>
      </c>
      <c r="T521">
        <f t="shared" si="89"/>
        <v>-1.125</v>
      </c>
      <c r="U521">
        <f t="shared" si="90"/>
        <v>-1.5217391304347827</v>
      </c>
      <c r="V521">
        <f t="shared" si="91"/>
        <v>-13.999999999999998</v>
      </c>
      <c r="W521">
        <f t="shared" si="92"/>
        <v>0</v>
      </c>
      <c r="X521">
        <f t="shared" si="93"/>
        <v>1.4000000000000001</v>
      </c>
      <c r="Y521">
        <f t="shared" si="94"/>
        <v>0</v>
      </c>
    </row>
    <row r="522" spans="1:25" x14ac:dyDescent="0.2">
      <c r="A522" t="s">
        <v>25</v>
      </c>
      <c r="B522" t="s">
        <v>554</v>
      </c>
      <c r="C522">
        <v>430</v>
      </c>
      <c r="D522">
        <v>240</v>
      </c>
      <c r="E522">
        <v>27</v>
      </c>
      <c r="F522">
        <v>12</v>
      </c>
      <c r="G522">
        <v>0</v>
      </c>
      <c r="H522">
        <v>30</v>
      </c>
      <c r="I522">
        <v>1080</v>
      </c>
      <c r="J522">
        <v>34</v>
      </c>
      <c r="K522">
        <v>2</v>
      </c>
      <c r="L522">
        <v>2</v>
      </c>
      <c r="M522">
        <v>11</v>
      </c>
      <c r="N522">
        <v>433</v>
      </c>
      <c r="O522" s="3">
        <f t="shared" si="85"/>
        <v>2.558139534883721</v>
      </c>
      <c r="P522">
        <f t="shared" si="86"/>
        <v>1</v>
      </c>
      <c r="Q522">
        <f t="shared" si="87"/>
        <v>0</v>
      </c>
      <c r="S522">
        <f t="shared" si="88"/>
        <v>-12.624844720496897</v>
      </c>
      <c r="T522">
        <f t="shared" si="89"/>
        <v>-3</v>
      </c>
      <c r="U522">
        <f t="shared" si="90"/>
        <v>-11.739130434782609</v>
      </c>
      <c r="V522">
        <f t="shared" si="91"/>
        <v>-0.8</v>
      </c>
      <c r="W522">
        <f t="shared" si="92"/>
        <v>0</v>
      </c>
      <c r="X522">
        <f t="shared" si="93"/>
        <v>2.2000000000000002</v>
      </c>
      <c r="Y522">
        <f t="shared" si="94"/>
        <v>0.7142857142857143</v>
      </c>
    </row>
    <row r="523" spans="1:25" x14ac:dyDescent="0.2">
      <c r="A523" t="s">
        <v>25</v>
      </c>
      <c r="B523" t="s">
        <v>557</v>
      </c>
      <c r="C523">
        <v>160</v>
      </c>
      <c r="D523">
        <v>20</v>
      </c>
      <c r="E523">
        <v>2</v>
      </c>
      <c r="F523">
        <v>1</v>
      </c>
      <c r="G523">
        <v>0</v>
      </c>
      <c r="H523">
        <v>5</v>
      </c>
      <c r="I523">
        <v>85</v>
      </c>
      <c r="J523">
        <v>31</v>
      </c>
      <c r="K523">
        <v>1</v>
      </c>
      <c r="L523">
        <v>21</v>
      </c>
      <c r="M523">
        <v>4</v>
      </c>
      <c r="N523">
        <v>178</v>
      </c>
      <c r="O523" s="3">
        <f t="shared" si="85"/>
        <v>2.5</v>
      </c>
      <c r="P523">
        <f t="shared" si="86"/>
        <v>0</v>
      </c>
      <c r="Q523">
        <f t="shared" si="87"/>
        <v>0</v>
      </c>
      <c r="S523">
        <f t="shared" si="88"/>
        <v>-8.4167701863354019</v>
      </c>
      <c r="T523">
        <f t="shared" si="89"/>
        <v>-0.25</v>
      </c>
      <c r="U523">
        <f t="shared" si="90"/>
        <v>-0.92391304347826086</v>
      </c>
      <c r="V523">
        <f t="shared" si="91"/>
        <v>-8.4</v>
      </c>
      <c r="W523">
        <f t="shared" si="92"/>
        <v>0</v>
      </c>
      <c r="X523">
        <f t="shared" si="93"/>
        <v>0.8</v>
      </c>
      <c r="Y523">
        <f t="shared" si="94"/>
        <v>0.35714285714285715</v>
      </c>
    </row>
    <row r="524" spans="1:25" x14ac:dyDescent="0.2">
      <c r="A524" t="s">
        <v>25</v>
      </c>
      <c r="B524" t="s">
        <v>558</v>
      </c>
      <c r="C524">
        <v>200</v>
      </c>
      <c r="D524">
        <v>45</v>
      </c>
      <c r="E524">
        <v>5</v>
      </c>
      <c r="F524">
        <v>3</v>
      </c>
      <c r="G524">
        <v>0</v>
      </c>
      <c r="H524">
        <v>15</v>
      </c>
      <c r="I524">
        <v>125</v>
      </c>
      <c r="J524">
        <v>32</v>
      </c>
      <c r="K524">
        <v>0</v>
      </c>
      <c r="L524">
        <v>32</v>
      </c>
      <c r="M524">
        <v>5</v>
      </c>
      <c r="N524">
        <v>230</v>
      </c>
      <c r="O524" s="3">
        <f t="shared" si="85"/>
        <v>2.5</v>
      </c>
      <c r="P524">
        <f t="shared" si="86"/>
        <v>0</v>
      </c>
      <c r="Q524">
        <f t="shared" si="87"/>
        <v>0</v>
      </c>
      <c r="S524">
        <f t="shared" si="88"/>
        <v>-13.908695652173915</v>
      </c>
      <c r="T524">
        <f t="shared" si="89"/>
        <v>-0.75</v>
      </c>
      <c r="U524">
        <f t="shared" si="90"/>
        <v>-1.3586956521739131</v>
      </c>
      <c r="V524">
        <f t="shared" si="91"/>
        <v>-12.8</v>
      </c>
      <c r="W524">
        <f t="shared" si="92"/>
        <v>0</v>
      </c>
      <c r="X524">
        <f t="shared" si="93"/>
        <v>1.0000000000000002</v>
      </c>
      <c r="Y524">
        <f t="shared" si="94"/>
        <v>0</v>
      </c>
    </row>
    <row r="525" spans="1:25" x14ac:dyDescent="0.2">
      <c r="A525" t="s">
        <v>25</v>
      </c>
      <c r="B525" t="s">
        <v>559</v>
      </c>
      <c r="C525">
        <v>240</v>
      </c>
      <c r="D525">
        <v>50</v>
      </c>
      <c r="E525">
        <v>6</v>
      </c>
      <c r="F525">
        <v>3.5</v>
      </c>
      <c r="G525">
        <v>0</v>
      </c>
      <c r="H525">
        <v>20</v>
      </c>
      <c r="I525">
        <v>150</v>
      </c>
      <c r="J525">
        <v>41</v>
      </c>
      <c r="K525">
        <v>0</v>
      </c>
      <c r="L525">
        <v>40</v>
      </c>
      <c r="M525">
        <v>6</v>
      </c>
      <c r="N525">
        <v>277.5</v>
      </c>
      <c r="O525" s="3">
        <f t="shared" si="85"/>
        <v>2.5</v>
      </c>
      <c r="P525">
        <f t="shared" si="86"/>
        <v>0</v>
      </c>
      <c r="Q525">
        <f t="shared" si="87"/>
        <v>0</v>
      </c>
      <c r="S525">
        <f t="shared" si="88"/>
        <v>-17.3054347826087</v>
      </c>
      <c r="T525">
        <f t="shared" si="89"/>
        <v>-0.875</v>
      </c>
      <c r="U525">
        <f t="shared" si="90"/>
        <v>-1.6304347826086956</v>
      </c>
      <c r="V525">
        <f t="shared" si="91"/>
        <v>-16.000000000000004</v>
      </c>
      <c r="W525">
        <f t="shared" si="92"/>
        <v>0</v>
      </c>
      <c r="X525">
        <f t="shared" si="93"/>
        <v>1.2</v>
      </c>
      <c r="Y525">
        <f t="shared" si="94"/>
        <v>0</v>
      </c>
    </row>
    <row r="526" spans="1:25" x14ac:dyDescent="0.2">
      <c r="A526" t="s">
        <v>25</v>
      </c>
      <c r="B526" t="s">
        <v>560</v>
      </c>
      <c r="C526">
        <v>200</v>
      </c>
      <c r="D526">
        <v>45</v>
      </c>
      <c r="E526">
        <v>5</v>
      </c>
      <c r="F526">
        <v>3</v>
      </c>
      <c r="G526">
        <v>0</v>
      </c>
      <c r="H526">
        <v>15</v>
      </c>
      <c r="I526">
        <v>70</v>
      </c>
      <c r="J526">
        <v>34</v>
      </c>
      <c r="K526">
        <v>0</v>
      </c>
      <c r="L526">
        <v>34</v>
      </c>
      <c r="M526">
        <v>5</v>
      </c>
      <c r="N526">
        <v>232</v>
      </c>
      <c r="O526" s="3">
        <f t="shared" si="85"/>
        <v>2.5</v>
      </c>
      <c r="P526">
        <f t="shared" si="86"/>
        <v>0</v>
      </c>
      <c r="Q526">
        <f t="shared" si="87"/>
        <v>0</v>
      </c>
      <c r="S526">
        <f t="shared" si="88"/>
        <v>-14.110869565217392</v>
      </c>
      <c r="T526">
        <f t="shared" si="89"/>
        <v>-0.75</v>
      </c>
      <c r="U526">
        <f t="shared" si="90"/>
        <v>-0.76086956521739135</v>
      </c>
      <c r="V526">
        <f t="shared" si="91"/>
        <v>-13.600000000000001</v>
      </c>
      <c r="W526">
        <f t="shared" si="92"/>
        <v>0</v>
      </c>
      <c r="X526">
        <f t="shared" si="93"/>
        <v>1.0000000000000002</v>
      </c>
      <c r="Y526">
        <f t="shared" si="94"/>
        <v>0</v>
      </c>
    </row>
    <row r="527" spans="1:25" x14ac:dyDescent="0.2">
      <c r="A527" t="s">
        <v>25</v>
      </c>
      <c r="B527" t="s">
        <v>561</v>
      </c>
      <c r="C527">
        <v>240</v>
      </c>
      <c r="D527">
        <v>50</v>
      </c>
      <c r="E527">
        <v>6</v>
      </c>
      <c r="F527">
        <v>3.5</v>
      </c>
      <c r="G527">
        <v>0</v>
      </c>
      <c r="H527">
        <v>20</v>
      </c>
      <c r="I527">
        <v>85</v>
      </c>
      <c r="J527">
        <v>42</v>
      </c>
      <c r="K527">
        <v>0</v>
      </c>
      <c r="L527">
        <v>42</v>
      </c>
      <c r="M527">
        <v>6</v>
      </c>
      <c r="N527">
        <v>279.5</v>
      </c>
      <c r="O527" s="3">
        <f t="shared" si="85"/>
        <v>2.5</v>
      </c>
      <c r="P527">
        <f t="shared" si="86"/>
        <v>0</v>
      </c>
      <c r="Q527">
        <f t="shared" si="87"/>
        <v>0</v>
      </c>
      <c r="S527">
        <f t="shared" si="88"/>
        <v>-17.398913043478263</v>
      </c>
      <c r="T527">
        <f t="shared" si="89"/>
        <v>-0.875</v>
      </c>
      <c r="U527">
        <f t="shared" si="90"/>
        <v>-0.92391304347826086</v>
      </c>
      <c r="V527">
        <f t="shared" si="91"/>
        <v>-16.8</v>
      </c>
      <c r="W527">
        <f t="shared" si="92"/>
        <v>0</v>
      </c>
      <c r="X527">
        <f t="shared" si="93"/>
        <v>1.2</v>
      </c>
      <c r="Y527">
        <f t="shared" si="94"/>
        <v>0</v>
      </c>
    </row>
    <row r="528" spans="1:25" x14ac:dyDescent="0.2">
      <c r="A528" t="s">
        <v>25</v>
      </c>
      <c r="B528" t="s">
        <v>562</v>
      </c>
      <c r="C528">
        <v>200</v>
      </c>
      <c r="D528">
        <v>45</v>
      </c>
      <c r="E528">
        <v>5</v>
      </c>
      <c r="F528">
        <v>3</v>
      </c>
      <c r="G528">
        <v>0</v>
      </c>
      <c r="H528">
        <v>15</v>
      </c>
      <c r="I528">
        <v>70</v>
      </c>
      <c r="J528">
        <v>34</v>
      </c>
      <c r="K528">
        <v>0</v>
      </c>
      <c r="L528">
        <v>34</v>
      </c>
      <c r="M528">
        <v>5</v>
      </c>
      <c r="N528">
        <v>232</v>
      </c>
      <c r="O528" s="3">
        <f t="shared" si="85"/>
        <v>2.5</v>
      </c>
      <c r="P528">
        <f t="shared" si="86"/>
        <v>0</v>
      </c>
      <c r="Q528">
        <f t="shared" si="87"/>
        <v>0</v>
      </c>
      <c r="S528">
        <f t="shared" si="88"/>
        <v>-14.110869565217392</v>
      </c>
      <c r="T528">
        <f t="shared" si="89"/>
        <v>-0.75</v>
      </c>
      <c r="U528">
        <f t="shared" si="90"/>
        <v>-0.76086956521739135</v>
      </c>
      <c r="V528">
        <f t="shared" si="91"/>
        <v>-13.600000000000001</v>
      </c>
      <c r="W528">
        <f t="shared" si="92"/>
        <v>0</v>
      </c>
      <c r="X528">
        <f t="shared" si="93"/>
        <v>1.0000000000000002</v>
      </c>
      <c r="Y528">
        <f t="shared" si="94"/>
        <v>0</v>
      </c>
    </row>
    <row r="529" spans="1:25" x14ac:dyDescent="0.2">
      <c r="A529" t="s">
        <v>25</v>
      </c>
      <c r="B529" t="s">
        <v>563</v>
      </c>
      <c r="C529">
        <v>240</v>
      </c>
      <c r="D529">
        <v>50</v>
      </c>
      <c r="E529">
        <v>6</v>
      </c>
      <c r="F529">
        <v>3.5</v>
      </c>
      <c r="G529">
        <v>0</v>
      </c>
      <c r="H529">
        <v>20</v>
      </c>
      <c r="I529">
        <v>85</v>
      </c>
      <c r="J529">
        <v>42</v>
      </c>
      <c r="K529">
        <v>0</v>
      </c>
      <c r="L529">
        <v>42</v>
      </c>
      <c r="M529">
        <v>6</v>
      </c>
      <c r="N529">
        <v>279.5</v>
      </c>
      <c r="O529" s="3">
        <f t="shared" si="85"/>
        <v>2.5</v>
      </c>
      <c r="P529">
        <f t="shared" si="86"/>
        <v>0</v>
      </c>
      <c r="Q529">
        <f t="shared" si="87"/>
        <v>0</v>
      </c>
      <c r="S529">
        <f t="shared" si="88"/>
        <v>-17.398913043478263</v>
      </c>
      <c r="T529">
        <f t="shared" si="89"/>
        <v>-0.875</v>
      </c>
      <c r="U529">
        <f t="shared" si="90"/>
        <v>-0.92391304347826086</v>
      </c>
      <c r="V529">
        <f t="shared" si="91"/>
        <v>-16.8</v>
      </c>
      <c r="W529">
        <f t="shared" si="92"/>
        <v>0</v>
      </c>
      <c r="X529">
        <f t="shared" si="93"/>
        <v>1.2</v>
      </c>
      <c r="Y529">
        <f t="shared" si="94"/>
        <v>0</v>
      </c>
    </row>
    <row r="530" spans="1:25" x14ac:dyDescent="0.2">
      <c r="A530" t="s">
        <v>25</v>
      </c>
      <c r="B530" t="s">
        <v>564</v>
      </c>
      <c r="C530">
        <v>400</v>
      </c>
      <c r="D530">
        <v>130</v>
      </c>
      <c r="E530">
        <v>14</v>
      </c>
      <c r="F530">
        <v>8</v>
      </c>
      <c r="G530">
        <v>0.5</v>
      </c>
      <c r="H530">
        <v>30</v>
      </c>
      <c r="I530">
        <v>190</v>
      </c>
      <c r="J530">
        <v>58</v>
      </c>
      <c r="K530">
        <v>0</v>
      </c>
      <c r="L530">
        <v>49</v>
      </c>
      <c r="M530">
        <v>10</v>
      </c>
      <c r="N530">
        <v>447</v>
      </c>
      <c r="O530" s="3">
        <f t="shared" si="85"/>
        <v>2.5</v>
      </c>
      <c r="P530">
        <f t="shared" si="86"/>
        <v>0</v>
      </c>
      <c r="Q530">
        <f t="shared" si="87"/>
        <v>0</v>
      </c>
      <c r="S530">
        <f t="shared" si="88"/>
        <v>-21.665717391304348</v>
      </c>
      <c r="T530">
        <f t="shared" si="89"/>
        <v>-2</v>
      </c>
      <c r="U530">
        <f t="shared" si="90"/>
        <v>-2.0652173913043477</v>
      </c>
      <c r="V530">
        <f t="shared" si="91"/>
        <v>-19.600000000000001</v>
      </c>
      <c r="W530">
        <f t="shared" si="92"/>
        <v>-5.0000000000000001E-4</v>
      </c>
      <c r="X530">
        <f t="shared" si="93"/>
        <v>2.0000000000000004</v>
      </c>
      <c r="Y530">
        <f t="shared" si="94"/>
        <v>0</v>
      </c>
    </row>
    <row r="531" spans="1:25" x14ac:dyDescent="0.2">
      <c r="A531" t="s">
        <v>25</v>
      </c>
      <c r="B531" t="s">
        <v>565</v>
      </c>
      <c r="C531">
        <v>240</v>
      </c>
      <c r="D531">
        <v>100</v>
      </c>
      <c r="E531">
        <v>12</v>
      </c>
      <c r="F531">
        <v>7</v>
      </c>
      <c r="G531">
        <v>0</v>
      </c>
      <c r="H531">
        <v>25</v>
      </c>
      <c r="I531">
        <v>130</v>
      </c>
      <c r="J531">
        <v>29</v>
      </c>
      <c r="K531">
        <v>0</v>
      </c>
      <c r="L531">
        <v>26</v>
      </c>
      <c r="M531">
        <v>6</v>
      </c>
      <c r="N531">
        <v>267</v>
      </c>
      <c r="O531" s="3">
        <f t="shared" si="85"/>
        <v>2.5</v>
      </c>
      <c r="P531">
        <f t="shared" si="86"/>
        <v>0</v>
      </c>
      <c r="Q531">
        <f t="shared" si="87"/>
        <v>0</v>
      </c>
      <c r="S531">
        <f t="shared" si="88"/>
        <v>-12.36304347826087</v>
      </c>
      <c r="T531">
        <f t="shared" si="89"/>
        <v>-1.75</v>
      </c>
      <c r="U531">
        <f t="shared" si="90"/>
        <v>-1.4130434782608696</v>
      </c>
      <c r="V531">
        <f t="shared" si="91"/>
        <v>-10.4</v>
      </c>
      <c r="W531">
        <f t="shared" si="92"/>
        <v>0</v>
      </c>
      <c r="X531">
        <f t="shared" si="93"/>
        <v>1.2</v>
      </c>
      <c r="Y531">
        <f t="shared" si="94"/>
        <v>0</v>
      </c>
    </row>
    <row r="532" spans="1:25" x14ac:dyDescent="0.2">
      <c r="A532" t="s">
        <v>25</v>
      </c>
      <c r="B532" t="s">
        <v>566</v>
      </c>
      <c r="C532">
        <v>330</v>
      </c>
      <c r="D532">
        <v>90</v>
      </c>
      <c r="E532">
        <v>10</v>
      </c>
      <c r="F532">
        <v>7</v>
      </c>
      <c r="G532">
        <v>0</v>
      </c>
      <c r="H532">
        <v>25</v>
      </c>
      <c r="I532">
        <v>180</v>
      </c>
      <c r="J532">
        <v>54</v>
      </c>
      <c r="K532">
        <v>2</v>
      </c>
      <c r="L532">
        <v>48</v>
      </c>
      <c r="M532">
        <v>8</v>
      </c>
      <c r="N532">
        <v>377</v>
      </c>
      <c r="O532" s="3">
        <f t="shared" si="85"/>
        <v>2.4242424242424243</v>
      </c>
      <c r="P532">
        <f t="shared" si="86"/>
        <v>0</v>
      </c>
      <c r="Q532">
        <f t="shared" si="87"/>
        <v>0</v>
      </c>
      <c r="S532">
        <f t="shared" si="88"/>
        <v>-20.592236024844716</v>
      </c>
      <c r="T532">
        <f t="shared" si="89"/>
        <v>-1.75</v>
      </c>
      <c r="U532">
        <f t="shared" si="90"/>
        <v>-1.956521739130435</v>
      </c>
      <c r="V532">
        <f t="shared" si="91"/>
        <v>-19.2</v>
      </c>
      <c r="W532">
        <f t="shared" si="92"/>
        <v>0</v>
      </c>
      <c r="X532">
        <f t="shared" si="93"/>
        <v>1.6</v>
      </c>
      <c r="Y532">
        <f t="shared" si="94"/>
        <v>0.7142857142857143</v>
      </c>
    </row>
    <row r="533" spans="1:25" x14ac:dyDescent="0.2">
      <c r="A533" t="s">
        <v>25</v>
      </c>
      <c r="B533" t="s">
        <v>567</v>
      </c>
      <c r="C533">
        <v>290</v>
      </c>
      <c r="D533">
        <v>70</v>
      </c>
      <c r="E533">
        <v>8</v>
      </c>
      <c r="F533">
        <v>4.5</v>
      </c>
      <c r="G533">
        <v>0</v>
      </c>
      <c r="H533">
        <v>25</v>
      </c>
      <c r="I533">
        <v>105</v>
      </c>
      <c r="J533">
        <v>51</v>
      </c>
      <c r="K533">
        <v>0</v>
      </c>
      <c r="L533">
        <v>51</v>
      </c>
      <c r="M533">
        <v>7</v>
      </c>
      <c r="N533">
        <v>338.5</v>
      </c>
      <c r="O533" s="3">
        <f t="shared" si="85"/>
        <v>2.4137931034482758</v>
      </c>
      <c r="P533">
        <f t="shared" si="86"/>
        <v>0</v>
      </c>
      <c r="Q533">
        <f t="shared" si="87"/>
        <v>0</v>
      </c>
      <c r="S533">
        <f t="shared" si="88"/>
        <v>-21.26630434782609</v>
      </c>
      <c r="T533">
        <f t="shared" si="89"/>
        <v>-1.125</v>
      </c>
      <c r="U533">
        <f t="shared" si="90"/>
        <v>-1.1413043478260869</v>
      </c>
      <c r="V533">
        <f t="shared" si="91"/>
        <v>-20.400000000000002</v>
      </c>
      <c r="W533">
        <f t="shared" si="92"/>
        <v>0</v>
      </c>
      <c r="X533">
        <f t="shared" si="93"/>
        <v>1.4000000000000001</v>
      </c>
      <c r="Y533">
        <f t="shared" si="94"/>
        <v>0</v>
      </c>
    </row>
    <row r="534" spans="1:25" x14ac:dyDescent="0.2">
      <c r="A534" t="s">
        <v>25</v>
      </c>
      <c r="B534" t="s">
        <v>568</v>
      </c>
      <c r="C534">
        <v>290</v>
      </c>
      <c r="D534">
        <v>70</v>
      </c>
      <c r="E534">
        <v>8</v>
      </c>
      <c r="F534">
        <v>4.5</v>
      </c>
      <c r="G534">
        <v>0</v>
      </c>
      <c r="H534">
        <v>25</v>
      </c>
      <c r="I534">
        <v>105</v>
      </c>
      <c r="J534">
        <v>51</v>
      </c>
      <c r="K534">
        <v>0</v>
      </c>
      <c r="L534">
        <v>51</v>
      </c>
      <c r="M534">
        <v>7</v>
      </c>
      <c r="N534">
        <v>338.5</v>
      </c>
      <c r="O534" s="3">
        <f t="shared" si="85"/>
        <v>2.4137931034482758</v>
      </c>
      <c r="P534">
        <f t="shared" si="86"/>
        <v>0</v>
      </c>
      <c r="Q534">
        <f t="shared" si="87"/>
        <v>0</v>
      </c>
      <c r="S534">
        <f t="shared" si="88"/>
        <v>-21.26630434782609</v>
      </c>
      <c r="T534">
        <f t="shared" si="89"/>
        <v>-1.125</v>
      </c>
      <c r="U534">
        <f t="shared" si="90"/>
        <v>-1.1413043478260869</v>
      </c>
      <c r="V534">
        <f t="shared" si="91"/>
        <v>-20.400000000000002</v>
      </c>
      <c r="W534">
        <f t="shared" si="92"/>
        <v>0</v>
      </c>
      <c r="X534">
        <f t="shared" si="93"/>
        <v>1.4000000000000001</v>
      </c>
      <c r="Y534">
        <f t="shared" si="94"/>
        <v>0</v>
      </c>
    </row>
    <row r="535" spans="1:25" x14ac:dyDescent="0.2">
      <c r="A535" t="s">
        <v>25</v>
      </c>
      <c r="B535" t="s">
        <v>571</v>
      </c>
      <c r="C535">
        <v>420</v>
      </c>
      <c r="D535">
        <v>90</v>
      </c>
      <c r="E535">
        <v>10</v>
      </c>
      <c r="F535">
        <v>6</v>
      </c>
      <c r="G535">
        <v>0.5</v>
      </c>
      <c r="H535">
        <v>40</v>
      </c>
      <c r="I535">
        <v>130</v>
      </c>
      <c r="J535">
        <v>73</v>
      </c>
      <c r="K535">
        <v>0</v>
      </c>
      <c r="L535">
        <v>63</v>
      </c>
      <c r="M535">
        <v>10</v>
      </c>
      <c r="N535">
        <v>479</v>
      </c>
      <c r="O535" s="3">
        <f t="shared" si="85"/>
        <v>2.3809523809523809</v>
      </c>
      <c r="P535">
        <f t="shared" si="86"/>
        <v>0</v>
      </c>
      <c r="Q535">
        <f t="shared" si="87"/>
        <v>0</v>
      </c>
      <c r="S535">
        <f t="shared" si="88"/>
        <v>-26.113543478260869</v>
      </c>
      <c r="T535">
        <f t="shared" si="89"/>
        <v>-1.5</v>
      </c>
      <c r="U535">
        <f t="shared" si="90"/>
        <v>-1.4130434782608696</v>
      </c>
      <c r="V535">
        <f t="shared" si="91"/>
        <v>-25.2</v>
      </c>
      <c r="W535">
        <f t="shared" si="92"/>
        <v>-5.0000000000000001E-4</v>
      </c>
      <c r="X535">
        <f t="shared" si="93"/>
        <v>2.0000000000000004</v>
      </c>
      <c r="Y535">
        <f t="shared" si="94"/>
        <v>0</v>
      </c>
    </row>
    <row r="536" spans="1:25" x14ac:dyDescent="0.2">
      <c r="A536" t="s">
        <v>25</v>
      </c>
      <c r="B536" t="s">
        <v>574</v>
      </c>
      <c r="C536">
        <v>550</v>
      </c>
      <c r="D536">
        <v>120</v>
      </c>
      <c r="E536">
        <v>13</v>
      </c>
      <c r="F536">
        <v>8</v>
      </c>
      <c r="G536">
        <v>1</v>
      </c>
      <c r="H536">
        <v>50</v>
      </c>
      <c r="I536">
        <v>190</v>
      </c>
      <c r="J536">
        <v>96</v>
      </c>
      <c r="K536">
        <v>0</v>
      </c>
      <c r="L536">
        <v>72</v>
      </c>
      <c r="M536">
        <v>13</v>
      </c>
      <c r="N536">
        <v>617</v>
      </c>
      <c r="O536" s="3">
        <f t="shared" si="85"/>
        <v>2.3636363636363638</v>
      </c>
      <c r="P536">
        <f t="shared" si="86"/>
        <v>0</v>
      </c>
      <c r="Q536">
        <f t="shared" si="87"/>
        <v>0</v>
      </c>
      <c r="S536">
        <f t="shared" si="88"/>
        <v>-30.266217391304338</v>
      </c>
      <c r="T536">
        <f t="shared" si="89"/>
        <v>-2</v>
      </c>
      <c r="U536">
        <f t="shared" si="90"/>
        <v>-2.0652173913043477</v>
      </c>
      <c r="V536">
        <f t="shared" si="91"/>
        <v>-28.799999999999997</v>
      </c>
      <c r="W536">
        <f t="shared" si="92"/>
        <v>-1E-3</v>
      </c>
      <c r="X536">
        <f t="shared" si="93"/>
        <v>2.6</v>
      </c>
      <c r="Y536">
        <f t="shared" si="94"/>
        <v>0</v>
      </c>
    </row>
    <row r="537" spans="1:25" x14ac:dyDescent="0.2">
      <c r="A537" t="s">
        <v>25</v>
      </c>
      <c r="B537" t="s">
        <v>575</v>
      </c>
      <c r="C537">
        <v>340</v>
      </c>
      <c r="D537">
        <v>100</v>
      </c>
      <c r="E537">
        <v>12</v>
      </c>
      <c r="F537">
        <v>6</v>
      </c>
      <c r="G537">
        <v>0</v>
      </c>
      <c r="H537">
        <v>30</v>
      </c>
      <c r="I537">
        <v>200</v>
      </c>
      <c r="J537">
        <v>53</v>
      </c>
      <c r="K537">
        <v>2</v>
      </c>
      <c r="L537">
        <v>43</v>
      </c>
      <c r="M537">
        <v>8</v>
      </c>
      <c r="N537">
        <v>381</v>
      </c>
      <c r="O537" s="3">
        <f t="shared" si="85"/>
        <v>2.3529411764705883</v>
      </c>
      <c r="P537">
        <f t="shared" si="86"/>
        <v>0</v>
      </c>
      <c r="Q537">
        <f t="shared" si="87"/>
        <v>0</v>
      </c>
      <c r="S537">
        <f t="shared" si="88"/>
        <v>-18.559627329192548</v>
      </c>
      <c r="T537">
        <f t="shared" si="89"/>
        <v>-1.5</v>
      </c>
      <c r="U537">
        <f t="shared" si="90"/>
        <v>-2.1739130434782608</v>
      </c>
      <c r="V537">
        <f t="shared" si="91"/>
        <v>-17.200000000000003</v>
      </c>
      <c r="W537">
        <f t="shared" si="92"/>
        <v>0</v>
      </c>
      <c r="X537">
        <f t="shared" si="93"/>
        <v>1.6</v>
      </c>
      <c r="Y537">
        <f t="shared" si="94"/>
        <v>0.7142857142857143</v>
      </c>
    </row>
    <row r="538" spans="1:25" x14ac:dyDescent="0.2">
      <c r="A538" t="s">
        <v>25</v>
      </c>
      <c r="B538" t="s">
        <v>580</v>
      </c>
      <c r="C538">
        <v>770</v>
      </c>
      <c r="D538">
        <v>160</v>
      </c>
      <c r="E538">
        <v>18</v>
      </c>
      <c r="F538">
        <v>11</v>
      </c>
      <c r="G538">
        <v>1</v>
      </c>
      <c r="H538">
        <v>70</v>
      </c>
      <c r="I538">
        <v>330</v>
      </c>
      <c r="J538">
        <v>134</v>
      </c>
      <c r="K538">
        <v>1</v>
      </c>
      <c r="L538">
        <v>111</v>
      </c>
      <c r="M538">
        <v>18</v>
      </c>
      <c r="N538">
        <v>874</v>
      </c>
      <c r="O538" s="3">
        <f t="shared" si="85"/>
        <v>2.3376623376623376</v>
      </c>
      <c r="P538">
        <f t="shared" si="86"/>
        <v>0</v>
      </c>
      <c r="Q538">
        <f t="shared" si="87"/>
        <v>0</v>
      </c>
      <c r="S538">
        <f t="shared" si="88"/>
        <v>-46.78081366459628</v>
      </c>
      <c r="T538">
        <f t="shared" si="89"/>
        <v>-2.75</v>
      </c>
      <c r="U538">
        <f t="shared" si="90"/>
        <v>-3.5869565217391304</v>
      </c>
      <c r="V538">
        <f t="shared" si="91"/>
        <v>-44.400000000000006</v>
      </c>
      <c r="W538">
        <f t="shared" si="92"/>
        <v>-1E-3</v>
      </c>
      <c r="X538">
        <f t="shared" si="93"/>
        <v>3.5999999999999996</v>
      </c>
      <c r="Y538">
        <f t="shared" si="94"/>
        <v>0.35714285714285715</v>
      </c>
    </row>
    <row r="539" spans="1:25" x14ac:dyDescent="0.2">
      <c r="A539" t="s">
        <v>25</v>
      </c>
      <c r="B539" t="s">
        <v>583</v>
      </c>
      <c r="C539">
        <v>1160</v>
      </c>
      <c r="D539">
        <v>240</v>
      </c>
      <c r="E539">
        <v>27</v>
      </c>
      <c r="F539">
        <v>16</v>
      </c>
      <c r="G539">
        <v>2</v>
      </c>
      <c r="H539">
        <v>100</v>
      </c>
      <c r="I539">
        <v>510</v>
      </c>
      <c r="J539">
        <v>203</v>
      </c>
      <c r="K539">
        <v>2</v>
      </c>
      <c r="L539">
        <v>168</v>
      </c>
      <c r="M539">
        <v>27</v>
      </c>
      <c r="N539">
        <v>1317</v>
      </c>
      <c r="O539" s="3">
        <f t="shared" si="85"/>
        <v>2.327586206896552</v>
      </c>
      <c r="P539">
        <f t="shared" si="86"/>
        <v>1</v>
      </c>
      <c r="Q539">
        <f t="shared" si="87"/>
        <v>0</v>
      </c>
      <c r="S539">
        <f t="shared" si="88"/>
        <v>-70.631192546583847</v>
      </c>
      <c r="T539">
        <f t="shared" si="89"/>
        <v>-4</v>
      </c>
      <c r="U539">
        <f t="shared" si="90"/>
        <v>-5.5434782608695654</v>
      </c>
      <c r="V539">
        <f t="shared" si="91"/>
        <v>-67.2</v>
      </c>
      <c r="W539">
        <f t="shared" si="92"/>
        <v>-2E-3</v>
      </c>
      <c r="X539">
        <f t="shared" si="93"/>
        <v>5.4</v>
      </c>
      <c r="Y539">
        <f t="shared" si="94"/>
        <v>0.7142857142857143</v>
      </c>
    </row>
    <row r="540" spans="1:25" x14ac:dyDescent="0.2">
      <c r="A540" t="s">
        <v>25</v>
      </c>
      <c r="B540" t="s">
        <v>584</v>
      </c>
      <c r="C540">
        <v>560</v>
      </c>
      <c r="D540">
        <v>120</v>
      </c>
      <c r="E540">
        <v>13</v>
      </c>
      <c r="F540">
        <v>8</v>
      </c>
      <c r="G540">
        <v>1</v>
      </c>
      <c r="H540">
        <v>50</v>
      </c>
      <c r="I540">
        <v>170</v>
      </c>
      <c r="J540">
        <v>97</v>
      </c>
      <c r="K540">
        <v>0</v>
      </c>
      <c r="L540">
        <v>84</v>
      </c>
      <c r="M540">
        <v>13</v>
      </c>
      <c r="N540">
        <v>639</v>
      </c>
      <c r="O540" s="3">
        <f t="shared" si="85"/>
        <v>2.3214285714285716</v>
      </c>
      <c r="P540">
        <f t="shared" si="86"/>
        <v>0</v>
      </c>
      <c r="Q540">
        <f t="shared" si="87"/>
        <v>0</v>
      </c>
      <c r="S540">
        <f t="shared" si="88"/>
        <v>-34.848826086956521</v>
      </c>
      <c r="T540">
        <f t="shared" si="89"/>
        <v>-2</v>
      </c>
      <c r="U540">
        <f t="shared" si="90"/>
        <v>-1.8478260869565217</v>
      </c>
      <c r="V540">
        <f t="shared" si="91"/>
        <v>-33.6</v>
      </c>
      <c r="W540">
        <f t="shared" si="92"/>
        <v>-1E-3</v>
      </c>
      <c r="X540">
        <f t="shared" si="93"/>
        <v>2.6</v>
      </c>
      <c r="Y540">
        <f t="shared" si="94"/>
        <v>0</v>
      </c>
    </row>
    <row r="541" spans="1:25" x14ac:dyDescent="0.2">
      <c r="A541" t="s">
        <v>25</v>
      </c>
      <c r="B541" t="s">
        <v>586</v>
      </c>
      <c r="C541">
        <v>740</v>
      </c>
      <c r="D541">
        <v>160</v>
      </c>
      <c r="E541">
        <v>18</v>
      </c>
      <c r="F541">
        <v>11</v>
      </c>
      <c r="G541">
        <v>1</v>
      </c>
      <c r="H541">
        <v>70</v>
      </c>
      <c r="I541">
        <v>230</v>
      </c>
      <c r="J541">
        <v>128</v>
      </c>
      <c r="K541">
        <v>0</v>
      </c>
      <c r="L541">
        <v>111</v>
      </c>
      <c r="M541">
        <v>17</v>
      </c>
      <c r="N541">
        <v>845</v>
      </c>
      <c r="O541" s="3">
        <f t="shared" si="85"/>
        <v>2.2972972972972974</v>
      </c>
      <c r="P541">
        <f t="shared" si="86"/>
        <v>0</v>
      </c>
      <c r="Q541">
        <f t="shared" si="87"/>
        <v>0</v>
      </c>
      <c r="S541">
        <f t="shared" si="88"/>
        <v>-46.251000000000005</v>
      </c>
      <c r="T541">
        <f t="shared" si="89"/>
        <v>-2.75</v>
      </c>
      <c r="U541">
        <f t="shared" si="90"/>
        <v>-2.5</v>
      </c>
      <c r="V541">
        <f t="shared" si="91"/>
        <v>-44.400000000000006</v>
      </c>
      <c r="W541">
        <f t="shared" si="92"/>
        <v>-1E-3</v>
      </c>
      <c r="X541">
        <f t="shared" si="93"/>
        <v>3.4000000000000004</v>
      </c>
      <c r="Y541">
        <f t="shared" si="94"/>
        <v>0</v>
      </c>
    </row>
    <row r="542" spans="1:25" x14ac:dyDescent="0.2">
      <c r="A542" t="s">
        <v>25</v>
      </c>
      <c r="B542" t="s">
        <v>587</v>
      </c>
      <c r="C542">
        <v>740</v>
      </c>
      <c r="D542">
        <v>160</v>
      </c>
      <c r="E542">
        <v>18</v>
      </c>
      <c r="F542">
        <v>11</v>
      </c>
      <c r="G542">
        <v>1</v>
      </c>
      <c r="H542">
        <v>70</v>
      </c>
      <c r="I542">
        <v>250</v>
      </c>
      <c r="J542">
        <v>128</v>
      </c>
      <c r="K542">
        <v>0</v>
      </c>
      <c r="L542">
        <v>96</v>
      </c>
      <c r="M542">
        <v>17</v>
      </c>
      <c r="N542">
        <v>830</v>
      </c>
      <c r="O542" s="3">
        <f t="shared" si="85"/>
        <v>2.2972972972972974</v>
      </c>
      <c r="P542">
        <f t="shared" si="86"/>
        <v>0</v>
      </c>
      <c r="Q542">
        <f t="shared" si="87"/>
        <v>0</v>
      </c>
      <c r="S542">
        <f t="shared" si="88"/>
        <v>-40.468391304347826</v>
      </c>
      <c r="T542">
        <f t="shared" si="89"/>
        <v>-2.75</v>
      </c>
      <c r="U542">
        <f t="shared" si="90"/>
        <v>-2.7173913043478262</v>
      </c>
      <c r="V542">
        <f t="shared" si="91"/>
        <v>-38.4</v>
      </c>
      <c r="W542">
        <f t="shared" si="92"/>
        <v>-1E-3</v>
      </c>
      <c r="X542">
        <f t="shared" si="93"/>
        <v>3.4000000000000004</v>
      </c>
      <c r="Y542">
        <f t="shared" si="94"/>
        <v>0</v>
      </c>
    </row>
    <row r="543" spans="1:25" x14ac:dyDescent="0.2">
      <c r="A543" t="s">
        <v>25</v>
      </c>
      <c r="B543" t="s">
        <v>590</v>
      </c>
      <c r="C543">
        <v>480</v>
      </c>
      <c r="D543">
        <v>280</v>
      </c>
      <c r="E543">
        <v>31</v>
      </c>
      <c r="F543">
        <v>13</v>
      </c>
      <c r="G543">
        <v>0</v>
      </c>
      <c r="H543">
        <v>30</v>
      </c>
      <c r="I543">
        <v>1190</v>
      </c>
      <c r="J543">
        <v>39</v>
      </c>
      <c r="K543">
        <v>3</v>
      </c>
      <c r="L543">
        <v>3</v>
      </c>
      <c r="M543">
        <v>11</v>
      </c>
      <c r="N543">
        <v>485</v>
      </c>
      <c r="O543" s="3">
        <f t="shared" si="85"/>
        <v>2.2916666666666665</v>
      </c>
      <c r="P543">
        <f t="shared" si="86"/>
        <v>1</v>
      </c>
      <c r="Q543">
        <f t="shared" si="87"/>
        <v>0</v>
      </c>
      <c r="S543">
        <f t="shared" si="88"/>
        <v>-14.113354037267081</v>
      </c>
      <c r="T543">
        <f t="shared" si="89"/>
        <v>-3.25</v>
      </c>
      <c r="U543">
        <f t="shared" si="90"/>
        <v>-12.934782608695652</v>
      </c>
      <c r="V543">
        <f t="shared" si="91"/>
        <v>-1.2</v>
      </c>
      <c r="W543">
        <f t="shared" si="92"/>
        <v>0</v>
      </c>
      <c r="X543">
        <f t="shared" si="93"/>
        <v>2.2000000000000002</v>
      </c>
      <c r="Y543">
        <f t="shared" si="94"/>
        <v>1.0714285714285714</v>
      </c>
    </row>
    <row r="544" spans="1:25" x14ac:dyDescent="0.2">
      <c r="A544" t="s">
        <v>25</v>
      </c>
      <c r="B544" t="s">
        <v>591</v>
      </c>
      <c r="C544">
        <v>350</v>
      </c>
      <c r="D544">
        <v>80</v>
      </c>
      <c r="E544">
        <v>9</v>
      </c>
      <c r="F544">
        <v>2</v>
      </c>
      <c r="G544">
        <v>0</v>
      </c>
      <c r="H544">
        <v>20</v>
      </c>
      <c r="I544">
        <v>590</v>
      </c>
      <c r="J544">
        <v>60</v>
      </c>
      <c r="K544">
        <v>3</v>
      </c>
      <c r="L544">
        <v>14</v>
      </c>
      <c r="M544">
        <v>8</v>
      </c>
      <c r="N544">
        <v>358</v>
      </c>
      <c r="O544" s="3">
        <f t="shared" si="85"/>
        <v>2.2857142857142856</v>
      </c>
      <c r="P544">
        <f t="shared" si="86"/>
        <v>1</v>
      </c>
      <c r="Q544">
        <f t="shared" si="87"/>
        <v>0</v>
      </c>
      <c r="S544">
        <f t="shared" si="88"/>
        <v>-9.8416149068322998</v>
      </c>
      <c r="T544">
        <f t="shared" si="89"/>
        <v>-0.5</v>
      </c>
      <c r="U544">
        <f t="shared" si="90"/>
        <v>-6.4130434782608701</v>
      </c>
      <c r="V544">
        <f t="shared" si="91"/>
        <v>-5.6000000000000005</v>
      </c>
      <c r="W544">
        <f t="shared" si="92"/>
        <v>0</v>
      </c>
      <c r="X544">
        <f t="shared" si="93"/>
        <v>1.6</v>
      </c>
      <c r="Y544">
        <f t="shared" si="94"/>
        <v>1.0714285714285714</v>
      </c>
    </row>
    <row r="545" spans="1:25" x14ac:dyDescent="0.2">
      <c r="A545" t="s">
        <v>25</v>
      </c>
      <c r="B545" t="s">
        <v>592</v>
      </c>
      <c r="C545">
        <v>440</v>
      </c>
      <c r="D545">
        <v>90</v>
      </c>
      <c r="E545">
        <v>10</v>
      </c>
      <c r="F545">
        <v>6</v>
      </c>
      <c r="G545">
        <v>0.5</v>
      </c>
      <c r="H545">
        <v>40</v>
      </c>
      <c r="I545">
        <v>190</v>
      </c>
      <c r="J545">
        <v>76</v>
      </c>
      <c r="K545">
        <v>1</v>
      </c>
      <c r="L545">
        <v>63</v>
      </c>
      <c r="M545">
        <v>10</v>
      </c>
      <c r="N545">
        <v>499</v>
      </c>
      <c r="O545" s="3">
        <f t="shared" si="85"/>
        <v>2.2727272727272729</v>
      </c>
      <c r="P545">
        <f t="shared" si="86"/>
        <v>0</v>
      </c>
      <c r="Q545">
        <f t="shared" si="87"/>
        <v>0</v>
      </c>
      <c r="S545">
        <f t="shared" si="88"/>
        <v>-26.408574534161488</v>
      </c>
      <c r="T545">
        <f t="shared" si="89"/>
        <v>-1.5</v>
      </c>
      <c r="U545">
        <f t="shared" si="90"/>
        <v>-2.0652173913043477</v>
      </c>
      <c r="V545">
        <f t="shared" si="91"/>
        <v>-25.2</v>
      </c>
      <c r="W545">
        <f t="shared" si="92"/>
        <v>-5.0000000000000001E-4</v>
      </c>
      <c r="X545">
        <f t="shared" si="93"/>
        <v>2.0000000000000004</v>
      </c>
      <c r="Y545">
        <f t="shared" si="94"/>
        <v>0.35714285714285715</v>
      </c>
    </row>
    <row r="546" spans="1:25" x14ac:dyDescent="0.2">
      <c r="A546" t="s">
        <v>25</v>
      </c>
      <c r="B546" t="s">
        <v>593</v>
      </c>
      <c r="C546">
        <v>310</v>
      </c>
      <c r="D546">
        <v>120</v>
      </c>
      <c r="E546">
        <v>13</v>
      </c>
      <c r="F546">
        <v>8</v>
      </c>
      <c r="G546">
        <v>0</v>
      </c>
      <c r="H546">
        <v>25</v>
      </c>
      <c r="I546">
        <v>140</v>
      </c>
      <c r="J546">
        <v>42</v>
      </c>
      <c r="K546">
        <v>0</v>
      </c>
      <c r="L546">
        <v>35</v>
      </c>
      <c r="M546">
        <v>7</v>
      </c>
      <c r="N546">
        <v>346</v>
      </c>
      <c r="O546" s="3">
        <f t="shared" si="85"/>
        <v>2.258064516129032</v>
      </c>
      <c r="P546">
        <f t="shared" si="86"/>
        <v>0</v>
      </c>
      <c r="Q546">
        <f t="shared" si="87"/>
        <v>0</v>
      </c>
      <c r="S546">
        <f t="shared" si="88"/>
        <v>-16.121739130434783</v>
      </c>
      <c r="T546">
        <f t="shared" si="89"/>
        <v>-2</v>
      </c>
      <c r="U546">
        <f t="shared" si="90"/>
        <v>-1.5217391304347827</v>
      </c>
      <c r="V546">
        <f t="shared" si="91"/>
        <v>-13.999999999999998</v>
      </c>
      <c r="W546">
        <f t="shared" si="92"/>
        <v>0</v>
      </c>
      <c r="X546">
        <f t="shared" si="93"/>
        <v>1.4000000000000001</v>
      </c>
      <c r="Y546">
        <f t="shared" si="94"/>
        <v>0</v>
      </c>
    </row>
    <row r="547" spans="1:25" x14ac:dyDescent="0.2">
      <c r="A547" t="s">
        <v>25</v>
      </c>
      <c r="B547" t="s">
        <v>594</v>
      </c>
      <c r="C547">
        <v>1110</v>
      </c>
      <c r="D547">
        <v>240</v>
      </c>
      <c r="E547">
        <v>26</v>
      </c>
      <c r="F547">
        <v>16</v>
      </c>
      <c r="G547">
        <v>2</v>
      </c>
      <c r="H547">
        <v>100</v>
      </c>
      <c r="I547">
        <v>350</v>
      </c>
      <c r="J547">
        <v>194</v>
      </c>
      <c r="K547">
        <v>0</v>
      </c>
      <c r="L547">
        <v>168</v>
      </c>
      <c r="M547">
        <v>25</v>
      </c>
      <c r="N547">
        <v>1269</v>
      </c>
      <c r="O547" s="3">
        <f t="shared" si="85"/>
        <v>2.2522522522522523</v>
      </c>
      <c r="P547">
        <f t="shared" si="86"/>
        <v>0</v>
      </c>
      <c r="Q547">
        <f t="shared" si="87"/>
        <v>0</v>
      </c>
      <c r="S547">
        <f t="shared" si="88"/>
        <v>-70.006347826086952</v>
      </c>
      <c r="T547">
        <f t="shared" si="89"/>
        <v>-4</v>
      </c>
      <c r="U547">
        <f t="shared" si="90"/>
        <v>-3.804347826086957</v>
      </c>
      <c r="V547">
        <f t="shared" si="91"/>
        <v>-67.2</v>
      </c>
      <c r="W547">
        <f t="shared" si="92"/>
        <v>-2E-3</v>
      </c>
      <c r="X547">
        <f t="shared" si="93"/>
        <v>5</v>
      </c>
      <c r="Y547">
        <f t="shared" si="94"/>
        <v>0</v>
      </c>
    </row>
    <row r="548" spans="1:25" x14ac:dyDescent="0.2">
      <c r="A548" t="s">
        <v>25</v>
      </c>
      <c r="B548" t="s">
        <v>595</v>
      </c>
      <c r="C548">
        <v>1110</v>
      </c>
      <c r="D548">
        <v>240</v>
      </c>
      <c r="E548">
        <v>26</v>
      </c>
      <c r="F548">
        <v>16</v>
      </c>
      <c r="G548">
        <v>2</v>
      </c>
      <c r="H548">
        <v>100</v>
      </c>
      <c r="I548">
        <v>370</v>
      </c>
      <c r="J548">
        <v>193</v>
      </c>
      <c r="K548">
        <v>0</v>
      </c>
      <c r="L548">
        <v>145</v>
      </c>
      <c r="M548">
        <v>25</v>
      </c>
      <c r="N548">
        <v>1246</v>
      </c>
      <c r="O548" s="3">
        <f t="shared" si="85"/>
        <v>2.2522522522522523</v>
      </c>
      <c r="P548">
        <f t="shared" si="86"/>
        <v>0</v>
      </c>
      <c r="Q548">
        <f t="shared" si="87"/>
        <v>0</v>
      </c>
      <c r="S548">
        <f t="shared" si="88"/>
        <v>-61.023739130434777</v>
      </c>
      <c r="T548">
        <f t="shared" si="89"/>
        <v>-4</v>
      </c>
      <c r="U548">
        <f t="shared" si="90"/>
        <v>-4.0217391304347823</v>
      </c>
      <c r="V548">
        <f t="shared" si="91"/>
        <v>-57.999999999999993</v>
      </c>
      <c r="W548">
        <f t="shared" si="92"/>
        <v>-2E-3</v>
      </c>
      <c r="X548">
        <f t="shared" si="93"/>
        <v>5</v>
      </c>
      <c r="Y548">
        <f t="shared" si="94"/>
        <v>0</v>
      </c>
    </row>
    <row r="549" spans="1:25" x14ac:dyDescent="0.2">
      <c r="A549" t="s">
        <v>25</v>
      </c>
      <c r="B549" t="s">
        <v>598</v>
      </c>
      <c r="C549">
        <v>580</v>
      </c>
      <c r="D549">
        <v>170</v>
      </c>
      <c r="E549">
        <v>19</v>
      </c>
      <c r="F549">
        <v>10</v>
      </c>
      <c r="G549">
        <v>1</v>
      </c>
      <c r="H549">
        <v>50</v>
      </c>
      <c r="I549">
        <v>320</v>
      </c>
      <c r="J549">
        <v>89</v>
      </c>
      <c r="K549">
        <v>3</v>
      </c>
      <c r="L549">
        <v>73</v>
      </c>
      <c r="M549">
        <v>13</v>
      </c>
      <c r="N549">
        <v>650</v>
      </c>
      <c r="O549" s="3">
        <f t="shared" si="85"/>
        <v>2.2413793103448274</v>
      </c>
      <c r="P549">
        <f t="shared" si="86"/>
        <v>0</v>
      </c>
      <c r="Q549">
        <f t="shared" si="87"/>
        <v>0</v>
      </c>
      <c r="S549">
        <f t="shared" si="88"/>
        <v>-31.507832298136638</v>
      </c>
      <c r="T549">
        <f t="shared" si="89"/>
        <v>-2.5</v>
      </c>
      <c r="U549">
        <f t="shared" si="90"/>
        <v>-3.4782608695652173</v>
      </c>
      <c r="V549">
        <f t="shared" si="91"/>
        <v>-29.2</v>
      </c>
      <c r="W549">
        <f t="shared" si="92"/>
        <v>-1E-3</v>
      </c>
      <c r="X549">
        <f t="shared" si="93"/>
        <v>2.6</v>
      </c>
      <c r="Y549">
        <f t="shared" si="94"/>
        <v>1.0714285714285714</v>
      </c>
    </row>
    <row r="550" spans="1:25" x14ac:dyDescent="0.2">
      <c r="A550" t="s">
        <v>25</v>
      </c>
      <c r="B550" t="s">
        <v>599</v>
      </c>
      <c r="C550">
        <v>580</v>
      </c>
      <c r="D550">
        <v>120</v>
      </c>
      <c r="E550">
        <v>14</v>
      </c>
      <c r="F550">
        <v>8</v>
      </c>
      <c r="G550">
        <v>1</v>
      </c>
      <c r="H550">
        <v>50</v>
      </c>
      <c r="I550">
        <v>250</v>
      </c>
      <c r="J550">
        <v>102</v>
      </c>
      <c r="K550">
        <v>1</v>
      </c>
      <c r="L550">
        <v>84</v>
      </c>
      <c r="M550">
        <v>13</v>
      </c>
      <c r="N550">
        <v>659</v>
      </c>
      <c r="O550" s="3">
        <f t="shared" si="85"/>
        <v>2.2413793103448274</v>
      </c>
      <c r="P550">
        <f t="shared" si="86"/>
        <v>0</v>
      </c>
      <c r="Q550">
        <f t="shared" si="87"/>
        <v>0</v>
      </c>
      <c r="S550">
        <f t="shared" si="88"/>
        <v>-35.361248447204972</v>
      </c>
      <c r="T550">
        <f t="shared" si="89"/>
        <v>-2</v>
      </c>
      <c r="U550">
        <f t="shared" si="90"/>
        <v>-2.7173913043478262</v>
      </c>
      <c r="V550">
        <f t="shared" si="91"/>
        <v>-33.6</v>
      </c>
      <c r="W550">
        <f t="shared" si="92"/>
        <v>-1E-3</v>
      </c>
      <c r="X550">
        <f t="shared" si="93"/>
        <v>2.6</v>
      </c>
      <c r="Y550">
        <f t="shared" si="94"/>
        <v>0.35714285714285715</v>
      </c>
    </row>
    <row r="551" spans="1:25" x14ac:dyDescent="0.2">
      <c r="A551" t="s">
        <v>25</v>
      </c>
      <c r="B551" t="s">
        <v>600</v>
      </c>
      <c r="C551">
        <v>45</v>
      </c>
      <c r="D551">
        <v>10</v>
      </c>
      <c r="E551">
        <v>1</v>
      </c>
      <c r="F551">
        <v>0.5</v>
      </c>
      <c r="G551">
        <v>0</v>
      </c>
      <c r="H551">
        <v>5</v>
      </c>
      <c r="I551">
        <v>20</v>
      </c>
      <c r="J551">
        <v>8</v>
      </c>
      <c r="K551">
        <v>0</v>
      </c>
      <c r="L551">
        <v>6</v>
      </c>
      <c r="M551">
        <v>1</v>
      </c>
      <c r="N551">
        <v>50.5</v>
      </c>
      <c r="O551" s="3">
        <f t="shared" si="85"/>
        <v>2.2222222222222223</v>
      </c>
      <c r="P551">
        <f t="shared" si="86"/>
        <v>0</v>
      </c>
      <c r="Q551">
        <f t="shared" si="87"/>
        <v>0</v>
      </c>
      <c r="S551">
        <f t="shared" si="88"/>
        <v>-2.5423913043478259</v>
      </c>
      <c r="T551">
        <f t="shared" si="89"/>
        <v>-0.125</v>
      </c>
      <c r="U551">
        <f t="shared" si="90"/>
        <v>-0.21739130434782608</v>
      </c>
      <c r="V551">
        <f t="shared" si="91"/>
        <v>-2.4</v>
      </c>
      <c r="W551">
        <f t="shared" si="92"/>
        <v>0</v>
      </c>
      <c r="X551">
        <f t="shared" si="93"/>
        <v>0.2</v>
      </c>
      <c r="Y551">
        <f t="shared" si="94"/>
        <v>0</v>
      </c>
    </row>
    <row r="552" spans="1:25" x14ac:dyDescent="0.2">
      <c r="A552" t="s">
        <v>25</v>
      </c>
      <c r="B552" t="s">
        <v>601</v>
      </c>
      <c r="C552">
        <v>90</v>
      </c>
      <c r="D552">
        <v>70</v>
      </c>
      <c r="E552">
        <v>8</v>
      </c>
      <c r="F552">
        <v>5</v>
      </c>
      <c r="G552">
        <v>0</v>
      </c>
      <c r="H552">
        <v>30</v>
      </c>
      <c r="I552">
        <v>100</v>
      </c>
      <c r="J552">
        <v>11</v>
      </c>
      <c r="K552">
        <v>0</v>
      </c>
      <c r="L552">
        <v>2</v>
      </c>
      <c r="M552">
        <v>2</v>
      </c>
      <c r="N552">
        <v>95</v>
      </c>
      <c r="O552" s="3">
        <f t="shared" si="85"/>
        <v>2.2222222222222223</v>
      </c>
      <c r="P552">
        <f t="shared" si="86"/>
        <v>0</v>
      </c>
      <c r="Q552">
        <f t="shared" si="87"/>
        <v>0</v>
      </c>
      <c r="S552">
        <f t="shared" si="88"/>
        <v>-2.7369565217391307</v>
      </c>
      <c r="T552">
        <f t="shared" si="89"/>
        <v>-1.25</v>
      </c>
      <c r="U552">
        <f t="shared" si="90"/>
        <v>-1.0869565217391304</v>
      </c>
      <c r="V552">
        <f t="shared" si="91"/>
        <v>-0.8</v>
      </c>
      <c r="W552">
        <f t="shared" si="92"/>
        <v>0</v>
      </c>
      <c r="X552">
        <f t="shared" si="93"/>
        <v>0.4</v>
      </c>
      <c r="Y552">
        <f t="shared" si="94"/>
        <v>0</v>
      </c>
    </row>
    <row r="553" spans="1:25" x14ac:dyDescent="0.2">
      <c r="A553" t="s">
        <v>25</v>
      </c>
      <c r="B553" t="s">
        <v>602</v>
      </c>
      <c r="C553">
        <v>180</v>
      </c>
      <c r="D553">
        <v>40</v>
      </c>
      <c r="E553">
        <v>4.5</v>
      </c>
      <c r="F553">
        <v>2.5</v>
      </c>
      <c r="G553">
        <v>0</v>
      </c>
      <c r="H553">
        <v>15</v>
      </c>
      <c r="I553">
        <v>120</v>
      </c>
      <c r="J553">
        <v>31</v>
      </c>
      <c r="K553">
        <v>0</v>
      </c>
      <c r="L553">
        <v>31</v>
      </c>
      <c r="M553">
        <v>4</v>
      </c>
      <c r="N553">
        <v>209.5</v>
      </c>
      <c r="O553" s="3">
        <f t="shared" si="85"/>
        <v>2.2222222222222223</v>
      </c>
      <c r="P553">
        <f t="shared" si="86"/>
        <v>0</v>
      </c>
      <c r="Q553">
        <f t="shared" si="87"/>
        <v>0</v>
      </c>
      <c r="S553">
        <f t="shared" si="88"/>
        <v>-13.529347826086957</v>
      </c>
      <c r="T553">
        <f t="shared" si="89"/>
        <v>-0.625</v>
      </c>
      <c r="U553">
        <f t="shared" si="90"/>
        <v>-1.3043478260869565</v>
      </c>
      <c r="V553">
        <f t="shared" si="91"/>
        <v>-12.4</v>
      </c>
      <c r="W553">
        <f t="shared" si="92"/>
        <v>0</v>
      </c>
      <c r="X553">
        <f t="shared" si="93"/>
        <v>0.8</v>
      </c>
      <c r="Y553">
        <f t="shared" si="94"/>
        <v>0</v>
      </c>
    </row>
    <row r="554" spans="1:25" x14ac:dyDescent="0.2">
      <c r="A554" t="s">
        <v>25</v>
      </c>
      <c r="B554" t="s">
        <v>603</v>
      </c>
      <c r="C554">
        <v>180</v>
      </c>
      <c r="D554">
        <v>40</v>
      </c>
      <c r="E554">
        <v>4.5</v>
      </c>
      <c r="F554">
        <v>2.5</v>
      </c>
      <c r="G554">
        <v>0</v>
      </c>
      <c r="H554">
        <v>15</v>
      </c>
      <c r="I554">
        <v>65</v>
      </c>
      <c r="J554">
        <v>33</v>
      </c>
      <c r="K554">
        <v>0</v>
      </c>
      <c r="L554">
        <v>33</v>
      </c>
      <c r="M554">
        <v>4</v>
      </c>
      <c r="N554">
        <v>211.5</v>
      </c>
      <c r="O554" s="3">
        <f t="shared" si="85"/>
        <v>2.2222222222222223</v>
      </c>
      <c r="P554">
        <f t="shared" si="86"/>
        <v>0</v>
      </c>
      <c r="Q554">
        <f t="shared" si="87"/>
        <v>0</v>
      </c>
      <c r="S554">
        <f t="shared" si="88"/>
        <v>-13.731521739130436</v>
      </c>
      <c r="T554">
        <f t="shared" si="89"/>
        <v>-0.625</v>
      </c>
      <c r="U554">
        <f t="shared" si="90"/>
        <v>-0.70652173913043481</v>
      </c>
      <c r="V554">
        <f t="shared" si="91"/>
        <v>-13.200000000000001</v>
      </c>
      <c r="W554">
        <f t="shared" si="92"/>
        <v>0</v>
      </c>
      <c r="X554">
        <f t="shared" si="93"/>
        <v>0.8</v>
      </c>
      <c r="Y554">
        <f t="shared" si="94"/>
        <v>0</v>
      </c>
    </row>
    <row r="555" spans="1:25" x14ac:dyDescent="0.2">
      <c r="A555" t="s">
        <v>25</v>
      </c>
      <c r="B555" t="s">
        <v>610</v>
      </c>
      <c r="C555">
        <v>280</v>
      </c>
      <c r="D555">
        <v>60</v>
      </c>
      <c r="E555">
        <v>6</v>
      </c>
      <c r="F555">
        <v>4</v>
      </c>
      <c r="G555">
        <v>0</v>
      </c>
      <c r="H555">
        <v>25</v>
      </c>
      <c r="I555">
        <v>95</v>
      </c>
      <c r="J555">
        <v>49</v>
      </c>
      <c r="K555">
        <v>1</v>
      </c>
      <c r="L555">
        <v>45</v>
      </c>
      <c r="M555">
        <v>6</v>
      </c>
      <c r="N555">
        <v>323</v>
      </c>
      <c r="O555" s="3">
        <f t="shared" si="85"/>
        <v>2.1428571428571428</v>
      </c>
      <c r="P555">
        <f t="shared" si="86"/>
        <v>0</v>
      </c>
      <c r="Q555">
        <f t="shared" si="87"/>
        <v>0</v>
      </c>
      <c r="S555">
        <f t="shared" si="88"/>
        <v>-18.475465838509322</v>
      </c>
      <c r="T555">
        <f t="shared" si="89"/>
        <v>-1</v>
      </c>
      <c r="U555">
        <f t="shared" si="90"/>
        <v>-1.0326086956521738</v>
      </c>
      <c r="V555">
        <f t="shared" si="91"/>
        <v>-18.000000000000004</v>
      </c>
      <c r="W555">
        <f t="shared" si="92"/>
        <v>0</v>
      </c>
      <c r="X555">
        <f t="shared" si="93"/>
        <v>1.2</v>
      </c>
      <c r="Y555">
        <f t="shared" si="94"/>
        <v>0.35714285714285715</v>
      </c>
    </row>
    <row r="556" spans="1:25" x14ac:dyDescent="0.2">
      <c r="A556" t="s">
        <v>25</v>
      </c>
      <c r="B556" t="s">
        <v>611</v>
      </c>
      <c r="C556">
        <v>420</v>
      </c>
      <c r="D556">
        <v>90</v>
      </c>
      <c r="E556">
        <v>10</v>
      </c>
      <c r="F556">
        <v>6</v>
      </c>
      <c r="G556">
        <v>0.5</v>
      </c>
      <c r="H556">
        <v>40</v>
      </c>
      <c r="I556">
        <v>140</v>
      </c>
      <c r="J556">
        <v>72</v>
      </c>
      <c r="K556">
        <v>0</v>
      </c>
      <c r="L556">
        <v>54</v>
      </c>
      <c r="M556">
        <v>9</v>
      </c>
      <c r="N556">
        <v>471</v>
      </c>
      <c r="O556" s="3">
        <f t="shared" si="85"/>
        <v>2.1428571428571428</v>
      </c>
      <c r="P556">
        <f t="shared" si="86"/>
        <v>0</v>
      </c>
      <c r="Q556">
        <f t="shared" si="87"/>
        <v>0</v>
      </c>
      <c r="S556">
        <f t="shared" si="88"/>
        <v>-22.822239130434781</v>
      </c>
      <c r="T556">
        <f t="shared" si="89"/>
        <v>-1.5</v>
      </c>
      <c r="U556">
        <f t="shared" si="90"/>
        <v>-1.5217391304347827</v>
      </c>
      <c r="V556">
        <f t="shared" si="91"/>
        <v>-21.6</v>
      </c>
      <c r="W556">
        <f t="shared" si="92"/>
        <v>-5.0000000000000001E-4</v>
      </c>
      <c r="X556">
        <f t="shared" si="93"/>
        <v>1.7999999999999998</v>
      </c>
      <c r="Y556">
        <f t="shared" si="94"/>
        <v>0</v>
      </c>
    </row>
    <row r="557" spans="1:25" x14ac:dyDescent="0.2">
      <c r="A557" t="s">
        <v>25</v>
      </c>
      <c r="B557" t="s">
        <v>612</v>
      </c>
      <c r="C557">
        <v>140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105</v>
      </c>
      <c r="J557">
        <v>30</v>
      </c>
      <c r="K557">
        <v>0</v>
      </c>
      <c r="L557">
        <v>30</v>
      </c>
      <c r="M557">
        <v>3</v>
      </c>
      <c r="N557">
        <v>167</v>
      </c>
      <c r="O557" s="3">
        <f t="shared" si="85"/>
        <v>2.1428571428571428</v>
      </c>
      <c r="P557">
        <f t="shared" si="86"/>
        <v>0</v>
      </c>
      <c r="Q557">
        <f t="shared" si="87"/>
        <v>0</v>
      </c>
      <c r="S557">
        <f t="shared" si="88"/>
        <v>-12.541304347826086</v>
      </c>
      <c r="T557">
        <f t="shared" si="89"/>
        <v>0</v>
      </c>
      <c r="U557">
        <f t="shared" si="90"/>
        <v>-1.1413043478260869</v>
      </c>
      <c r="V557">
        <f t="shared" si="91"/>
        <v>-12</v>
      </c>
      <c r="W557">
        <f t="shared" si="92"/>
        <v>0</v>
      </c>
      <c r="X557">
        <f t="shared" si="93"/>
        <v>0.6</v>
      </c>
      <c r="Y557">
        <f t="shared" si="94"/>
        <v>0</v>
      </c>
    </row>
    <row r="558" spans="1:25" x14ac:dyDescent="0.2">
      <c r="A558" t="s">
        <v>25</v>
      </c>
      <c r="B558" t="s">
        <v>613</v>
      </c>
      <c r="C558">
        <v>140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50</v>
      </c>
      <c r="J558">
        <v>32</v>
      </c>
      <c r="K558">
        <v>0</v>
      </c>
      <c r="L558">
        <v>32</v>
      </c>
      <c r="M558">
        <v>3</v>
      </c>
      <c r="N558">
        <v>169</v>
      </c>
      <c r="O558" s="3">
        <f t="shared" si="85"/>
        <v>2.1428571428571428</v>
      </c>
      <c r="P558">
        <f t="shared" si="86"/>
        <v>0</v>
      </c>
      <c r="Q558">
        <f t="shared" si="87"/>
        <v>0</v>
      </c>
      <c r="S558">
        <f t="shared" si="88"/>
        <v>-12.743478260869566</v>
      </c>
      <c r="T558">
        <f t="shared" si="89"/>
        <v>0</v>
      </c>
      <c r="U558">
        <f t="shared" si="90"/>
        <v>-0.54347826086956519</v>
      </c>
      <c r="V558">
        <f t="shared" si="91"/>
        <v>-12.8</v>
      </c>
      <c r="W558">
        <f t="shared" si="92"/>
        <v>0</v>
      </c>
      <c r="X558">
        <f t="shared" si="93"/>
        <v>0.6</v>
      </c>
      <c r="Y558">
        <f t="shared" si="94"/>
        <v>0</v>
      </c>
    </row>
    <row r="559" spans="1:25" x14ac:dyDescent="0.2">
      <c r="A559" t="s">
        <v>25</v>
      </c>
      <c r="B559" t="s">
        <v>614</v>
      </c>
      <c r="C559">
        <v>140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50</v>
      </c>
      <c r="J559">
        <v>31</v>
      </c>
      <c r="K559">
        <v>0</v>
      </c>
      <c r="L559">
        <v>31</v>
      </c>
      <c r="M559">
        <v>3</v>
      </c>
      <c r="N559">
        <v>168</v>
      </c>
      <c r="O559" s="3">
        <f t="shared" si="85"/>
        <v>2.1428571428571428</v>
      </c>
      <c r="P559">
        <f t="shared" si="86"/>
        <v>0</v>
      </c>
      <c r="Q559">
        <f t="shared" si="87"/>
        <v>0</v>
      </c>
      <c r="S559">
        <f t="shared" si="88"/>
        <v>-12.343478260869565</v>
      </c>
      <c r="T559">
        <f t="shared" si="89"/>
        <v>0</v>
      </c>
      <c r="U559">
        <f t="shared" si="90"/>
        <v>-0.54347826086956519</v>
      </c>
      <c r="V559">
        <f t="shared" si="91"/>
        <v>-12.4</v>
      </c>
      <c r="W559">
        <f t="shared" si="92"/>
        <v>0</v>
      </c>
      <c r="X559">
        <f t="shared" si="93"/>
        <v>0.6</v>
      </c>
      <c r="Y559">
        <f t="shared" si="94"/>
        <v>0</v>
      </c>
    </row>
    <row r="560" spans="1:25" x14ac:dyDescent="0.2">
      <c r="A560" t="s">
        <v>25</v>
      </c>
      <c r="B560" t="s">
        <v>615</v>
      </c>
      <c r="C560">
        <v>280</v>
      </c>
      <c r="D560">
        <v>100</v>
      </c>
      <c r="E560">
        <v>11</v>
      </c>
      <c r="F560">
        <v>6</v>
      </c>
      <c r="G560">
        <v>0</v>
      </c>
      <c r="H560">
        <v>20</v>
      </c>
      <c r="I560">
        <v>125</v>
      </c>
      <c r="J560">
        <v>40</v>
      </c>
      <c r="K560">
        <v>0</v>
      </c>
      <c r="L560">
        <v>33</v>
      </c>
      <c r="M560">
        <v>6</v>
      </c>
      <c r="N560">
        <v>313</v>
      </c>
      <c r="O560" s="3">
        <f t="shared" si="85"/>
        <v>2.1428571428571428</v>
      </c>
      <c r="P560">
        <f t="shared" si="86"/>
        <v>0</v>
      </c>
      <c r="Q560">
        <f t="shared" si="87"/>
        <v>0</v>
      </c>
      <c r="S560">
        <f t="shared" si="88"/>
        <v>-14.858695652173914</v>
      </c>
      <c r="T560">
        <f t="shared" si="89"/>
        <v>-1.5</v>
      </c>
      <c r="U560">
        <f t="shared" si="90"/>
        <v>-1.3586956521739131</v>
      </c>
      <c r="V560">
        <f t="shared" si="91"/>
        <v>-13.200000000000001</v>
      </c>
      <c r="W560">
        <f t="shared" si="92"/>
        <v>0</v>
      </c>
      <c r="X560">
        <f t="shared" si="93"/>
        <v>1.2</v>
      </c>
      <c r="Y560">
        <f t="shared" si="94"/>
        <v>0</v>
      </c>
    </row>
    <row r="561" spans="1:25" x14ac:dyDescent="0.2">
      <c r="A561" t="s">
        <v>25</v>
      </c>
      <c r="B561" t="s">
        <v>616</v>
      </c>
      <c r="C561">
        <v>330</v>
      </c>
      <c r="D561">
        <v>110</v>
      </c>
      <c r="E561">
        <v>12</v>
      </c>
      <c r="F561">
        <v>7</v>
      </c>
      <c r="G561">
        <v>0</v>
      </c>
      <c r="H561">
        <v>25</v>
      </c>
      <c r="I561">
        <v>150</v>
      </c>
      <c r="J561">
        <v>48</v>
      </c>
      <c r="K561">
        <v>0</v>
      </c>
      <c r="L561">
        <v>41</v>
      </c>
      <c r="M561">
        <v>7</v>
      </c>
      <c r="N561">
        <v>371</v>
      </c>
      <c r="O561" s="3">
        <f t="shared" si="85"/>
        <v>2.1212121212121215</v>
      </c>
      <c r="P561">
        <f t="shared" si="86"/>
        <v>0</v>
      </c>
      <c r="Q561">
        <f t="shared" si="87"/>
        <v>0</v>
      </c>
      <c r="S561">
        <f t="shared" si="88"/>
        <v>-18.380434782608699</v>
      </c>
      <c r="T561">
        <f t="shared" si="89"/>
        <v>-1.75</v>
      </c>
      <c r="U561">
        <f t="shared" si="90"/>
        <v>-1.6304347826086956</v>
      </c>
      <c r="V561">
        <f t="shared" si="91"/>
        <v>-16.400000000000002</v>
      </c>
      <c r="W561">
        <f t="shared" si="92"/>
        <v>0</v>
      </c>
      <c r="X561">
        <f t="shared" si="93"/>
        <v>1.4000000000000001</v>
      </c>
      <c r="Y561">
        <f t="shared" si="94"/>
        <v>0</v>
      </c>
    </row>
    <row r="562" spans="1:25" x14ac:dyDescent="0.2">
      <c r="A562" t="s">
        <v>25</v>
      </c>
      <c r="B562" t="s">
        <v>617</v>
      </c>
      <c r="C562">
        <v>710</v>
      </c>
      <c r="D562">
        <v>230</v>
      </c>
      <c r="E562">
        <v>25</v>
      </c>
      <c r="F562">
        <v>16</v>
      </c>
      <c r="G562">
        <v>1</v>
      </c>
      <c r="H562">
        <v>60</v>
      </c>
      <c r="I562">
        <v>220</v>
      </c>
      <c r="J562">
        <v>105</v>
      </c>
      <c r="K562">
        <v>4</v>
      </c>
      <c r="L562">
        <v>97</v>
      </c>
      <c r="M562">
        <v>15</v>
      </c>
      <c r="N562">
        <v>808</v>
      </c>
      <c r="O562" s="3">
        <f t="shared" si="85"/>
        <v>2.112676056338028</v>
      </c>
      <c r="P562">
        <f t="shared" si="86"/>
        <v>0</v>
      </c>
      <c r="Q562">
        <f t="shared" si="87"/>
        <v>0</v>
      </c>
      <c r="S562">
        <f t="shared" si="88"/>
        <v>-40.763732919254657</v>
      </c>
      <c r="T562">
        <f t="shared" si="89"/>
        <v>-4</v>
      </c>
      <c r="U562">
        <f t="shared" si="90"/>
        <v>-2.3913043478260869</v>
      </c>
      <c r="V562">
        <f t="shared" si="91"/>
        <v>-38.800000000000004</v>
      </c>
      <c r="W562">
        <f t="shared" si="92"/>
        <v>-1E-3</v>
      </c>
      <c r="X562">
        <f t="shared" si="93"/>
        <v>3</v>
      </c>
      <c r="Y562">
        <f t="shared" si="94"/>
        <v>1.4285714285714286</v>
      </c>
    </row>
    <row r="563" spans="1:25" x14ac:dyDescent="0.2">
      <c r="A563" t="s">
        <v>25</v>
      </c>
      <c r="B563" t="s">
        <v>618</v>
      </c>
      <c r="C563">
        <v>430</v>
      </c>
      <c r="D563">
        <v>140</v>
      </c>
      <c r="E563">
        <v>16</v>
      </c>
      <c r="F563">
        <v>10</v>
      </c>
      <c r="G563">
        <v>0.5</v>
      </c>
      <c r="H563">
        <v>35</v>
      </c>
      <c r="I563">
        <v>130</v>
      </c>
      <c r="J563">
        <v>64</v>
      </c>
      <c r="K563">
        <v>2</v>
      </c>
      <c r="L563">
        <v>59</v>
      </c>
      <c r="M563">
        <v>9</v>
      </c>
      <c r="N563">
        <v>490</v>
      </c>
      <c r="O563" s="3">
        <f t="shared" si="85"/>
        <v>2.0930232558139537</v>
      </c>
      <c r="P563">
        <f t="shared" si="86"/>
        <v>0</v>
      </c>
      <c r="Q563">
        <f t="shared" si="87"/>
        <v>0</v>
      </c>
      <c r="S563">
        <f t="shared" si="88"/>
        <v>-24.999257763975152</v>
      </c>
      <c r="T563">
        <f t="shared" si="89"/>
        <v>-2.5</v>
      </c>
      <c r="U563">
        <f t="shared" si="90"/>
        <v>-1.4130434782608696</v>
      </c>
      <c r="V563">
        <f t="shared" si="91"/>
        <v>-23.599999999999998</v>
      </c>
      <c r="W563">
        <f t="shared" si="92"/>
        <v>-5.0000000000000001E-4</v>
      </c>
      <c r="X563">
        <f t="shared" si="93"/>
        <v>1.7999999999999998</v>
      </c>
      <c r="Y563">
        <f t="shared" si="94"/>
        <v>0.7142857142857143</v>
      </c>
    </row>
    <row r="564" spans="1:25" x14ac:dyDescent="0.2">
      <c r="A564" t="s">
        <v>25</v>
      </c>
      <c r="B564" t="s">
        <v>619</v>
      </c>
      <c r="C564">
        <v>860</v>
      </c>
      <c r="D564">
        <v>220</v>
      </c>
      <c r="E564">
        <v>24</v>
      </c>
      <c r="F564">
        <v>15</v>
      </c>
      <c r="G564">
        <v>1.5</v>
      </c>
      <c r="H564">
        <v>75</v>
      </c>
      <c r="I564">
        <v>260</v>
      </c>
      <c r="J564">
        <v>144</v>
      </c>
      <c r="K564">
        <v>0</v>
      </c>
      <c r="L564">
        <v>124</v>
      </c>
      <c r="M564">
        <v>18</v>
      </c>
      <c r="N564">
        <v>981</v>
      </c>
      <c r="O564" s="3">
        <f t="shared" si="85"/>
        <v>2.0930232558139537</v>
      </c>
      <c r="P564">
        <f t="shared" si="86"/>
        <v>0</v>
      </c>
      <c r="Q564">
        <f t="shared" si="87"/>
        <v>0</v>
      </c>
      <c r="S564">
        <f t="shared" si="88"/>
        <v>-52.577586956521742</v>
      </c>
      <c r="T564">
        <f t="shared" si="89"/>
        <v>-3.75</v>
      </c>
      <c r="U564">
        <f t="shared" si="90"/>
        <v>-2.8260869565217392</v>
      </c>
      <c r="V564">
        <f t="shared" si="91"/>
        <v>-49.6</v>
      </c>
      <c r="W564">
        <f t="shared" si="92"/>
        <v>-1.5E-3</v>
      </c>
      <c r="X564">
        <f t="shared" si="93"/>
        <v>3.5999999999999996</v>
      </c>
      <c r="Y564">
        <f t="shared" si="94"/>
        <v>0</v>
      </c>
    </row>
    <row r="565" spans="1:25" x14ac:dyDescent="0.2">
      <c r="A565" t="s">
        <v>25</v>
      </c>
      <c r="B565" t="s">
        <v>620</v>
      </c>
      <c r="C565">
        <v>720</v>
      </c>
      <c r="D565">
        <v>180</v>
      </c>
      <c r="E565">
        <v>20</v>
      </c>
      <c r="F565">
        <v>12</v>
      </c>
      <c r="G565">
        <v>1</v>
      </c>
      <c r="H565">
        <v>60</v>
      </c>
      <c r="I565">
        <v>300</v>
      </c>
      <c r="J565">
        <v>119</v>
      </c>
      <c r="K565">
        <v>1</v>
      </c>
      <c r="L565">
        <v>98</v>
      </c>
      <c r="M565">
        <v>15</v>
      </c>
      <c r="N565">
        <v>815</v>
      </c>
      <c r="O565" s="3">
        <f t="shared" si="85"/>
        <v>2.083333333333333</v>
      </c>
      <c r="P565">
        <f t="shared" si="86"/>
        <v>0</v>
      </c>
      <c r="Q565">
        <f t="shared" si="87"/>
        <v>0</v>
      </c>
      <c r="S565">
        <f t="shared" si="88"/>
        <v>-42.104726708074537</v>
      </c>
      <c r="T565">
        <f t="shared" si="89"/>
        <v>-3</v>
      </c>
      <c r="U565">
        <f t="shared" si="90"/>
        <v>-3.2608695652173911</v>
      </c>
      <c r="V565">
        <f t="shared" si="91"/>
        <v>-39.200000000000003</v>
      </c>
      <c r="W565">
        <f t="shared" si="92"/>
        <v>-1E-3</v>
      </c>
      <c r="X565">
        <f t="shared" si="93"/>
        <v>3</v>
      </c>
      <c r="Y565">
        <f t="shared" si="94"/>
        <v>0.35714285714285715</v>
      </c>
    </row>
    <row r="566" spans="1:25" x14ac:dyDescent="0.2">
      <c r="A566" t="s">
        <v>25</v>
      </c>
      <c r="B566" t="s">
        <v>622</v>
      </c>
      <c r="C566">
        <v>340</v>
      </c>
      <c r="D566">
        <v>70</v>
      </c>
      <c r="E566">
        <v>8</v>
      </c>
      <c r="F566">
        <v>5</v>
      </c>
      <c r="G566">
        <v>0</v>
      </c>
      <c r="H566">
        <v>30</v>
      </c>
      <c r="I566">
        <v>160</v>
      </c>
      <c r="J566">
        <v>60</v>
      </c>
      <c r="K566">
        <v>1</v>
      </c>
      <c r="L566">
        <v>44</v>
      </c>
      <c r="M566">
        <v>7</v>
      </c>
      <c r="N566">
        <v>382</v>
      </c>
      <c r="O566" s="3">
        <f t="shared" si="85"/>
        <v>2.0588235294117645</v>
      </c>
      <c r="P566">
        <f t="shared" si="86"/>
        <v>0</v>
      </c>
      <c r="Q566">
        <f t="shared" si="87"/>
        <v>0</v>
      </c>
      <c r="S566">
        <f t="shared" si="88"/>
        <v>-18.831987577639755</v>
      </c>
      <c r="T566">
        <f t="shared" si="89"/>
        <v>-1.25</v>
      </c>
      <c r="U566">
        <f t="shared" si="90"/>
        <v>-1.7391304347826086</v>
      </c>
      <c r="V566">
        <f t="shared" si="91"/>
        <v>-17.600000000000001</v>
      </c>
      <c r="W566">
        <f t="shared" si="92"/>
        <v>0</v>
      </c>
      <c r="X566">
        <f t="shared" si="93"/>
        <v>1.4000000000000001</v>
      </c>
      <c r="Y566">
        <f t="shared" si="94"/>
        <v>0.35714285714285715</v>
      </c>
    </row>
    <row r="567" spans="1:25" x14ac:dyDescent="0.2">
      <c r="A567" t="s">
        <v>25</v>
      </c>
      <c r="B567" t="s">
        <v>623</v>
      </c>
      <c r="C567">
        <v>680</v>
      </c>
      <c r="D567">
        <v>180</v>
      </c>
      <c r="E567">
        <v>20</v>
      </c>
      <c r="F567">
        <v>12</v>
      </c>
      <c r="G567">
        <v>1</v>
      </c>
      <c r="H567">
        <v>60</v>
      </c>
      <c r="I567">
        <v>220</v>
      </c>
      <c r="J567">
        <v>111</v>
      </c>
      <c r="K567">
        <v>0</v>
      </c>
      <c r="L567">
        <v>82</v>
      </c>
      <c r="M567">
        <v>14</v>
      </c>
      <c r="N567">
        <v>760</v>
      </c>
      <c r="O567" s="3">
        <f t="shared" si="85"/>
        <v>2.0588235294117645</v>
      </c>
      <c r="P567">
        <f t="shared" si="86"/>
        <v>0</v>
      </c>
      <c r="Q567">
        <f t="shared" si="87"/>
        <v>0</v>
      </c>
      <c r="S567">
        <f t="shared" si="88"/>
        <v>-35.392304347826091</v>
      </c>
      <c r="T567">
        <f t="shared" si="89"/>
        <v>-3</v>
      </c>
      <c r="U567">
        <f t="shared" si="90"/>
        <v>-2.3913043478260869</v>
      </c>
      <c r="V567">
        <f t="shared" si="91"/>
        <v>-32.800000000000004</v>
      </c>
      <c r="W567">
        <f t="shared" si="92"/>
        <v>-1E-3</v>
      </c>
      <c r="X567">
        <f t="shared" si="93"/>
        <v>2.8000000000000003</v>
      </c>
      <c r="Y567">
        <f t="shared" si="94"/>
        <v>0</v>
      </c>
    </row>
    <row r="568" spans="1:25" x14ac:dyDescent="0.2">
      <c r="A568" t="s">
        <v>25</v>
      </c>
      <c r="B568" t="s">
        <v>624</v>
      </c>
      <c r="C568">
        <v>830</v>
      </c>
      <c r="D568">
        <v>210</v>
      </c>
      <c r="E568">
        <v>24</v>
      </c>
      <c r="F568">
        <v>14</v>
      </c>
      <c r="G568">
        <v>1.5</v>
      </c>
      <c r="H568">
        <v>75</v>
      </c>
      <c r="I568">
        <v>270</v>
      </c>
      <c r="J568">
        <v>138</v>
      </c>
      <c r="K568">
        <v>0</v>
      </c>
      <c r="L568">
        <v>103</v>
      </c>
      <c r="M568">
        <v>17</v>
      </c>
      <c r="N568">
        <v>930</v>
      </c>
      <c r="O568" s="3">
        <f t="shared" si="85"/>
        <v>2.0481927710843375</v>
      </c>
      <c r="P568">
        <f t="shared" si="86"/>
        <v>0</v>
      </c>
      <c r="Q568">
        <f t="shared" si="87"/>
        <v>0</v>
      </c>
      <c r="S568">
        <f t="shared" si="88"/>
        <v>-44.23628260869566</v>
      </c>
      <c r="T568">
        <f t="shared" si="89"/>
        <v>-3.5</v>
      </c>
      <c r="U568">
        <f t="shared" si="90"/>
        <v>-2.9347826086956523</v>
      </c>
      <c r="V568">
        <f t="shared" si="91"/>
        <v>-41.2</v>
      </c>
      <c r="W568">
        <f t="shared" si="92"/>
        <v>-1.5E-3</v>
      </c>
      <c r="X568">
        <f t="shared" si="93"/>
        <v>3.4000000000000004</v>
      </c>
      <c r="Y568">
        <f t="shared" si="94"/>
        <v>0</v>
      </c>
    </row>
    <row r="569" spans="1:25" x14ac:dyDescent="0.2">
      <c r="A569" t="s">
        <v>25</v>
      </c>
      <c r="B569" t="s">
        <v>625</v>
      </c>
      <c r="C569">
        <v>880</v>
      </c>
      <c r="D569">
        <v>220</v>
      </c>
      <c r="E569">
        <v>24</v>
      </c>
      <c r="F569">
        <v>15</v>
      </c>
      <c r="G569">
        <v>1.5</v>
      </c>
      <c r="H569">
        <v>75</v>
      </c>
      <c r="I569">
        <v>370</v>
      </c>
      <c r="J569">
        <v>147</v>
      </c>
      <c r="K569">
        <v>1</v>
      </c>
      <c r="L569">
        <v>121</v>
      </c>
      <c r="M569">
        <v>18</v>
      </c>
      <c r="N569">
        <v>998</v>
      </c>
      <c r="O569" s="3">
        <f t="shared" si="85"/>
        <v>2.0454545454545454</v>
      </c>
      <c r="P569">
        <f t="shared" si="86"/>
        <v>0</v>
      </c>
      <c r="Q569">
        <f t="shared" si="87"/>
        <v>0</v>
      </c>
      <c r="S569">
        <f t="shared" si="88"/>
        <v>-52.216096273291924</v>
      </c>
      <c r="T569">
        <f t="shared" si="89"/>
        <v>-3.75</v>
      </c>
      <c r="U569">
        <f t="shared" si="90"/>
        <v>-4.0217391304347823</v>
      </c>
      <c r="V569">
        <f t="shared" si="91"/>
        <v>-48.4</v>
      </c>
      <c r="W569">
        <f t="shared" si="92"/>
        <v>-1.5E-3</v>
      </c>
      <c r="X569">
        <f t="shared" si="93"/>
        <v>3.5999999999999996</v>
      </c>
      <c r="Y569">
        <f t="shared" si="94"/>
        <v>0.35714285714285715</v>
      </c>
    </row>
    <row r="570" spans="1:25" x14ac:dyDescent="0.2">
      <c r="A570" t="s">
        <v>25</v>
      </c>
      <c r="B570" t="s">
        <v>627</v>
      </c>
      <c r="C570">
        <v>710</v>
      </c>
      <c r="D570">
        <v>180</v>
      </c>
      <c r="E570">
        <v>20</v>
      </c>
      <c r="F570">
        <v>12</v>
      </c>
      <c r="G570">
        <v>1</v>
      </c>
      <c r="H570">
        <v>65</v>
      </c>
      <c r="I570">
        <v>210</v>
      </c>
      <c r="J570">
        <v>116</v>
      </c>
      <c r="K570">
        <v>0</v>
      </c>
      <c r="L570">
        <v>100</v>
      </c>
      <c r="M570">
        <v>14</v>
      </c>
      <c r="N570">
        <v>808</v>
      </c>
      <c r="O570" s="3">
        <f t="shared" si="85"/>
        <v>1.971830985915493</v>
      </c>
      <c r="P570">
        <f t="shared" si="86"/>
        <v>0</v>
      </c>
      <c r="Q570">
        <f t="shared" si="87"/>
        <v>0</v>
      </c>
      <c r="S570">
        <f t="shared" si="88"/>
        <v>-42.483608695652173</v>
      </c>
      <c r="T570">
        <f t="shared" si="89"/>
        <v>-3</v>
      </c>
      <c r="U570">
        <f t="shared" si="90"/>
        <v>-2.2826086956521738</v>
      </c>
      <c r="V570">
        <f t="shared" si="91"/>
        <v>-40</v>
      </c>
      <c r="W570">
        <f t="shared" si="92"/>
        <v>-1E-3</v>
      </c>
      <c r="X570">
        <f t="shared" si="93"/>
        <v>2.8000000000000003</v>
      </c>
      <c r="Y570">
        <f t="shared" si="94"/>
        <v>0</v>
      </c>
    </row>
    <row r="571" spans="1:25" x14ac:dyDescent="0.2">
      <c r="A571" t="s">
        <v>25</v>
      </c>
      <c r="B571" t="s">
        <v>630</v>
      </c>
      <c r="C571">
        <v>570</v>
      </c>
      <c r="D571">
        <v>150</v>
      </c>
      <c r="E571">
        <v>17</v>
      </c>
      <c r="F571">
        <v>10</v>
      </c>
      <c r="G571">
        <v>1</v>
      </c>
      <c r="H571">
        <v>50</v>
      </c>
      <c r="I571">
        <v>170</v>
      </c>
      <c r="J571">
        <v>92</v>
      </c>
      <c r="K571">
        <v>0</v>
      </c>
      <c r="L571">
        <v>79</v>
      </c>
      <c r="M571">
        <v>11</v>
      </c>
      <c r="N571">
        <v>648</v>
      </c>
      <c r="O571" s="3">
        <f t="shared" si="85"/>
        <v>1.9298245614035088</v>
      </c>
      <c r="P571">
        <f t="shared" si="86"/>
        <v>0</v>
      </c>
      <c r="Q571">
        <f t="shared" si="87"/>
        <v>0</v>
      </c>
      <c r="S571">
        <f t="shared" si="88"/>
        <v>-33.74882608695652</v>
      </c>
      <c r="T571">
        <f t="shared" si="89"/>
        <v>-2.5</v>
      </c>
      <c r="U571">
        <f t="shared" si="90"/>
        <v>-1.8478260869565217</v>
      </c>
      <c r="V571">
        <f t="shared" si="91"/>
        <v>-31.600000000000005</v>
      </c>
      <c r="W571">
        <f t="shared" si="92"/>
        <v>-1E-3</v>
      </c>
      <c r="X571">
        <f t="shared" si="93"/>
        <v>2.2000000000000002</v>
      </c>
      <c r="Y571">
        <f t="shared" si="94"/>
        <v>0</v>
      </c>
    </row>
    <row r="572" spans="1:25" x14ac:dyDescent="0.2">
      <c r="A572" t="s">
        <v>25</v>
      </c>
      <c r="B572" t="s">
        <v>631</v>
      </c>
      <c r="C572">
        <v>260</v>
      </c>
      <c r="D572">
        <v>40</v>
      </c>
      <c r="E572">
        <v>4.5</v>
      </c>
      <c r="F572">
        <v>2</v>
      </c>
      <c r="G572">
        <v>0</v>
      </c>
      <c r="H572">
        <v>10</v>
      </c>
      <c r="I572">
        <v>115</v>
      </c>
      <c r="J572">
        <v>48</v>
      </c>
      <c r="K572">
        <v>5</v>
      </c>
      <c r="L572">
        <v>18</v>
      </c>
      <c r="M572">
        <v>5</v>
      </c>
      <c r="N572">
        <v>275</v>
      </c>
      <c r="O572" s="3">
        <f t="shared" si="85"/>
        <v>1.9230769230769231</v>
      </c>
      <c r="P572">
        <f t="shared" si="86"/>
        <v>0</v>
      </c>
      <c r="Q572">
        <f t="shared" si="87"/>
        <v>0</v>
      </c>
      <c r="S572">
        <f t="shared" si="88"/>
        <v>-6.1642857142857128</v>
      </c>
      <c r="T572">
        <f t="shared" si="89"/>
        <v>-0.5</v>
      </c>
      <c r="U572">
        <f t="shared" si="90"/>
        <v>-1.25</v>
      </c>
      <c r="V572">
        <f t="shared" si="91"/>
        <v>-7.1999999999999993</v>
      </c>
      <c r="W572">
        <f t="shared" si="92"/>
        <v>0</v>
      </c>
      <c r="X572">
        <f t="shared" si="93"/>
        <v>1.0000000000000002</v>
      </c>
      <c r="Y572">
        <f t="shared" si="94"/>
        <v>1.785714285714286</v>
      </c>
    </row>
    <row r="573" spans="1:25" x14ac:dyDescent="0.2">
      <c r="A573" t="s">
        <v>25</v>
      </c>
      <c r="B573" t="s">
        <v>633</v>
      </c>
      <c r="C573">
        <v>210</v>
      </c>
      <c r="D573">
        <v>70</v>
      </c>
      <c r="E573">
        <v>8</v>
      </c>
      <c r="F573">
        <v>1.5</v>
      </c>
      <c r="G573">
        <v>0</v>
      </c>
      <c r="H573">
        <v>5</v>
      </c>
      <c r="I573">
        <v>60</v>
      </c>
      <c r="J573">
        <v>31</v>
      </c>
      <c r="K573">
        <v>2</v>
      </c>
      <c r="L573">
        <v>25</v>
      </c>
      <c r="M573">
        <v>4</v>
      </c>
      <c r="N573">
        <v>232.5</v>
      </c>
      <c r="O573" s="3">
        <f t="shared" si="85"/>
        <v>1.9047619047619049</v>
      </c>
      <c r="P573">
        <f t="shared" si="86"/>
        <v>0</v>
      </c>
      <c r="Q573">
        <f t="shared" si="87"/>
        <v>0</v>
      </c>
      <c r="S573">
        <f t="shared" si="88"/>
        <v>-9.5128881987577643</v>
      </c>
      <c r="T573">
        <f t="shared" si="89"/>
        <v>-0.375</v>
      </c>
      <c r="U573">
        <f t="shared" si="90"/>
        <v>-0.65217391304347827</v>
      </c>
      <c r="V573">
        <f t="shared" si="91"/>
        <v>-10</v>
      </c>
      <c r="W573">
        <f t="shared" si="92"/>
        <v>0</v>
      </c>
      <c r="X573">
        <f t="shared" si="93"/>
        <v>0.8</v>
      </c>
      <c r="Y573">
        <f t="shared" si="94"/>
        <v>0.7142857142857143</v>
      </c>
    </row>
    <row r="574" spans="1:25" x14ac:dyDescent="0.2">
      <c r="A574" t="s">
        <v>25</v>
      </c>
      <c r="B574" t="s">
        <v>634</v>
      </c>
      <c r="C574">
        <v>580</v>
      </c>
      <c r="D574">
        <v>150</v>
      </c>
      <c r="E574">
        <v>17</v>
      </c>
      <c r="F574">
        <v>10</v>
      </c>
      <c r="G574">
        <v>1</v>
      </c>
      <c r="H574">
        <v>50</v>
      </c>
      <c r="I574">
        <v>240</v>
      </c>
      <c r="J574">
        <v>94</v>
      </c>
      <c r="K574">
        <v>1</v>
      </c>
      <c r="L574">
        <v>77</v>
      </c>
      <c r="M574">
        <v>11</v>
      </c>
      <c r="N574">
        <v>656</v>
      </c>
      <c r="O574" s="3">
        <f t="shared" si="85"/>
        <v>1.896551724137931</v>
      </c>
      <c r="P574">
        <f t="shared" si="86"/>
        <v>0</v>
      </c>
      <c r="Q574">
        <f t="shared" si="87"/>
        <v>0</v>
      </c>
      <c r="S574">
        <f t="shared" si="88"/>
        <v>-33.352552795031059</v>
      </c>
      <c r="T574">
        <f t="shared" si="89"/>
        <v>-2.5</v>
      </c>
      <c r="U574">
        <f t="shared" si="90"/>
        <v>-2.6086956521739131</v>
      </c>
      <c r="V574">
        <f t="shared" si="91"/>
        <v>-30.800000000000004</v>
      </c>
      <c r="W574">
        <f t="shared" si="92"/>
        <v>-1E-3</v>
      </c>
      <c r="X574">
        <f t="shared" si="93"/>
        <v>2.2000000000000002</v>
      </c>
      <c r="Y574">
        <f t="shared" si="94"/>
        <v>0.35714285714285715</v>
      </c>
    </row>
    <row r="575" spans="1:25" x14ac:dyDescent="0.2">
      <c r="A575" t="s">
        <v>25</v>
      </c>
      <c r="B575" t="s">
        <v>635</v>
      </c>
      <c r="C575">
        <v>160</v>
      </c>
      <c r="D575">
        <v>25</v>
      </c>
      <c r="E575">
        <v>3</v>
      </c>
      <c r="F575">
        <v>1.5</v>
      </c>
      <c r="G575">
        <v>0</v>
      </c>
      <c r="H575">
        <v>10</v>
      </c>
      <c r="I575">
        <v>100</v>
      </c>
      <c r="J575">
        <v>29</v>
      </c>
      <c r="K575">
        <v>0</v>
      </c>
      <c r="L575">
        <v>29</v>
      </c>
      <c r="M575">
        <v>3</v>
      </c>
      <c r="N575">
        <v>187.5</v>
      </c>
      <c r="O575" s="3">
        <f t="shared" si="85"/>
        <v>1.875</v>
      </c>
      <c r="P575">
        <f t="shared" si="86"/>
        <v>0</v>
      </c>
      <c r="Q575">
        <f t="shared" si="87"/>
        <v>0</v>
      </c>
      <c r="S575">
        <f t="shared" si="88"/>
        <v>-12.461956521739131</v>
      </c>
      <c r="T575">
        <f t="shared" si="89"/>
        <v>-0.375</v>
      </c>
      <c r="U575">
        <f t="shared" si="90"/>
        <v>-1.0869565217391304</v>
      </c>
      <c r="V575">
        <f t="shared" si="91"/>
        <v>-11.6</v>
      </c>
      <c r="W575">
        <f t="shared" si="92"/>
        <v>0</v>
      </c>
      <c r="X575">
        <f t="shared" si="93"/>
        <v>0.6</v>
      </c>
      <c r="Y575">
        <f t="shared" si="94"/>
        <v>0</v>
      </c>
    </row>
    <row r="576" spans="1:25" x14ac:dyDescent="0.2">
      <c r="A576" t="s">
        <v>25</v>
      </c>
      <c r="B576" t="s">
        <v>636</v>
      </c>
      <c r="C576">
        <v>160</v>
      </c>
      <c r="D576">
        <v>25</v>
      </c>
      <c r="E576">
        <v>3</v>
      </c>
      <c r="F576">
        <v>1.5</v>
      </c>
      <c r="G576">
        <v>0</v>
      </c>
      <c r="H576">
        <v>10</v>
      </c>
      <c r="I576">
        <v>45</v>
      </c>
      <c r="J576">
        <v>31</v>
      </c>
      <c r="K576">
        <v>0</v>
      </c>
      <c r="L576">
        <v>31</v>
      </c>
      <c r="M576">
        <v>3</v>
      </c>
      <c r="N576">
        <v>189.5</v>
      </c>
      <c r="O576" s="3">
        <f t="shared" si="85"/>
        <v>1.875</v>
      </c>
      <c r="P576">
        <f t="shared" si="86"/>
        <v>0</v>
      </c>
      <c r="Q576">
        <f t="shared" si="87"/>
        <v>0</v>
      </c>
      <c r="S576">
        <f t="shared" si="88"/>
        <v>-12.66413043478261</v>
      </c>
      <c r="T576">
        <f t="shared" si="89"/>
        <v>-0.375</v>
      </c>
      <c r="U576">
        <f t="shared" si="90"/>
        <v>-0.48913043478260876</v>
      </c>
      <c r="V576">
        <f t="shared" si="91"/>
        <v>-12.4</v>
      </c>
      <c r="W576">
        <f t="shared" si="92"/>
        <v>0</v>
      </c>
      <c r="X576">
        <f t="shared" si="93"/>
        <v>0.6</v>
      </c>
      <c r="Y576">
        <f t="shared" si="94"/>
        <v>0</v>
      </c>
    </row>
    <row r="577" spans="1:25" x14ac:dyDescent="0.2">
      <c r="A577" t="s">
        <v>25</v>
      </c>
      <c r="B577" t="s">
        <v>637</v>
      </c>
      <c r="C577">
        <v>160</v>
      </c>
      <c r="D577">
        <v>25</v>
      </c>
      <c r="E577">
        <v>3</v>
      </c>
      <c r="F577">
        <v>1.5</v>
      </c>
      <c r="G577">
        <v>0</v>
      </c>
      <c r="H577">
        <v>10</v>
      </c>
      <c r="I577">
        <v>45</v>
      </c>
      <c r="J577">
        <v>31</v>
      </c>
      <c r="K577">
        <v>0</v>
      </c>
      <c r="L577">
        <v>31</v>
      </c>
      <c r="M577">
        <v>3</v>
      </c>
      <c r="N577">
        <v>189.5</v>
      </c>
      <c r="O577" s="3">
        <f t="shared" si="85"/>
        <v>1.875</v>
      </c>
      <c r="P577">
        <f t="shared" si="86"/>
        <v>0</v>
      </c>
      <c r="Q577">
        <f t="shared" si="87"/>
        <v>0</v>
      </c>
      <c r="S577">
        <f t="shared" si="88"/>
        <v>-12.66413043478261</v>
      </c>
      <c r="T577">
        <f t="shared" si="89"/>
        <v>-0.375</v>
      </c>
      <c r="U577">
        <f t="shared" si="90"/>
        <v>-0.48913043478260876</v>
      </c>
      <c r="V577">
        <f t="shared" si="91"/>
        <v>-12.4</v>
      </c>
      <c r="W577">
        <f t="shared" si="92"/>
        <v>0</v>
      </c>
      <c r="X577">
        <f t="shared" si="93"/>
        <v>0.6</v>
      </c>
      <c r="Y577">
        <f t="shared" si="94"/>
        <v>0</v>
      </c>
    </row>
    <row r="578" spans="1:25" x14ac:dyDescent="0.2">
      <c r="A578" t="s">
        <v>25</v>
      </c>
      <c r="B578" t="s">
        <v>638</v>
      </c>
      <c r="C578">
        <v>540</v>
      </c>
      <c r="D578">
        <v>150</v>
      </c>
      <c r="E578">
        <v>16</v>
      </c>
      <c r="F578">
        <v>10</v>
      </c>
      <c r="G578">
        <v>1</v>
      </c>
      <c r="H578">
        <v>45</v>
      </c>
      <c r="I578">
        <v>170</v>
      </c>
      <c r="J578">
        <v>88</v>
      </c>
      <c r="K578">
        <v>0</v>
      </c>
      <c r="L578">
        <v>64</v>
      </c>
      <c r="M578">
        <v>10</v>
      </c>
      <c r="N578">
        <v>604</v>
      </c>
      <c r="O578" s="3">
        <f t="shared" si="85"/>
        <v>1.8518518518518516</v>
      </c>
      <c r="P578">
        <f t="shared" si="86"/>
        <v>0</v>
      </c>
      <c r="Q578">
        <f t="shared" si="87"/>
        <v>0</v>
      </c>
      <c r="S578">
        <f t="shared" si="88"/>
        <v>-27.948826086956526</v>
      </c>
      <c r="T578">
        <f t="shared" si="89"/>
        <v>-2.5</v>
      </c>
      <c r="U578">
        <f t="shared" si="90"/>
        <v>-1.8478260869565217</v>
      </c>
      <c r="V578">
        <f t="shared" si="91"/>
        <v>-25.6</v>
      </c>
      <c r="W578">
        <f t="shared" si="92"/>
        <v>-1E-3</v>
      </c>
      <c r="X578">
        <f t="shared" si="93"/>
        <v>2.0000000000000004</v>
      </c>
      <c r="Y578">
        <f t="shared" si="94"/>
        <v>0</v>
      </c>
    </row>
    <row r="579" spans="1:25" x14ac:dyDescent="0.2">
      <c r="A579" t="s">
        <v>25</v>
      </c>
      <c r="B579" t="s">
        <v>642</v>
      </c>
      <c r="C579">
        <v>290</v>
      </c>
      <c r="D579">
        <v>40</v>
      </c>
      <c r="E579">
        <v>4.5</v>
      </c>
      <c r="F579">
        <v>2</v>
      </c>
      <c r="G579">
        <v>0</v>
      </c>
      <c r="H579">
        <v>10</v>
      </c>
      <c r="I579">
        <v>160</v>
      </c>
      <c r="J579">
        <v>57</v>
      </c>
      <c r="K579">
        <v>5</v>
      </c>
      <c r="L579">
        <v>32</v>
      </c>
      <c r="M579">
        <v>5</v>
      </c>
      <c r="N579">
        <v>319</v>
      </c>
      <c r="O579" s="3">
        <f t="shared" si="85"/>
        <v>1.7241379310344827</v>
      </c>
      <c r="P579">
        <f t="shared" si="86"/>
        <v>0</v>
      </c>
      <c r="Q579">
        <f t="shared" si="87"/>
        <v>0</v>
      </c>
      <c r="S579">
        <f t="shared" si="88"/>
        <v>-12.253416149068324</v>
      </c>
      <c r="T579">
        <f t="shared" si="89"/>
        <v>-0.5</v>
      </c>
      <c r="U579">
        <f t="shared" si="90"/>
        <v>-1.7391304347826086</v>
      </c>
      <c r="V579">
        <f t="shared" si="91"/>
        <v>-12.8</v>
      </c>
      <c r="W579">
        <f t="shared" si="92"/>
        <v>0</v>
      </c>
      <c r="X579">
        <f t="shared" si="93"/>
        <v>1.0000000000000002</v>
      </c>
      <c r="Y579">
        <f t="shared" si="94"/>
        <v>1.785714285714286</v>
      </c>
    </row>
    <row r="580" spans="1:25" x14ac:dyDescent="0.2">
      <c r="A580" t="s">
        <v>25</v>
      </c>
      <c r="B580" t="s">
        <v>644</v>
      </c>
      <c r="C580">
        <v>60</v>
      </c>
      <c r="D580">
        <v>20</v>
      </c>
      <c r="E580">
        <v>2.5</v>
      </c>
      <c r="F580">
        <v>0</v>
      </c>
      <c r="G580">
        <v>0</v>
      </c>
      <c r="H580">
        <v>5</v>
      </c>
      <c r="I580">
        <v>250</v>
      </c>
      <c r="J580">
        <v>9</v>
      </c>
      <c r="K580">
        <v>2</v>
      </c>
      <c r="L580">
        <v>6</v>
      </c>
      <c r="M580">
        <v>1</v>
      </c>
      <c r="N580">
        <v>65</v>
      </c>
      <c r="O580" s="3">
        <f t="shared" ref="O580:O627" si="95">M580/C580*100</f>
        <v>1.6666666666666667</v>
      </c>
      <c r="P580">
        <f t="shared" ref="P580:P643" si="96">IF(I580&gt;2300*0.2,1,0)</f>
        <v>0</v>
      </c>
      <c r="Q580">
        <f t="shared" ref="Q580:Q643" si="97">IF(H580&gt;300,1,0)</f>
        <v>0</v>
      </c>
      <c r="S580">
        <f t="shared" ref="S580:S643" si="98">T580+U580+V580+W580+X580+Y580</f>
        <v>-4.2031055900621119</v>
      </c>
      <c r="T580">
        <f t="shared" ref="T580:T643" si="99">$T$1*F580</f>
        <v>0</v>
      </c>
      <c r="U580">
        <f t="shared" ref="U580:U643" si="100">($U$1*(I580/2300))*100</f>
        <v>-2.7173913043478262</v>
      </c>
      <c r="V580">
        <f t="shared" ref="V580:V643" si="101">((L580/50)*$V$1)*100</f>
        <v>-2.4</v>
      </c>
      <c r="W580">
        <f t="shared" ref="W580:W643" si="102">(G580/100)*$W$1</f>
        <v>0</v>
      </c>
      <c r="X580">
        <f t="shared" ref="X580:X643" si="103">($X$1*(M580/50))*100</f>
        <v>0.2</v>
      </c>
      <c r="Y580">
        <f t="shared" ref="Y580:Y643" si="104">($Y$1*(K580/28))*100</f>
        <v>0.7142857142857143</v>
      </c>
    </row>
    <row r="581" spans="1:25" x14ac:dyDescent="0.2">
      <c r="A581" t="s">
        <v>25</v>
      </c>
      <c r="B581" t="s">
        <v>645</v>
      </c>
      <c r="C581">
        <v>60</v>
      </c>
      <c r="D581">
        <v>20</v>
      </c>
      <c r="E581">
        <v>2.5</v>
      </c>
      <c r="F581">
        <v>0</v>
      </c>
      <c r="G581">
        <v>0</v>
      </c>
      <c r="H581">
        <v>0</v>
      </c>
      <c r="I581">
        <v>730</v>
      </c>
      <c r="J581">
        <v>8</v>
      </c>
      <c r="K581">
        <v>0</v>
      </c>
      <c r="L581">
        <v>1</v>
      </c>
      <c r="M581">
        <v>1</v>
      </c>
      <c r="N581">
        <v>60</v>
      </c>
      <c r="O581" s="3">
        <f t="shared" si="95"/>
        <v>1.6666666666666667</v>
      </c>
      <c r="P581">
        <f t="shared" si="96"/>
        <v>1</v>
      </c>
      <c r="Q581">
        <f t="shared" si="97"/>
        <v>0</v>
      </c>
      <c r="S581">
        <f t="shared" si="98"/>
        <v>-8.1347826086956534</v>
      </c>
      <c r="T581">
        <f t="shared" si="99"/>
        <v>0</v>
      </c>
      <c r="U581">
        <f t="shared" si="100"/>
        <v>-7.9347826086956523</v>
      </c>
      <c r="V581">
        <f t="shared" si="101"/>
        <v>-0.4</v>
      </c>
      <c r="W581">
        <f t="shared" si="102"/>
        <v>0</v>
      </c>
      <c r="X581">
        <f t="shared" si="103"/>
        <v>0.2</v>
      </c>
      <c r="Y581">
        <f t="shared" si="104"/>
        <v>0</v>
      </c>
    </row>
    <row r="582" spans="1:25" x14ac:dyDescent="0.2">
      <c r="A582" t="s">
        <v>25</v>
      </c>
      <c r="B582" t="s">
        <v>646</v>
      </c>
      <c r="C582">
        <v>60</v>
      </c>
      <c r="D582">
        <v>50</v>
      </c>
      <c r="E582">
        <v>5</v>
      </c>
      <c r="F582">
        <v>3.5</v>
      </c>
      <c r="G582">
        <v>0</v>
      </c>
      <c r="H582">
        <v>20</v>
      </c>
      <c r="I582">
        <v>70</v>
      </c>
      <c r="J582">
        <v>8</v>
      </c>
      <c r="K582">
        <v>0</v>
      </c>
      <c r="L582">
        <v>1</v>
      </c>
      <c r="M582">
        <v>1</v>
      </c>
      <c r="N582">
        <v>63.5</v>
      </c>
      <c r="O582" s="3">
        <f t="shared" si="95"/>
        <v>1.6666666666666667</v>
      </c>
      <c r="P582">
        <f t="shared" si="96"/>
        <v>0</v>
      </c>
      <c r="Q582">
        <f t="shared" si="97"/>
        <v>0</v>
      </c>
      <c r="S582">
        <f t="shared" si="98"/>
        <v>-1.8358695652173915</v>
      </c>
      <c r="T582">
        <f t="shared" si="99"/>
        <v>-0.875</v>
      </c>
      <c r="U582">
        <f t="shared" si="100"/>
        <v>-0.76086956521739135</v>
      </c>
      <c r="V582">
        <f t="shared" si="101"/>
        <v>-0.4</v>
      </c>
      <c r="W582">
        <f t="shared" si="102"/>
        <v>0</v>
      </c>
      <c r="X582">
        <f t="shared" si="103"/>
        <v>0.2</v>
      </c>
      <c r="Y582">
        <f t="shared" si="104"/>
        <v>0</v>
      </c>
    </row>
    <row r="583" spans="1:25" x14ac:dyDescent="0.2">
      <c r="A583" t="s">
        <v>25</v>
      </c>
      <c r="B583" t="s">
        <v>647</v>
      </c>
      <c r="C583">
        <v>120</v>
      </c>
      <c r="D583">
        <v>100</v>
      </c>
      <c r="E583">
        <v>11</v>
      </c>
      <c r="F583">
        <v>7</v>
      </c>
      <c r="G583">
        <v>0</v>
      </c>
      <c r="H583">
        <v>40</v>
      </c>
      <c r="I583">
        <v>140</v>
      </c>
      <c r="J583">
        <v>16</v>
      </c>
      <c r="K583">
        <v>0</v>
      </c>
      <c r="L583">
        <v>2</v>
      </c>
      <c r="M583">
        <v>2</v>
      </c>
      <c r="N583">
        <v>127</v>
      </c>
      <c r="O583" s="3">
        <f t="shared" si="95"/>
        <v>1.6666666666666667</v>
      </c>
      <c r="P583">
        <f t="shared" si="96"/>
        <v>0</v>
      </c>
      <c r="Q583">
        <f t="shared" si="97"/>
        <v>0</v>
      </c>
      <c r="S583">
        <f t="shared" si="98"/>
        <v>-3.6717391304347831</v>
      </c>
      <c r="T583">
        <f t="shared" si="99"/>
        <v>-1.75</v>
      </c>
      <c r="U583">
        <f t="shared" si="100"/>
        <v>-1.5217391304347827</v>
      </c>
      <c r="V583">
        <f t="shared" si="101"/>
        <v>-0.8</v>
      </c>
      <c r="W583">
        <f t="shared" si="102"/>
        <v>0</v>
      </c>
      <c r="X583">
        <f t="shared" si="103"/>
        <v>0.4</v>
      </c>
      <c r="Y583">
        <f t="shared" si="104"/>
        <v>0</v>
      </c>
    </row>
    <row r="584" spans="1:25" x14ac:dyDescent="0.2">
      <c r="A584" t="s">
        <v>25</v>
      </c>
      <c r="B584" t="s">
        <v>652</v>
      </c>
      <c r="C584">
        <v>190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39</v>
      </c>
      <c r="K584">
        <v>0</v>
      </c>
      <c r="L584">
        <v>39</v>
      </c>
      <c r="M584">
        <v>3</v>
      </c>
      <c r="N584">
        <v>226</v>
      </c>
      <c r="O584" s="3">
        <f t="shared" si="95"/>
        <v>1.5789473684210527</v>
      </c>
      <c r="P584">
        <f t="shared" si="96"/>
        <v>0</v>
      </c>
      <c r="Q584">
        <f t="shared" si="97"/>
        <v>0</v>
      </c>
      <c r="S584">
        <f t="shared" si="98"/>
        <v>-15.000000000000004</v>
      </c>
      <c r="T584">
        <f t="shared" si="99"/>
        <v>0</v>
      </c>
      <c r="U584">
        <f t="shared" si="100"/>
        <v>0</v>
      </c>
      <c r="V584">
        <f t="shared" si="101"/>
        <v>-15.600000000000003</v>
      </c>
      <c r="W584">
        <f t="shared" si="102"/>
        <v>0</v>
      </c>
      <c r="X584">
        <f t="shared" si="103"/>
        <v>0.6</v>
      </c>
      <c r="Y584">
        <f t="shared" si="104"/>
        <v>0</v>
      </c>
    </row>
    <row r="585" spans="1:25" x14ac:dyDescent="0.2">
      <c r="A585" t="s">
        <v>25</v>
      </c>
      <c r="B585" t="s">
        <v>655</v>
      </c>
      <c r="C585">
        <v>450</v>
      </c>
      <c r="D585">
        <v>180</v>
      </c>
      <c r="E585">
        <v>20</v>
      </c>
      <c r="F585">
        <v>13</v>
      </c>
      <c r="G585">
        <v>1</v>
      </c>
      <c r="H585">
        <v>55</v>
      </c>
      <c r="I585">
        <v>130</v>
      </c>
      <c r="J585">
        <v>62</v>
      </c>
      <c r="K585">
        <v>1</v>
      </c>
      <c r="L585">
        <v>56</v>
      </c>
      <c r="M585">
        <v>7</v>
      </c>
      <c r="N585">
        <v>512</v>
      </c>
      <c r="O585" s="3">
        <f t="shared" si="95"/>
        <v>1.5555555555555556</v>
      </c>
      <c r="P585">
        <f t="shared" si="96"/>
        <v>0</v>
      </c>
      <c r="Q585">
        <f t="shared" si="97"/>
        <v>0</v>
      </c>
      <c r="S585">
        <f t="shared" si="98"/>
        <v>-25.306900621118018</v>
      </c>
      <c r="T585">
        <f t="shared" si="99"/>
        <v>-3.25</v>
      </c>
      <c r="U585">
        <f t="shared" si="100"/>
        <v>-1.4130434782608696</v>
      </c>
      <c r="V585">
        <f t="shared" si="101"/>
        <v>-22.400000000000002</v>
      </c>
      <c r="W585">
        <f t="shared" si="102"/>
        <v>-1E-3</v>
      </c>
      <c r="X585">
        <f t="shared" si="103"/>
        <v>1.4000000000000001</v>
      </c>
      <c r="Y585">
        <f t="shared" si="104"/>
        <v>0.35714285714285715</v>
      </c>
    </row>
    <row r="586" spans="1:25" x14ac:dyDescent="0.2">
      <c r="A586" t="s">
        <v>25</v>
      </c>
      <c r="B586" t="s">
        <v>657</v>
      </c>
      <c r="C586">
        <v>260</v>
      </c>
      <c r="D586">
        <v>70</v>
      </c>
      <c r="E586">
        <v>8</v>
      </c>
      <c r="F586">
        <v>2.5</v>
      </c>
      <c r="G586">
        <v>0</v>
      </c>
      <c r="H586">
        <v>0</v>
      </c>
      <c r="I586">
        <v>300</v>
      </c>
      <c r="J586">
        <v>43</v>
      </c>
      <c r="K586">
        <v>1</v>
      </c>
      <c r="L586">
        <v>13</v>
      </c>
      <c r="M586">
        <v>4</v>
      </c>
      <c r="N586">
        <v>271.5</v>
      </c>
      <c r="O586" s="3">
        <f t="shared" si="95"/>
        <v>1.5384615384615385</v>
      </c>
      <c r="P586">
        <f t="shared" si="96"/>
        <v>0</v>
      </c>
      <c r="Q586">
        <f t="shared" si="97"/>
        <v>0</v>
      </c>
      <c r="S586">
        <f t="shared" si="98"/>
        <v>-7.9287267080745343</v>
      </c>
      <c r="T586">
        <f t="shared" si="99"/>
        <v>-0.625</v>
      </c>
      <c r="U586">
        <f t="shared" si="100"/>
        <v>-3.2608695652173911</v>
      </c>
      <c r="V586">
        <f t="shared" si="101"/>
        <v>-5.2</v>
      </c>
      <c r="W586">
        <f t="shared" si="102"/>
        <v>0</v>
      </c>
      <c r="X586">
        <f t="shared" si="103"/>
        <v>0.8</v>
      </c>
      <c r="Y586">
        <f t="shared" si="104"/>
        <v>0.35714285714285715</v>
      </c>
    </row>
    <row r="587" spans="1:25" x14ac:dyDescent="0.2">
      <c r="A587" t="s">
        <v>25</v>
      </c>
      <c r="B587" t="s">
        <v>658</v>
      </c>
      <c r="C587">
        <v>680</v>
      </c>
      <c r="D587">
        <v>260</v>
      </c>
      <c r="E587">
        <v>29</v>
      </c>
      <c r="F587">
        <v>18</v>
      </c>
      <c r="G587">
        <v>1.5</v>
      </c>
      <c r="H587">
        <v>85</v>
      </c>
      <c r="I587">
        <v>200</v>
      </c>
      <c r="J587">
        <v>94</v>
      </c>
      <c r="K587">
        <v>0</v>
      </c>
      <c r="L587">
        <v>88</v>
      </c>
      <c r="M587">
        <v>10</v>
      </c>
      <c r="N587">
        <v>776</v>
      </c>
      <c r="O587" s="3">
        <f t="shared" si="95"/>
        <v>1.4705882352941175</v>
      </c>
      <c r="P587">
        <f t="shared" si="96"/>
        <v>0</v>
      </c>
      <c r="Q587">
        <f t="shared" si="97"/>
        <v>0</v>
      </c>
      <c r="S587">
        <f t="shared" si="98"/>
        <v>-39.875413043478261</v>
      </c>
      <c r="T587">
        <f t="shared" si="99"/>
        <v>-4.5</v>
      </c>
      <c r="U587">
        <f t="shared" si="100"/>
        <v>-2.1739130434782608</v>
      </c>
      <c r="V587">
        <f t="shared" si="101"/>
        <v>-35.200000000000003</v>
      </c>
      <c r="W587">
        <f t="shared" si="102"/>
        <v>-1.5E-3</v>
      </c>
      <c r="X587">
        <f t="shared" si="103"/>
        <v>2.0000000000000004</v>
      </c>
      <c r="Y587">
        <f t="shared" si="104"/>
        <v>0</v>
      </c>
    </row>
    <row r="588" spans="1:25" x14ac:dyDescent="0.2">
      <c r="A588" t="s">
        <v>25</v>
      </c>
      <c r="B588" t="s">
        <v>659</v>
      </c>
      <c r="C588">
        <v>680</v>
      </c>
      <c r="D588">
        <v>250</v>
      </c>
      <c r="E588">
        <v>28</v>
      </c>
      <c r="F588">
        <v>18</v>
      </c>
      <c r="G588">
        <v>1</v>
      </c>
      <c r="H588">
        <v>80</v>
      </c>
      <c r="I588">
        <v>200</v>
      </c>
      <c r="J588">
        <v>96</v>
      </c>
      <c r="K588">
        <v>1</v>
      </c>
      <c r="L588">
        <v>87</v>
      </c>
      <c r="M588">
        <v>10</v>
      </c>
      <c r="N588">
        <v>775</v>
      </c>
      <c r="O588" s="3">
        <f t="shared" si="95"/>
        <v>1.4705882352941175</v>
      </c>
      <c r="P588">
        <f t="shared" si="96"/>
        <v>0</v>
      </c>
      <c r="Q588">
        <f t="shared" si="97"/>
        <v>0</v>
      </c>
      <c r="S588">
        <f t="shared" si="98"/>
        <v>-39.117770186335406</v>
      </c>
      <c r="T588">
        <f t="shared" si="99"/>
        <v>-4.5</v>
      </c>
      <c r="U588">
        <f t="shared" si="100"/>
        <v>-2.1739130434782608</v>
      </c>
      <c r="V588">
        <f t="shared" si="101"/>
        <v>-34.800000000000004</v>
      </c>
      <c r="W588">
        <f t="shared" si="102"/>
        <v>-1E-3</v>
      </c>
      <c r="X588">
        <f t="shared" si="103"/>
        <v>2.0000000000000004</v>
      </c>
      <c r="Y588">
        <f t="shared" si="104"/>
        <v>0.35714285714285715</v>
      </c>
    </row>
    <row r="589" spans="1:25" x14ac:dyDescent="0.2">
      <c r="A589" t="s">
        <v>25</v>
      </c>
      <c r="B589" t="s">
        <v>660</v>
      </c>
      <c r="C589">
        <v>550</v>
      </c>
      <c r="D589">
        <v>220</v>
      </c>
      <c r="E589">
        <v>24</v>
      </c>
      <c r="F589">
        <v>15</v>
      </c>
      <c r="G589">
        <v>1</v>
      </c>
      <c r="H589">
        <v>70</v>
      </c>
      <c r="I589">
        <v>160</v>
      </c>
      <c r="J589">
        <v>76</v>
      </c>
      <c r="K589">
        <v>0</v>
      </c>
      <c r="L589">
        <v>71</v>
      </c>
      <c r="M589">
        <v>8</v>
      </c>
      <c r="N589">
        <v>628</v>
      </c>
      <c r="O589" s="3">
        <f t="shared" si="95"/>
        <v>1.4545454545454546</v>
      </c>
      <c r="P589">
        <f t="shared" si="96"/>
        <v>0</v>
      </c>
      <c r="Q589">
        <f t="shared" si="97"/>
        <v>0</v>
      </c>
      <c r="S589">
        <f t="shared" si="98"/>
        <v>-32.290130434782604</v>
      </c>
      <c r="T589">
        <f t="shared" si="99"/>
        <v>-3.75</v>
      </c>
      <c r="U589">
        <f t="shared" si="100"/>
        <v>-1.7391304347826086</v>
      </c>
      <c r="V589">
        <f t="shared" si="101"/>
        <v>-28.4</v>
      </c>
      <c r="W589">
        <f t="shared" si="102"/>
        <v>-1E-3</v>
      </c>
      <c r="X589">
        <f t="shared" si="103"/>
        <v>1.6</v>
      </c>
      <c r="Y589">
        <f t="shared" si="104"/>
        <v>0</v>
      </c>
    </row>
    <row r="590" spans="1:25" x14ac:dyDescent="0.2">
      <c r="A590" t="s">
        <v>25</v>
      </c>
      <c r="B590" t="s">
        <v>661</v>
      </c>
      <c r="C590">
        <v>280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5</v>
      </c>
      <c r="J590">
        <v>58</v>
      </c>
      <c r="K590">
        <v>0</v>
      </c>
      <c r="L590">
        <v>58</v>
      </c>
      <c r="M590">
        <v>4</v>
      </c>
      <c r="N590">
        <v>334</v>
      </c>
      <c r="O590" s="3">
        <f t="shared" si="95"/>
        <v>1.4285714285714286</v>
      </c>
      <c r="P590">
        <f t="shared" si="96"/>
        <v>0</v>
      </c>
      <c r="Q590">
        <f t="shared" si="97"/>
        <v>0</v>
      </c>
      <c r="S590">
        <f t="shared" si="98"/>
        <v>-22.454347826086956</v>
      </c>
      <c r="T590">
        <f t="shared" si="99"/>
        <v>0</v>
      </c>
      <c r="U590">
        <f t="shared" si="100"/>
        <v>-5.434782608695652E-2</v>
      </c>
      <c r="V590">
        <f t="shared" si="101"/>
        <v>-23.2</v>
      </c>
      <c r="W590">
        <f t="shared" si="102"/>
        <v>0</v>
      </c>
      <c r="X590">
        <f t="shared" si="103"/>
        <v>0.8</v>
      </c>
      <c r="Y590">
        <f t="shared" si="104"/>
        <v>0</v>
      </c>
    </row>
    <row r="591" spans="1:25" x14ac:dyDescent="0.2">
      <c r="A591" t="s">
        <v>25</v>
      </c>
      <c r="B591" t="s">
        <v>662</v>
      </c>
      <c r="C591">
        <v>560</v>
      </c>
      <c r="D591">
        <v>210</v>
      </c>
      <c r="E591">
        <v>24</v>
      </c>
      <c r="F591">
        <v>15</v>
      </c>
      <c r="G591">
        <v>1</v>
      </c>
      <c r="H591">
        <v>65</v>
      </c>
      <c r="I591">
        <v>160</v>
      </c>
      <c r="J591">
        <v>78</v>
      </c>
      <c r="K591">
        <v>1</v>
      </c>
      <c r="L591">
        <v>70</v>
      </c>
      <c r="M591">
        <v>8</v>
      </c>
      <c r="N591">
        <v>637</v>
      </c>
      <c r="O591" s="3">
        <f t="shared" si="95"/>
        <v>1.4285714285714286</v>
      </c>
      <c r="P591">
        <f t="shared" si="96"/>
        <v>0</v>
      </c>
      <c r="Q591">
        <f t="shared" si="97"/>
        <v>0</v>
      </c>
      <c r="S591">
        <f t="shared" si="98"/>
        <v>-31.532987577639741</v>
      </c>
      <c r="T591">
        <f t="shared" si="99"/>
        <v>-3.75</v>
      </c>
      <c r="U591">
        <f t="shared" si="100"/>
        <v>-1.7391304347826086</v>
      </c>
      <c r="V591">
        <f t="shared" si="101"/>
        <v>-27.999999999999996</v>
      </c>
      <c r="W591">
        <f t="shared" si="102"/>
        <v>-1E-3</v>
      </c>
      <c r="X591">
        <f t="shared" si="103"/>
        <v>1.6</v>
      </c>
      <c r="Y591">
        <f t="shared" si="104"/>
        <v>0.35714285714285715</v>
      </c>
    </row>
    <row r="592" spans="1:25" x14ac:dyDescent="0.2">
      <c r="A592" t="s">
        <v>25</v>
      </c>
      <c r="B592" t="s">
        <v>671</v>
      </c>
      <c r="C592">
        <v>150</v>
      </c>
      <c r="D592">
        <v>50</v>
      </c>
      <c r="E592">
        <v>6</v>
      </c>
      <c r="F592">
        <v>2.5</v>
      </c>
      <c r="G592">
        <v>0</v>
      </c>
      <c r="H592">
        <v>10</v>
      </c>
      <c r="I592">
        <v>135</v>
      </c>
      <c r="J592">
        <v>22</v>
      </c>
      <c r="K592">
        <v>1</v>
      </c>
      <c r="L592">
        <v>13</v>
      </c>
      <c r="M592">
        <v>2</v>
      </c>
      <c r="N592">
        <v>163.5</v>
      </c>
      <c r="O592" s="3">
        <f t="shared" si="95"/>
        <v>1.3333333333333335</v>
      </c>
      <c r="P592">
        <f t="shared" si="96"/>
        <v>0</v>
      </c>
      <c r="Q592">
        <f t="shared" si="97"/>
        <v>0</v>
      </c>
      <c r="S592">
        <f t="shared" si="98"/>
        <v>-6.5352484472049692</v>
      </c>
      <c r="T592">
        <f t="shared" si="99"/>
        <v>-0.625</v>
      </c>
      <c r="U592">
        <f t="shared" si="100"/>
        <v>-1.4673913043478262</v>
      </c>
      <c r="V592">
        <f t="shared" si="101"/>
        <v>-5.2</v>
      </c>
      <c r="W592">
        <f t="shared" si="102"/>
        <v>0</v>
      </c>
      <c r="X592">
        <f t="shared" si="103"/>
        <v>0.4</v>
      </c>
      <c r="Y592">
        <f t="shared" si="104"/>
        <v>0.35714285714285715</v>
      </c>
    </row>
    <row r="593" spans="1:25" x14ac:dyDescent="0.2">
      <c r="A593" t="s">
        <v>25</v>
      </c>
      <c r="B593" t="s">
        <v>672</v>
      </c>
      <c r="C593">
        <v>150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30</v>
      </c>
      <c r="K593">
        <v>0</v>
      </c>
      <c r="L593">
        <v>30</v>
      </c>
      <c r="M593">
        <v>2</v>
      </c>
      <c r="N593">
        <v>178</v>
      </c>
      <c r="O593" s="3">
        <f t="shared" si="95"/>
        <v>1.3333333333333335</v>
      </c>
      <c r="P593">
        <f t="shared" si="96"/>
        <v>0</v>
      </c>
      <c r="Q593">
        <f t="shared" si="97"/>
        <v>0</v>
      </c>
      <c r="S593">
        <f t="shared" si="98"/>
        <v>-11.6</v>
      </c>
      <c r="T593">
        <f t="shared" si="99"/>
        <v>0</v>
      </c>
      <c r="U593">
        <f t="shared" si="100"/>
        <v>0</v>
      </c>
      <c r="V593">
        <f t="shared" si="101"/>
        <v>-12</v>
      </c>
      <c r="W593">
        <f t="shared" si="102"/>
        <v>0</v>
      </c>
      <c r="X593">
        <f t="shared" si="103"/>
        <v>0.4</v>
      </c>
      <c r="Y593">
        <f t="shared" si="104"/>
        <v>0</v>
      </c>
    </row>
    <row r="594" spans="1:25" x14ac:dyDescent="0.2">
      <c r="A594" t="s">
        <v>25</v>
      </c>
      <c r="B594" t="s">
        <v>673</v>
      </c>
      <c r="C594">
        <v>450</v>
      </c>
      <c r="D594">
        <v>180</v>
      </c>
      <c r="E594">
        <v>20</v>
      </c>
      <c r="F594">
        <v>13</v>
      </c>
      <c r="G594">
        <v>1</v>
      </c>
      <c r="H594">
        <v>55</v>
      </c>
      <c r="I594">
        <v>135</v>
      </c>
      <c r="J594">
        <v>61</v>
      </c>
      <c r="K594">
        <v>0</v>
      </c>
      <c r="L594">
        <v>57</v>
      </c>
      <c r="M594">
        <v>6</v>
      </c>
      <c r="N594">
        <v>514</v>
      </c>
      <c r="O594" s="3">
        <f t="shared" si="95"/>
        <v>1.3333333333333335</v>
      </c>
      <c r="P594">
        <f t="shared" si="96"/>
        <v>0</v>
      </c>
      <c r="Q594">
        <f t="shared" si="97"/>
        <v>0</v>
      </c>
      <c r="S594">
        <f t="shared" si="98"/>
        <v>-26.318391304347827</v>
      </c>
      <c r="T594">
        <f t="shared" si="99"/>
        <v>-3.25</v>
      </c>
      <c r="U594">
        <f t="shared" si="100"/>
        <v>-1.4673913043478262</v>
      </c>
      <c r="V594">
        <f t="shared" si="101"/>
        <v>-22.799999999999997</v>
      </c>
      <c r="W594">
        <f t="shared" si="102"/>
        <v>-1E-3</v>
      </c>
      <c r="X594">
        <f t="shared" si="103"/>
        <v>1.2</v>
      </c>
      <c r="Y594">
        <f t="shared" si="104"/>
        <v>0</v>
      </c>
    </row>
    <row r="595" spans="1:25" x14ac:dyDescent="0.2">
      <c r="A595" t="s">
        <v>25</v>
      </c>
      <c r="B595" t="s">
        <v>677</v>
      </c>
      <c r="C595">
        <v>230</v>
      </c>
      <c r="D595">
        <v>100</v>
      </c>
      <c r="E595">
        <v>11</v>
      </c>
      <c r="F595">
        <v>1.5</v>
      </c>
      <c r="G595">
        <v>0</v>
      </c>
      <c r="H595">
        <v>0</v>
      </c>
      <c r="I595">
        <v>160</v>
      </c>
      <c r="J595">
        <v>29</v>
      </c>
      <c r="K595">
        <v>3</v>
      </c>
      <c r="L595">
        <v>0</v>
      </c>
      <c r="M595">
        <v>3</v>
      </c>
      <c r="N595">
        <v>228.5</v>
      </c>
      <c r="O595" s="3">
        <f t="shared" si="95"/>
        <v>1.3043478260869565</v>
      </c>
      <c r="P595">
        <f t="shared" si="96"/>
        <v>0</v>
      </c>
      <c r="Q595">
        <f t="shared" si="97"/>
        <v>0</v>
      </c>
      <c r="S595">
        <f t="shared" si="98"/>
        <v>-0.44270186335403694</v>
      </c>
      <c r="T595">
        <f t="shared" si="99"/>
        <v>-0.375</v>
      </c>
      <c r="U595">
        <f t="shared" si="100"/>
        <v>-1.7391304347826086</v>
      </c>
      <c r="V595">
        <f t="shared" si="101"/>
        <v>0</v>
      </c>
      <c r="W595">
        <f t="shared" si="102"/>
        <v>0</v>
      </c>
      <c r="X595">
        <f t="shared" si="103"/>
        <v>0.6</v>
      </c>
      <c r="Y595">
        <f t="shared" si="104"/>
        <v>1.0714285714285714</v>
      </c>
    </row>
    <row r="596" spans="1:25" x14ac:dyDescent="0.2">
      <c r="A596" t="s">
        <v>25</v>
      </c>
      <c r="B596" t="s">
        <v>678</v>
      </c>
      <c r="C596">
        <v>460</v>
      </c>
      <c r="D596">
        <v>170</v>
      </c>
      <c r="E596">
        <v>19</v>
      </c>
      <c r="F596">
        <v>9</v>
      </c>
      <c r="G596">
        <v>0</v>
      </c>
      <c r="H596">
        <v>15</v>
      </c>
      <c r="I596">
        <v>370</v>
      </c>
      <c r="J596">
        <v>66</v>
      </c>
      <c r="K596">
        <v>3</v>
      </c>
      <c r="L596">
        <v>32</v>
      </c>
      <c r="M596">
        <v>6</v>
      </c>
      <c r="N596">
        <v>495</v>
      </c>
      <c r="O596" s="3">
        <f t="shared" si="95"/>
        <v>1.3043478260869565</v>
      </c>
      <c r="P596">
        <f t="shared" si="96"/>
        <v>0</v>
      </c>
      <c r="Q596">
        <f t="shared" si="97"/>
        <v>0</v>
      </c>
      <c r="S596">
        <f t="shared" si="98"/>
        <v>-16.80031055900621</v>
      </c>
      <c r="T596">
        <f t="shared" si="99"/>
        <v>-2.25</v>
      </c>
      <c r="U596">
        <f t="shared" si="100"/>
        <v>-4.0217391304347823</v>
      </c>
      <c r="V596">
        <f t="shared" si="101"/>
        <v>-12.8</v>
      </c>
      <c r="W596">
        <f t="shared" si="102"/>
        <v>0</v>
      </c>
      <c r="X596">
        <f t="shared" si="103"/>
        <v>1.2</v>
      </c>
      <c r="Y596">
        <f t="shared" si="104"/>
        <v>1.0714285714285714</v>
      </c>
    </row>
    <row r="597" spans="1:25" x14ac:dyDescent="0.2">
      <c r="A597" t="s">
        <v>25</v>
      </c>
      <c r="B597" t="s">
        <v>683</v>
      </c>
      <c r="C597">
        <v>160</v>
      </c>
      <c r="D597">
        <v>70</v>
      </c>
      <c r="E597">
        <v>8</v>
      </c>
      <c r="F597">
        <v>3.5</v>
      </c>
      <c r="G597">
        <v>0</v>
      </c>
      <c r="H597">
        <v>10</v>
      </c>
      <c r="I597">
        <v>90</v>
      </c>
      <c r="J597">
        <v>21</v>
      </c>
      <c r="K597">
        <v>1</v>
      </c>
      <c r="L597">
        <v>15</v>
      </c>
      <c r="M597">
        <v>2</v>
      </c>
      <c r="N597">
        <v>176.5</v>
      </c>
      <c r="O597" s="3">
        <f t="shared" si="95"/>
        <v>1.25</v>
      </c>
      <c r="P597">
        <f t="shared" si="96"/>
        <v>0</v>
      </c>
      <c r="Q597">
        <f t="shared" si="97"/>
        <v>0</v>
      </c>
      <c r="S597">
        <f t="shared" si="98"/>
        <v>-7.0961180124223606</v>
      </c>
      <c r="T597">
        <f t="shared" si="99"/>
        <v>-0.875</v>
      </c>
      <c r="U597">
        <f t="shared" si="100"/>
        <v>-0.97826086956521752</v>
      </c>
      <c r="V597">
        <f t="shared" si="101"/>
        <v>-6</v>
      </c>
      <c r="W597">
        <f t="shared" si="102"/>
        <v>0</v>
      </c>
      <c r="X597">
        <f t="shared" si="103"/>
        <v>0.4</v>
      </c>
      <c r="Y597">
        <f t="shared" si="104"/>
        <v>0.35714285714285715</v>
      </c>
    </row>
    <row r="598" spans="1:25" x14ac:dyDescent="0.2">
      <c r="A598" t="s">
        <v>25</v>
      </c>
      <c r="B598" t="s">
        <v>684</v>
      </c>
      <c r="C598">
        <v>160</v>
      </c>
      <c r="D598">
        <v>60</v>
      </c>
      <c r="E598">
        <v>7</v>
      </c>
      <c r="F598">
        <v>3</v>
      </c>
      <c r="G598">
        <v>0</v>
      </c>
      <c r="H598">
        <v>5</v>
      </c>
      <c r="I598">
        <v>120</v>
      </c>
      <c r="J598">
        <v>21</v>
      </c>
      <c r="K598">
        <v>0</v>
      </c>
      <c r="L598">
        <v>11</v>
      </c>
      <c r="M598">
        <v>2</v>
      </c>
      <c r="N598">
        <v>172</v>
      </c>
      <c r="O598" s="3">
        <f t="shared" si="95"/>
        <v>1.25</v>
      </c>
      <c r="P598">
        <f t="shared" si="96"/>
        <v>0</v>
      </c>
      <c r="Q598">
        <f t="shared" si="97"/>
        <v>0</v>
      </c>
      <c r="S598">
        <f t="shared" si="98"/>
        <v>-6.054347826086957</v>
      </c>
      <c r="T598">
        <f t="shared" si="99"/>
        <v>-0.75</v>
      </c>
      <c r="U598">
        <f t="shared" si="100"/>
        <v>-1.3043478260869565</v>
      </c>
      <c r="V598">
        <f t="shared" si="101"/>
        <v>-4.4000000000000004</v>
      </c>
      <c r="W598">
        <f t="shared" si="102"/>
        <v>0</v>
      </c>
      <c r="X598">
        <f t="shared" si="103"/>
        <v>0.4</v>
      </c>
      <c r="Y598">
        <f t="shared" si="104"/>
        <v>0</v>
      </c>
    </row>
    <row r="599" spans="1:25" x14ac:dyDescent="0.2">
      <c r="A599" t="s">
        <v>25</v>
      </c>
      <c r="B599" t="s">
        <v>694</v>
      </c>
      <c r="C599">
        <v>500</v>
      </c>
      <c r="D599">
        <v>220</v>
      </c>
      <c r="E599">
        <v>25</v>
      </c>
      <c r="F599">
        <v>3.5</v>
      </c>
      <c r="G599">
        <v>0</v>
      </c>
      <c r="H599">
        <v>0</v>
      </c>
      <c r="I599">
        <v>350</v>
      </c>
      <c r="J599">
        <v>63</v>
      </c>
      <c r="K599">
        <v>6</v>
      </c>
      <c r="L599">
        <v>0</v>
      </c>
      <c r="M599">
        <v>6</v>
      </c>
      <c r="N599">
        <v>497.5</v>
      </c>
      <c r="O599" s="3">
        <f t="shared" si="95"/>
        <v>1.2</v>
      </c>
      <c r="P599">
        <f t="shared" si="96"/>
        <v>0</v>
      </c>
      <c r="Q599">
        <f t="shared" si="97"/>
        <v>0</v>
      </c>
      <c r="S599">
        <f t="shared" si="98"/>
        <v>-1.336490683229814</v>
      </c>
      <c r="T599">
        <f t="shared" si="99"/>
        <v>-0.875</v>
      </c>
      <c r="U599">
        <f t="shared" si="100"/>
        <v>-3.804347826086957</v>
      </c>
      <c r="V599">
        <f t="shared" si="101"/>
        <v>0</v>
      </c>
      <c r="W599">
        <f t="shared" si="102"/>
        <v>0</v>
      </c>
      <c r="X599">
        <f t="shared" si="103"/>
        <v>1.2</v>
      </c>
      <c r="Y599">
        <f t="shared" si="104"/>
        <v>2.1428571428571428</v>
      </c>
    </row>
    <row r="600" spans="1:25" x14ac:dyDescent="0.2">
      <c r="A600" t="s">
        <v>25</v>
      </c>
      <c r="B600" t="s">
        <v>699</v>
      </c>
      <c r="C600">
        <v>260</v>
      </c>
      <c r="D600">
        <v>5</v>
      </c>
      <c r="E600">
        <v>1</v>
      </c>
      <c r="F600">
        <v>0</v>
      </c>
      <c r="G600">
        <v>0</v>
      </c>
      <c r="H600">
        <v>5</v>
      </c>
      <c r="I600">
        <v>35</v>
      </c>
      <c r="J600">
        <v>60</v>
      </c>
      <c r="K600">
        <v>4</v>
      </c>
      <c r="L600">
        <v>55</v>
      </c>
      <c r="M600">
        <v>3</v>
      </c>
      <c r="N600">
        <v>312</v>
      </c>
      <c r="O600" s="3">
        <f t="shared" si="95"/>
        <v>1.153846153846154</v>
      </c>
      <c r="P600">
        <f t="shared" si="96"/>
        <v>0</v>
      </c>
      <c r="Q600">
        <f t="shared" si="97"/>
        <v>0</v>
      </c>
      <c r="S600">
        <f t="shared" si="98"/>
        <v>-20.35186335403727</v>
      </c>
      <c r="T600">
        <f t="shared" si="99"/>
        <v>0</v>
      </c>
      <c r="U600">
        <f t="shared" si="100"/>
        <v>-0.38043478260869568</v>
      </c>
      <c r="V600">
        <f t="shared" si="101"/>
        <v>-22.000000000000004</v>
      </c>
      <c r="W600">
        <f t="shared" si="102"/>
        <v>0</v>
      </c>
      <c r="X600">
        <f t="shared" si="103"/>
        <v>0.6</v>
      </c>
      <c r="Y600">
        <f t="shared" si="104"/>
        <v>1.4285714285714286</v>
      </c>
    </row>
    <row r="601" spans="1:25" x14ac:dyDescent="0.2">
      <c r="A601" t="s">
        <v>25</v>
      </c>
      <c r="B601" t="s">
        <v>703</v>
      </c>
      <c r="C601">
        <v>380</v>
      </c>
      <c r="D601">
        <v>170</v>
      </c>
      <c r="E601">
        <v>19</v>
      </c>
      <c r="F601">
        <v>2.5</v>
      </c>
      <c r="G601">
        <v>0</v>
      </c>
      <c r="H601">
        <v>0</v>
      </c>
      <c r="I601">
        <v>270</v>
      </c>
      <c r="J601">
        <v>48</v>
      </c>
      <c r="K601">
        <v>5</v>
      </c>
      <c r="L601">
        <v>0</v>
      </c>
      <c r="M601">
        <v>4</v>
      </c>
      <c r="N601">
        <v>378.5</v>
      </c>
      <c r="O601" s="3">
        <f t="shared" si="95"/>
        <v>1.0526315789473684</v>
      </c>
      <c r="P601">
        <f t="shared" si="96"/>
        <v>0</v>
      </c>
      <c r="Q601">
        <f t="shared" si="97"/>
        <v>0</v>
      </c>
      <c r="S601">
        <f t="shared" si="98"/>
        <v>-0.97406832298136647</v>
      </c>
      <c r="T601">
        <f t="shared" si="99"/>
        <v>-0.625</v>
      </c>
      <c r="U601">
        <f t="shared" si="100"/>
        <v>-2.9347826086956523</v>
      </c>
      <c r="V601">
        <f t="shared" si="101"/>
        <v>0</v>
      </c>
      <c r="W601">
        <f t="shared" si="102"/>
        <v>0</v>
      </c>
      <c r="X601">
        <f t="shared" si="103"/>
        <v>0.8</v>
      </c>
      <c r="Y601">
        <f t="shared" si="104"/>
        <v>1.785714285714286</v>
      </c>
    </row>
    <row r="602" spans="1:25" x14ac:dyDescent="0.2">
      <c r="A602" t="s">
        <v>25</v>
      </c>
      <c r="B602" t="s">
        <v>704</v>
      </c>
      <c r="C602">
        <v>190</v>
      </c>
      <c r="D602">
        <v>170</v>
      </c>
      <c r="E602">
        <v>18</v>
      </c>
      <c r="F602">
        <v>3.5</v>
      </c>
      <c r="G602">
        <v>0</v>
      </c>
      <c r="H602">
        <v>20</v>
      </c>
      <c r="I602">
        <v>500</v>
      </c>
      <c r="J602">
        <v>4</v>
      </c>
      <c r="K602">
        <v>0</v>
      </c>
      <c r="L602">
        <v>2</v>
      </c>
      <c r="M602">
        <v>2</v>
      </c>
      <c r="N602">
        <v>193.5</v>
      </c>
      <c r="O602" s="3">
        <f t="shared" si="95"/>
        <v>1.0526315789473684</v>
      </c>
      <c r="P602">
        <f t="shared" si="96"/>
        <v>1</v>
      </c>
      <c r="Q602">
        <f t="shared" si="97"/>
        <v>0</v>
      </c>
      <c r="S602">
        <f t="shared" si="98"/>
        <v>-6.7097826086956518</v>
      </c>
      <c r="T602">
        <f t="shared" si="99"/>
        <v>-0.875</v>
      </c>
      <c r="U602">
        <f t="shared" si="100"/>
        <v>-5.4347826086956523</v>
      </c>
      <c r="V602">
        <f t="shared" si="101"/>
        <v>-0.8</v>
      </c>
      <c r="W602">
        <f t="shared" si="102"/>
        <v>0</v>
      </c>
      <c r="X602">
        <f t="shared" si="103"/>
        <v>0.4</v>
      </c>
      <c r="Y602">
        <f t="shared" si="104"/>
        <v>0</v>
      </c>
    </row>
    <row r="603" spans="1:25" x14ac:dyDescent="0.2">
      <c r="A603" t="s">
        <v>25</v>
      </c>
      <c r="B603" t="s">
        <v>705</v>
      </c>
      <c r="C603">
        <v>190</v>
      </c>
      <c r="D603">
        <v>70</v>
      </c>
      <c r="E603">
        <v>8</v>
      </c>
      <c r="F603">
        <v>5</v>
      </c>
      <c r="G603">
        <v>0</v>
      </c>
      <c r="H603">
        <v>30</v>
      </c>
      <c r="I603">
        <v>115</v>
      </c>
      <c r="J603">
        <v>27</v>
      </c>
      <c r="K603">
        <v>0</v>
      </c>
      <c r="L603">
        <v>27</v>
      </c>
      <c r="M603">
        <v>2</v>
      </c>
      <c r="N603">
        <v>220</v>
      </c>
      <c r="O603" s="3">
        <f t="shared" si="95"/>
        <v>1.0526315789473684</v>
      </c>
      <c r="P603">
        <f t="shared" si="96"/>
        <v>0</v>
      </c>
      <c r="Q603">
        <f t="shared" si="97"/>
        <v>0</v>
      </c>
      <c r="S603">
        <f t="shared" si="98"/>
        <v>-12.9</v>
      </c>
      <c r="T603">
        <f t="shared" si="99"/>
        <v>-1.25</v>
      </c>
      <c r="U603">
        <f t="shared" si="100"/>
        <v>-1.25</v>
      </c>
      <c r="V603">
        <f t="shared" si="101"/>
        <v>-10.8</v>
      </c>
      <c r="W603">
        <f t="shared" si="102"/>
        <v>0</v>
      </c>
      <c r="X603">
        <f t="shared" si="103"/>
        <v>0.4</v>
      </c>
      <c r="Y603">
        <f t="shared" si="104"/>
        <v>0</v>
      </c>
    </row>
    <row r="604" spans="1:25" x14ac:dyDescent="0.2">
      <c r="A604" t="s">
        <v>25</v>
      </c>
      <c r="B604" t="s">
        <v>706</v>
      </c>
      <c r="C604">
        <v>190</v>
      </c>
      <c r="D604">
        <v>70</v>
      </c>
      <c r="E604">
        <v>8</v>
      </c>
      <c r="F604">
        <v>5</v>
      </c>
      <c r="G604">
        <v>0</v>
      </c>
      <c r="H604">
        <v>30</v>
      </c>
      <c r="I604">
        <v>60</v>
      </c>
      <c r="J604">
        <v>29</v>
      </c>
      <c r="K604">
        <v>0</v>
      </c>
      <c r="L604">
        <v>29</v>
      </c>
      <c r="M604">
        <v>2</v>
      </c>
      <c r="N604">
        <v>222</v>
      </c>
      <c r="O604" s="3">
        <f t="shared" si="95"/>
        <v>1.0526315789473684</v>
      </c>
      <c r="P604">
        <f t="shared" si="96"/>
        <v>0</v>
      </c>
      <c r="Q604">
        <f t="shared" si="97"/>
        <v>0</v>
      </c>
      <c r="S604">
        <f t="shared" si="98"/>
        <v>-13.102173913043478</v>
      </c>
      <c r="T604">
        <f t="shared" si="99"/>
        <v>-1.25</v>
      </c>
      <c r="U604">
        <f t="shared" si="100"/>
        <v>-0.65217391304347827</v>
      </c>
      <c r="V604">
        <f t="shared" si="101"/>
        <v>-11.6</v>
      </c>
      <c r="W604">
        <f t="shared" si="102"/>
        <v>0</v>
      </c>
      <c r="X604">
        <f t="shared" si="103"/>
        <v>0.4</v>
      </c>
      <c r="Y604">
        <f t="shared" si="104"/>
        <v>0</v>
      </c>
    </row>
    <row r="605" spans="1:25" x14ac:dyDescent="0.2">
      <c r="A605" t="s">
        <v>25</v>
      </c>
      <c r="B605" t="s">
        <v>707</v>
      </c>
      <c r="C605">
        <v>190</v>
      </c>
      <c r="D605">
        <v>70</v>
      </c>
      <c r="E605">
        <v>8</v>
      </c>
      <c r="F605">
        <v>5</v>
      </c>
      <c r="G605">
        <v>0</v>
      </c>
      <c r="H605">
        <v>30</v>
      </c>
      <c r="I605">
        <v>60</v>
      </c>
      <c r="J605">
        <v>29</v>
      </c>
      <c r="K605">
        <v>0</v>
      </c>
      <c r="L605">
        <v>28</v>
      </c>
      <c r="M605">
        <v>2</v>
      </c>
      <c r="N605">
        <v>221</v>
      </c>
      <c r="O605" s="3">
        <f t="shared" si="95"/>
        <v>1.0526315789473684</v>
      </c>
      <c r="P605">
        <f t="shared" si="96"/>
        <v>0</v>
      </c>
      <c r="Q605">
        <f t="shared" si="97"/>
        <v>0</v>
      </c>
      <c r="S605">
        <f t="shared" si="98"/>
        <v>-12.702173913043479</v>
      </c>
      <c r="T605">
        <f t="shared" si="99"/>
        <v>-1.25</v>
      </c>
      <c r="U605">
        <f t="shared" si="100"/>
        <v>-0.65217391304347827</v>
      </c>
      <c r="V605">
        <f t="shared" si="101"/>
        <v>-11.200000000000001</v>
      </c>
      <c r="W605">
        <f t="shared" si="102"/>
        <v>0</v>
      </c>
      <c r="X605">
        <f t="shared" si="103"/>
        <v>0.4</v>
      </c>
      <c r="Y605">
        <f t="shared" si="104"/>
        <v>0</v>
      </c>
    </row>
    <row r="606" spans="1:25" x14ac:dyDescent="0.2">
      <c r="A606" t="s">
        <v>25</v>
      </c>
      <c r="B606" t="s">
        <v>709</v>
      </c>
      <c r="C606">
        <v>100</v>
      </c>
      <c r="D606">
        <v>50</v>
      </c>
      <c r="E606">
        <v>6</v>
      </c>
      <c r="F606">
        <v>1</v>
      </c>
      <c r="G606">
        <v>0</v>
      </c>
      <c r="H606">
        <v>20</v>
      </c>
      <c r="I606">
        <v>340</v>
      </c>
      <c r="J606">
        <v>11</v>
      </c>
      <c r="K606">
        <v>0</v>
      </c>
      <c r="L606">
        <v>3</v>
      </c>
      <c r="M606">
        <v>1</v>
      </c>
      <c r="N606">
        <v>103</v>
      </c>
      <c r="O606" s="3">
        <f t="shared" si="95"/>
        <v>1</v>
      </c>
      <c r="P606">
        <f t="shared" si="96"/>
        <v>0</v>
      </c>
      <c r="Q606">
        <f t="shared" si="97"/>
        <v>0</v>
      </c>
      <c r="S606">
        <f t="shared" si="98"/>
        <v>-4.945652173913043</v>
      </c>
      <c r="T606">
        <f t="shared" si="99"/>
        <v>-0.25</v>
      </c>
      <c r="U606">
        <f t="shared" si="100"/>
        <v>-3.6956521739130435</v>
      </c>
      <c r="V606">
        <f t="shared" si="101"/>
        <v>-1.2</v>
      </c>
      <c r="W606">
        <f t="shared" si="102"/>
        <v>0</v>
      </c>
      <c r="X606">
        <f t="shared" si="103"/>
        <v>0.2</v>
      </c>
      <c r="Y606">
        <f t="shared" si="104"/>
        <v>0</v>
      </c>
    </row>
    <row r="607" spans="1:25" x14ac:dyDescent="0.2">
      <c r="A607" t="s">
        <v>25</v>
      </c>
      <c r="B607" t="s">
        <v>710</v>
      </c>
      <c r="C607">
        <v>200</v>
      </c>
      <c r="D607">
        <v>70</v>
      </c>
      <c r="E607">
        <v>8</v>
      </c>
      <c r="F607">
        <v>5</v>
      </c>
      <c r="G607">
        <v>0</v>
      </c>
      <c r="H607">
        <v>30</v>
      </c>
      <c r="I607">
        <v>60</v>
      </c>
      <c r="J607">
        <v>30</v>
      </c>
      <c r="K607">
        <v>0</v>
      </c>
      <c r="L607">
        <v>30</v>
      </c>
      <c r="M607">
        <v>2</v>
      </c>
      <c r="N607">
        <v>233</v>
      </c>
      <c r="O607" s="3">
        <f t="shared" si="95"/>
        <v>1</v>
      </c>
      <c r="P607">
        <f t="shared" si="96"/>
        <v>0</v>
      </c>
      <c r="Q607">
        <f t="shared" si="97"/>
        <v>0</v>
      </c>
      <c r="S607">
        <f t="shared" si="98"/>
        <v>-13.502173913043478</v>
      </c>
      <c r="T607">
        <f t="shared" si="99"/>
        <v>-1.25</v>
      </c>
      <c r="U607">
        <f t="shared" si="100"/>
        <v>-0.65217391304347827</v>
      </c>
      <c r="V607">
        <f t="shared" si="101"/>
        <v>-12</v>
      </c>
      <c r="W607">
        <f t="shared" si="102"/>
        <v>0</v>
      </c>
      <c r="X607">
        <f t="shared" si="103"/>
        <v>0.4</v>
      </c>
      <c r="Y607">
        <f t="shared" si="104"/>
        <v>0</v>
      </c>
    </row>
    <row r="608" spans="1:25" x14ac:dyDescent="0.2">
      <c r="A608" t="s">
        <v>25</v>
      </c>
      <c r="B608" t="s">
        <v>722</v>
      </c>
      <c r="C608">
        <v>210</v>
      </c>
      <c r="D608">
        <v>5</v>
      </c>
      <c r="E608">
        <v>0.5</v>
      </c>
      <c r="F608">
        <v>0</v>
      </c>
      <c r="G608">
        <v>0</v>
      </c>
      <c r="H608">
        <v>5</v>
      </c>
      <c r="I608">
        <v>35</v>
      </c>
      <c r="J608">
        <v>49</v>
      </c>
      <c r="K608">
        <v>2</v>
      </c>
      <c r="L608">
        <v>44</v>
      </c>
      <c r="M608">
        <v>2</v>
      </c>
      <c r="N608">
        <v>252</v>
      </c>
      <c r="O608" s="3">
        <f t="shared" si="95"/>
        <v>0.95238095238095244</v>
      </c>
      <c r="P608">
        <f t="shared" si="96"/>
        <v>0</v>
      </c>
      <c r="Q608">
        <f t="shared" si="97"/>
        <v>0</v>
      </c>
      <c r="S608">
        <f t="shared" si="98"/>
        <v>-16.866149068322983</v>
      </c>
      <c r="T608">
        <f t="shared" si="99"/>
        <v>0</v>
      </c>
      <c r="U608">
        <f t="shared" si="100"/>
        <v>-0.38043478260869568</v>
      </c>
      <c r="V608">
        <f t="shared" si="101"/>
        <v>-17.600000000000001</v>
      </c>
      <c r="W608">
        <f t="shared" si="102"/>
        <v>0</v>
      </c>
      <c r="X608">
        <f t="shared" si="103"/>
        <v>0.4</v>
      </c>
      <c r="Y608">
        <f t="shared" si="104"/>
        <v>0.7142857142857143</v>
      </c>
    </row>
    <row r="609" spans="1:25" x14ac:dyDescent="0.2">
      <c r="A609" t="s">
        <v>25</v>
      </c>
      <c r="B609" t="s">
        <v>723</v>
      </c>
      <c r="C609">
        <v>210</v>
      </c>
      <c r="D609">
        <v>5</v>
      </c>
      <c r="E609">
        <v>0.5</v>
      </c>
      <c r="F609">
        <v>0</v>
      </c>
      <c r="G609">
        <v>0</v>
      </c>
      <c r="H609">
        <v>5</v>
      </c>
      <c r="I609">
        <v>30</v>
      </c>
      <c r="J609">
        <v>48</v>
      </c>
      <c r="K609">
        <v>3</v>
      </c>
      <c r="L609">
        <v>44</v>
      </c>
      <c r="M609">
        <v>2</v>
      </c>
      <c r="N609">
        <v>252</v>
      </c>
      <c r="O609" s="3">
        <f t="shared" si="95"/>
        <v>0.95238095238095244</v>
      </c>
      <c r="P609">
        <f t="shared" si="96"/>
        <v>0</v>
      </c>
      <c r="Q609">
        <f t="shared" si="97"/>
        <v>0</v>
      </c>
      <c r="S609">
        <f t="shared" si="98"/>
        <v>-16.454658385093168</v>
      </c>
      <c r="T609">
        <f t="shared" si="99"/>
        <v>0</v>
      </c>
      <c r="U609">
        <f t="shared" si="100"/>
        <v>-0.32608695652173914</v>
      </c>
      <c r="V609">
        <f t="shared" si="101"/>
        <v>-17.600000000000001</v>
      </c>
      <c r="W609">
        <f t="shared" si="102"/>
        <v>0</v>
      </c>
      <c r="X609">
        <f t="shared" si="103"/>
        <v>0.4</v>
      </c>
      <c r="Y609">
        <f t="shared" si="104"/>
        <v>1.0714285714285714</v>
      </c>
    </row>
    <row r="610" spans="1:25" x14ac:dyDescent="0.2">
      <c r="A610" t="s">
        <v>25</v>
      </c>
      <c r="B610" t="s">
        <v>724</v>
      </c>
      <c r="C610">
        <v>320</v>
      </c>
      <c r="D610">
        <v>10</v>
      </c>
      <c r="E610">
        <v>1</v>
      </c>
      <c r="F610">
        <v>0.5</v>
      </c>
      <c r="G610">
        <v>0</v>
      </c>
      <c r="H610">
        <v>5</v>
      </c>
      <c r="I610">
        <v>45</v>
      </c>
      <c r="J610">
        <v>75</v>
      </c>
      <c r="K610">
        <v>4</v>
      </c>
      <c r="L610">
        <v>69</v>
      </c>
      <c r="M610">
        <v>3</v>
      </c>
      <c r="N610">
        <v>386.5</v>
      </c>
      <c r="O610" s="3">
        <f t="shared" si="95"/>
        <v>0.9375</v>
      </c>
      <c r="P610">
        <f t="shared" si="96"/>
        <v>0</v>
      </c>
      <c r="Q610">
        <f t="shared" si="97"/>
        <v>0</v>
      </c>
      <c r="S610">
        <f t="shared" si="98"/>
        <v>-26.185559006211179</v>
      </c>
      <c r="T610">
        <f t="shared" si="99"/>
        <v>-0.125</v>
      </c>
      <c r="U610">
        <f t="shared" si="100"/>
        <v>-0.48913043478260876</v>
      </c>
      <c r="V610">
        <f t="shared" si="101"/>
        <v>-27.599999999999998</v>
      </c>
      <c r="W610">
        <f t="shared" si="102"/>
        <v>0</v>
      </c>
      <c r="X610">
        <f t="shared" si="103"/>
        <v>0.6</v>
      </c>
      <c r="Y610">
        <f t="shared" si="104"/>
        <v>1.4285714285714286</v>
      </c>
    </row>
    <row r="611" spans="1:25" x14ac:dyDescent="0.2">
      <c r="A611" t="s">
        <v>25</v>
      </c>
      <c r="B611" t="s">
        <v>726</v>
      </c>
      <c r="C611">
        <v>330</v>
      </c>
      <c r="D611">
        <v>10</v>
      </c>
      <c r="E611">
        <v>1</v>
      </c>
      <c r="F611">
        <v>0.5</v>
      </c>
      <c r="G611">
        <v>0</v>
      </c>
      <c r="H611">
        <v>5</v>
      </c>
      <c r="I611">
        <v>55</v>
      </c>
      <c r="J611">
        <v>77</v>
      </c>
      <c r="K611">
        <v>4</v>
      </c>
      <c r="L611">
        <v>70</v>
      </c>
      <c r="M611">
        <v>3</v>
      </c>
      <c r="N611">
        <v>397.5</v>
      </c>
      <c r="O611" s="3">
        <f t="shared" si="95"/>
        <v>0.90909090909090906</v>
      </c>
      <c r="P611">
        <f t="shared" si="96"/>
        <v>0</v>
      </c>
      <c r="Q611">
        <f t="shared" si="97"/>
        <v>0</v>
      </c>
      <c r="S611">
        <f t="shared" si="98"/>
        <v>-26.694254658385091</v>
      </c>
      <c r="T611">
        <f t="shared" si="99"/>
        <v>-0.125</v>
      </c>
      <c r="U611">
        <f t="shared" si="100"/>
        <v>-0.59782608695652173</v>
      </c>
      <c r="V611">
        <f t="shared" si="101"/>
        <v>-27.999999999999996</v>
      </c>
      <c r="W611">
        <f t="shared" si="102"/>
        <v>0</v>
      </c>
      <c r="X611">
        <f t="shared" si="103"/>
        <v>0.6</v>
      </c>
      <c r="Y611">
        <f t="shared" si="104"/>
        <v>1.4285714285714286</v>
      </c>
    </row>
    <row r="612" spans="1:25" x14ac:dyDescent="0.2">
      <c r="A612" t="s">
        <v>25</v>
      </c>
      <c r="B612" t="s">
        <v>736</v>
      </c>
      <c r="C612">
        <v>250</v>
      </c>
      <c r="D612">
        <v>110</v>
      </c>
      <c r="E612">
        <v>13</v>
      </c>
      <c r="F612">
        <v>7</v>
      </c>
      <c r="G612">
        <v>0</v>
      </c>
      <c r="H612">
        <v>0</v>
      </c>
      <c r="I612">
        <v>170</v>
      </c>
      <c r="J612">
        <v>32</v>
      </c>
      <c r="K612">
        <v>4</v>
      </c>
      <c r="L612">
        <v>13</v>
      </c>
      <c r="M612">
        <v>2</v>
      </c>
      <c r="N612">
        <v>268</v>
      </c>
      <c r="O612" s="3">
        <f t="shared" si="95"/>
        <v>0.8</v>
      </c>
      <c r="P612">
        <f t="shared" si="96"/>
        <v>0</v>
      </c>
      <c r="Q612">
        <f t="shared" si="97"/>
        <v>0</v>
      </c>
      <c r="S612">
        <f t="shared" si="98"/>
        <v>-6.9692546583850934</v>
      </c>
      <c r="T612">
        <f t="shared" si="99"/>
        <v>-1.75</v>
      </c>
      <c r="U612">
        <f t="shared" si="100"/>
        <v>-1.8478260869565217</v>
      </c>
      <c r="V612">
        <f t="shared" si="101"/>
        <v>-5.2</v>
      </c>
      <c r="W612">
        <f t="shared" si="102"/>
        <v>0</v>
      </c>
      <c r="X612">
        <f t="shared" si="103"/>
        <v>0.4</v>
      </c>
      <c r="Y612">
        <f t="shared" si="104"/>
        <v>1.4285714285714286</v>
      </c>
    </row>
    <row r="613" spans="1:25" x14ac:dyDescent="0.2">
      <c r="A613" t="s">
        <v>25</v>
      </c>
      <c r="B613" t="s">
        <v>739</v>
      </c>
      <c r="C613">
        <v>130</v>
      </c>
      <c r="D613">
        <v>50</v>
      </c>
      <c r="E613">
        <v>5</v>
      </c>
      <c r="F613">
        <v>3.5</v>
      </c>
      <c r="G613">
        <v>0</v>
      </c>
      <c r="H613">
        <v>20</v>
      </c>
      <c r="I613">
        <v>80</v>
      </c>
      <c r="J613">
        <v>21</v>
      </c>
      <c r="K613">
        <v>0</v>
      </c>
      <c r="L613">
        <v>20</v>
      </c>
      <c r="M613">
        <v>1</v>
      </c>
      <c r="N613">
        <v>152.5</v>
      </c>
      <c r="O613" s="3">
        <f t="shared" si="95"/>
        <v>0.76923076923076927</v>
      </c>
      <c r="P613">
        <f t="shared" si="96"/>
        <v>0</v>
      </c>
      <c r="Q613">
        <f t="shared" si="97"/>
        <v>0</v>
      </c>
      <c r="S613">
        <f t="shared" si="98"/>
        <v>-9.5445652173913071</v>
      </c>
      <c r="T613">
        <f t="shared" si="99"/>
        <v>-0.875</v>
      </c>
      <c r="U613">
        <f t="shared" si="100"/>
        <v>-0.86956521739130432</v>
      </c>
      <c r="V613">
        <f t="shared" si="101"/>
        <v>-8.0000000000000018</v>
      </c>
      <c r="W613">
        <f t="shared" si="102"/>
        <v>0</v>
      </c>
      <c r="X613">
        <f t="shared" si="103"/>
        <v>0.2</v>
      </c>
      <c r="Y613">
        <f t="shared" si="104"/>
        <v>0</v>
      </c>
    </row>
    <row r="614" spans="1:25" x14ac:dyDescent="0.2">
      <c r="A614" t="s">
        <v>25</v>
      </c>
      <c r="B614" t="s">
        <v>740</v>
      </c>
      <c r="C614">
        <v>130</v>
      </c>
      <c r="D614">
        <v>50</v>
      </c>
      <c r="E614">
        <v>5</v>
      </c>
      <c r="F614">
        <v>3.5</v>
      </c>
      <c r="G614">
        <v>0</v>
      </c>
      <c r="H614">
        <v>20</v>
      </c>
      <c r="I614">
        <v>40</v>
      </c>
      <c r="J614">
        <v>21</v>
      </c>
      <c r="K614">
        <v>0</v>
      </c>
      <c r="L614">
        <v>21</v>
      </c>
      <c r="M614">
        <v>1</v>
      </c>
      <c r="N614">
        <v>153.5</v>
      </c>
      <c r="O614" s="3">
        <f t="shared" si="95"/>
        <v>0.76923076923076927</v>
      </c>
      <c r="P614">
        <f t="shared" si="96"/>
        <v>0</v>
      </c>
      <c r="Q614">
        <f t="shared" si="97"/>
        <v>0</v>
      </c>
      <c r="S614">
        <f t="shared" si="98"/>
        <v>-9.5097826086956534</v>
      </c>
      <c r="T614">
        <f t="shared" si="99"/>
        <v>-0.875</v>
      </c>
      <c r="U614">
        <f t="shared" si="100"/>
        <v>-0.43478260869565216</v>
      </c>
      <c r="V614">
        <f t="shared" si="101"/>
        <v>-8.4</v>
      </c>
      <c r="W614">
        <f t="shared" si="102"/>
        <v>0</v>
      </c>
      <c r="X614">
        <f t="shared" si="103"/>
        <v>0.2</v>
      </c>
      <c r="Y614">
        <f t="shared" si="104"/>
        <v>0</v>
      </c>
    </row>
    <row r="615" spans="1:25" x14ac:dyDescent="0.2">
      <c r="A615" t="s">
        <v>25</v>
      </c>
      <c r="B615" t="s">
        <v>741</v>
      </c>
      <c r="C615">
        <v>130</v>
      </c>
      <c r="D615">
        <v>50</v>
      </c>
      <c r="E615">
        <v>5</v>
      </c>
      <c r="F615">
        <v>3.5</v>
      </c>
      <c r="G615">
        <v>0</v>
      </c>
      <c r="H615">
        <v>20</v>
      </c>
      <c r="I615">
        <v>40</v>
      </c>
      <c r="J615">
        <v>21</v>
      </c>
      <c r="K615">
        <v>0</v>
      </c>
      <c r="L615">
        <v>21</v>
      </c>
      <c r="M615">
        <v>1</v>
      </c>
      <c r="N615">
        <v>153.5</v>
      </c>
      <c r="O615" s="3">
        <f t="shared" si="95"/>
        <v>0.76923076923076927</v>
      </c>
      <c r="P615">
        <f t="shared" si="96"/>
        <v>0</v>
      </c>
      <c r="Q615">
        <f t="shared" si="97"/>
        <v>0</v>
      </c>
      <c r="S615">
        <f t="shared" si="98"/>
        <v>-9.5097826086956534</v>
      </c>
      <c r="T615">
        <f t="shared" si="99"/>
        <v>-0.875</v>
      </c>
      <c r="U615">
        <f t="shared" si="100"/>
        <v>-0.43478260869565216</v>
      </c>
      <c r="V615">
        <f t="shared" si="101"/>
        <v>-8.4</v>
      </c>
      <c r="W615">
        <f t="shared" si="102"/>
        <v>0</v>
      </c>
      <c r="X615">
        <f t="shared" si="103"/>
        <v>0.2</v>
      </c>
      <c r="Y615">
        <f t="shared" si="104"/>
        <v>0</v>
      </c>
    </row>
    <row r="616" spans="1:25" x14ac:dyDescent="0.2">
      <c r="A616" t="s">
        <v>25</v>
      </c>
      <c r="B616" t="s">
        <v>742</v>
      </c>
      <c r="C616">
        <v>260</v>
      </c>
      <c r="D616">
        <v>5</v>
      </c>
      <c r="E616">
        <v>1</v>
      </c>
      <c r="F616">
        <v>0</v>
      </c>
      <c r="G616">
        <v>0</v>
      </c>
      <c r="H616">
        <v>5</v>
      </c>
      <c r="I616">
        <v>40</v>
      </c>
      <c r="J616">
        <v>60</v>
      </c>
      <c r="K616">
        <v>3</v>
      </c>
      <c r="L616">
        <v>54</v>
      </c>
      <c r="M616">
        <v>2</v>
      </c>
      <c r="N616">
        <v>312</v>
      </c>
      <c r="O616" s="3">
        <f t="shared" si="95"/>
        <v>0.76923076923076927</v>
      </c>
      <c r="P616">
        <f t="shared" si="96"/>
        <v>0</v>
      </c>
      <c r="Q616">
        <f t="shared" si="97"/>
        <v>0</v>
      </c>
      <c r="S616">
        <f t="shared" si="98"/>
        <v>-20.563354037267082</v>
      </c>
      <c r="T616">
        <f t="shared" si="99"/>
        <v>0</v>
      </c>
      <c r="U616">
        <f t="shared" si="100"/>
        <v>-0.43478260869565216</v>
      </c>
      <c r="V616">
        <f t="shared" si="101"/>
        <v>-21.6</v>
      </c>
      <c r="W616">
        <f t="shared" si="102"/>
        <v>0</v>
      </c>
      <c r="X616">
        <f t="shared" si="103"/>
        <v>0.4</v>
      </c>
      <c r="Y616">
        <f t="shared" si="104"/>
        <v>1.0714285714285714</v>
      </c>
    </row>
    <row r="617" spans="1:25" x14ac:dyDescent="0.2">
      <c r="A617" t="s">
        <v>25</v>
      </c>
      <c r="B617" t="s">
        <v>746</v>
      </c>
      <c r="C617">
        <v>270</v>
      </c>
      <c r="D617">
        <v>100</v>
      </c>
      <c r="E617">
        <v>11</v>
      </c>
      <c r="F617">
        <v>7</v>
      </c>
      <c r="G617">
        <v>0</v>
      </c>
      <c r="H617">
        <v>40</v>
      </c>
      <c r="I617">
        <v>160</v>
      </c>
      <c r="J617">
        <v>41</v>
      </c>
      <c r="K617">
        <v>0</v>
      </c>
      <c r="L617">
        <v>41</v>
      </c>
      <c r="M617">
        <v>2</v>
      </c>
      <c r="N617">
        <v>316</v>
      </c>
      <c r="O617" s="3">
        <f t="shared" si="95"/>
        <v>0.74074074074074081</v>
      </c>
      <c r="P617">
        <f t="shared" si="96"/>
        <v>0</v>
      </c>
      <c r="Q617">
        <f t="shared" si="97"/>
        <v>0</v>
      </c>
      <c r="S617">
        <f t="shared" si="98"/>
        <v>-19.489130434782613</v>
      </c>
      <c r="T617">
        <f t="shared" si="99"/>
        <v>-1.75</v>
      </c>
      <c r="U617">
        <f t="shared" si="100"/>
        <v>-1.7391304347826086</v>
      </c>
      <c r="V617">
        <f t="shared" si="101"/>
        <v>-16.400000000000002</v>
      </c>
      <c r="W617">
        <f t="shared" si="102"/>
        <v>0</v>
      </c>
      <c r="X617">
        <f t="shared" si="103"/>
        <v>0.4</v>
      </c>
      <c r="Y617">
        <f t="shared" si="104"/>
        <v>0</v>
      </c>
    </row>
    <row r="618" spans="1:25" x14ac:dyDescent="0.2">
      <c r="A618" t="s">
        <v>25</v>
      </c>
      <c r="B618" t="s">
        <v>747</v>
      </c>
      <c r="C618">
        <v>270</v>
      </c>
      <c r="D618">
        <v>100</v>
      </c>
      <c r="E618">
        <v>11</v>
      </c>
      <c r="F618">
        <v>7</v>
      </c>
      <c r="G618">
        <v>0</v>
      </c>
      <c r="H618">
        <v>40</v>
      </c>
      <c r="I618">
        <v>85</v>
      </c>
      <c r="J618">
        <v>43</v>
      </c>
      <c r="K618">
        <v>0</v>
      </c>
      <c r="L618">
        <v>43</v>
      </c>
      <c r="M618">
        <v>2</v>
      </c>
      <c r="N618">
        <v>318</v>
      </c>
      <c r="O618" s="3">
        <f t="shared" si="95"/>
        <v>0.74074074074074081</v>
      </c>
      <c r="P618">
        <f t="shared" si="96"/>
        <v>0</v>
      </c>
      <c r="Q618">
        <f t="shared" si="97"/>
        <v>0</v>
      </c>
      <c r="S618">
        <f t="shared" si="98"/>
        <v>-19.473913043478266</v>
      </c>
      <c r="T618">
        <f t="shared" si="99"/>
        <v>-1.75</v>
      </c>
      <c r="U618">
        <f t="shared" si="100"/>
        <v>-0.92391304347826086</v>
      </c>
      <c r="V618">
        <f t="shared" si="101"/>
        <v>-17.200000000000003</v>
      </c>
      <c r="W618">
        <f t="shared" si="102"/>
        <v>0</v>
      </c>
      <c r="X618">
        <f t="shared" si="103"/>
        <v>0.4</v>
      </c>
      <c r="Y618">
        <f t="shared" si="104"/>
        <v>0</v>
      </c>
    </row>
    <row r="619" spans="1:25" x14ac:dyDescent="0.2">
      <c r="A619" t="s">
        <v>25</v>
      </c>
      <c r="B619" t="s">
        <v>748</v>
      </c>
      <c r="C619">
        <v>270</v>
      </c>
      <c r="D619">
        <v>100</v>
      </c>
      <c r="E619">
        <v>11</v>
      </c>
      <c r="F619">
        <v>7</v>
      </c>
      <c r="G619">
        <v>0</v>
      </c>
      <c r="H619">
        <v>40</v>
      </c>
      <c r="I619">
        <v>80</v>
      </c>
      <c r="J619">
        <v>43</v>
      </c>
      <c r="K619">
        <v>0</v>
      </c>
      <c r="L619">
        <v>43</v>
      </c>
      <c r="M619">
        <v>2</v>
      </c>
      <c r="N619">
        <v>318</v>
      </c>
      <c r="O619" s="3">
        <f t="shared" si="95"/>
        <v>0.74074074074074081</v>
      </c>
      <c r="P619">
        <f t="shared" si="96"/>
        <v>0</v>
      </c>
      <c r="Q619">
        <f t="shared" si="97"/>
        <v>0</v>
      </c>
      <c r="S619">
        <f t="shared" si="98"/>
        <v>-19.419565217391309</v>
      </c>
      <c r="T619">
        <f t="shared" si="99"/>
        <v>-1.75</v>
      </c>
      <c r="U619">
        <f t="shared" si="100"/>
        <v>-0.86956521739130432</v>
      </c>
      <c r="V619">
        <f t="shared" si="101"/>
        <v>-17.200000000000003</v>
      </c>
      <c r="W619">
        <f t="shared" si="102"/>
        <v>0</v>
      </c>
      <c r="X619">
        <f t="shared" si="103"/>
        <v>0.4</v>
      </c>
      <c r="Y619">
        <f t="shared" si="104"/>
        <v>0</v>
      </c>
    </row>
    <row r="620" spans="1:25" x14ac:dyDescent="0.2">
      <c r="A620" t="s">
        <v>25</v>
      </c>
      <c r="B620" t="s">
        <v>749</v>
      </c>
      <c r="C620">
        <v>140</v>
      </c>
      <c r="D620">
        <v>50</v>
      </c>
      <c r="E620">
        <v>5</v>
      </c>
      <c r="F620">
        <v>3.5</v>
      </c>
      <c r="G620">
        <v>0</v>
      </c>
      <c r="H620">
        <v>20</v>
      </c>
      <c r="I620">
        <v>40</v>
      </c>
      <c r="J620">
        <v>22</v>
      </c>
      <c r="K620">
        <v>0</v>
      </c>
      <c r="L620">
        <v>22</v>
      </c>
      <c r="M620">
        <v>1</v>
      </c>
      <c r="N620">
        <v>164.5</v>
      </c>
      <c r="O620" s="3">
        <f t="shared" si="95"/>
        <v>0.7142857142857143</v>
      </c>
      <c r="P620">
        <f t="shared" si="96"/>
        <v>0</v>
      </c>
      <c r="Q620">
        <f t="shared" si="97"/>
        <v>0</v>
      </c>
      <c r="S620">
        <f t="shared" si="98"/>
        <v>-9.9097826086956537</v>
      </c>
      <c r="T620">
        <f t="shared" si="99"/>
        <v>-0.875</v>
      </c>
      <c r="U620">
        <f t="shared" si="100"/>
        <v>-0.43478260869565216</v>
      </c>
      <c r="V620">
        <f t="shared" si="101"/>
        <v>-8.8000000000000007</v>
      </c>
      <c r="W620">
        <f t="shared" si="102"/>
        <v>0</v>
      </c>
      <c r="X620">
        <f t="shared" si="103"/>
        <v>0.2</v>
      </c>
      <c r="Y620">
        <f t="shared" si="104"/>
        <v>0</v>
      </c>
    </row>
    <row r="621" spans="1:25" x14ac:dyDescent="0.2">
      <c r="A621" t="s">
        <v>25</v>
      </c>
      <c r="B621" t="s">
        <v>750</v>
      </c>
      <c r="C621">
        <v>280</v>
      </c>
      <c r="D621">
        <v>100</v>
      </c>
      <c r="E621">
        <v>11</v>
      </c>
      <c r="F621">
        <v>7</v>
      </c>
      <c r="G621">
        <v>0</v>
      </c>
      <c r="H621">
        <v>40</v>
      </c>
      <c r="I621">
        <v>85</v>
      </c>
      <c r="J621">
        <v>45</v>
      </c>
      <c r="K621">
        <v>0</v>
      </c>
      <c r="L621">
        <v>45</v>
      </c>
      <c r="M621">
        <v>2</v>
      </c>
      <c r="N621">
        <v>330</v>
      </c>
      <c r="O621" s="3">
        <f t="shared" si="95"/>
        <v>0.7142857142857143</v>
      </c>
      <c r="P621">
        <f t="shared" si="96"/>
        <v>0</v>
      </c>
      <c r="Q621">
        <f t="shared" si="97"/>
        <v>0</v>
      </c>
      <c r="S621">
        <f t="shared" si="98"/>
        <v>-20.273913043478267</v>
      </c>
      <c r="T621">
        <f t="shared" si="99"/>
        <v>-1.75</v>
      </c>
      <c r="U621">
        <f t="shared" si="100"/>
        <v>-0.92391304347826086</v>
      </c>
      <c r="V621">
        <f t="shared" si="101"/>
        <v>-18.000000000000004</v>
      </c>
      <c r="W621">
        <f t="shared" si="102"/>
        <v>0</v>
      </c>
      <c r="X621">
        <f t="shared" si="103"/>
        <v>0.4</v>
      </c>
      <c r="Y621">
        <f t="shared" si="104"/>
        <v>0</v>
      </c>
    </row>
    <row r="622" spans="1:25" x14ac:dyDescent="0.2">
      <c r="A622" t="s">
        <v>25</v>
      </c>
      <c r="B622" t="s">
        <v>753</v>
      </c>
      <c r="C622">
        <v>150</v>
      </c>
      <c r="D622">
        <v>80</v>
      </c>
      <c r="E622">
        <v>9</v>
      </c>
      <c r="F622">
        <v>1.5</v>
      </c>
      <c r="G622">
        <v>0</v>
      </c>
      <c r="H622">
        <v>0</v>
      </c>
      <c r="I622">
        <v>310</v>
      </c>
      <c r="J622">
        <v>15</v>
      </c>
      <c r="K622">
        <v>2</v>
      </c>
      <c r="L622">
        <v>0</v>
      </c>
      <c r="M622">
        <v>1</v>
      </c>
      <c r="N622">
        <v>150.5</v>
      </c>
      <c r="O622" s="3">
        <f t="shared" si="95"/>
        <v>0.66666666666666674</v>
      </c>
      <c r="P622">
        <f t="shared" si="96"/>
        <v>0</v>
      </c>
      <c r="Q622">
        <f t="shared" si="97"/>
        <v>0</v>
      </c>
      <c r="S622">
        <f t="shared" si="98"/>
        <v>-2.8302795031055896</v>
      </c>
      <c r="T622">
        <f t="shared" si="99"/>
        <v>-0.375</v>
      </c>
      <c r="U622">
        <f t="shared" si="100"/>
        <v>-3.3695652173913042</v>
      </c>
      <c r="V622">
        <f t="shared" si="101"/>
        <v>0</v>
      </c>
      <c r="W622">
        <f t="shared" si="102"/>
        <v>0</v>
      </c>
      <c r="X622">
        <f t="shared" si="103"/>
        <v>0.2</v>
      </c>
      <c r="Y622">
        <f t="shared" si="104"/>
        <v>0.7142857142857143</v>
      </c>
    </row>
    <row r="623" spans="1:25" x14ac:dyDescent="0.2">
      <c r="A623" t="s">
        <v>25</v>
      </c>
      <c r="B623" t="s">
        <v>754</v>
      </c>
      <c r="C623">
        <v>150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10</v>
      </c>
      <c r="J623">
        <v>36</v>
      </c>
      <c r="K623">
        <v>0</v>
      </c>
      <c r="L623">
        <v>36</v>
      </c>
      <c r="M623">
        <v>1</v>
      </c>
      <c r="N623">
        <v>185</v>
      </c>
      <c r="O623" s="3">
        <f t="shared" si="95"/>
        <v>0.66666666666666674</v>
      </c>
      <c r="P623">
        <f t="shared" si="96"/>
        <v>0</v>
      </c>
      <c r="Q623">
        <f t="shared" si="97"/>
        <v>0</v>
      </c>
      <c r="S623">
        <f t="shared" si="98"/>
        <v>-14.308695652173911</v>
      </c>
      <c r="T623">
        <f t="shared" si="99"/>
        <v>0</v>
      </c>
      <c r="U623">
        <f t="shared" si="100"/>
        <v>-0.10869565217391304</v>
      </c>
      <c r="V623">
        <f t="shared" si="101"/>
        <v>-14.399999999999999</v>
      </c>
      <c r="W623">
        <f t="shared" si="102"/>
        <v>0</v>
      </c>
      <c r="X623">
        <f t="shared" si="103"/>
        <v>0.2</v>
      </c>
      <c r="Y623">
        <f t="shared" si="104"/>
        <v>0</v>
      </c>
    </row>
    <row r="624" spans="1:25" x14ac:dyDescent="0.2">
      <c r="A624" t="s">
        <v>25</v>
      </c>
      <c r="B624" t="s">
        <v>761</v>
      </c>
      <c r="C624">
        <v>170</v>
      </c>
      <c r="D624">
        <v>130</v>
      </c>
      <c r="E624">
        <v>15</v>
      </c>
      <c r="F624">
        <v>2.5</v>
      </c>
      <c r="G624">
        <v>0</v>
      </c>
      <c r="H624">
        <v>20</v>
      </c>
      <c r="I624">
        <v>530</v>
      </c>
      <c r="J624">
        <v>9</v>
      </c>
      <c r="K624">
        <v>0</v>
      </c>
      <c r="L624">
        <v>4</v>
      </c>
      <c r="M624">
        <v>1</v>
      </c>
      <c r="N624">
        <v>175.5</v>
      </c>
      <c r="O624" s="3">
        <f t="shared" si="95"/>
        <v>0.58823529411764708</v>
      </c>
      <c r="P624">
        <f t="shared" si="96"/>
        <v>1</v>
      </c>
      <c r="Q624">
        <f t="shared" si="97"/>
        <v>0</v>
      </c>
      <c r="S624">
        <f t="shared" si="98"/>
        <v>-7.7858695652173919</v>
      </c>
      <c r="T624">
        <f t="shared" si="99"/>
        <v>-0.625</v>
      </c>
      <c r="U624">
        <f t="shared" si="100"/>
        <v>-5.7608695652173916</v>
      </c>
      <c r="V624">
        <f t="shared" si="101"/>
        <v>-1.6</v>
      </c>
      <c r="W624">
        <f t="shared" si="102"/>
        <v>0</v>
      </c>
      <c r="X624">
        <f t="shared" si="103"/>
        <v>0.2</v>
      </c>
      <c r="Y624">
        <f t="shared" si="104"/>
        <v>0</v>
      </c>
    </row>
    <row r="625" spans="1:25" x14ac:dyDescent="0.2">
      <c r="A625" t="s">
        <v>25</v>
      </c>
      <c r="B625" t="s">
        <v>767</v>
      </c>
      <c r="C625">
        <v>180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10</v>
      </c>
      <c r="J625">
        <v>45</v>
      </c>
      <c r="K625">
        <v>0</v>
      </c>
      <c r="L625">
        <v>45</v>
      </c>
      <c r="M625">
        <v>1</v>
      </c>
      <c r="N625">
        <v>224</v>
      </c>
      <c r="O625" s="3">
        <f t="shared" si="95"/>
        <v>0.55555555555555558</v>
      </c>
      <c r="P625">
        <f t="shared" si="96"/>
        <v>0</v>
      </c>
      <c r="Q625">
        <f t="shared" si="97"/>
        <v>0</v>
      </c>
      <c r="S625">
        <f t="shared" si="98"/>
        <v>-17.908695652173918</v>
      </c>
      <c r="T625">
        <f t="shared" si="99"/>
        <v>0</v>
      </c>
      <c r="U625">
        <f t="shared" si="100"/>
        <v>-0.10869565217391304</v>
      </c>
      <c r="V625">
        <f t="shared" si="101"/>
        <v>-18.000000000000004</v>
      </c>
      <c r="W625">
        <f t="shared" si="102"/>
        <v>0</v>
      </c>
      <c r="X625">
        <f t="shared" si="103"/>
        <v>0.2</v>
      </c>
      <c r="Y625">
        <f t="shared" si="104"/>
        <v>0</v>
      </c>
    </row>
    <row r="626" spans="1:25" x14ac:dyDescent="0.2">
      <c r="A626" t="s">
        <v>25</v>
      </c>
      <c r="B626" t="s">
        <v>769</v>
      </c>
      <c r="C626">
        <v>280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15</v>
      </c>
      <c r="J626">
        <v>69</v>
      </c>
      <c r="K626">
        <v>0</v>
      </c>
      <c r="L626">
        <v>69</v>
      </c>
      <c r="M626">
        <v>1</v>
      </c>
      <c r="N626">
        <v>348</v>
      </c>
      <c r="O626" s="3">
        <f t="shared" si="95"/>
        <v>0.35714285714285715</v>
      </c>
      <c r="P626">
        <f t="shared" si="96"/>
        <v>0</v>
      </c>
      <c r="Q626">
        <f t="shared" si="97"/>
        <v>0</v>
      </c>
      <c r="S626">
        <f t="shared" si="98"/>
        <v>-27.56304347826087</v>
      </c>
      <c r="T626">
        <f t="shared" si="99"/>
        <v>0</v>
      </c>
      <c r="U626">
        <f t="shared" si="100"/>
        <v>-0.16304347826086957</v>
      </c>
      <c r="V626">
        <f t="shared" si="101"/>
        <v>-27.599999999999998</v>
      </c>
      <c r="W626">
        <f t="shared" si="102"/>
        <v>0</v>
      </c>
      <c r="X626">
        <f t="shared" si="103"/>
        <v>0.2</v>
      </c>
      <c r="Y626">
        <f t="shared" si="104"/>
        <v>0</v>
      </c>
    </row>
    <row r="627" spans="1:25" x14ac:dyDescent="0.2">
      <c r="A627" t="s">
        <v>25</v>
      </c>
      <c r="B627" t="s">
        <v>770</v>
      </c>
      <c r="C627">
        <v>15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110</v>
      </c>
      <c r="J627">
        <v>3</v>
      </c>
      <c r="K627">
        <v>0</v>
      </c>
      <c r="L627">
        <v>2</v>
      </c>
      <c r="M627">
        <v>0</v>
      </c>
      <c r="N627">
        <v>17</v>
      </c>
      <c r="O627" s="3">
        <f t="shared" si="95"/>
        <v>0</v>
      </c>
      <c r="P627">
        <f t="shared" si="96"/>
        <v>0</v>
      </c>
      <c r="Q627">
        <f t="shared" si="97"/>
        <v>0</v>
      </c>
      <c r="S627">
        <f t="shared" si="98"/>
        <v>-1.9956521739130435</v>
      </c>
      <c r="T627">
        <f t="shared" si="99"/>
        <v>0</v>
      </c>
      <c r="U627">
        <f t="shared" si="100"/>
        <v>-1.1956521739130435</v>
      </c>
      <c r="V627">
        <f t="shared" si="101"/>
        <v>-0.8</v>
      </c>
      <c r="W627">
        <f t="shared" si="102"/>
        <v>0</v>
      </c>
      <c r="X627">
        <f t="shared" si="103"/>
        <v>0</v>
      </c>
      <c r="Y627">
        <f t="shared" si="104"/>
        <v>0</v>
      </c>
    </row>
    <row r="628" spans="1:25" x14ac:dyDescent="0.2">
      <c r="A628" t="s">
        <v>25</v>
      </c>
      <c r="B628" t="s">
        <v>771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270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f t="shared" si="96"/>
        <v>0</v>
      </c>
      <c r="Q628">
        <f t="shared" si="97"/>
        <v>0</v>
      </c>
      <c r="S628">
        <f t="shared" si="98"/>
        <v>-2.9347826086956523</v>
      </c>
      <c r="T628">
        <f t="shared" si="99"/>
        <v>0</v>
      </c>
      <c r="U628">
        <f t="shared" si="100"/>
        <v>-2.9347826086956523</v>
      </c>
      <c r="V628">
        <f t="shared" si="101"/>
        <v>0</v>
      </c>
      <c r="W628">
        <f t="shared" si="102"/>
        <v>0</v>
      </c>
      <c r="X628">
        <f t="shared" si="103"/>
        <v>0</v>
      </c>
      <c r="Y628">
        <f t="shared" si="104"/>
        <v>0</v>
      </c>
    </row>
    <row r="629" spans="1:25" x14ac:dyDescent="0.2">
      <c r="A629" t="s">
        <v>25</v>
      </c>
      <c r="B629" t="s">
        <v>772</v>
      </c>
      <c r="C629">
        <v>50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260</v>
      </c>
      <c r="J629">
        <v>12</v>
      </c>
      <c r="K629">
        <v>0</v>
      </c>
      <c r="L629">
        <v>10</v>
      </c>
      <c r="M629">
        <v>0</v>
      </c>
      <c r="N629">
        <v>60</v>
      </c>
      <c r="O629" s="3">
        <f t="shared" ref="O629:O659" si="105">M629/C629*100</f>
        <v>0</v>
      </c>
      <c r="P629">
        <f t="shared" si="96"/>
        <v>0</v>
      </c>
      <c r="Q629">
        <f t="shared" si="97"/>
        <v>0</v>
      </c>
      <c r="S629">
        <f t="shared" si="98"/>
        <v>-6.8260869565217401</v>
      </c>
      <c r="T629">
        <f t="shared" si="99"/>
        <v>0</v>
      </c>
      <c r="U629">
        <f t="shared" si="100"/>
        <v>-2.8260869565217392</v>
      </c>
      <c r="V629">
        <f t="shared" si="101"/>
        <v>-4.0000000000000009</v>
      </c>
      <c r="W629">
        <f t="shared" si="102"/>
        <v>0</v>
      </c>
      <c r="X629">
        <f t="shared" si="103"/>
        <v>0</v>
      </c>
      <c r="Y629">
        <f t="shared" si="104"/>
        <v>0</v>
      </c>
    </row>
    <row r="630" spans="1:25" x14ac:dyDescent="0.2">
      <c r="A630" t="s">
        <v>25</v>
      </c>
      <c r="B630" t="s">
        <v>773</v>
      </c>
      <c r="C630">
        <v>50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12</v>
      </c>
      <c r="K630">
        <v>0</v>
      </c>
      <c r="L630">
        <v>11</v>
      </c>
      <c r="M630">
        <v>0</v>
      </c>
      <c r="N630">
        <v>61</v>
      </c>
      <c r="O630" s="3">
        <f t="shared" si="105"/>
        <v>0</v>
      </c>
      <c r="P630">
        <f t="shared" si="96"/>
        <v>0</v>
      </c>
      <c r="Q630">
        <f t="shared" si="97"/>
        <v>0</v>
      </c>
      <c r="S630">
        <f t="shared" si="98"/>
        <v>-4.4000000000000004</v>
      </c>
      <c r="T630">
        <f t="shared" si="99"/>
        <v>0</v>
      </c>
      <c r="U630">
        <f t="shared" si="100"/>
        <v>0</v>
      </c>
      <c r="V630">
        <f t="shared" si="101"/>
        <v>-4.4000000000000004</v>
      </c>
      <c r="W630">
        <f t="shared" si="102"/>
        <v>0</v>
      </c>
      <c r="X630">
        <f t="shared" si="103"/>
        <v>0</v>
      </c>
      <c r="Y630">
        <f t="shared" si="104"/>
        <v>0</v>
      </c>
    </row>
    <row r="631" spans="1:25" x14ac:dyDescent="0.2">
      <c r="A631" t="s">
        <v>25</v>
      </c>
      <c r="B631" t="s">
        <v>774</v>
      </c>
      <c r="C631">
        <v>50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150</v>
      </c>
      <c r="J631">
        <v>12</v>
      </c>
      <c r="K631">
        <v>0</v>
      </c>
      <c r="L631">
        <v>10</v>
      </c>
      <c r="M631">
        <v>0</v>
      </c>
      <c r="N631">
        <v>60</v>
      </c>
      <c r="O631" s="3">
        <f t="shared" si="105"/>
        <v>0</v>
      </c>
      <c r="P631">
        <f t="shared" si="96"/>
        <v>0</v>
      </c>
      <c r="Q631">
        <f t="shared" si="97"/>
        <v>0</v>
      </c>
      <c r="S631">
        <f t="shared" si="98"/>
        <v>-5.6304347826086962</v>
      </c>
      <c r="T631">
        <f t="shared" si="99"/>
        <v>0</v>
      </c>
      <c r="U631">
        <f t="shared" si="100"/>
        <v>-1.6304347826086956</v>
      </c>
      <c r="V631">
        <f t="shared" si="101"/>
        <v>-4.0000000000000009</v>
      </c>
      <c r="W631">
        <f t="shared" si="102"/>
        <v>0</v>
      </c>
      <c r="X631">
        <f t="shared" si="103"/>
        <v>0</v>
      </c>
      <c r="Y631">
        <f t="shared" si="104"/>
        <v>0</v>
      </c>
    </row>
    <row r="632" spans="1:25" x14ac:dyDescent="0.2">
      <c r="A632" t="s">
        <v>25</v>
      </c>
      <c r="B632" t="s">
        <v>775</v>
      </c>
      <c r="C632">
        <v>60</v>
      </c>
      <c r="D632">
        <v>50</v>
      </c>
      <c r="E632">
        <v>6</v>
      </c>
      <c r="F632">
        <v>1</v>
      </c>
      <c r="G632">
        <v>0</v>
      </c>
      <c r="H632">
        <v>0</v>
      </c>
      <c r="I632">
        <v>800</v>
      </c>
      <c r="J632">
        <v>1</v>
      </c>
      <c r="K632">
        <v>1</v>
      </c>
      <c r="L632">
        <v>0</v>
      </c>
      <c r="M632">
        <v>0</v>
      </c>
      <c r="N632">
        <v>61</v>
      </c>
      <c r="O632" s="3">
        <f t="shared" si="105"/>
        <v>0</v>
      </c>
      <c r="P632">
        <f t="shared" si="96"/>
        <v>1</v>
      </c>
      <c r="Q632">
        <f t="shared" si="97"/>
        <v>0</v>
      </c>
      <c r="S632">
        <f t="shared" si="98"/>
        <v>-8.5885093167701854</v>
      </c>
      <c r="T632">
        <f t="shared" si="99"/>
        <v>-0.25</v>
      </c>
      <c r="U632">
        <f t="shared" si="100"/>
        <v>-8.695652173913043</v>
      </c>
      <c r="V632">
        <f t="shared" si="101"/>
        <v>0</v>
      </c>
      <c r="W632">
        <f t="shared" si="102"/>
        <v>0</v>
      </c>
      <c r="X632">
        <f t="shared" si="103"/>
        <v>0</v>
      </c>
      <c r="Y632">
        <f t="shared" si="104"/>
        <v>0.35714285714285715</v>
      </c>
    </row>
    <row r="633" spans="1:25" x14ac:dyDescent="0.2">
      <c r="A633" t="s">
        <v>25</v>
      </c>
      <c r="B633" t="s">
        <v>776</v>
      </c>
      <c r="C633">
        <v>170</v>
      </c>
      <c r="D633">
        <v>160</v>
      </c>
      <c r="E633">
        <v>18</v>
      </c>
      <c r="F633">
        <v>3</v>
      </c>
      <c r="G633">
        <v>0</v>
      </c>
      <c r="H633">
        <v>10</v>
      </c>
      <c r="I633">
        <v>270</v>
      </c>
      <c r="J633">
        <v>2</v>
      </c>
      <c r="K633">
        <v>0</v>
      </c>
      <c r="L633">
        <v>1</v>
      </c>
      <c r="M633">
        <v>0</v>
      </c>
      <c r="N633">
        <v>174</v>
      </c>
      <c r="O633" s="3">
        <f t="shared" si="105"/>
        <v>0</v>
      </c>
      <c r="P633">
        <f t="shared" si="96"/>
        <v>0</v>
      </c>
      <c r="Q633">
        <f t="shared" si="97"/>
        <v>0</v>
      </c>
      <c r="S633">
        <f t="shared" si="98"/>
        <v>-4.0847826086956527</v>
      </c>
      <c r="T633">
        <f t="shared" si="99"/>
        <v>-0.75</v>
      </c>
      <c r="U633">
        <f t="shared" si="100"/>
        <v>-2.9347826086956523</v>
      </c>
      <c r="V633">
        <f t="shared" si="101"/>
        <v>-0.4</v>
      </c>
      <c r="W633">
        <f t="shared" si="102"/>
        <v>0</v>
      </c>
      <c r="X633">
        <f t="shared" si="103"/>
        <v>0</v>
      </c>
      <c r="Y633">
        <f t="shared" si="104"/>
        <v>0</v>
      </c>
    </row>
    <row r="634" spans="1:25" x14ac:dyDescent="0.2">
      <c r="A634" t="s">
        <v>25</v>
      </c>
      <c r="B634" t="s">
        <v>777</v>
      </c>
      <c r="C634">
        <v>60</v>
      </c>
      <c r="D634">
        <v>20</v>
      </c>
      <c r="E634">
        <v>2</v>
      </c>
      <c r="F634">
        <v>0</v>
      </c>
      <c r="G634">
        <v>0</v>
      </c>
      <c r="H634">
        <v>5</v>
      </c>
      <c r="I634">
        <v>140</v>
      </c>
      <c r="J634">
        <v>10</v>
      </c>
      <c r="K634">
        <v>0</v>
      </c>
      <c r="L634">
        <v>8</v>
      </c>
      <c r="M634">
        <v>0</v>
      </c>
      <c r="N634">
        <v>68</v>
      </c>
      <c r="O634" s="3">
        <f t="shared" si="105"/>
        <v>0</v>
      </c>
      <c r="P634">
        <f t="shared" si="96"/>
        <v>0</v>
      </c>
      <c r="Q634">
        <f t="shared" si="97"/>
        <v>0</v>
      </c>
      <c r="S634">
        <f t="shared" si="98"/>
        <v>-4.7217391304347824</v>
      </c>
      <c r="T634">
        <f t="shared" si="99"/>
        <v>0</v>
      </c>
      <c r="U634">
        <f t="shared" si="100"/>
        <v>-1.5217391304347827</v>
      </c>
      <c r="V634">
        <f t="shared" si="101"/>
        <v>-3.2</v>
      </c>
      <c r="W634">
        <f t="shared" si="102"/>
        <v>0</v>
      </c>
      <c r="X634">
        <f t="shared" si="103"/>
        <v>0</v>
      </c>
      <c r="Y634">
        <f t="shared" si="104"/>
        <v>0</v>
      </c>
    </row>
    <row r="635" spans="1:25" x14ac:dyDescent="0.2">
      <c r="A635" t="s">
        <v>25</v>
      </c>
      <c r="B635" t="s">
        <v>778</v>
      </c>
      <c r="C635">
        <v>60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210</v>
      </c>
      <c r="J635">
        <v>15</v>
      </c>
      <c r="K635">
        <v>1</v>
      </c>
      <c r="L635">
        <v>11</v>
      </c>
      <c r="M635">
        <v>0</v>
      </c>
      <c r="N635">
        <v>71</v>
      </c>
      <c r="O635" s="3">
        <f t="shared" si="105"/>
        <v>0</v>
      </c>
      <c r="P635">
        <f t="shared" si="96"/>
        <v>0</v>
      </c>
      <c r="Q635">
        <f t="shared" si="97"/>
        <v>0</v>
      </c>
      <c r="S635">
        <f t="shared" si="98"/>
        <v>-6.3254658385093174</v>
      </c>
      <c r="T635">
        <f t="shared" si="99"/>
        <v>0</v>
      </c>
      <c r="U635">
        <f t="shared" si="100"/>
        <v>-2.2826086956521738</v>
      </c>
      <c r="V635">
        <f t="shared" si="101"/>
        <v>-4.4000000000000004</v>
      </c>
      <c r="W635">
        <f t="shared" si="102"/>
        <v>0</v>
      </c>
      <c r="X635">
        <f t="shared" si="103"/>
        <v>0</v>
      </c>
      <c r="Y635">
        <f t="shared" si="104"/>
        <v>0.35714285714285715</v>
      </c>
    </row>
    <row r="636" spans="1:25" x14ac:dyDescent="0.2">
      <c r="A636" t="s">
        <v>25</v>
      </c>
      <c r="B636" t="s">
        <v>779</v>
      </c>
      <c r="C636">
        <v>40</v>
      </c>
      <c r="D636">
        <v>25</v>
      </c>
      <c r="E636">
        <v>3</v>
      </c>
      <c r="F636">
        <v>0</v>
      </c>
      <c r="G636">
        <v>0</v>
      </c>
      <c r="H636">
        <v>0</v>
      </c>
      <c r="I636">
        <v>730</v>
      </c>
      <c r="J636">
        <v>4</v>
      </c>
      <c r="K636">
        <v>0</v>
      </c>
      <c r="L636">
        <v>3</v>
      </c>
      <c r="M636">
        <v>0</v>
      </c>
      <c r="N636">
        <v>43</v>
      </c>
      <c r="O636" s="3">
        <f t="shared" si="105"/>
        <v>0</v>
      </c>
      <c r="P636">
        <f t="shared" si="96"/>
        <v>1</v>
      </c>
      <c r="Q636">
        <f t="shared" si="97"/>
        <v>0</v>
      </c>
      <c r="S636">
        <f t="shared" si="98"/>
        <v>-9.1347826086956516</v>
      </c>
      <c r="T636">
        <f t="shared" si="99"/>
        <v>0</v>
      </c>
      <c r="U636">
        <f t="shared" si="100"/>
        <v>-7.9347826086956523</v>
      </c>
      <c r="V636">
        <f t="shared" si="101"/>
        <v>-1.2</v>
      </c>
      <c r="W636">
        <f t="shared" si="102"/>
        <v>0</v>
      </c>
      <c r="X636">
        <f t="shared" si="103"/>
        <v>0</v>
      </c>
      <c r="Y636">
        <f t="shared" si="104"/>
        <v>0</v>
      </c>
    </row>
    <row r="637" spans="1:25" x14ac:dyDescent="0.2">
      <c r="A637" t="s">
        <v>25</v>
      </c>
      <c r="B637" t="s">
        <v>780</v>
      </c>
      <c r="C637">
        <v>180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20</v>
      </c>
      <c r="J637">
        <v>45</v>
      </c>
      <c r="K637">
        <v>0</v>
      </c>
      <c r="L637">
        <v>32</v>
      </c>
      <c r="M637">
        <v>0</v>
      </c>
      <c r="N637">
        <v>212</v>
      </c>
      <c r="O637" s="3">
        <f t="shared" si="105"/>
        <v>0</v>
      </c>
      <c r="P637">
        <f t="shared" si="96"/>
        <v>0</v>
      </c>
      <c r="Q637">
        <f t="shared" si="97"/>
        <v>0</v>
      </c>
      <c r="S637">
        <f t="shared" si="98"/>
        <v>-13.017391304347827</v>
      </c>
      <c r="T637">
        <f t="shared" si="99"/>
        <v>0</v>
      </c>
      <c r="U637">
        <f t="shared" si="100"/>
        <v>-0.21739130434782608</v>
      </c>
      <c r="V637">
        <f t="shared" si="101"/>
        <v>-12.8</v>
      </c>
      <c r="W637">
        <f t="shared" si="102"/>
        <v>0</v>
      </c>
      <c r="X637">
        <f t="shared" si="103"/>
        <v>0</v>
      </c>
      <c r="Y637">
        <f t="shared" si="104"/>
        <v>0</v>
      </c>
    </row>
    <row r="638" spans="1:25" x14ac:dyDescent="0.2">
      <c r="A638" t="s">
        <v>25</v>
      </c>
      <c r="B638" t="s">
        <v>781</v>
      </c>
      <c r="C638">
        <v>40</v>
      </c>
      <c r="D638">
        <v>40</v>
      </c>
      <c r="E638">
        <v>4.5</v>
      </c>
      <c r="F638">
        <v>1.5</v>
      </c>
      <c r="G638">
        <v>0</v>
      </c>
      <c r="H638">
        <v>0</v>
      </c>
      <c r="I638">
        <v>55</v>
      </c>
      <c r="J638">
        <v>0</v>
      </c>
      <c r="K638">
        <v>0</v>
      </c>
      <c r="L638">
        <v>0</v>
      </c>
      <c r="M638">
        <v>0</v>
      </c>
      <c r="N638">
        <v>41.5</v>
      </c>
      <c r="O638" s="3">
        <f t="shared" si="105"/>
        <v>0</v>
      </c>
      <c r="P638">
        <f t="shared" si="96"/>
        <v>0</v>
      </c>
      <c r="Q638">
        <f t="shared" si="97"/>
        <v>0</v>
      </c>
      <c r="S638">
        <f t="shared" si="98"/>
        <v>-0.97282608695652173</v>
      </c>
      <c r="T638">
        <f t="shared" si="99"/>
        <v>-0.375</v>
      </c>
      <c r="U638">
        <f t="shared" si="100"/>
        <v>-0.59782608695652173</v>
      </c>
      <c r="V638">
        <f t="shared" si="101"/>
        <v>0</v>
      </c>
      <c r="W638">
        <f t="shared" si="102"/>
        <v>0</v>
      </c>
      <c r="X638">
        <f t="shared" si="103"/>
        <v>0</v>
      </c>
      <c r="Y638">
        <f t="shared" si="104"/>
        <v>0</v>
      </c>
    </row>
    <row r="639" spans="1:25" x14ac:dyDescent="0.2">
      <c r="A639" t="s">
        <v>25</v>
      </c>
      <c r="B639" t="s">
        <v>782</v>
      </c>
      <c r="C639">
        <v>35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9</v>
      </c>
      <c r="K639">
        <v>0</v>
      </c>
      <c r="L639">
        <v>9</v>
      </c>
      <c r="M639">
        <v>0</v>
      </c>
      <c r="N639">
        <v>44</v>
      </c>
      <c r="O639" s="3">
        <f t="shared" si="105"/>
        <v>0</v>
      </c>
      <c r="P639">
        <f t="shared" si="96"/>
        <v>0</v>
      </c>
      <c r="Q639">
        <f t="shared" si="97"/>
        <v>0</v>
      </c>
      <c r="S639">
        <f t="shared" si="98"/>
        <v>-3.5999999999999996</v>
      </c>
      <c r="T639">
        <f t="shared" si="99"/>
        <v>0</v>
      </c>
      <c r="U639">
        <f t="shared" si="100"/>
        <v>0</v>
      </c>
      <c r="V639">
        <f t="shared" si="101"/>
        <v>-3.5999999999999996</v>
      </c>
      <c r="W639">
        <f t="shared" si="102"/>
        <v>0</v>
      </c>
      <c r="X639">
        <f t="shared" si="103"/>
        <v>0</v>
      </c>
      <c r="Y639">
        <f t="shared" si="104"/>
        <v>0</v>
      </c>
    </row>
    <row r="640" spans="1:25" x14ac:dyDescent="0.2">
      <c r="A640" t="s">
        <v>25</v>
      </c>
      <c r="B640" t="s">
        <v>783</v>
      </c>
      <c r="C640">
        <v>35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9</v>
      </c>
      <c r="K640">
        <v>0</v>
      </c>
      <c r="L640">
        <v>9</v>
      </c>
      <c r="M640">
        <v>0</v>
      </c>
      <c r="N640">
        <v>44</v>
      </c>
      <c r="O640" s="3">
        <f t="shared" si="105"/>
        <v>0</v>
      </c>
      <c r="P640">
        <f t="shared" si="96"/>
        <v>0</v>
      </c>
      <c r="Q640">
        <f t="shared" si="97"/>
        <v>0</v>
      </c>
      <c r="S640">
        <f t="shared" si="98"/>
        <v>-3.5999999999999996</v>
      </c>
      <c r="T640">
        <f t="shared" si="99"/>
        <v>0</v>
      </c>
      <c r="U640">
        <f t="shared" si="100"/>
        <v>0</v>
      </c>
      <c r="V640">
        <f t="shared" si="101"/>
        <v>-3.5999999999999996</v>
      </c>
      <c r="W640">
        <f t="shared" si="102"/>
        <v>0</v>
      </c>
      <c r="X640">
        <f t="shared" si="103"/>
        <v>0</v>
      </c>
      <c r="Y640">
        <f t="shared" si="104"/>
        <v>0</v>
      </c>
    </row>
    <row r="641" spans="1:25" x14ac:dyDescent="0.2">
      <c r="A641" t="s">
        <v>25</v>
      </c>
      <c r="B641" t="s">
        <v>784</v>
      </c>
      <c r="C641">
        <v>70</v>
      </c>
      <c r="D641">
        <v>5</v>
      </c>
      <c r="E641">
        <v>0.5</v>
      </c>
      <c r="F641">
        <v>0</v>
      </c>
      <c r="G641">
        <v>0</v>
      </c>
      <c r="H641">
        <v>5</v>
      </c>
      <c r="I641">
        <v>35</v>
      </c>
      <c r="J641">
        <v>15</v>
      </c>
      <c r="K641">
        <v>0</v>
      </c>
      <c r="L641">
        <v>9</v>
      </c>
      <c r="M641">
        <v>0</v>
      </c>
      <c r="N641">
        <v>79</v>
      </c>
      <c r="O641" s="3">
        <f t="shared" si="105"/>
        <v>0</v>
      </c>
      <c r="P641">
        <f t="shared" si="96"/>
        <v>0</v>
      </c>
      <c r="Q641">
        <f t="shared" si="97"/>
        <v>0</v>
      </c>
      <c r="S641">
        <f t="shared" si="98"/>
        <v>-3.9804347826086954</v>
      </c>
      <c r="T641">
        <f t="shared" si="99"/>
        <v>0</v>
      </c>
      <c r="U641">
        <f t="shared" si="100"/>
        <v>-0.38043478260869568</v>
      </c>
      <c r="V641">
        <f t="shared" si="101"/>
        <v>-3.5999999999999996</v>
      </c>
      <c r="W641">
        <f t="shared" si="102"/>
        <v>0</v>
      </c>
      <c r="X641">
        <f t="shared" si="103"/>
        <v>0</v>
      </c>
      <c r="Y641">
        <f t="shared" si="104"/>
        <v>0</v>
      </c>
    </row>
    <row r="642" spans="1:25" x14ac:dyDescent="0.2">
      <c r="A642" t="s">
        <v>25</v>
      </c>
      <c r="B642" t="s">
        <v>785</v>
      </c>
      <c r="C642">
        <v>100</v>
      </c>
      <c r="D642">
        <v>5</v>
      </c>
      <c r="E642">
        <v>0.5</v>
      </c>
      <c r="F642">
        <v>0</v>
      </c>
      <c r="G642">
        <v>0</v>
      </c>
      <c r="H642">
        <v>5</v>
      </c>
      <c r="I642">
        <v>35</v>
      </c>
      <c r="J642">
        <v>23</v>
      </c>
      <c r="K642">
        <v>0</v>
      </c>
      <c r="L642">
        <v>15</v>
      </c>
      <c r="M642">
        <v>0</v>
      </c>
      <c r="N642">
        <v>115</v>
      </c>
      <c r="O642" s="3">
        <f t="shared" si="105"/>
        <v>0</v>
      </c>
      <c r="P642">
        <f t="shared" si="96"/>
        <v>0</v>
      </c>
      <c r="Q642">
        <f t="shared" si="97"/>
        <v>0</v>
      </c>
      <c r="S642">
        <f t="shared" si="98"/>
        <v>-6.3804347826086953</v>
      </c>
      <c r="T642">
        <f t="shared" si="99"/>
        <v>0</v>
      </c>
      <c r="U642">
        <f t="shared" si="100"/>
        <v>-0.38043478260869568</v>
      </c>
      <c r="V642">
        <f t="shared" si="101"/>
        <v>-6</v>
      </c>
      <c r="W642">
        <f t="shared" si="102"/>
        <v>0</v>
      </c>
      <c r="X642">
        <f t="shared" si="103"/>
        <v>0</v>
      </c>
      <c r="Y642">
        <f t="shared" si="104"/>
        <v>0</v>
      </c>
    </row>
    <row r="643" spans="1:25" x14ac:dyDescent="0.2">
      <c r="A643" t="s">
        <v>25</v>
      </c>
      <c r="B643" t="s">
        <v>786</v>
      </c>
      <c r="C643">
        <v>100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15</v>
      </c>
      <c r="J643">
        <v>23</v>
      </c>
      <c r="K643">
        <v>0</v>
      </c>
      <c r="L643">
        <v>22</v>
      </c>
      <c r="M643">
        <v>0</v>
      </c>
      <c r="N643">
        <v>122</v>
      </c>
      <c r="O643" s="3">
        <f t="shared" si="105"/>
        <v>0</v>
      </c>
      <c r="P643">
        <f t="shared" si="96"/>
        <v>0</v>
      </c>
      <c r="Q643">
        <f t="shared" si="97"/>
        <v>0</v>
      </c>
      <c r="S643">
        <f t="shared" si="98"/>
        <v>-8.9630434782608699</v>
      </c>
      <c r="T643">
        <f t="shared" si="99"/>
        <v>0</v>
      </c>
      <c r="U643">
        <f t="shared" si="100"/>
        <v>-0.16304347826086957</v>
      </c>
      <c r="V643">
        <f t="shared" si="101"/>
        <v>-8.8000000000000007</v>
      </c>
      <c r="W643">
        <f t="shared" si="102"/>
        <v>0</v>
      </c>
      <c r="X643">
        <f t="shared" si="103"/>
        <v>0</v>
      </c>
      <c r="Y643">
        <f t="shared" si="104"/>
        <v>0</v>
      </c>
    </row>
    <row r="644" spans="1:25" x14ac:dyDescent="0.2">
      <c r="A644" t="s">
        <v>25</v>
      </c>
      <c r="B644" t="s">
        <v>788</v>
      </c>
      <c r="C644">
        <v>110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5</v>
      </c>
      <c r="J644">
        <v>29</v>
      </c>
      <c r="K644">
        <v>0</v>
      </c>
      <c r="L644">
        <v>29</v>
      </c>
      <c r="M644">
        <v>0</v>
      </c>
      <c r="N644">
        <v>139</v>
      </c>
      <c r="O644" s="3">
        <f t="shared" si="105"/>
        <v>0</v>
      </c>
      <c r="P644">
        <f t="shared" ref="P644:P707" si="106">IF(I644&gt;2300*0.2,1,0)</f>
        <v>0</v>
      </c>
      <c r="Q644">
        <f t="shared" ref="Q644:Q707" si="107">IF(H644&gt;300,1,0)</f>
        <v>0</v>
      </c>
      <c r="S644">
        <f t="shared" ref="S644:S707" si="108">T644+U644+V644+W644+X644+Y644</f>
        <v>-11.654347826086957</v>
      </c>
      <c r="T644">
        <f t="shared" ref="T644:T707" si="109">$T$1*F644</f>
        <v>0</v>
      </c>
      <c r="U644">
        <f t="shared" ref="U644:U707" si="110">($U$1*(I644/2300))*100</f>
        <v>-5.434782608695652E-2</v>
      </c>
      <c r="V644">
        <f t="shared" ref="V644:V707" si="111">((L644/50)*$V$1)*100</f>
        <v>-11.6</v>
      </c>
      <c r="W644">
        <f t="shared" ref="W644:W707" si="112">(G644/100)*$W$1</f>
        <v>0</v>
      </c>
      <c r="X644">
        <f t="shared" ref="X644:X707" si="113">($X$1*(M644/50))*100</f>
        <v>0</v>
      </c>
      <c r="Y644">
        <f t="shared" ref="Y644:Y707" si="114">($Y$1*(K644/28))*100</f>
        <v>0</v>
      </c>
    </row>
    <row r="645" spans="1:25" x14ac:dyDescent="0.2">
      <c r="A645" t="s">
        <v>25</v>
      </c>
      <c r="B645" t="s">
        <v>789</v>
      </c>
      <c r="C645">
        <v>150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10</v>
      </c>
      <c r="J645">
        <v>40</v>
      </c>
      <c r="K645">
        <v>0</v>
      </c>
      <c r="L645">
        <v>40</v>
      </c>
      <c r="M645">
        <v>0</v>
      </c>
      <c r="N645">
        <v>190</v>
      </c>
      <c r="O645" s="3">
        <f t="shared" si="105"/>
        <v>0</v>
      </c>
      <c r="P645">
        <f t="shared" si="106"/>
        <v>0</v>
      </c>
      <c r="Q645">
        <f t="shared" si="107"/>
        <v>0</v>
      </c>
      <c r="S645">
        <f t="shared" si="108"/>
        <v>-16.108695652173918</v>
      </c>
      <c r="T645">
        <f t="shared" si="109"/>
        <v>0</v>
      </c>
      <c r="U645">
        <f t="shared" si="110"/>
        <v>-0.10869565217391304</v>
      </c>
      <c r="V645">
        <f t="shared" si="111"/>
        <v>-16.000000000000004</v>
      </c>
      <c r="W645">
        <f t="shared" si="112"/>
        <v>0</v>
      </c>
      <c r="X645">
        <f t="shared" si="113"/>
        <v>0</v>
      </c>
      <c r="Y645">
        <f t="shared" si="114"/>
        <v>0</v>
      </c>
    </row>
    <row r="646" spans="1:25" x14ac:dyDescent="0.2">
      <c r="A646" t="s">
        <v>25</v>
      </c>
      <c r="B646" t="s">
        <v>790</v>
      </c>
      <c r="C646">
        <v>210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15</v>
      </c>
      <c r="J646">
        <v>58</v>
      </c>
      <c r="K646">
        <v>0</v>
      </c>
      <c r="L646">
        <v>58</v>
      </c>
      <c r="M646">
        <v>0</v>
      </c>
      <c r="N646">
        <v>268</v>
      </c>
      <c r="O646" s="3">
        <f t="shared" si="105"/>
        <v>0</v>
      </c>
      <c r="P646">
        <f t="shared" si="106"/>
        <v>0</v>
      </c>
      <c r="Q646">
        <f t="shared" si="107"/>
        <v>0</v>
      </c>
      <c r="S646">
        <f t="shared" si="108"/>
        <v>-23.36304347826087</v>
      </c>
      <c r="T646">
        <f t="shared" si="109"/>
        <v>0</v>
      </c>
      <c r="U646">
        <f t="shared" si="110"/>
        <v>-0.16304347826086957</v>
      </c>
      <c r="V646">
        <f t="shared" si="111"/>
        <v>-23.2</v>
      </c>
      <c r="W646">
        <f t="shared" si="112"/>
        <v>0</v>
      </c>
      <c r="X646">
        <f t="shared" si="113"/>
        <v>0</v>
      </c>
      <c r="Y646">
        <f t="shared" si="114"/>
        <v>0</v>
      </c>
    </row>
    <row r="647" spans="1:25" x14ac:dyDescent="0.2">
      <c r="A647" t="s">
        <v>25</v>
      </c>
      <c r="B647" t="s">
        <v>791</v>
      </c>
      <c r="C647">
        <v>310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20</v>
      </c>
      <c r="J647">
        <v>86</v>
      </c>
      <c r="K647">
        <v>0</v>
      </c>
      <c r="L647">
        <v>86</v>
      </c>
      <c r="M647">
        <v>0</v>
      </c>
      <c r="N647">
        <v>396</v>
      </c>
      <c r="O647" s="3">
        <f t="shared" si="105"/>
        <v>0</v>
      </c>
      <c r="P647">
        <f t="shared" si="106"/>
        <v>0</v>
      </c>
      <c r="Q647">
        <f t="shared" si="107"/>
        <v>0</v>
      </c>
      <c r="S647">
        <f t="shared" si="108"/>
        <v>-34.617391304347834</v>
      </c>
      <c r="T647">
        <f t="shared" si="109"/>
        <v>0</v>
      </c>
      <c r="U647">
        <f t="shared" si="110"/>
        <v>-0.21739130434782608</v>
      </c>
      <c r="V647">
        <f t="shared" si="111"/>
        <v>-34.400000000000006</v>
      </c>
      <c r="W647">
        <f t="shared" si="112"/>
        <v>0</v>
      </c>
      <c r="X647">
        <f t="shared" si="113"/>
        <v>0</v>
      </c>
      <c r="Y647">
        <f t="shared" si="114"/>
        <v>0</v>
      </c>
    </row>
    <row r="648" spans="1:25" x14ac:dyDescent="0.2">
      <c r="A648" t="s">
        <v>25</v>
      </c>
      <c r="B648" t="s">
        <v>796</v>
      </c>
      <c r="C648">
        <v>110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30</v>
      </c>
      <c r="J648">
        <v>28</v>
      </c>
      <c r="K648">
        <v>0</v>
      </c>
      <c r="L648">
        <v>28</v>
      </c>
      <c r="M648">
        <v>0</v>
      </c>
      <c r="N648">
        <v>138</v>
      </c>
      <c r="O648" s="3">
        <f t="shared" si="105"/>
        <v>0</v>
      </c>
      <c r="P648">
        <f t="shared" si="106"/>
        <v>0</v>
      </c>
      <c r="Q648">
        <f t="shared" si="107"/>
        <v>0</v>
      </c>
      <c r="S648">
        <f t="shared" si="108"/>
        <v>-11.526086956521739</v>
      </c>
      <c r="T648">
        <f t="shared" si="109"/>
        <v>0</v>
      </c>
      <c r="U648">
        <f t="shared" si="110"/>
        <v>-0.32608695652173914</v>
      </c>
      <c r="V648">
        <f t="shared" si="111"/>
        <v>-11.200000000000001</v>
      </c>
      <c r="W648">
        <f t="shared" si="112"/>
        <v>0</v>
      </c>
      <c r="X648">
        <f t="shared" si="113"/>
        <v>0</v>
      </c>
      <c r="Y648">
        <f t="shared" si="114"/>
        <v>0</v>
      </c>
    </row>
    <row r="649" spans="1:25" x14ac:dyDescent="0.2">
      <c r="A649" t="s">
        <v>25</v>
      </c>
      <c r="B649" t="s">
        <v>797</v>
      </c>
      <c r="C649">
        <v>150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40</v>
      </c>
      <c r="J649">
        <v>39</v>
      </c>
      <c r="K649">
        <v>0</v>
      </c>
      <c r="L649">
        <v>39</v>
      </c>
      <c r="M649">
        <v>0</v>
      </c>
      <c r="N649">
        <v>189</v>
      </c>
      <c r="O649" s="3">
        <f t="shared" si="105"/>
        <v>0</v>
      </c>
      <c r="P649">
        <f t="shared" si="106"/>
        <v>0</v>
      </c>
      <c r="Q649">
        <f t="shared" si="107"/>
        <v>0</v>
      </c>
      <c r="S649">
        <f t="shared" si="108"/>
        <v>-16.034782608695654</v>
      </c>
      <c r="T649">
        <f t="shared" si="109"/>
        <v>0</v>
      </c>
      <c r="U649">
        <f t="shared" si="110"/>
        <v>-0.43478260869565216</v>
      </c>
      <c r="V649">
        <f t="shared" si="111"/>
        <v>-15.600000000000003</v>
      </c>
      <c r="W649">
        <f t="shared" si="112"/>
        <v>0</v>
      </c>
      <c r="X649">
        <f t="shared" si="113"/>
        <v>0</v>
      </c>
      <c r="Y649">
        <f t="shared" si="114"/>
        <v>0</v>
      </c>
    </row>
    <row r="650" spans="1:25" x14ac:dyDescent="0.2">
      <c r="A650" t="s">
        <v>25</v>
      </c>
      <c r="B650" t="s">
        <v>798</v>
      </c>
      <c r="C650">
        <v>210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55</v>
      </c>
      <c r="J650">
        <v>56</v>
      </c>
      <c r="K650">
        <v>0</v>
      </c>
      <c r="L650">
        <v>56</v>
      </c>
      <c r="M650">
        <v>0</v>
      </c>
      <c r="N650">
        <v>266</v>
      </c>
      <c r="O650" s="3">
        <f t="shared" si="105"/>
        <v>0</v>
      </c>
      <c r="P650">
        <f t="shared" si="106"/>
        <v>0</v>
      </c>
      <c r="Q650">
        <f t="shared" si="107"/>
        <v>0</v>
      </c>
      <c r="S650">
        <f t="shared" si="108"/>
        <v>-22.997826086956525</v>
      </c>
      <c r="T650">
        <f t="shared" si="109"/>
        <v>0</v>
      </c>
      <c r="U650">
        <f t="shared" si="110"/>
        <v>-0.59782608695652173</v>
      </c>
      <c r="V650">
        <f t="shared" si="111"/>
        <v>-22.400000000000002</v>
      </c>
      <c r="W650">
        <f t="shared" si="112"/>
        <v>0</v>
      </c>
      <c r="X650">
        <f t="shared" si="113"/>
        <v>0</v>
      </c>
      <c r="Y650">
        <f t="shared" si="114"/>
        <v>0</v>
      </c>
    </row>
    <row r="651" spans="1:25" x14ac:dyDescent="0.2">
      <c r="A651" t="s">
        <v>25</v>
      </c>
      <c r="B651" t="s">
        <v>799</v>
      </c>
      <c r="C651">
        <v>310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80</v>
      </c>
      <c r="J651">
        <v>83</v>
      </c>
      <c r="K651">
        <v>0</v>
      </c>
      <c r="L651">
        <v>83</v>
      </c>
      <c r="M651">
        <v>0</v>
      </c>
      <c r="N651">
        <v>393</v>
      </c>
      <c r="O651" s="3">
        <f t="shared" si="105"/>
        <v>0</v>
      </c>
      <c r="P651">
        <f t="shared" si="106"/>
        <v>0</v>
      </c>
      <c r="Q651">
        <f t="shared" si="107"/>
        <v>0</v>
      </c>
      <c r="S651">
        <f t="shared" si="108"/>
        <v>-34.069565217391307</v>
      </c>
      <c r="T651">
        <f t="shared" si="109"/>
        <v>0</v>
      </c>
      <c r="U651">
        <f t="shared" si="110"/>
        <v>-0.86956521739130432</v>
      </c>
      <c r="V651">
        <f t="shared" si="111"/>
        <v>-33.200000000000003</v>
      </c>
      <c r="W651">
        <f t="shared" si="112"/>
        <v>0</v>
      </c>
      <c r="X651">
        <f t="shared" si="113"/>
        <v>0</v>
      </c>
      <c r="Y651">
        <f t="shared" si="114"/>
        <v>0</v>
      </c>
    </row>
    <row r="652" spans="1:25" x14ac:dyDescent="0.2">
      <c r="A652" t="s">
        <v>25</v>
      </c>
      <c r="B652" t="s">
        <v>800</v>
      </c>
      <c r="C652">
        <v>120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32</v>
      </c>
      <c r="K652">
        <v>0</v>
      </c>
      <c r="L652">
        <v>32</v>
      </c>
      <c r="M652">
        <v>0</v>
      </c>
      <c r="N652">
        <v>152</v>
      </c>
      <c r="O652" s="3">
        <f t="shared" si="105"/>
        <v>0</v>
      </c>
      <c r="P652">
        <f t="shared" si="106"/>
        <v>0</v>
      </c>
      <c r="Q652">
        <f t="shared" si="107"/>
        <v>0</v>
      </c>
      <c r="S652">
        <f t="shared" si="108"/>
        <v>-12.8</v>
      </c>
      <c r="T652">
        <f t="shared" si="109"/>
        <v>0</v>
      </c>
      <c r="U652">
        <f t="shared" si="110"/>
        <v>0</v>
      </c>
      <c r="V652">
        <f t="shared" si="111"/>
        <v>-12.8</v>
      </c>
      <c r="W652">
        <f t="shared" si="112"/>
        <v>0</v>
      </c>
      <c r="X652">
        <f t="shared" si="113"/>
        <v>0</v>
      </c>
      <c r="Y652">
        <f t="shared" si="114"/>
        <v>0</v>
      </c>
    </row>
    <row r="653" spans="1:25" x14ac:dyDescent="0.2">
      <c r="A653" t="s">
        <v>25</v>
      </c>
      <c r="B653" t="s">
        <v>801</v>
      </c>
      <c r="C653">
        <v>160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</v>
      </c>
      <c r="J653">
        <v>44</v>
      </c>
      <c r="K653">
        <v>0</v>
      </c>
      <c r="L653">
        <v>44</v>
      </c>
      <c r="M653">
        <v>0</v>
      </c>
      <c r="N653">
        <v>204</v>
      </c>
      <c r="O653" s="3">
        <f t="shared" si="105"/>
        <v>0</v>
      </c>
      <c r="P653">
        <f t="shared" si="106"/>
        <v>0</v>
      </c>
      <c r="Q653">
        <f t="shared" si="107"/>
        <v>0</v>
      </c>
      <c r="S653">
        <f t="shared" si="108"/>
        <v>-17.654347826086958</v>
      </c>
      <c r="T653">
        <f t="shared" si="109"/>
        <v>0</v>
      </c>
      <c r="U653">
        <f t="shared" si="110"/>
        <v>-5.434782608695652E-2</v>
      </c>
      <c r="V653">
        <f t="shared" si="111"/>
        <v>-17.600000000000001</v>
      </c>
      <c r="W653">
        <f t="shared" si="112"/>
        <v>0</v>
      </c>
      <c r="X653">
        <f t="shared" si="113"/>
        <v>0</v>
      </c>
      <c r="Y653">
        <f t="shared" si="114"/>
        <v>0</v>
      </c>
    </row>
    <row r="654" spans="1:25" x14ac:dyDescent="0.2">
      <c r="A654" t="s">
        <v>25</v>
      </c>
      <c r="B654" t="s">
        <v>802</v>
      </c>
      <c r="C654">
        <v>240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10</v>
      </c>
      <c r="J654">
        <v>64</v>
      </c>
      <c r="K654">
        <v>0</v>
      </c>
      <c r="L654">
        <v>64</v>
      </c>
      <c r="M654">
        <v>0</v>
      </c>
      <c r="N654">
        <v>304</v>
      </c>
      <c r="O654" s="3">
        <f t="shared" si="105"/>
        <v>0</v>
      </c>
      <c r="P654">
        <f t="shared" si="106"/>
        <v>0</v>
      </c>
      <c r="Q654">
        <f t="shared" si="107"/>
        <v>0</v>
      </c>
      <c r="S654">
        <f t="shared" si="108"/>
        <v>-25.708695652173915</v>
      </c>
      <c r="T654">
        <f t="shared" si="109"/>
        <v>0</v>
      </c>
      <c r="U654">
        <f t="shared" si="110"/>
        <v>-0.10869565217391304</v>
      </c>
      <c r="V654">
        <f t="shared" si="111"/>
        <v>-25.6</v>
      </c>
      <c r="W654">
        <f t="shared" si="112"/>
        <v>0</v>
      </c>
      <c r="X654">
        <f t="shared" si="113"/>
        <v>0</v>
      </c>
      <c r="Y654">
        <f t="shared" si="114"/>
        <v>0</v>
      </c>
    </row>
    <row r="655" spans="1:25" x14ac:dyDescent="0.2">
      <c r="A655" t="s">
        <v>25</v>
      </c>
      <c r="B655" t="s">
        <v>803</v>
      </c>
      <c r="C655">
        <v>350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10</v>
      </c>
      <c r="J655">
        <v>94</v>
      </c>
      <c r="K655">
        <v>0</v>
      </c>
      <c r="L655">
        <v>94</v>
      </c>
      <c r="M655">
        <v>0</v>
      </c>
      <c r="N655">
        <v>444</v>
      </c>
      <c r="O655" s="3">
        <f t="shared" si="105"/>
        <v>0</v>
      </c>
      <c r="P655">
        <f t="shared" si="106"/>
        <v>0</v>
      </c>
      <c r="Q655">
        <f t="shared" si="107"/>
        <v>0</v>
      </c>
      <c r="S655">
        <f t="shared" si="108"/>
        <v>-37.708695652173915</v>
      </c>
      <c r="T655">
        <f t="shared" si="109"/>
        <v>0</v>
      </c>
      <c r="U655">
        <f t="shared" si="110"/>
        <v>-0.10869565217391304</v>
      </c>
      <c r="V655">
        <f t="shared" si="111"/>
        <v>-37.6</v>
      </c>
      <c r="W655">
        <f t="shared" si="112"/>
        <v>0</v>
      </c>
      <c r="X655">
        <f t="shared" si="113"/>
        <v>0</v>
      </c>
      <c r="Y655">
        <f t="shared" si="114"/>
        <v>0</v>
      </c>
    </row>
    <row r="656" spans="1:25" x14ac:dyDescent="0.2">
      <c r="A656" t="s">
        <v>25</v>
      </c>
      <c r="B656" t="s">
        <v>804</v>
      </c>
      <c r="C656">
        <v>70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65</v>
      </c>
      <c r="J656">
        <v>20</v>
      </c>
      <c r="K656">
        <v>0</v>
      </c>
      <c r="L656">
        <v>16</v>
      </c>
      <c r="M656">
        <v>0</v>
      </c>
      <c r="N656">
        <v>86</v>
      </c>
      <c r="O656" s="3">
        <f t="shared" si="105"/>
        <v>0</v>
      </c>
      <c r="P656">
        <f t="shared" si="106"/>
        <v>0</v>
      </c>
      <c r="Q656">
        <f t="shared" si="107"/>
        <v>0</v>
      </c>
      <c r="S656">
        <f t="shared" si="108"/>
        <v>-7.1065217391304349</v>
      </c>
      <c r="T656">
        <f t="shared" si="109"/>
        <v>0</v>
      </c>
      <c r="U656">
        <f t="shared" si="110"/>
        <v>-0.70652173913043481</v>
      </c>
      <c r="V656">
        <f t="shared" si="111"/>
        <v>-6.4</v>
      </c>
      <c r="W656">
        <f t="shared" si="112"/>
        <v>0</v>
      </c>
      <c r="X656">
        <f t="shared" si="113"/>
        <v>0</v>
      </c>
      <c r="Y656">
        <f t="shared" si="114"/>
        <v>0</v>
      </c>
    </row>
    <row r="657" spans="1:25" x14ac:dyDescent="0.2">
      <c r="A657" t="s">
        <v>25</v>
      </c>
      <c r="B657" t="s">
        <v>805</v>
      </c>
      <c r="C657">
        <v>100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85</v>
      </c>
      <c r="J657">
        <v>27</v>
      </c>
      <c r="K657">
        <v>0</v>
      </c>
      <c r="L657">
        <v>21</v>
      </c>
      <c r="M657">
        <v>0</v>
      </c>
      <c r="N657">
        <v>121</v>
      </c>
      <c r="O657" s="3">
        <f t="shared" si="105"/>
        <v>0</v>
      </c>
      <c r="P657">
        <f t="shared" si="106"/>
        <v>0</v>
      </c>
      <c r="Q657">
        <f t="shared" si="107"/>
        <v>0</v>
      </c>
      <c r="S657">
        <f t="shared" si="108"/>
        <v>-9.323913043478262</v>
      </c>
      <c r="T657">
        <f t="shared" si="109"/>
        <v>0</v>
      </c>
      <c r="U657">
        <f t="shared" si="110"/>
        <v>-0.92391304347826086</v>
      </c>
      <c r="V657">
        <f t="shared" si="111"/>
        <v>-8.4</v>
      </c>
      <c r="W657">
        <f t="shared" si="112"/>
        <v>0</v>
      </c>
      <c r="X657">
        <f t="shared" si="113"/>
        <v>0</v>
      </c>
      <c r="Y657">
        <f t="shared" si="114"/>
        <v>0</v>
      </c>
    </row>
    <row r="658" spans="1:25" x14ac:dyDescent="0.2">
      <c r="A658" t="s">
        <v>25</v>
      </c>
      <c r="B658" t="s">
        <v>806</v>
      </c>
      <c r="C658">
        <v>150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130</v>
      </c>
      <c r="J658">
        <v>39</v>
      </c>
      <c r="K658">
        <v>0</v>
      </c>
      <c r="L658">
        <v>31</v>
      </c>
      <c r="M658">
        <v>0</v>
      </c>
      <c r="N658">
        <v>181</v>
      </c>
      <c r="O658" s="3">
        <f t="shared" si="105"/>
        <v>0</v>
      </c>
      <c r="P658">
        <f t="shared" si="106"/>
        <v>0</v>
      </c>
      <c r="Q658">
        <f t="shared" si="107"/>
        <v>0</v>
      </c>
      <c r="S658">
        <f t="shared" si="108"/>
        <v>-13.81304347826087</v>
      </c>
      <c r="T658">
        <f t="shared" si="109"/>
        <v>0</v>
      </c>
      <c r="U658">
        <f t="shared" si="110"/>
        <v>-1.4130434782608696</v>
      </c>
      <c r="V658">
        <f t="shared" si="111"/>
        <v>-12.4</v>
      </c>
      <c r="W658">
        <f t="shared" si="112"/>
        <v>0</v>
      </c>
      <c r="X658">
        <f t="shared" si="113"/>
        <v>0</v>
      </c>
      <c r="Y658">
        <f t="shared" si="114"/>
        <v>0</v>
      </c>
    </row>
    <row r="659" spans="1:25" x14ac:dyDescent="0.2">
      <c r="A659" t="s">
        <v>25</v>
      </c>
      <c r="B659" t="s">
        <v>807</v>
      </c>
      <c r="C659">
        <v>220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190</v>
      </c>
      <c r="J659">
        <v>58</v>
      </c>
      <c r="K659">
        <v>0</v>
      </c>
      <c r="L659">
        <v>46</v>
      </c>
      <c r="M659">
        <v>0</v>
      </c>
      <c r="N659">
        <v>266</v>
      </c>
      <c r="O659" s="3">
        <f t="shared" si="105"/>
        <v>0</v>
      </c>
      <c r="P659">
        <f t="shared" si="106"/>
        <v>0</v>
      </c>
      <c r="Q659">
        <f t="shared" si="107"/>
        <v>0</v>
      </c>
      <c r="S659">
        <f t="shared" si="108"/>
        <v>-20.46521739130435</v>
      </c>
      <c r="T659">
        <f t="shared" si="109"/>
        <v>0</v>
      </c>
      <c r="U659">
        <f t="shared" si="110"/>
        <v>-2.0652173913043477</v>
      </c>
      <c r="V659">
        <f t="shared" si="111"/>
        <v>-18.400000000000002</v>
      </c>
      <c r="W659">
        <f t="shared" si="112"/>
        <v>0</v>
      </c>
      <c r="X659">
        <f t="shared" si="113"/>
        <v>0</v>
      </c>
      <c r="Y659">
        <f t="shared" si="114"/>
        <v>0</v>
      </c>
    </row>
    <row r="660" spans="1:25" x14ac:dyDescent="0.2">
      <c r="A660" t="s">
        <v>25</v>
      </c>
      <c r="B660" t="s">
        <v>811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20</v>
      </c>
      <c r="J660">
        <v>1</v>
      </c>
      <c r="K660">
        <v>0</v>
      </c>
      <c r="L660">
        <v>0</v>
      </c>
      <c r="M660">
        <v>0</v>
      </c>
      <c r="N660">
        <v>0</v>
      </c>
      <c r="O660" s="3">
        <v>0</v>
      </c>
      <c r="P660">
        <f t="shared" si="106"/>
        <v>0</v>
      </c>
      <c r="Q660">
        <f t="shared" si="107"/>
        <v>0</v>
      </c>
      <c r="S660">
        <f t="shared" si="108"/>
        <v>-0.21739130434782608</v>
      </c>
      <c r="T660">
        <f t="shared" si="109"/>
        <v>0</v>
      </c>
      <c r="U660">
        <f t="shared" si="110"/>
        <v>-0.21739130434782608</v>
      </c>
      <c r="V660">
        <f t="shared" si="111"/>
        <v>0</v>
      </c>
      <c r="W660">
        <f t="shared" si="112"/>
        <v>0</v>
      </c>
      <c r="X660">
        <f t="shared" si="113"/>
        <v>0</v>
      </c>
      <c r="Y660">
        <f t="shared" si="114"/>
        <v>0</v>
      </c>
    </row>
    <row r="661" spans="1:25" x14ac:dyDescent="0.2">
      <c r="A661" t="s">
        <v>25</v>
      </c>
      <c r="B661" t="s">
        <v>814</v>
      </c>
      <c r="C661">
        <v>20</v>
      </c>
      <c r="D661">
        <v>20</v>
      </c>
      <c r="E661">
        <v>2</v>
      </c>
      <c r="F661">
        <v>1.5</v>
      </c>
      <c r="G661">
        <v>0</v>
      </c>
      <c r="H661">
        <v>10</v>
      </c>
      <c r="I661">
        <v>15</v>
      </c>
      <c r="J661">
        <v>0</v>
      </c>
      <c r="K661">
        <v>0</v>
      </c>
      <c r="L661">
        <v>0</v>
      </c>
      <c r="M661">
        <v>0</v>
      </c>
      <c r="N661">
        <v>21.5</v>
      </c>
      <c r="O661" s="3">
        <f>M661/C661*100</f>
        <v>0</v>
      </c>
      <c r="P661">
        <f t="shared" si="106"/>
        <v>0</v>
      </c>
      <c r="Q661">
        <f t="shared" si="107"/>
        <v>0</v>
      </c>
      <c r="S661">
        <f t="shared" si="108"/>
        <v>-0.53804347826086962</v>
      </c>
      <c r="T661">
        <f t="shared" si="109"/>
        <v>-0.375</v>
      </c>
      <c r="U661">
        <f t="shared" si="110"/>
        <v>-0.16304347826086957</v>
      </c>
      <c r="V661">
        <f t="shared" si="111"/>
        <v>0</v>
      </c>
      <c r="W661">
        <f t="shared" si="112"/>
        <v>0</v>
      </c>
      <c r="X661">
        <f t="shared" si="113"/>
        <v>0</v>
      </c>
      <c r="Y661">
        <f t="shared" si="114"/>
        <v>0</v>
      </c>
    </row>
    <row r="662" spans="1:25" x14ac:dyDescent="0.2">
      <c r="A662" t="s">
        <v>25</v>
      </c>
      <c r="B662" t="s">
        <v>815</v>
      </c>
      <c r="C662">
        <v>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4</v>
      </c>
      <c r="K662">
        <v>0</v>
      </c>
      <c r="L662">
        <v>4</v>
      </c>
      <c r="M662">
        <v>0</v>
      </c>
      <c r="N662">
        <v>19</v>
      </c>
      <c r="O662" s="3">
        <f>M662/C662*100</f>
        <v>0</v>
      </c>
      <c r="P662">
        <f t="shared" si="106"/>
        <v>0</v>
      </c>
      <c r="Q662">
        <f t="shared" si="107"/>
        <v>0</v>
      </c>
      <c r="S662">
        <f t="shared" si="108"/>
        <v>-1.6</v>
      </c>
      <c r="T662">
        <f t="shared" si="109"/>
        <v>0</v>
      </c>
      <c r="U662">
        <f t="shared" si="110"/>
        <v>0</v>
      </c>
      <c r="V662">
        <f t="shared" si="111"/>
        <v>-1.6</v>
      </c>
      <c r="W662">
        <f t="shared" si="112"/>
        <v>0</v>
      </c>
      <c r="X662">
        <f t="shared" si="113"/>
        <v>0</v>
      </c>
      <c r="Y662">
        <f t="shared" si="114"/>
        <v>0</v>
      </c>
    </row>
    <row r="663" spans="1:25" ht="34" x14ac:dyDescent="0.2">
      <c r="A663" t="s">
        <v>25</v>
      </c>
      <c r="B663" s="1" t="s">
        <v>816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1</v>
      </c>
      <c r="O663" s="3">
        <v>0</v>
      </c>
      <c r="P663">
        <f t="shared" si="106"/>
        <v>0</v>
      </c>
      <c r="Q663">
        <f t="shared" si="107"/>
        <v>0</v>
      </c>
      <c r="S663">
        <f t="shared" si="108"/>
        <v>-0.4</v>
      </c>
      <c r="T663">
        <f t="shared" si="109"/>
        <v>0</v>
      </c>
      <c r="U663">
        <f t="shared" si="110"/>
        <v>0</v>
      </c>
      <c r="V663">
        <f t="shared" si="111"/>
        <v>-0.4</v>
      </c>
      <c r="W663">
        <f t="shared" si="112"/>
        <v>0</v>
      </c>
      <c r="X663">
        <f t="shared" si="113"/>
        <v>0</v>
      </c>
      <c r="Y663">
        <f t="shared" si="114"/>
        <v>0</v>
      </c>
    </row>
    <row r="664" spans="1:25" ht="34" x14ac:dyDescent="0.2">
      <c r="A664" t="s">
        <v>25</v>
      </c>
      <c r="B664" s="1" t="s">
        <v>817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1</v>
      </c>
      <c r="M664">
        <v>0</v>
      </c>
      <c r="N664">
        <v>1</v>
      </c>
      <c r="O664" s="3">
        <v>0</v>
      </c>
      <c r="P664">
        <f t="shared" si="106"/>
        <v>0</v>
      </c>
      <c r="Q664">
        <f t="shared" si="107"/>
        <v>0</v>
      </c>
      <c r="S664">
        <f t="shared" si="108"/>
        <v>-0.4</v>
      </c>
      <c r="T664">
        <f t="shared" si="109"/>
        <v>0</v>
      </c>
      <c r="U664">
        <f t="shared" si="110"/>
        <v>0</v>
      </c>
      <c r="V664">
        <f t="shared" si="111"/>
        <v>-0.4</v>
      </c>
      <c r="W664">
        <f t="shared" si="112"/>
        <v>0</v>
      </c>
      <c r="X664">
        <f t="shared" si="113"/>
        <v>0</v>
      </c>
      <c r="Y664">
        <f t="shared" si="114"/>
        <v>0</v>
      </c>
    </row>
    <row r="665" spans="1:25" x14ac:dyDescent="0.2">
      <c r="A665" t="s">
        <v>25</v>
      </c>
      <c r="B665" t="s">
        <v>818</v>
      </c>
      <c r="C665">
        <v>110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27</v>
      </c>
      <c r="K665">
        <v>0</v>
      </c>
      <c r="L665">
        <v>27</v>
      </c>
      <c r="M665">
        <v>0</v>
      </c>
      <c r="N665">
        <v>137</v>
      </c>
      <c r="O665" s="3">
        <f t="shared" ref="O665:O728" si="115">M665/C665*100</f>
        <v>0</v>
      </c>
      <c r="P665">
        <f t="shared" si="106"/>
        <v>0</v>
      </c>
      <c r="Q665">
        <f t="shared" si="107"/>
        <v>0</v>
      </c>
      <c r="S665">
        <f t="shared" si="108"/>
        <v>-10.854347826086958</v>
      </c>
      <c r="T665">
        <f t="shared" si="109"/>
        <v>0</v>
      </c>
      <c r="U665">
        <f t="shared" si="110"/>
        <v>-5.434782608695652E-2</v>
      </c>
      <c r="V665">
        <f t="shared" si="111"/>
        <v>-10.8</v>
      </c>
      <c r="W665">
        <f t="shared" si="112"/>
        <v>0</v>
      </c>
      <c r="X665">
        <f t="shared" si="113"/>
        <v>0</v>
      </c>
      <c r="Y665">
        <f t="shared" si="114"/>
        <v>0</v>
      </c>
    </row>
    <row r="666" spans="1:25" x14ac:dyDescent="0.2">
      <c r="A666" t="s">
        <v>159</v>
      </c>
      <c r="B666" t="s">
        <v>160</v>
      </c>
      <c r="C666">
        <v>130</v>
      </c>
      <c r="D666" s="2">
        <v>0</v>
      </c>
      <c r="E666">
        <v>4</v>
      </c>
      <c r="F666">
        <v>1.5</v>
      </c>
      <c r="G666">
        <v>0</v>
      </c>
      <c r="H666">
        <v>10</v>
      </c>
      <c r="I666">
        <v>270</v>
      </c>
      <c r="J666">
        <v>17</v>
      </c>
      <c r="K666">
        <v>1</v>
      </c>
      <c r="L666">
        <v>1</v>
      </c>
      <c r="M666">
        <v>7</v>
      </c>
      <c r="O666" s="3">
        <f t="shared" si="115"/>
        <v>5.384615384615385</v>
      </c>
      <c r="P666">
        <f t="shared" si="106"/>
        <v>0</v>
      </c>
      <c r="Q666">
        <f t="shared" si="107"/>
        <v>0</v>
      </c>
      <c r="S666">
        <f t="shared" si="108"/>
        <v>-1.9526397515527951</v>
      </c>
      <c r="T666">
        <f t="shared" si="109"/>
        <v>-0.375</v>
      </c>
      <c r="U666">
        <f t="shared" si="110"/>
        <v>-2.9347826086956523</v>
      </c>
      <c r="V666">
        <f t="shared" si="111"/>
        <v>-0.4</v>
      </c>
      <c r="W666">
        <f t="shared" si="112"/>
        <v>0</v>
      </c>
      <c r="X666">
        <f t="shared" si="113"/>
        <v>1.4000000000000001</v>
      </c>
      <c r="Y666">
        <f t="shared" si="114"/>
        <v>0.35714285714285715</v>
      </c>
    </row>
    <row r="667" spans="1:25" x14ac:dyDescent="0.2">
      <c r="A667" t="s">
        <v>159</v>
      </c>
      <c r="B667" t="s">
        <v>164</v>
      </c>
      <c r="C667">
        <v>280</v>
      </c>
      <c r="D667" s="2">
        <v>0</v>
      </c>
      <c r="E667">
        <v>9</v>
      </c>
      <c r="F667">
        <v>4</v>
      </c>
      <c r="G667">
        <v>0</v>
      </c>
      <c r="H667">
        <v>30</v>
      </c>
      <c r="I667">
        <v>580</v>
      </c>
      <c r="J667">
        <v>36</v>
      </c>
      <c r="K667">
        <v>3</v>
      </c>
      <c r="L667">
        <v>3</v>
      </c>
      <c r="M667">
        <v>15</v>
      </c>
      <c r="O667" s="3">
        <f t="shared" si="115"/>
        <v>5.3571428571428568</v>
      </c>
      <c r="P667">
        <f t="shared" si="106"/>
        <v>1</v>
      </c>
      <c r="Q667">
        <f t="shared" si="107"/>
        <v>0</v>
      </c>
      <c r="S667">
        <f t="shared" si="108"/>
        <v>-4.4329192546583851</v>
      </c>
      <c r="T667">
        <f t="shared" si="109"/>
        <v>-1</v>
      </c>
      <c r="U667">
        <f t="shared" si="110"/>
        <v>-6.3043478260869561</v>
      </c>
      <c r="V667">
        <f t="shared" si="111"/>
        <v>-1.2</v>
      </c>
      <c r="W667">
        <f t="shared" si="112"/>
        <v>0</v>
      </c>
      <c r="X667">
        <f t="shared" si="113"/>
        <v>3</v>
      </c>
      <c r="Y667">
        <f t="shared" si="114"/>
        <v>1.0714285714285714</v>
      </c>
    </row>
    <row r="668" spans="1:25" x14ac:dyDescent="0.2">
      <c r="A668" t="s">
        <v>159</v>
      </c>
      <c r="B668" t="s">
        <v>169</v>
      </c>
      <c r="C668">
        <v>150</v>
      </c>
      <c r="D668" s="2">
        <v>0</v>
      </c>
      <c r="E668">
        <v>5</v>
      </c>
      <c r="F668">
        <v>2</v>
      </c>
      <c r="G668">
        <v>0</v>
      </c>
      <c r="H668">
        <v>15</v>
      </c>
      <c r="I668">
        <v>330</v>
      </c>
      <c r="J668">
        <v>18</v>
      </c>
      <c r="K668">
        <v>1</v>
      </c>
      <c r="L668">
        <v>3</v>
      </c>
      <c r="M668">
        <v>8</v>
      </c>
      <c r="O668" s="3">
        <f t="shared" si="115"/>
        <v>5.3333333333333339</v>
      </c>
      <c r="P668">
        <f t="shared" si="106"/>
        <v>0</v>
      </c>
      <c r="Q668">
        <f t="shared" si="107"/>
        <v>0</v>
      </c>
      <c r="S668">
        <f t="shared" si="108"/>
        <v>-3.3298136645962737</v>
      </c>
      <c r="T668">
        <f t="shared" si="109"/>
        <v>-0.5</v>
      </c>
      <c r="U668">
        <f t="shared" si="110"/>
        <v>-3.5869565217391304</v>
      </c>
      <c r="V668">
        <f t="shared" si="111"/>
        <v>-1.2</v>
      </c>
      <c r="W668">
        <f t="shared" si="112"/>
        <v>0</v>
      </c>
      <c r="X668">
        <f t="shared" si="113"/>
        <v>1.6</v>
      </c>
      <c r="Y668">
        <f t="shared" si="114"/>
        <v>0.35714285714285715</v>
      </c>
    </row>
    <row r="669" spans="1:25" x14ac:dyDescent="0.2">
      <c r="A669" t="s">
        <v>159</v>
      </c>
      <c r="B669" t="s">
        <v>188</v>
      </c>
      <c r="C669">
        <v>310</v>
      </c>
      <c r="D669" s="2">
        <v>0</v>
      </c>
      <c r="E669">
        <v>13</v>
      </c>
      <c r="F669">
        <v>5</v>
      </c>
      <c r="G669">
        <v>0</v>
      </c>
      <c r="H669">
        <v>35</v>
      </c>
      <c r="I669">
        <v>560</v>
      </c>
      <c r="J669">
        <v>33</v>
      </c>
      <c r="K669">
        <v>2</v>
      </c>
      <c r="L669">
        <v>1</v>
      </c>
      <c r="M669">
        <v>16</v>
      </c>
      <c r="O669" s="3">
        <f t="shared" si="115"/>
        <v>5.161290322580645</v>
      </c>
      <c r="P669">
        <f t="shared" si="106"/>
        <v>1</v>
      </c>
      <c r="Q669">
        <f t="shared" si="107"/>
        <v>0</v>
      </c>
      <c r="S669">
        <f t="shared" si="108"/>
        <v>-3.8226708074534166</v>
      </c>
      <c r="T669">
        <f t="shared" si="109"/>
        <v>-1.25</v>
      </c>
      <c r="U669">
        <f t="shared" si="110"/>
        <v>-6.0869565217391308</v>
      </c>
      <c r="V669">
        <f t="shared" si="111"/>
        <v>-0.4</v>
      </c>
      <c r="W669">
        <f t="shared" si="112"/>
        <v>0</v>
      </c>
      <c r="X669">
        <f t="shared" si="113"/>
        <v>3.2</v>
      </c>
      <c r="Y669">
        <f t="shared" si="114"/>
        <v>0.7142857142857143</v>
      </c>
    </row>
    <row r="670" spans="1:25" x14ac:dyDescent="0.2">
      <c r="A670" t="s">
        <v>159</v>
      </c>
      <c r="B670" t="s">
        <v>217</v>
      </c>
      <c r="C670">
        <v>180</v>
      </c>
      <c r="D670" s="2">
        <v>0</v>
      </c>
      <c r="E670">
        <v>8</v>
      </c>
      <c r="F670">
        <v>3</v>
      </c>
      <c r="G670">
        <v>0</v>
      </c>
      <c r="H670">
        <v>20</v>
      </c>
      <c r="I670">
        <v>350</v>
      </c>
      <c r="J670">
        <v>17</v>
      </c>
      <c r="K670">
        <v>1</v>
      </c>
      <c r="L670">
        <v>2</v>
      </c>
      <c r="M670">
        <v>9</v>
      </c>
      <c r="O670" s="3">
        <f t="shared" si="115"/>
        <v>5</v>
      </c>
      <c r="P670">
        <f t="shared" si="106"/>
        <v>0</v>
      </c>
      <c r="Q670">
        <f t="shared" si="107"/>
        <v>0</v>
      </c>
      <c r="S670">
        <f t="shared" si="108"/>
        <v>-3.1972049689440998</v>
      </c>
      <c r="T670">
        <f t="shared" si="109"/>
        <v>-0.75</v>
      </c>
      <c r="U670">
        <f t="shared" si="110"/>
        <v>-3.804347826086957</v>
      </c>
      <c r="V670">
        <f t="shared" si="111"/>
        <v>-0.8</v>
      </c>
      <c r="W670">
        <f t="shared" si="112"/>
        <v>0</v>
      </c>
      <c r="X670">
        <f t="shared" si="113"/>
        <v>1.7999999999999998</v>
      </c>
      <c r="Y670">
        <f t="shared" si="114"/>
        <v>0.35714285714285715</v>
      </c>
    </row>
    <row r="671" spans="1:25" x14ac:dyDescent="0.2">
      <c r="A671" t="s">
        <v>159</v>
      </c>
      <c r="B671" t="s">
        <v>218</v>
      </c>
      <c r="C671">
        <v>240</v>
      </c>
      <c r="D671" s="2">
        <v>0</v>
      </c>
      <c r="E671">
        <v>9</v>
      </c>
      <c r="F671">
        <v>3.5</v>
      </c>
      <c r="G671">
        <v>0</v>
      </c>
      <c r="H671">
        <v>20</v>
      </c>
      <c r="I671">
        <v>480</v>
      </c>
      <c r="J671">
        <v>29</v>
      </c>
      <c r="K671">
        <v>2</v>
      </c>
      <c r="L671">
        <v>2</v>
      </c>
      <c r="M671">
        <v>12</v>
      </c>
      <c r="O671" s="3">
        <f t="shared" si="115"/>
        <v>5</v>
      </c>
      <c r="P671">
        <f t="shared" si="106"/>
        <v>1</v>
      </c>
      <c r="Q671">
        <f t="shared" si="107"/>
        <v>0</v>
      </c>
      <c r="S671">
        <f t="shared" si="108"/>
        <v>-3.7781055900621121</v>
      </c>
      <c r="T671">
        <f t="shared" si="109"/>
        <v>-0.875</v>
      </c>
      <c r="U671">
        <f t="shared" si="110"/>
        <v>-5.2173913043478262</v>
      </c>
      <c r="V671">
        <f t="shared" si="111"/>
        <v>-0.8</v>
      </c>
      <c r="W671">
        <f t="shared" si="112"/>
        <v>0</v>
      </c>
      <c r="X671">
        <f t="shared" si="113"/>
        <v>2.4</v>
      </c>
      <c r="Y671">
        <f t="shared" si="114"/>
        <v>0.7142857142857143</v>
      </c>
    </row>
    <row r="672" spans="1:25" x14ac:dyDescent="0.2">
      <c r="A672" t="s">
        <v>159</v>
      </c>
      <c r="B672" t="s">
        <v>222</v>
      </c>
      <c r="C672">
        <v>350</v>
      </c>
      <c r="D672" s="2">
        <v>0</v>
      </c>
      <c r="E672">
        <v>15</v>
      </c>
      <c r="F672">
        <v>5</v>
      </c>
      <c r="G672">
        <v>0</v>
      </c>
      <c r="H672">
        <v>30</v>
      </c>
      <c r="I672">
        <v>690</v>
      </c>
      <c r="J672">
        <v>38</v>
      </c>
      <c r="K672">
        <v>2</v>
      </c>
      <c r="L672">
        <v>3</v>
      </c>
      <c r="M672">
        <v>17</v>
      </c>
      <c r="O672" s="3">
        <f t="shared" si="115"/>
        <v>4.8571428571428568</v>
      </c>
      <c r="P672">
        <f t="shared" si="106"/>
        <v>1</v>
      </c>
      <c r="Q672">
        <f t="shared" si="107"/>
        <v>0</v>
      </c>
      <c r="S672">
        <f t="shared" si="108"/>
        <v>-5.8357142857142845</v>
      </c>
      <c r="T672">
        <f t="shared" si="109"/>
        <v>-1.25</v>
      </c>
      <c r="U672">
        <f t="shared" si="110"/>
        <v>-7.5</v>
      </c>
      <c r="V672">
        <f t="shared" si="111"/>
        <v>-1.2</v>
      </c>
      <c r="W672">
        <f t="shared" si="112"/>
        <v>0</v>
      </c>
      <c r="X672">
        <f t="shared" si="113"/>
        <v>3.4000000000000004</v>
      </c>
      <c r="Y672">
        <f t="shared" si="114"/>
        <v>0.7142857142857143</v>
      </c>
    </row>
    <row r="673" spans="1:25" x14ac:dyDescent="0.2">
      <c r="A673" t="s">
        <v>159</v>
      </c>
      <c r="B673" t="s">
        <v>225</v>
      </c>
      <c r="C673">
        <v>310</v>
      </c>
      <c r="D673" s="2">
        <v>0</v>
      </c>
      <c r="E673">
        <v>13</v>
      </c>
      <c r="F673">
        <v>6</v>
      </c>
      <c r="G673">
        <v>0</v>
      </c>
      <c r="H673">
        <v>35</v>
      </c>
      <c r="I673">
        <v>540</v>
      </c>
      <c r="J673">
        <v>33</v>
      </c>
      <c r="K673">
        <v>2</v>
      </c>
      <c r="L673">
        <v>1</v>
      </c>
      <c r="M673">
        <v>15</v>
      </c>
      <c r="O673" s="3">
        <f t="shared" si="115"/>
        <v>4.838709677419355</v>
      </c>
      <c r="P673">
        <f t="shared" si="106"/>
        <v>1</v>
      </c>
      <c r="Q673">
        <f t="shared" si="107"/>
        <v>0</v>
      </c>
      <c r="S673">
        <f t="shared" si="108"/>
        <v>-4.0552795031055906</v>
      </c>
      <c r="T673">
        <f t="shared" si="109"/>
        <v>-1.5</v>
      </c>
      <c r="U673">
        <f t="shared" si="110"/>
        <v>-5.8695652173913047</v>
      </c>
      <c r="V673">
        <f t="shared" si="111"/>
        <v>-0.4</v>
      </c>
      <c r="W673">
        <f t="shared" si="112"/>
        <v>0</v>
      </c>
      <c r="X673">
        <f t="shared" si="113"/>
        <v>3</v>
      </c>
      <c r="Y673">
        <f t="shared" si="114"/>
        <v>0.7142857142857143</v>
      </c>
    </row>
    <row r="674" spans="1:25" x14ac:dyDescent="0.2">
      <c r="A674" t="s">
        <v>159</v>
      </c>
      <c r="B674" t="s">
        <v>228</v>
      </c>
      <c r="C674">
        <v>270</v>
      </c>
      <c r="D674" s="2">
        <v>0</v>
      </c>
      <c r="E674">
        <v>8</v>
      </c>
      <c r="F674">
        <v>4</v>
      </c>
      <c r="G674">
        <v>0</v>
      </c>
      <c r="H674">
        <v>30</v>
      </c>
      <c r="I674">
        <v>740</v>
      </c>
      <c r="J674">
        <v>37</v>
      </c>
      <c r="K674">
        <v>2</v>
      </c>
      <c r="L674">
        <v>2</v>
      </c>
      <c r="M674">
        <v>13</v>
      </c>
      <c r="O674" s="3">
        <f t="shared" si="115"/>
        <v>4.8148148148148149</v>
      </c>
      <c r="P674">
        <f t="shared" si="106"/>
        <v>1</v>
      </c>
      <c r="Q674">
        <f t="shared" si="107"/>
        <v>0</v>
      </c>
      <c r="S674">
        <f t="shared" si="108"/>
        <v>-6.5291925465838512</v>
      </c>
      <c r="T674">
        <f t="shared" si="109"/>
        <v>-1</v>
      </c>
      <c r="U674">
        <f t="shared" si="110"/>
        <v>-8.0434782608695645</v>
      </c>
      <c r="V674">
        <f t="shared" si="111"/>
        <v>-0.8</v>
      </c>
      <c r="W674">
        <f t="shared" si="112"/>
        <v>0</v>
      </c>
      <c r="X674">
        <f t="shared" si="113"/>
        <v>2.6</v>
      </c>
      <c r="Y674">
        <f t="shared" si="114"/>
        <v>0.7142857142857143</v>
      </c>
    </row>
    <row r="675" spans="1:25" x14ac:dyDescent="0.2">
      <c r="A675" t="s">
        <v>159</v>
      </c>
      <c r="B675" t="s">
        <v>231</v>
      </c>
      <c r="C675">
        <v>230</v>
      </c>
      <c r="D675" s="2">
        <v>0</v>
      </c>
      <c r="E675">
        <v>9</v>
      </c>
      <c r="F675">
        <v>4</v>
      </c>
      <c r="G675">
        <v>0</v>
      </c>
      <c r="H675">
        <v>25</v>
      </c>
      <c r="I675">
        <v>410</v>
      </c>
      <c r="J675">
        <v>25</v>
      </c>
      <c r="K675">
        <v>2</v>
      </c>
      <c r="L675">
        <v>1</v>
      </c>
      <c r="M675">
        <v>11</v>
      </c>
      <c r="O675" s="3">
        <f t="shared" si="115"/>
        <v>4.7826086956521738</v>
      </c>
      <c r="P675">
        <f t="shared" si="106"/>
        <v>0</v>
      </c>
      <c r="Q675">
        <f t="shared" si="107"/>
        <v>0</v>
      </c>
      <c r="S675">
        <f t="shared" si="108"/>
        <v>-2.9422360248447204</v>
      </c>
      <c r="T675">
        <f t="shared" si="109"/>
        <v>-1</v>
      </c>
      <c r="U675">
        <f t="shared" si="110"/>
        <v>-4.4565217391304346</v>
      </c>
      <c r="V675">
        <f t="shared" si="111"/>
        <v>-0.4</v>
      </c>
      <c r="W675">
        <f t="shared" si="112"/>
        <v>0</v>
      </c>
      <c r="X675">
        <f t="shared" si="113"/>
        <v>2.2000000000000002</v>
      </c>
      <c r="Y675">
        <f t="shared" si="114"/>
        <v>0.7142857142857143</v>
      </c>
    </row>
    <row r="676" spans="1:25" x14ac:dyDescent="0.2">
      <c r="A676" t="s">
        <v>159</v>
      </c>
      <c r="B676" t="s">
        <v>232</v>
      </c>
      <c r="C676">
        <v>230</v>
      </c>
      <c r="D676" s="2">
        <v>0</v>
      </c>
      <c r="E676">
        <v>10</v>
      </c>
      <c r="F676">
        <v>4.5</v>
      </c>
      <c r="G676">
        <v>0</v>
      </c>
      <c r="H676">
        <v>25</v>
      </c>
      <c r="I676">
        <v>390</v>
      </c>
      <c r="J676">
        <v>25</v>
      </c>
      <c r="K676">
        <v>2</v>
      </c>
      <c r="L676">
        <v>1</v>
      </c>
      <c r="M676">
        <v>11</v>
      </c>
      <c r="O676" s="3">
        <f t="shared" si="115"/>
        <v>4.7826086956521738</v>
      </c>
      <c r="P676">
        <f t="shared" si="106"/>
        <v>0</v>
      </c>
      <c r="Q676">
        <f t="shared" si="107"/>
        <v>0</v>
      </c>
      <c r="S676">
        <f t="shared" si="108"/>
        <v>-2.8498447204968942</v>
      </c>
      <c r="T676">
        <f t="shared" si="109"/>
        <v>-1.125</v>
      </c>
      <c r="U676">
        <f t="shared" si="110"/>
        <v>-4.2391304347826084</v>
      </c>
      <c r="V676">
        <f t="shared" si="111"/>
        <v>-0.4</v>
      </c>
      <c r="W676">
        <f t="shared" si="112"/>
        <v>0</v>
      </c>
      <c r="X676">
        <f t="shared" si="113"/>
        <v>2.2000000000000002</v>
      </c>
      <c r="Y676">
        <f t="shared" si="114"/>
        <v>0.7142857142857143</v>
      </c>
    </row>
    <row r="677" spans="1:25" x14ac:dyDescent="0.2">
      <c r="A677" t="s">
        <v>159</v>
      </c>
      <c r="B677" t="s">
        <v>235</v>
      </c>
      <c r="C677">
        <v>210</v>
      </c>
      <c r="D677" s="2">
        <v>0</v>
      </c>
      <c r="E677">
        <v>8</v>
      </c>
      <c r="F677">
        <v>3.5</v>
      </c>
      <c r="G677">
        <v>0</v>
      </c>
      <c r="H677">
        <v>20</v>
      </c>
      <c r="I677">
        <v>390</v>
      </c>
      <c r="J677">
        <v>26</v>
      </c>
      <c r="K677">
        <v>2</v>
      </c>
      <c r="L677">
        <v>1</v>
      </c>
      <c r="M677">
        <v>10</v>
      </c>
      <c r="O677" s="3">
        <f t="shared" si="115"/>
        <v>4.7619047619047619</v>
      </c>
      <c r="P677">
        <f t="shared" si="106"/>
        <v>0</v>
      </c>
      <c r="Q677">
        <f t="shared" si="107"/>
        <v>0</v>
      </c>
      <c r="S677">
        <f t="shared" si="108"/>
        <v>-2.7998447204968939</v>
      </c>
      <c r="T677">
        <f t="shared" si="109"/>
        <v>-0.875</v>
      </c>
      <c r="U677">
        <f t="shared" si="110"/>
        <v>-4.2391304347826084</v>
      </c>
      <c r="V677">
        <f t="shared" si="111"/>
        <v>-0.4</v>
      </c>
      <c r="W677">
        <f t="shared" si="112"/>
        <v>0</v>
      </c>
      <c r="X677">
        <f t="shared" si="113"/>
        <v>2.0000000000000004</v>
      </c>
      <c r="Y677">
        <f t="shared" si="114"/>
        <v>0.7142857142857143</v>
      </c>
    </row>
    <row r="678" spans="1:25" x14ac:dyDescent="0.2">
      <c r="A678" t="s">
        <v>159</v>
      </c>
      <c r="B678" t="s">
        <v>236</v>
      </c>
      <c r="C678">
        <v>210</v>
      </c>
      <c r="D678" s="2">
        <v>0</v>
      </c>
      <c r="E678">
        <v>6</v>
      </c>
      <c r="F678">
        <v>3</v>
      </c>
      <c r="G678">
        <v>0</v>
      </c>
      <c r="H678">
        <v>20</v>
      </c>
      <c r="I678">
        <v>420</v>
      </c>
      <c r="J678">
        <v>27</v>
      </c>
      <c r="K678">
        <v>2</v>
      </c>
      <c r="L678">
        <v>2</v>
      </c>
      <c r="M678">
        <v>10</v>
      </c>
      <c r="O678" s="3">
        <f t="shared" si="115"/>
        <v>4.7619047619047619</v>
      </c>
      <c r="P678">
        <f t="shared" si="106"/>
        <v>0</v>
      </c>
      <c r="Q678">
        <f t="shared" si="107"/>
        <v>0</v>
      </c>
      <c r="S678">
        <f t="shared" si="108"/>
        <v>-3.4009316770186322</v>
      </c>
      <c r="T678">
        <f t="shared" si="109"/>
        <v>-0.75</v>
      </c>
      <c r="U678">
        <f t="shared" si="110"/>
        <v>-4.5652173913043477</v>
      </c>
      <c r="V678">
        <f t="shared" si="111"/>
        <v>-0.8</v>
      </c>
      <c r="W678">
        <f t="shared" si="112"/>
        <v>0</v>
      </c>
      <c r="X678">
        <f t="shared" si="113"/>
        <v>2.0000000000000004</v>
      </c>
      <c r="Y678">
        <f t="shared" si="114"/>
        <v>0.7142857142857143</v>
      </c>
    </row>
    <row r="679" spans="1:25" x14ac:dyDescent="0.2">
      <c r="A679" t="s">
        <v>159</v>
      </c>
      <c r="B679" t="s">
        <v>248</v>
      </c>
      <c r="C679">
        <v>170</v>
      </c>
      <c r="D679" s="2">
        <v>0</v>
      </c>
      <c r="E679">
        <v>8</v>
      </c>
      <c r="F679">
        <v>3.5</v>
      </c>
      <c r="G679">
        <v>0</v>
      </c>
      <c r="H679">
        <v>15</v>
      </c>
      <c r="I679">
        <v>330</v>
      </c>
      <c r="J679">
        <v>17</v>
      </c>
      <c r="K679">
        <v>1</v>
      </c>
      <c r="L679">
        <v>2</v>
      </c>
      <c r="M679">
        <v>8</v>
      </c>
      <c r="O679" s="3">
        <f t="shared" si="115"/>
        <v>4.7058823529411766</v>
      </c>
      <c r="P679">
        <f t="shared" si="106"/>
        <v>0</v>
      </c>
      <c r="Q679">
        <f t="shared" si="107"/>
        <v>0</v>
      </c>
      <c r="S679">
        <f t="shared" si="108"/>
        <v>-3.3048136645962733</v>
      </c>
      <c r="T679">
        <f t="shared" si="109"/>
        <v>-0.875</v>
      </c>
      <c r="U679">
        <f t="shared" si="110"/>
        <v>-3.5869565217391304</v>
      </c>
      <c r="V679">
        <f t="shared" si="111"/>
        <v>-0.8</v>
      </c>
      <c r="W679">
        <f t="shared" si="112"/>
        <v>0</v>
      </c>
      <c r="X679">
        <f t="shared" si="113"/>
        <v>1.6</v>
      </c>
      <c r="Y679">
        <f t="shared" si="114"/>
        <v>0.35714285714285715</v>
      </c>
    </row>
    <row r="680" spans="1:25" x14ac:dyDescent="0.2">
      <c r="A680" t="s">
        <v>159</v>
      </c>
      <c r="B680" t="s">
        <v>254</v>
      </c>
      <c r="C680">
        <v>150</v>
      </c>
      <c r="D680" s="2">
        <v>0</v>
      </c>
      <c r="E680">
        <v>6</v>
      </c>
      <c r="F680">
        <v>2.5</v>
      </c>
      <c r="G680">
        <v>0</v>
      </c>
      <c r="H680">
        <v>15</v>
      </c>
      <c r="I680">
        <v>310</v>
      </c>
      <c r="J680">
        <v>17</v>
      </c>
      <c r="K680">
        <v>1</v>
      </c>
      <c r="L680">
        <v>2</v>
      </c>
      <c r="M680">
        <v>7</v>
      </c>
      <c r="O680" s="3">
        <f t="shared" si="115"/>
        <v>4.666666666666667</v>
      </c>
      <c r="P680">
        <f t="shared" si="106"/>
        <v>0</v>
      </c>
      <c r="Q680">
        <f t="shared" si="107"/>
        <v>0</v>
      </c>
      <c r="S680">
        <f t="shared" si="108"/>
        <v>-3.0374223602484469</v>
      </c>
      <c r="T680">
        <f t="shared" si="109"/>
        <v>-0.625</v>
      </c>
      <c r="U680">
        <f t="shared" si="110"/>
        <v>-3.3695652173913042</v>
      </c>
      <c r="V680">
        <f t="shared" si="111"/>
        <v>-0.8</v>
      </c>
      <c r="W680">
        <f t="shared" si="112"/>
        <v>0</v>
      </c>
      <c r="X680">
        <f t="shared" si="113"/>
        <v>1.4000000000000001</v>
      </c>
      <c r="Y680">
        <f t="shared" si="114"/>
        <v>0.35714285714285715</v>
      </c>
    </row>
    <row r="681" spans="1:25" x14ac:dyDescent="0.2">
      <c r="A681" t="s">
        <v>159</v>
      </c>
      <c r="B681" t="s">
        <v>255</v>
      </c>
      <c r="C681">
        <v>300</v>
      </c>
      <c r="D681" s="2">
        <v>0</v>
      </c>
      <c r="E681">
        <v>10</v>
      </c>
      <c r="F681">
        <v>4.5</v>
      </c>
      <c r="G681">
        <v>0</v>
      </c>
      <c r="H681">
        <v>30</v>
      </c>
      <c r="I681">
        <v>530</v>
      </c>
      <c r="J681">
        <v>40</v>
      </c>
      <c r="K681">
        <v>2</v>
      </c>
      <c r="L681">
        <v>7</v>
      </c>
      <c r="M681">
        <v>14</v>
      </c>
      <c r="O681" s="3">
        <f t="shared" si="115"/>
        <v>4.666666666666667</v>
      </c>
      <c r="P681">
        <f t="shared" si="106"/>
        <v>1</v>
      </c>
      <c r="Q681">
        <f t="shared" si="107"/>
        <v>0</v>
      </c>
      <c r="S681">
        <f t="shared" si="108"/>
        <v>-6.1715838509316763</v>
      </c>
      <c r="T681">
        <f t="shared" si="109"/>
        <v>-1.125</v>
      </c>
      <c r="U681">
        <f t="shared" si="110"/>
        <v>-5.7608695652173916</v>
      </c>
      <c r="V681">
        <f t="shared" si="111"/>
        <v>-2.8000000000000003</v>
      </c>
      <c r="W681">
        <f t="shared" si="112"/>
        <v>0</v>
      </c>
      <c r="X681">
        <f t="shared" si="113"/>
        <v>2.8000000000000003</v>
      </c>
      <c r="Y681">
        <f t="shared" si="114"/>
        <v>0.7142857142857143</v>
      </c>
    </row>
    <row r="682" spans="1:25" x14ac:dyDescent="0.2">
      <c r="A682" t="s">
        <v>159</v>
      </c>
      <c r="B682" t="s">
        <v>256</v>
      </c>
      <c r="C682">
        <v>150</v>
      </c>
      <c r="D682" s="2">
        <v>0</v>
      </c>
      <c r="E682">
        <v>6</v>
      </c>
      <c r="F682">
        <v>2.5</v>
      </c>
      <c r="G682">
        <v>0</v>
      </c>
      <c r="H682">
        <v>15</v>
      </c>
      <c r="I682">
        <v>270</v>
      </c>
      <c r="J682">
        <v>16</v>
      </c>
      <c r="K682">
        <v>1</v>
      </c>
      <c r="L682">
        <v>0</v>
      </c>
      <c r="M682">
        <v>7</v>
      </c>
      <c r="O682" s="3">
        <f t="shared" si="115"/>
        <v>4.666666666666667</v>
      </c>
      <c r="P682">
        <f t="shared" si="106"/>
        <v>0</v>
      </c>
      <c r="Q682">
        <f t="shared" si="107"/>
        <v>0</v>
      </c>
      <c r="S682">
        <f t="shared" si="108"/>
        <v>-1.8026397515527948</v>
      </c>
      <c r="T682">
        <f t="shared" si="109"/>
        <v>-0.625</v>
      </c>
      <c r="U682">
        <f t="shared" si="110"/>
        <v>-2.9347826086956523</v>
      </c>
      <c r="V682">
        <f t="shared" si="111"/>
        <v>0</v>
      </c>
      <c r="W682">
        <f t="shared" si="112"/>
        <v>0</v>
      </c>
      <c r="X682">
        <f t="shared" si="113"/>
        <v>1.4000000000000001</v>
      </c>
      <c r="Y682">
        <f t="shared" si="114"/>
        <v>0.35714285714285715</v>
      </c>
    </row>
    <row r="683" spans="1:25" x14ac:dyDescent="0.2">
      <c r="A683" t="s">
        <v>159</v>
      </c>
      <c r="B683" t="s">
        <v>261</v>
      </c>
      <c r="C683">
        <v>280</v>
      </c>
      <c r="D683" s="2">
        <v>0</v>
      </c>
      <c r="E683">
        <v>12</v>
      </c>
      <c r="F683">
        <v>6</v>
      </c>
      <c r="G683">
        <v>0</v>
      </c>
      <c r="H683">
        <v>30</v>
      </c>
      <c r="I683">
        <v>560</v>
      </c>
      <c r="J683">
        <v>31</v>
      </c>
      <c r="K683">
        <v>2</v>
      </c>
      <c r="L683">
        <v>2</v>
      </c>
      <c r="M683">
        <v>13</v>
      </c>
      <c r="O683" s="3">
        <f t="shared" si="115"/>
        <v>4.6428571428571432</v>
      </c>
      <c r="P683">
        <f t="shared" si="106"/>
        <v>1</v>
      </c>
      <c r="Q683">
        <f t="shared" si="107"/>
        <v>0</v>
      </c>
      <c r="S683">
        <f t="shared" si="108"/>
        <v>-5.0726708074534175</v>
      </c>
      <c r="T683">
        <f t="shared" si="109"/>
        <v>-1.5</v>
      </c>
      <c r="U683">
        <f t="shared" si="110"/>
        <v>-6.0869565217391308</v>
      </c>
      <c r="V683">
        <f t="shared" si="111"/>
        <v>-0.8</v>
      </c>
      <c r="W683">
        <f t="shared" si="112"/>
        <v>0</v>
      </c>
      <c r="X683">
        <f t="shared" si="113"/>
        <v>2.6</v>
      </c>
      <c r="Y683">
        <f t="shared" si="114"/>
        <v>0.7142857142857143</v>
      </c>
    </row>
    <row r="684" spans="1:25" x14ac:dyDescent="0.2">
      <c r="A684" t="s">
        <v>159</v>
      </c>
      <c r="B684" t="s">
        <v>266</v>
      </c>
      <c r="C684">
        <v>390</v>
      </c>
      <c r="D684" s="2">
        <v>0</v>
      </c>
      <c r="E684">
        <v>20</v>
      </c>
      <c r="F684">
        <v>7</v>
      </c>
      <c r="G684">
        <v>0</v>
      </c>
      <c r="H684">
        <v>40</v>
      </c>
      <c r="I684">
        <v>680</v>
      </c>
      <c r="J684">
        <v>35</v>
      </c>
      <c r="K684">
        <v>2</v>
      </c>
      <c r="L684">
        <v>2</v>
      </c>
      <c r="M684">
        <v>18</v>
      </c>
      <c r="O684" s="3">
        <f t="shared" si="115"/>
        <v>4.6153846153846159</v>
      </c>
      <c r="P684">
        <f t="shared" si="106"/>
        <v>1</v>
      </c>
      <c r="Q684">
        <f t="shared" si="107"/>
        <v>0</v>
      </c>
      <c r="S684">
        <f t="shared" si="108"/>
        <v>-5.6270186335403727</v>
      </c>
      <c r="T684">
        <f t="shared" si="109"/>
        <v>-1.75</v>
      </c>
      <c r="U684">
        <f t="shared" si="110"/>
        <v>-7.3913043478260869</v>
      </c>
      <c r="V684">
        <f t="shared" si="111"/>
        <v>-0.8</v>
      </c>
      <c r="W684">
        <f t="shared" si="112"/>
        <v>0</v>
      </c>
      <c r="X684">
        <f t="shared" si="113"/>
        <v>3.5999999999999996</v>
      </c>
      <c r="Y684">
        <f t="shared" si="114"/>
        <v>0.7142857142857143</v>
      </c>
    </row>
    <row r="685" spans="1:25" x14ac:dyDescent="0.2">
      <c r="A685" t="s">
        <v>159</v>
      </c>
      <c r="B685" t="s">
        <v>267</v>
      </c>
      <c r="C685">
        <v>130</v>
      </c>
      <c r="D685" s="2">
        <v>0</v>
      </c>
      <c r="E685">
        <v>3.5</v>
      </c>
      <c r="F685">
        <v>1.5</v>
      </c>
      <c r="G685">
        <v>0</v>
      </c>
      <c r="H685">
        <v>10</v>
      </c>
      <c r="I685">
        <v>380</v>
      </c>
      <c r="J685">
        <v>19</v>
      </c>
      <c r="K685">
        <v>0</v>
      </c>
      <c r="L685">
        <v>0</v>
      </c>
      <c r="M685">
        <v>6</v>
      </c>
      <c r="O685" s="3">
        <f t="shared" si="115"/>
        <v>4.6153846153846159</v>
      </c>
      <c r="P685">
        <f t="shared" si="106"/>
        <v>0</v>
      </c>
      <c r="Q685">
        <f t="shared" si="107"/>
        <v>0</v>
      </c>
      <c r="S685">
        <f t="shared" si="108"/>
        <v>-3.3054347826086952</v>
      </c>
      <c r="T685">
        <f t="shared" si="109"/>
        <v>-0.375</v>
      </c>
      <c r="U685">
        <f t="shared" si="110"/>
        <v>-4.1304347826086953</v>
      </c>
      <c r="V685">
        <f t="shared" si="111"/>
        <v>0</v>
      </c>
      <c r="W685">
        <f t="shared" si="112"/>
        <v>0</v>
      </c>
      <c r="X685">
        <f t="shared" si="113"/>
        <v>1.2</v>
      </c>
      <c r="Y685">
        <f t="shared" si="114"/>
        <v>0</v>
      </c>
    </row>
    <row r="686" spans="1:25" x14ac:dyDescent="0.2">
      <c r="A686" t="s">
        <v>159</v>
      </c>
      <c r="B686" t="s">
        <v>268</v>
      </c>
      <c r="C686">
        <v>130</v>
      </c>
      <c r="D686" s="2">
        <v>0</v>
      </c>
      <c r="E686">
        <v>4.5</v>
      </c>
      <c r="F686">
        <v>2</v>
      </c>
      <c r="G686">
        <v>0</v>
      </c>
      <c r="H686">
        <v>10</v>
      </c>
      <c r="I686">
        <v>250</v>
      </c>
      <c r="J686">
        <v>17</v>
      </c>
      <c r="K686">
        <v>1</v>
      </c>
      <c r="L686">
        <v>0</v>
      </c>
      <c r="M686">
        <v>6</v>
      </c>
      <c r="O686" s="3">
        <f t="shared" si="115"/>
        <v>4.6153846153846159</v>
      </c>
      <c r="P686">
        <f t="shared" si="106"/>
        <v>0</v>
      </c>
      <c r="Q686">
        <f t="shared" si="107"/>
        <v>0</v>
      </c>
      <c r="S686">
        <f t="shared" si="108"/>
        <v>-1.6602484472049688</v>
      </c>
      <c r="T686">
        <f t="shared" si="109"/>
        <v>-0.5</v>
      </c>
      <c r="U686">
        <f t="shared" si="110"/>
        <v>-2.7173913043478262</v>
      </c>
      <c r="V686">
        <f t="shared" si="111"/>
        <v>0</v>
      </c>
      <c r="W686">
        <f t="shared" si="112"/>
        <v>0</v>
      </c>
      <c r="X686">
        <f t="shared" si="113"/>
        <v>1.2</v>
      </c>
      <c r="Y686">
        <f t="shared" si="114"/>
        <v>0.35714285714285715</v>
      </c>
    </row>
    <row r="687" spans="1:25" x14ac:dyDescent="0.2">
      <c r="A687" t="s">
        <v>159</v>
      </c>
      <c r="B687" t="s">
        <v>269</v>
      </c>
      <c r="C687">
        <v>130</v>
      </c>
      <c r="D687" s="2">
        <v>0</v>
      </c>
      <c r="E687">
        <v>5</v>
      </c>
      <c r="F687">
        <v>2</v>
      </c>
      <c r="G687">
        <v>0</v>
      </c>
      <c r="H687">
        <v>10</v>
      </c>
      <c r="I687">
        <v>260</v>
      </c>
      <c r="J687">
        <v>16</v>
      </c>
      <c r="K687">
        <v>1</v>
      </c>
      <c r="L687">
        <v>0</v>
      </c>
      <c r="M687">
        <v>6</v>
      </c>
      <c r="O687" s="3">
        <f t="shared" si="115"/>
        <v>4.6153846153846159</v>
      </c>
      <c r="P687">
        <f t="shared" si="106"/>
        <v>0</v>
      </c>
      <c r="Q687">
        <f t="shared" si="107"/>
        <v>0</v>
      </c>
      <c r="S687">
        <f t="shared" si="108"/>
        <v>-1.7689440993788819</v>
      </c>
      <c r="T687">
        <f t="shared" si="109"/>
        <v>-0.5</v>
      </c>
      <c r="U687">
        <f t="shared" si="110"/>
        <v>-2.8260869565217392</v>
      </c>
      <c r="V687">
        <f t="shared" si="111"/>
        <v>0</v>
      </c>
      <c r="W687">
        <f t="shared" si="112"/>
        <v>0</v>
      </c>
      <c r="X687">
        <f t="shared" si="113"/>
        <v>1.2</v>
      </c>
      <c r="Y687">
        <f t="shared" si="114"/>
        <v>0.35714285714285715</v>
      </c>
    </row>
    <row r="688" spans="1:25" x14ac:dyDescent="0.2">
      <c r="A688" t="s">
        <v>159</v>
      </c>
      <c r="B688" t="s">
        <v>272</v>
      </c>
      <c r="C688">
        <v>370</v>
      </c>
      <c r="D688" s="2">
        <v>0</v>
      </c>
      <c r="E688">
        <v>18</v>
      </c>
      <c r="F688">
        <v>8</v>
      </c>
      <c r="G688">
        <v>0</v>
      </c>
      <c r="H688">
        <v>50</v>
      </c>
      <c r="I688">
        <v>740</v>
      </c>
      <c r="J688">
        <v>35</v>
      </c>
      <c r="K688">
        <v>3</v>
      </c>
      <c r="L688">
        <v>2</v>
      </c>
      <c r="M688">
        <v>17</v>
      </c>
      <c r="O688" s="3">
        <f t="shared" si="115"/>
        <v>4.5945945945945947</v>
      </c>
      <c r="P688">
        <f t="shared" si="106"/>
        <v>1</v>
      </c>
      <c r="Q688">
        <f t="shared" si="107"/>
        <v>0</v>
      </c>
      <c r="S688">
        <f t="shared" si="108"/>
        <v>-6.3720496894409937</v>
      </c>
      <c r="T688">
        <f t="shared" si="109"/>
        <v>-2</v>
      </c>
      <c r="U688">
        <f t="shared" si="110"/>
        <v>-8.0434782608695645</v>
      </c>
      <c r="V688">
        <f t="shared" si="111"/>
        <v>-0.8</v>
      </c>
      <c r="W688">
        <f t="shared" si="112"/>
        <v>0</v>
      </c>
      <c r="X688">
        <f t="shared" si="113"/>
        <v>3.4000000000000004</v>
      </c>
      <c r="Y688">
        <f t="shared" si="114"/>
        <v>1.0714285714285714</v>
      </c>
    </row>
    <row r="689" spans="1:25" x14ac:dyDescent="0.2">
      <c r="A689" t="s">
        <v>159</v>
      </c>
      <c r="B689" t="s">
        <v>274</v>
      </c>
      <c r="C689">
        <v>240</v>
      </c>
      <c r="D689" s="2">
        <v>0</v>
      </c>
      <c r="E689">
        <v>9</v>
      </c>
      <c r="F689">
        <v>3.5</v>
      </c>
      <c r="G689">
        <v>0</v>
      </c>
      <c r="H689">
        <v>20</v>
      </c>
      <c r="I689">
        <v>680</v>
      </c>
      <c r="J689">
        <v>31</v>
      </c>
      <c r="K689">
        <v>2</v>
      </c>
      <c r="L689">
        <v>2</v>
      </c>
      <c r="M689">
        <v>11</v>
      </c>
      <c r="O689" s="3">
        <f t="shared" si="115"/>
        <v>4.583333333333333</v>
      </c>
      <c r="P689">
        <f t="shared" si="106"/>
        <v>1</v>
      </c>
      <c r="Q689">
        <f t="shared" si="107"/>
        <v>0</v>
      </c>
      <c r="S689">
        <f t="shared" si="108"/>
        <v>-6.1520186335403722</v>
      </c>
      <c r="T689">
        <f t="shared" si="109"/>
        <v>-0.875</v>
      </c>
      <c r="U689">
        <f t="shared" si="110"/>
        <v>-7.3913043478260869</v>
      </c>
      <c r="V689">
        <f t="shared" si="111"/>
        <v>-0.8</v>
      </c>
      <c r="W689">
        <f t="shared" si="112"/>
        <v>0</v>
      </c>
      <c r="X689">
        <f t="shared" si="113"/>
        <v>2.2000000000000002</v>
      </c>
      <c r="Y689">
        <f t="shared" si="114"/>
        <v>0.7142857142857143</v>
      </c>
    </row>
    <row r="690" spans="1:25" x14ac:dyDescent="0.2">
      <c r="A690" t="s">
        <v>159</v>
      </c>
      <c r="B690" t="s">
        <v>280</v>
      </c>
      <c r="C690">
        <v>220</v>
      </c>
      <c r="D690" s="2">
        <v>0</v>
      </c>
      <c r="E690">
        <v>7</v>
      </c>
      <c r="F690">
        <v>3</v>
      </c>
      <c r="G690">
        <v>0</v>
      </c>
      <c r="H690">
        <v>20</v>
      </c>
      <c r="I690">
        <v>390</v>
      </c>
      <c r="J690">
        <v>31</v>
      </c>
      <c r="K690">
        <v>2</v>
      </c>
      <c r="L690">
        <v>6</v>
      </c>
      <c r="M690">
        <v>10</v>
      </c>
      <c r="O690" s="3">
        <f t="shared" si="115"/>
        <v>4.5454545454545459</v>
      </c>
      <c r="P690">
        <f t="shared" si="106"/>
        <v>0</v>
      </c>
      <c r="Q690">
        <f t="shared" si="107"/>
        <v>0</v>
      </c>
      <c r="S690">
        <f t="shared" si="108"/>
        <v>-4.6748447204968935</v>
      </c>
      <c r="T690">
        <f t="shared" si="109"/>
        <v>-0.75</v>
      </c>
      <c r="U690">
        <f t="shared" si="110"/>
        <v>-4.2391304347826084</v>
      </c>
      <c r="V690">
        <f t="shared" si="111"/>
        <v>-2.4</v>
      </c>
      <c r="W690">
        <f t="shared" si="112"/>
        <v>0</v>
      </c>
      <c r="X690">
        <f t="shared" si="113"/>
        <v>2.0000000000000004</v>
      </c>
      <c r="Y690">
        <f t="shared" si="114"/>
        <v>0.7142857142857143</v>
      </c>
    </row>
    <row r="691" spans="1:25" x14ac:dyDescent="0.2">
      <c r="A691" t="s">
        <v>159</v>
      </c>
      <c r="B691" t="s">
        <v>283</v>
      </c>
      <c r="C691">
        <v>200</v>
      </c>
      <c r="D691" s="2">
        <v>0</v>
      </c>
      <c r="E691">
        <v>7</v>
      </c>
      <c r="F691">
        <v>3.5</v>
      </c>
      <c r="G691">
        <v>0</v>
      </c>
      <c r="H691">
        <v>15</v>
      </c>
      <c r="I691">
        <v>410</v>
      </c>
      <c r="J691">
        <v>26</v>
      </c>
      <c r="K691">
        <v>2</v>
      </c>
      <c r="L691">
        <v>1</v>
      </c>
      <c r="M691">
        <v>9</v>
      </c>
      <c r="O691" s="3">
        <f t="shared" si="115"/>
        <v>4.5</v>
      </c>
      <c r="P691">
        <f t="shared" si="106"/>
        <v>0</v>
      </c>
      <c r="Q691">
        <f t="shared" si="107"/>
        <v>0</v>
      </c>
      <c r="S691">
        <f t="shared" si="108"/>
        <v>-3.2172360248447207</v>
      </c>
      <c r="T691">
        <f t="shared" si="109"/>
        <v>-0.875</v>
      </c>
      <c r="U691">
        <f t="shared" si="110"/>
        <v>-4.4565217391304346</v>
      </c>
      <c r="V691">
        <f t="shared" si="111"/>
        <v>-0.4</v>
      </c>
      <c r="W691">
        <f t="shared" si="112"/>
        <v>0</v>
      </c>
      <c r="X691">
        <f t="shared" si="113"/>
        <v>1.7999999999999998</v>
      </c>
      <c r="Y691">
        <f t="shared" si="114"/>
        <v>0.7142857142857143</v>
      </c>
    </row>
    <row r="692" spans="1:25" x14ac:dyDescent="0.2">
      <c r="A692" t="s">
        <v>159</v>
      </c>
      <c r="B692" t="s">
        <v>284</v>
      </c>
      <c r="C692">
        <v>200</v>
      </c>
      <c r="D692" s="2">
        <v>0</v>
      </c>
      <c r="E692">
        <v>5</v>
      </c>
      <c r="F692">
        <v>2.5</v>
      </c>
      <c r="G692">
        <v>0</v>
      </c>
      <c r="H692">
        <v>20</v>
      </c>
      <c r="I692">
        <v>560</v>
      </c>
      <c r="J692">
        <v>28</v>
      </c>
      <c r="K692">
        <v>2</v>
      </c>
      <c r="L692">
        <v>1</v>
      </c>
      <c r="M692">
        <v>9</v>
      </c>
      <c r="O692" s="3">
        <f t="shared" si="115"/>
        <v>4.5</v>
      </c>
      <c r="P692">
        <f t="shared" si="106"/>
        <v>1</v>
      </c>
      <c r="Q692">
        <f t="shared" si="107"/>
        <v>0</v>
      </c>
      <c r="S692">
        <f t="shared" si="108"/>
        <v>-4.5976708074534169</v>
      </c>
      <c r="T692">
        <f t="shared" si="109"/>
        <v>-0.625</v>
      </c>
      <c r="U692">
        <f t="shared" si="110"/>
        <v>-6.0869565217391308</v>
      </c>
      <c r="V692">
        <f t="shared" si="111"/>
        <v>-0.4</v>
      </c>
      <c r="W692">
        <f t="shared" si="112"/>
        <v>0</v>
      </c>
      <c r="X692">
        <f t="shared" si="113"/>
        <v>1.7999999999999998</v>
      </c>
      <c r="Y692">
        <f t="shared" si="114"/>
        <v>0.7142857142857143</v>
      </c>
    </row>
    <row r="693" spans="1:25" x14ac:dyDescent="0.2">
      <c r="A693" t="s">
        <v>159</v>
      </c>
      <c r="B693" t="s">
        <v>286</v>
      </c>
      <c r="C693">
        <v>290</v>
      </c>
      <c r="D693" s="2">
        <v>0</v>
      </c>
      <c r="E693">
        <v>13</v>
      </c>
      <c r="F693">
        <v>6</v>
      </c>
      <c r="G693">
        <v>0</v>
      </c>
      <c r="H693">
        <v>30</v>
      </c>
      <c r="I693">
        <v>570</v>
      </c>
      <c r="J693">
        <v>31</v>
      </c>
      <c r="K693">
        <v>2</v>
      </c>
      <c r="L693">
        <v>2</v>
      </c>
      <c r="M693">
        <v>13</v>
      </c>
      <c r="O693" s="3">
        <f t="shared" si="115"/>
        <v>4.4827586206896548</v>
      </c>
      <c r="P693">
        <f t="shared" si="106"/>
        <v>1</v>
      </c>
      <c r="Q693">
        <f t="shared" si="107"/>
        <v>0</v>
      </c>
      <c r="S693">
        <f t="shared" si="108"/>
        <v>-5.1813664596273297</v>
      </c>
      <c r="T693">
        <f t="shared" si="109"/>
        <v>-1.5</v>
      </c>
      <c r="U693">
        <f t="shared" si="110"/>
        <v>-6.1956521739130439</v>
      </c>
      <c r="V693">
        <f t="shared" si="111"/>
        <v>-0.8</v>
      </c>
      <c r="W693">
        <f t="shared" si="112"/>
        <v>0</v>
      </c>
      <c r="X693">
        <f t="shared" si="113"/>
        <v>2.6</v>
      </c>
      <c r="Y693">
        <f t="shared" si="114"/>
        <v>0.7142857142857143</v>
      </c>
    </row>
    <row r="694" spans="1:25" x14ac:dyDescent="0.2">
      <c r="A694" t="s">
        <v>159</v>
      </c>
      <c r="B694" t="s">
        <v>287</v>
      </c>
      <c r="C694">
        <v>290</v>
      </c>
      <c r="D694" s="2">
        <v>0</v>
      </c>
      <c r="E694">
        <v>10</v>
      </c>
      <c r="F694">
        <v>5</v>
      </c>
      <c r="G694">
        <v>0</v>
      </c>
      <c r="H694">
        <v>30</v>
      </c>
      <c r="I694">
        <v>540</v>
      </c>
      <c r="J694">
        <v>34</v>
      </c>
      <c r="K694">
        <v>3</v>
      </c>
      <c r="L694">
        <v>2</v>
      </c>
      <c r="M694">
        <v>13</v>
      </c>
      <c r="O694" s="3">
        <f t="shared" si="115"/>
        <v>4.4827586206896548</v>
      </c>
      <c r="P694">
        <f t="shared" si="106"/>
        <v>1</v>
      </c>
      <c r="Q694">
        <f t="shared" si="107"/>
        <v>0</v>
      </c>
      <c r="S694">
        <f t="shared" si="108"/>
        <v>-4.2481366459627328</v>
      </c>
      <c r="T694">
        <f t="shared" si="109"/>
        <v>-1.25</v>
      </c>
      <c r="U694">
        <f t="shared" si="110"/>
        <v>-5.8695652173913047</v>
      </c>
      <c r="V694">
        <f t="shared" si="111"/>
        <v>-0.8</v>
      </c>
      <c r="W694">
        <f t="shared" si="112"/>
        <v>0</v>
      </c>
      <c r="X694">
        <f t="shared" si="113"/>
        <v>2.6</v>
      </c>
      <c r="Y694">
        <f t="shared" si="114"/>
        <v>1.0714285714285714</v>
      </c>
    </row>
    <row r="695" spans="1:25" x14ac:dyDescent="0.2">
      <c r="A695" t="s">
        <v>159</v>
      </c>
      <c r="B695" t="s">
        <v>291</v>
      </c>
      <c r="C695">
        <v>180</v>
      </c>
      <c r="D695" s="2">
        <v>0</v>
      </c>
      <c r="E695">
        <v>6</v>
      </c>
      <c r="F695">
        <v>2</v>
      </c>
      <c r="G695">
        <v>0</v>
      </c>
      <c r="H695">
        <v>15</v>
      </c>
      <c r="I695">
        <v>370</v>
      </c>
      <c r="J695">
        <v>25</v>
      </c>
      <c r="K695">
        <v>1</v>
      </c>
      <c r="L695">
        <v>8</v>
      </c>
      <c r="M695">
        <v>8</v>
      </c>
      <c r="O695" s="3">
        <f t="shared" si="115"/>
        <v>4.4444444444444446</v>
      </c>
      <c r="P695">
        <f t="shared" si="106"/>
        <v>0</v>
      </c>
      <c r="Q695">
        <f t="shared" si="107"/>
        <v>0</v>
      </c>
      <c r="S695">
        <f t="shared" si="108"/>
        <v>-5.764596273291926</v>
      </c>
      <c r="T695">
        <f t="shared" si="109"/>
        <v>-0.5</v>
      </c>
      <c r="U695">
        <f t="shared" si="110"/>
        <v>-4.0217391304347823</v>
      </c>
      <c r="V695">
        <f t="shared" si="111"/>
        <v>-3.2</v>
      </c>
      <c r="W695">
        <f t="shared" si="112"/>
        <v>0</v>
      </c>
      <c r="X695">
        <f t="shared" si="113"/>
        <v>1.6</v>
      </c>
      <c r="Y695">
        <f t="shared" si="114"/>
        <v>0.35714285714285715</v>
      </c>
    </row>
    <row r="696" spans="1:25" x14ac:dyDescent="0.2">
      <c r="A696" t="s">
        <v>159</v>
      </c>
      <c r="B696" t="s">
        <v>292</v>
      </c>
      <c r="C696">
        <v>360</v>
      </c>
      <c r="D696" s="2">
        <v>0</v>
      </c>
      <c r="E696">
        <v>17</v>
      </c>
      <c r="F696">
        <v>7</v>
      </c>
      <c r="G696">
        <v>0</v>
      </c>
      <c r="H696">
        <v>35</v>
      </c>
      <c r="I696">
        <v>660</v>
      </c>
      <c r="J696">
        <v>37</v>
      </c>
      <c r="K696">
        <v>2</v>
      </c>
      <c r="L696">
        <v>2</v>
      </c>
      <c r="M696">
        <v>16</v>
      </c>
      <c r="O696" s="3">
        <f t="shared" si="115"/>
        <v>4.4444444444444446</v>
      </c>
      <c r="P696">
        <f t="shared" si="106"/>
        <v>1</v>
      </c>
      <c r="Q696">
        <f t="shared" si="107"/>
        <v>0</v>
      </c>
      <c r="S696">
        <f t="shared" si="108"/>
        <v>-5.8096273291925478</v>
      </c>
      <c r="T696">
        <f t="shared" si="109"/>
        <v>-1.75</v>
      </c>
      <c r="U696">
        <f t="shared" si="110"/>
        <v>-7.1739130434782608</v>
      </c>
      <c r="V696">
        <f t="shared" si="111"/>
        <v>-0.8</v>
      </c>
      <c r="W696">
        <f t="shared" si="112"/>
        <v>0</v>
      </c>
      <c r="X696">
        <f t="shared" si="113"/>
        <v>3.2</v>
      </c>
      <c r="Y696">
        <f t="shared" si="114"/>
        <v>0.7142857142857143</v>
      </c>
    </row>
    <row r="697" spans="1:25" x14ac:dyDescent="0.2">
      <c r="A697" t="s">
        <v>159</v>
      </c>
      <c r="B697" t="s">
        <v>293</v>
      </c>
      <c r="C697">
        <v>270</v>
      </c>
      <c r="D697" s="2">
        <v>0</v>
      </c>
      <c r="E697">
        <v>13</v>
      </c>
      <c r="F697">
        <v>4.5</v>
      </c>
      <c r="G697">
        <v>0</v>
      </c>
      <c r="H697">
        <v>30</v>
      </c>
      <c r="I697">
        <v>470</v>
      </c>
      <c r="J697">
        <v>27</v>
      </c>
      <c r="K697">
        <v>2</v>
      </c>
      <c r="L697">
        <v>1</v>
      </c>
      <c r="M697">
        <v>12</v>
      </c>
      <c r="O697" s="3">
        <f t="shared" si="115"/>
        <v>4.4444444444444446</v>
      </c>
      <c r="P697">
        <f t="shared" si="106"/>
        <v>1</v>
      </c>
      <c r="Q697">
        <f t="shared" si="107"/>
        <v>0</v>
      </c>
      <c r="S697">
        <f t="shared" si="108"/>
        <v>-3.5194099378881996</v>
      </c>
      <c r="T697">
        <f t="shared" si="109"/>
        <v>-1.125</v>
      </c>
      <c r="U697">
        <f t="shared" si="110"/>
        <v>-5.1086956521739131</v>
      </c>
      <c r="V697">
        <f t="shared" si="111"/>
        <v>-0.4</v>
      </c>
      <c r="W697">
        <f t="shared" si="112"/>
        <v>0</v>
      </c>
      <c r="X697">
        <f t="shared" si="113"/>
        <v>2.4</v>
      </c>
      <c r="Y697">
        <f t="shared" si="114"/>
        <v>0.7142857142857143</v>
      </c>
    </row>
    <row r="698" spans="1:25" x14ac:dyDescent="0.2">
      <c r="A698" t="s">
        <v>159</v>
      </c>
      <c r="B698" t="s">
        <v>294</v>
      </c>
      <c r="C698">
        <v>180</v>
      </c>
      <c r="D698" s="2">
        <v>0</v>
      </c>
      <c r="E698">
        <v>9</v>
      </c>
      <c r="F698">
        <v>3.5</v>
      </c>
      <c r="G698">
        <v>0</v>
      </c>
      <c r="H698">
        <v>20</v>
      </c>
      <c r="I698">
        <v>370</v>
      </c>
      <c r="J698">
        <v>17</v>
      </c>
      <c r="K698">
        <v>1</v>
      </c>
      <c r="L698">
        <v>2</v>
      </c>
      <c r="M698">
        <v>8</v>
      </c>
      <c r="O698" s="3">
        <f t="shared" si="115"/>
        <v>4.4444444444444446</v>
      </c>
      <c r="P698">
        <f t="shared" si="106"/>
        <v>0</v>
      </c>
      <c r="Q698">
        <f t="shared" si="107"/>
        <v>0</v>
      </c>
      <c r="S698">
        <f t="shared" si="108"/>
        <v>-3.7395962732919252</v>
      </c>
      <c r="T698">
        <f t="shared" si="109"/>
        <v>-0.875</v>
      </c>
      <c r="U698">
        <f t="shared" si="110"/>
        <v>-4.0217391304347823</v>
      </c>
      <c r="V698">
        <f t="shared" si="111"/>
        <v>-0.8</v>
      </c>
      <c r="W698">
        <f t="shared" si="112"/>
        <v>0</v>
      </c>
      <c r="X698">
        <f t="shared" si="113"/>
        <v>1.6</v>
      </c>
      <c r="Y698">
        <f t="shared" si="114"/>
        <v>0.35714285714285715</v>
      </c>
    </row>
    <row r="699" spans="1:25" x14ac:dyDescent="0.2">
      <c r="A699" t="s">
        <v>159</v>
      </c>
      <c r="B699" t="s">
        <v>295</v>
      </c>
      <c r="C699">
        <v>270</v>
      </c>
      <c r="D699" s="2">
        <v>0</v>
      </c>
      <c r="E699">
        <v>13</v>
      </c>
      <c r="F699">
        <v>5</v>
      </c>
      <c r="G699">
        <v>0</v>
      </c>
      <c r="H699">
        <v>25</v>
      </c>
      <c r="I699">
        <v>470</v>
      </c>
      <c r="J699">
        <v>27</v>
      </c>
      <c r="K699">
        <v>2</v>
      </c>
      <c r="L699">
        <v>1</v>
      </c>
      <c r="M699">
        <v>12</v>
      </c>
      <c r="O699" s="3">
        <f t="shared" si="115"/>
        <v>4.4444444444444446</v>
      </c>
      <c r="P699">
        <f t="shared" si="106"/>
        <v>1</v>
      </c>
      <c r="Q699">
        <f t="shared" si="107"/>
        <v>0</v>
      </c>
      <c r="S699">
        <f t="shared" si="108"/>
        <v>-3.6444099378881996</v>
      </c>
      <c r="T699">
        <f t="shared" si="109"/>
        <v>-1.25</v>
      </c>
      <c r="U699">
        <f t="shared" si="110"/>
        <v>-5.1086956521739131</v>
      </c>
      <c r="V699">
        <f t="shared" si="111"/>
        <v>-0.4</v>
      </c>
      <c r="W699">
        <f t="shared" si="112"/>
        <v>0</v>
      </c>
      <c r="X699">
        <f t="shared" si="113"/>
        <v>2.4</v>
      </c>
      <c r="Y699">
        <f t="shared" si="114"/>
        <v>0.7142857142857143</v>
      </c>
    </row>
    <row r="700" spans="1:25" x14ac:dyDescent="0.2">
      <c r="A700" t="s">
        <v>159</v>
      </c>
      <c r="B700" t="s">
        <v>296</v>
      </c>
      <c r="C700">
        <v>270</v>
      </c>
      <c r="D700" s="2">
        <v>0</v>
      </c>
      <c r="E700">
        <v>13</v>
      </c>
      <c r="F700">
        <v>6</v>
      </c>
      <c r="G700">
        <v>0</v>
      </c>
      <c r="H700">
        <v>35</v>
      </c>
      <c r="I700">
        <v>530</v>
      </c>
      <c r="J700">
        <v>26</v>
      </c>
      <c r="K700">
        <v>2</v>
      </c>
      <c r="L700">
        <v>1</v>
      </c>
      <c r="M700">
        <v>12</v>
      </c>
      <c r="O700" s="3">
        <f t="shared" si="115"/>
        <v>4.4444444444444446</v>
      </c>
      <c r="P700">
        <f t="shared" si="106"/>
        <v>1</v>
      </c>
      <c r="Q700">
        <f t="shared" si="107"/>
        <v>0</v>
      </c>
      <c r="S700">
        <f t="shared" si="108"/>
        <v>-4.5465838509316781</v>
      </c>
      <c r="T700">
        <f t="shared" si="109"/>
        <v>-1.5</v>
      </c>
      <c r="U700">
        <f t="shared" si="110"/>
        <v>-5.7608695652173916</v>
      </c>
      <c r="V700">
        <f t="shared" si="111"/>
        <v>-0.4</v>
      </c>
      <c r="W700">
        <f t="shared" si="112"/>
        <v>0</v>
      </c>
      <c r="X700">
        <f t="shared" si="113"/>
        <v>2.4</v>
      </c>
      <c r="Y700">
        <f t="shared" si="114"/>
        <v>0.7142857142857143</v>
      </c>
    </row>
    <row r="701" spans="1:25" x14ac:dyDescent="0.2">
      <c r="A701" t="s">
        <v>159</v>
      </c>
      <c r="B701" t="s">
        <v>303</v>
      </c>
      <c r="C701">
        <v>250</v>
      </c>
      <c r="D701" s="2">
        <v>0</v>
      </c>
      <c r="E701">
        <v>10</v>
      </c>
      <c r="F701">
        <v>4.5</v>
      </c>
      <c r="G701">
        <v>0</v>
      </c>
      <c r="H701">
        <v>25</v>
      </c>
      <c r="I701">
        <v>450</v>
      </c>
      <c r="J701">
        <v>28</v>
      </c>
      <c r="K701">
        <v>2</v>
      </c>
      <c r="L701">
        <v>1</v>
      </c>
      <c r="M701">
        <v>11</v>
      </c>
      <c r="O701" s="3">
        <f t="shared" si="115"/>
        <v>4.3999999999999995</v>
      </c>
      <c r="P701">
        <f t="shared" si="106"/>
        <v>0</v>
      </c>
      <c r="Q701">
        <f t="shared" si="107"/>
        <v>0</v>
      </c>
      <c r="S701">
        <f t="shared" si="108"/>
        <v>-3.5020186335403727</v>
      </c>
      <c r="T701">
        <f t="shared" si="109"/>
        <v>-1.125</v>
      </c>
      <c r="U701">
        <f t="shared" si="110"/>
        <v>-4.8913043478260869</v>
      </c>
      <c r="V701">
        <f t="shared" si="111"/>
        <v>-0.4</v>
      </c>
      <c r="W701">
        <f t="shared" si="112"/>
        <v>0</v>
      </c>
      <c r="X701">
        <f t="shared" si="113"/>
        <v>2.2000000000000002</v>
      </c>
      <c r="Y701">
        <f t="shared" si="114"/>
        <v>0.7142857142857143</v>
      </c>
    </row>
    <row r="702" spans="1:25" x14ac:dyDescent="0.2">
      <c r="A702" t="s">
        <v>159</v>
      </c>
      <c r="B702" t="s">
        <v>307</v>
      </c>
      <c r="C702">
        <v>320</v>
      </c>
      <c r="D702" s="2">
        <v>0</v>
      </c>
      <c r="E702">
        <v>16</v>
      </c>
      <c r="F702">
        <v>6</v>
      </c>
      <c r="G702">
        <v>0</v>
      </c>
      <c r="H702">
        <v>35</v>
      </c>
      <c r="I702">
        <v>640</v>
      </c>
      <c r="J702">
        <v>31</v>
      </c>
      <c r="K702">
        <v>2</v>
      </c>
      <c r="L702">
        <v>2</v>
      </c>
      <c r="M702">
        <v>14</v>
      </c>
      <c r="O702" s="3">
        <f t="shared" si="115"/>
        <v>4.375</v>
      </c>
      <c r="P702">
        <f t="shared" si="106"/>
        <v>1</v>
      </c>
      <c r="Q702">
        <f t="shared" si="107"/>
        <v>0</v>
      </c>
      <c r="S702">
        <f t="shared" si="108"/>
        <v>-5.7422360248447193</v>
      </c>
      <c r="T702">
        <f t="shared" si="109"/>
        <v>-1.5</v>
      </c>
      <c r="U702">
        <f t="shared" si="110"/>
        <v>-6.9565217391304346</v>
      </c>
      <c r="V702">
        <f t="shared" si="111"/>
        <v>-0.8</v>
      </c>
      <c r="W702">
        <f t="shared" si="112"/>
        <v>0</v>
      </c>
      <c r="X702">
        <f t="shared" si="113"/>
        <v>2.8000000000000003</v>
      </c>
      <c r="Y702">
        <f t="shared" si="114"/>
        <v>0.7142857142857143</v>
      </c>
    </row>
    <row r="703" spans="1:25" x14ac:dyDescent="0.2">
      <c r="A703" t="s">
        <v>159</v>
      </c>
      <c r="B703" t="s">
        <v>308</v>
      </c>
      <c r="C703">
        <v>160</v>
      </c>
      <c r="D703" s="2">
        <v>0</v>
      </c>
      <c r="E703">
        <v>5</v>
      </c>
      <c r="F703">
        <v>2</v>
      </c>
      <c r="G703">
        <v>0</v>
      </c>
      <c r="H703">
        <v>15</v>
      </c>
      <c r="I703">
        <v>570</v>
      </c>
      <c r="J703">
        <v>22</v>
      </c>
      <c r="K703">
        <v>1</v>
      </c>
      <c r="L703">
        <v>2</v>
      </c>
      <c r="M703">
        <v>7</v>
      </c>
      <c r="O703" s="3">
        <f t="shared" si="115"/>
        <v>4.375</v>
      </c>
      <c r="P703">
        <f t="shared" si="106"/>
        <v>1</v>
      </c>
      <c r="Q703">
        <f t="shared" si="107"/>
        <v>0</v>
      </c>
      <c r="S703">
        <f t="shared" si="108"/>
        <v>-5.7385093167701866</v>
      </c>
      <c r="T703">
        <f t="shared" si="109"/>
        <v>-0.5</v>
      </c>
      <c r="U703">
        <f t="shared" si="110"/>
        <v>-6.1956521739130439</v>
      </c>
      <c r="V703">
        <f t="shared" si="111"/>
        <v>-0.8</v>
      </c>
      <c r="W703">
        <f t="shared" si="112"/>
        <v>0</v>
      </c>
      <c r="X703">
        <f t="shared" si="113"/>
        <v>1.4000000000000001</v>
      </c>
      <c r="Y703">
        <f t="shared" si="114"/>
        <v>0.35714285714285715</v>
      </c>
    </row>
    <row r="704" spans="1:25" x14ac:dyDescent="0.2">
      <c r="A704" t="s">
        <v>159</v>
      </c>
      <c r="B704" t="s">
        <v>309</v>
      </c>
      <c r="C704">
        <v>160</v>
      </c>
      <c r="D704" s="2">
        <v>0</v>
      </c>
      <c r="E704">
        <v>7</v>
      </c>
      <c r="F704">
        <v>3</v>
      </c>
      <c r="G704">
        <v>0</v>
      </c>
      <c r="H704">
        <v>20</v>
      </c>
      <c r="I704">
        <v>310</v>
      </c>
      <c r="J704">
        <v>17</v>
      </c>
      <c r="K704">
        <v>1</v>
      </c>
      <c r="L704">
        <v>0</v>
      </c>
      <c r="M704">
        <v>7</v>
      </c>
      <c r="O704" s="3">
        <f t="shared" si="115"/>
        <v>4.375</v>
      </c>
      <c r="P704">
        <f t="shared" si="106"/>
        <v>0</v>
      </c>
      <c r="Q704">
        <f t="shared" si="107"/>
        <v>0</v>
      </c>
      <c r="S704">
        <f t="shared" si="108"/>
        <v>-2.3624223602484471</v>
      </c>
      <c r="T704">
        <f t="shared" si="109"/>
        <v>-0.75</v>
      </c>
      <c r="U704">
        <f t="shared" si="110"/>
        <v>-3.3695652173913042</v>
      </c>
      <c r="V704">
        <f t="shared" si="111"/>
        <v>0</v>
      </c>
      <c r="W704">
        <f t="shared" si="112"/>
        <v>0</v>
      </c>
      <c r="X704">
        <f t="shared" si="113"/>
        <v>1.4000000000000001</v>
      </c>
      <c r="Y704">
        <f t="shared" si="114"/>
        <v>0.35714285714285715</v>
      </c>
    </row>
    <row r="705" spans="1:25" x14ac:dyDescent="0.2">
      <c r="A705" t="s">
        <v>159</v>
      </c>
      <c r="B705" t="s">
        <v>310</v>
      </c>
      <c r="C705">
        <v>320</v>
      </c>
      <c r="D705" s="2">
        <v>0</v>
      </c>
      <c r="E705">
        <v>14</v>
      </c>
      <c r="F705">
        <v>6</v>
      </c>
      <c r="G705">
        <v>0</v>
      </c>
      <c r="H705">
        <v>35</v>
      </c>
      <c r="I705">
        <v>630</v>
      </c>
      <c r="J705">
        <v>35</v>
      </c>
      <c r="K705">
        <v>3</v>
      </c>
      <c r="L705">
        <v>2</v>
      </c>
      <c r="M705">
        <v>14</v>
      </c>
      <c r="O705" s="3">
        <f t="shared" si="115"/>
        <v>4.375</v>
      </c>
      <c r="P705">
        <f t="shared" si="106"/>
        <v>1</v>
      </c>
      <c r="Q705">
        <f t="shared" si="107"/>
        <v>0</v>
      </c>
      <c r="S705">
        <f t="shared" si="108"/>
        <v>-5.2763975155279503</v>
      </c>
      <c r="T705">
        <f t="shared" si="109"/>
        <v>-1.5</v>
      </c>
      <c r="U705">
        <f t="shared" si="110"/>
        <v>-6.8478260869565215</v>
      </c>
      <c r="V705">
        <f t="shared" si="111"/>
        <v>-0.8</v>
      </c>
      <c r="W705">
        <f t="shared" si="112"/>
        <v>0</v>
      </c>
      <c r="X705">
        <f t="shared" si="113"/>
        <v>2.8000000000000003</v>
      </c>
      <c r="Y705">
        <f t="shared" si="114"/>
        <v>1.0714285714285714</v>
      </c>
    </row>
    <row r="706" spans="1:25" x14ac:dyDescent="0.2">
      <c r="A706" t="s">
        <v>159</v>
      </c>
      <c r="B706" t="s">
        <v>311</v>
      </c>
      <c r="C706">
        <v>390</v>
      </c>
      <c r="D706" s="2">
        <v>0</v>
      </c>
      <c r="E706">
        <v>20</v>
      </c>
      <c r="F706">
        <v>8</v>
      </c>
      <c r="G706">
        <v>0</v>
      </c>
      <c r="H706">
        <v>40</v>
      </c>
      <c r="I706">
        <v>670</v>
      </c>
      <c r="J706">
        <v>36</v>
      </c>
      <c r="K706">
        <v>2</v>
      </c>
      <c r="L706">
        <v>2</v>
      </c>
      <c r="M706">
        <v>17</v>
      </c>
      <c r="O706" s="3">
        <f t="shared" si="115"/>
        <v>4.3589743589743586</v>
      </c>
      <c r="P706">
        <f t="shared" si="106"/>
        <v>1</v>
      </c>
      <c r="Q706">
        <f t="shared" si="107"/>
        <v>0</v>
      </c>
      <c r="S706">
        <f t="shared" si="108"/>
        <v>-5.9683229813664598</v>
      </c>
      <c r="T706">
        <f t="shared" si="109"/>
        <v>-2</v>
      </c>
      <c r="U706">
        <f t="shared" si="110"/>
        <v>-7.2826086956521738</v>
      </c>
      <c r="V706">
        <f t="shared" si="111"/>
        <v>-0.8</v>
      </c>
      <c r="W706">
        <f t="shared" si="112"/>
        <v>0</v>
      </c>
      <c r="X706">
        <f t="shared" si="113"/>
        <v>3.4000000000000004</v>
      </c>
      <c r="Y706">
        <f t="shared" si="114"/>
        <v>0.7142857142857143</v>
      </c>
    </row>
    <row r="707" spans="1:25" x14ac:dyDescent="0.2">
      <c r="A707" t="s">
        <v>159</v>
      </c>
      <c r="B707" t="s">
        <v>312</v>
      </c>
      <c r="C707">
        <v>390</v>
      </c>
      <c r="D707" s="2">
        <v>0</v>
      </c>
      <c r="E707">
        <v>21</v>
      </c>
      <c r="F707">
        <v>8</v>
      </c>
      <c r="G707">
        <v>0</v>
      </c>
      <c r="H707">
        <v>45</v>
      </c>
      <c r="I707">
        <v>830</v>
      </c>
      <c r="J707">
        <v>34</v>
      </c>
      <c r="K707">
        <v>3</v>
      </c>
      <c r="L707">
        <v>2</v>
      </c>
      <c r="M707">
        <v>17</v>
      </c>
      <c r="O707" s="3">
        <f t="shared" si="115"/>
        <v>4.3589743589743586</v>
      </c>
      <c r="P707">
        <f t="shared" si="106"/>
        <v>1</v>
      </c>
      <c r="Q707">
        <f t="shared" si="107"/>
        <v>0</v>
      </c>
      <c r="S707">
        <f t="shared" si="108"/>
        <v>-7.3503105590062123</v>
      </c>
      <c r="T707">
        <f t="shared" si="109"/>
        <v>-2</v>
      </c>
      <c r="U707">
        <f t="shared" si="110"/>
        <v>-9.0217391304347831</v>
      </c>
      <c r="V707">
        <f t="shared" si="111"/>
        <v>-0.8</v>
      </c>
      <c r="W707">
        <f t="shared" si="112"/>
        <v>0</v>
      </c>
      <c r="X707">
        <f t="shared" si="113"/>
        <v>3.4000000000000004</v>
      </c>
      <c r="Y707">
        <f t="shared" si="114"/>
        <v>1.0714285714285714</v>
      </c>
    </row>
    <row r="708" spans="1:25" x14ac:dyDescent="0.2">
      <c r="A708" t="s">
        <v>159</v>
      </c>
      <c r="B708" t="s">
        <v>314</v>
      </c>
      <c r="C708">
        <v>300</v>
      </c>
      <c r="D708" s="2">
        <v>0</v>
      </c>
      <c r="E708">
        <v>15</v>
      </c>
      <c r="F708">
        <v>6</v>
      </c>
      <c r="G708">
        <v>0</v>
      </c>
      <c r="H708">
        <v>35</v>
      </c>
      <c r="I708">
        <v>580</v>
      </c>
      <c r="J708">
        <v>28</v>
      </c>
      <c r="K708">
        <v>2</v>
      </c>
      <c r="L708">
        <v>1</v>
      </c>
      <c r="M708">
        <v>13</v>
      </c>
      <c r="O708" s="3">
        <f t="shared" si="115"/>
        <v>4.3333333333333339</v>
      </c>
      <c r="P708">
        <f t="shared" ref="P708:P771" si="116">IF(I708&gt;2300*0.2,1,0)</f>
        <v>1</v>
      </c>
      <c r="Q708">
        <f t="shared" ref="Q708:Q771" si="117">IF(H708&gt;300,1,0)</f>
        <v>0</v>
      </c>
      <c r="S708">
        <f t="shared" ref="S708:S771" si="118">T708+U708+V708+W708+X708+Y708</f>
        <v>-4.8900621118012415</v>
      </c>
      <c r="T708">
        <f t="shared" ref="T708:T771" si="119">$T$1*F708</f>
        <v>-1.5</v>
      </c>
      <c r="U708">
        <f t="shared" ref="U708:U771" si="120">($U$1*(I708/2300))*100</f>
        <v>-6.3043478260869561</v>
      </c>
      <c r="V708">
        <f t="shared" ref="V708:V771" si="121">((L708/50)*$V$1)*100</f>
        <v>-0.4</v>
      </c>
      <c r="W708">
        <f t="shared" ref="W708:W771" si="122">(G708/100)*$W$1</f>
        <v>0</v>
      </c>
      <c r="X708">
        <f t="shared" ref="X708:X771" si="123">($X$1*(M708/50))*100</f>
        <v>2.6</v>
      </c>
      <c r="Y708">
        <f t="shared" ref="Y708:Y771" si="124">($Y$1*(K708/28))*100</f>
        <v>0.7142857142857143</v>
      </c>
    </row>
    <row r="709" spans="1:25" x14ac:dyDescent="0.2">
      <c r="A709" t="s">
        <v>159</v>
      </c>
      <c r="B709" t="s">
        <v>315</v>
      </c>
      <c r="C709">
        <v>300</v>
      </c>
      <c r="D709" s="2">
        <v>0</v>
      </c>
      <c r="E709">
        <v>13</v>
      </c>
      <c r="F709">
        <v>6</v>
      </c>
      <c r="G709">
        <v>0</v>
      </c>
      <c r="H709">
        <v>30</v>
      </c>
      <c r="I709">
        <v>590</v>
      </c>
      <c r="J709">
        <v>34</v>
      </c>
      <c r="K709">
        <v>3</v>
      </c>
      <c r="L709">
        <v>2</v>
      </c>
      <c r="M709">
        <v>13</v>
      </c>
      <c r="O709" s="3">
        <f t="shared" si="115"/>
        <v>4.3333333333333339</v>
      </c>
      <c r="P709">
        <f t="shared" si="116"/>
        <v>1</v>
      </c>
      <c r="Q709">
        <f t="shared" si="117"/>
        <v>0</v>
      </c>
      <c r="S709">
        <f t="shared" si="118"/>
        <v>-5.0416149068322991</v>
      </c>
      <c r="T709">
        <f t="shared" si="119"/>
        <v>-1.5</v>
      </c>
      <c r="U709">
        <f t="shared" si="120"/>
        <v>-6.4130434782608701</v>
      </c>
      <c r="V709">
        <f t="shared" si="121"/>
        <v>-0.8</v>
      </c>
      <c r="W709">
        <f t="shared" si="122"/>
        <v>0</v>
      </c>
      <c r="X709">
        <f t="shared" si="123"/>
        <v>2.6</v>
      </c>
      <c r="Y709">
        <f t="shared" si="124"/>
        <v>1.0714285714285714</v>
      </c>
    </row>
    <row r="710" spans="1:25" x14ac:dyDescent="0.2">
      <c r="A710" t="s">
        <v>159</v>
      </c>
      <c r="B710" t="s">
        <v>318</v>
      </c>
      <c r="C710">
        <v>440</v>
      </c>
      <c r="D710" s="2">
        <v>0</v>
      </c>
      <c r="E710">
        <v>24</v>
      </c>
      <c r="F710">
        <v>9</v>
      </c>
      <c r="G710">
        <v>0.5</v>
      </c>
      <c r="H710">
        <v>50</v>
      </c>
      <c r="I710">
        <v>850</v>
      </c>
      <c r="J710">
        <v>37</v>
      </c>
      <c r="K710">
        <v>3</v>
      </c>
      <c r="L710">
        <v>2</v>
      </c>
      <c r="M710">
        <v>19</v>
      </c>
      <c r="O710" s="3">
        <f t="shared" si="115"/>
        <v>4.3181818181818183</v>
      </c>
      <c r="P710">
        <f t="shared" si="116"/>
        <v>1</v>
      </c>
      <c r="Q710">
        <f t="shared" si="117"/>
        <v>0</v>
      </c>
      <c r="S710">
        <f t="shared" si="118"/>
        <v>-7.418201863354037</v>
      </c>
      <c r="T710">
        <f t="shared" si="119"/>
        <v>-2.25</v>
      </c>
      <c r="U710">
        <f t="shared" si="120"/>
        <v>-9.2391304347826075</v>
      </c>
      <c r="V710">
        <f t="shared" si="121"/>
        <v>-0.8</v>
      </c>
      <c r="W710">
        <f t="shared" si="122"/>
        <v>-5.0000000000000001E-4</v>
      </c>
      <c r="X710">
        <f t="shared" si="123"/>
        <v>3.8000000000000007</v>
      </c>
      <c r="Y710">
        <f t="shared" si="124"/>
        <v>1.0714285714285714</v>
      </c>
    </row>
    <row r="711" spans="1:25" x14ac:dyDescent="0.2">
      <c r="A711" t="s">
        <v>159</v>
      </c>
      <c r="B711" t="s">
        <v>323</v>
      </c>
      <c r="C711">
        <v>350</v>
      </c>
      <c r="D711" s="2">
        <v>0</v>
      </c>
      <c r="E711">
        <v>14</v>
      </c>
      <c r="F711">
        <v>5</v>
      </c>
      <c r="G711">
        <v>0</v>
      </c>
      <c r="H711">
        <v>30</v>
      </c>
      <c r="I711">
        <v>850</v>
      </c>
      <c r="J711">
        <v>40</v>
      </c>
      <c r="K711">
        <v>2</v>
      </c>
      <c r="L711">
        <v>2</v>
      </c>
      <c r="M711">
        <v>15</v>
      </c>
      <c r="O711" s="3">
        <f t="shared" si="115"/>
        <v>4.2857142857142856</v>
      </c>
      <c r="P711">
        <f t="shared" si="116"/>
        <v>1</v>
      </c>
      <c r="Q711">
        <f t="shared" si="117"/>
        <v>0</v>
      </c>
      <c r="S711">
        <f t="shared" si="118"/>
        <v>-7.5748447204968938</v>
      </c>
      <c r="T711">
        <f t="shared" si="119"/>
        <v>-1.25</v>
      </c>
      <c r="U711">
        <f t="shared" si="120"/>
        <v>-9.2391304347826075</v>
      </c>
      <c r="V711">
        <f t="shared" si="121"/>
        <v>-0.8</v>
      </c>
      <c r="W711">
        <f t="shared" si="122"/>
        <v>0</v>
      </c>
      <c r="X711">
        <f t="shared" si="123"/>
        <v>3</v>
      </c>
      <c r="Y711">
        <f t="shared" si="124"/>
        <v>0.7142857142857143</v>
      </c>
    </row>
    <row r="712" spans="1:25" x14ac:dyDescent="0.2">
      <c r="A712" t="s">
        <v>159</v>
      </c>
      <c r="B712" t="s">
        <v>324</v>
      </c>
      <c r="C712">
        <v>210</v>
      </c>
      <c r="D712" s="2">
        <v>0</v>
      </c>
      <c r="E712">
        <v>12</v>
      </c>
      <c r="F712">
        <v>4.5</v>
      </c>
      <c r="G712">
        <v>0</v>
      </c>
      <c r="H712">
        <v>25</v>
      </c>
      <c r="I712">
        <v>460</v>
      </c>
      <c r="J712">
        <v>18</v>
      </c>
      <c r="K712">
        <v>1</v>
      </c>
      <c r="L712">
        <v>2</v>
      </c>
      <c r="M712">
        <v>9</v>
      </c>
      <c r="O712" s="3">
        <f t="shared" si="115"/>
        <v>4.2857142857142856</v>
      </c>
      <c r="P712">
        <f t="shared" si="116"/>
        <v>0</v>
      </c>
      <c r="Q712">
        <f t="shared" si="117"/>
        <v>0</v>
      </c>
      <c r="S712">
        <f t="shared" si="118"/>
        <v>-4.7678571428571432</v>
      </c>
      <c r="T712">
        <f t="shared" si="119"/>
        <v>-1.125</v>
      </c>
      <c r="U712">
        <f t="shared" si="120"/>
        <v>-5</v>
      </c>
      <c r="V712">
        <f t="shared" si="121"/>
        <v>-0.8</v>
      </c>
      <c r="W712">
        <f t="shared" si="122"/>
        <v>0</v>
      </c>
      <c r="X712">
        <f t="shared" si="123"/>
        <v>1.7999999999999998</v>
      </c>
      <c r="Y712">
        <f t="shared" si="124"/>
        <v>0.35714285714285715</v>
      </c>
    </row>
    <row r="713" spans="1:25" x14ac:dyDescent="0.2">
      <c r="A713" t="s">
        <v>159</v>
      </c>
      <c r="B713" t="s">
        <v>325</v>
      </c>
      <c r="C713">
        <v>140</v>
      </c>
      <c r="D713" s="2">
        <v>0</v>
      </c>
      <c r="E713">
        <v>5</v>
      </c>
      <c r="F713">
        <v>2</v>
      </c>
      <c r="G713">
        <v>0</v>
      </c>
      <c r="H713">
        <v>10</v>
      </c>
      <c r="I713">
        <v>290</v>
      </c>
      <c r="J713">
        <v>18</v>
      </c>
      <c r="K713">
        <v>1</v>
      </c>
      <c r="L713">
        <v>2</v>
      </c>
      <c r="M713">
        <v>6</v>
      </c>
      <c r="O713" s="3">
        <f t="shared" si="115"/>
        <v>4.2857142857142856</v>
      </c>
      <c r="P713">
        <f t="shared" si="116"/>
        <v>0</v>
      </c>
      <c r="Q713">
        <f t="shared" si="117"/>
        <v>0</v>
      </c>
      <c r="S713">
        <f t="shared" si="118"/>
        <v>-2.8950310559006209</v>
      </c>
      <c r="T713">
        <f t="shared" si="119"/>
        <v>-0.5</v>
      </c>
      <c r="U713">
        <f t="shared" si="120"/>
        <v>-3.152173913043478</v>
      </c>
      <c r="V713">
        <f t="shared" si="121"/>
        <v>-0.8</v>
      </c>
      <c r="W713">
        <f t="shared" si="122"/>
        <v>0</v>
      </c>
      <c r="X713">
        <f t="shared" si="123"/>
        <v>1.2</v>
      </c>
      <c r="Y713">
        <f t="shared" si="124"/>
        <v>0.35714285714285715</v>
      </c>
    </row>
    <row r="714" spans="1:25" x14ac:dyDescent="0.2">
      <c r="A714" t="s">
        <v>159</v>
      </c>
      <c r="B714" t="s">
        <v>326</v>
      </c>
      <c r="C714">
        <v>140</v>
      </c>
      <c r="D714" s="2">
        <v>0</v>
      </c>
      <c r="E714">
        <v>4</v>
      </c>
      <c r="F714">
        <v>2</v>
      </c>
      <c r="G714">
        <v>0</v>
      </c>
      <c r="H714">
        <v>15</v>
      </c>
      <c r="I714">
        <v>250</v>
      </c>
      <c r="J714">
        <v>20</v>
      </c>
      <c r="K714">
        <v>1</v>
      </c>
      <c r="L714">
        <v>4</v>
      </c>
      <c r="M714">
        <v>6</v>
      </c>
      <c r="O714" s="3">
        <f t="shared" si="115"/>
        <v>4.2857142857142856</v>
      </c>
      <c r="P714">
        <f t="shared" si="116"/>
        <v>0</v>
      </c>
      <c r="Q714">
        <f t="shared" si="117"/>
        <v>0</v>
      </c>
      <c r="S714">
        <f t="shared" si="118"/>
        <v>-3.2602484472049684</v>
      </c>
      <c r="T714">
        <f t="shared" si="119"/>
        <v>-0.5</v>
      </c>
      <c r="U714">
        <f t="shared" si="120"/>
        <v>-2.7173913043478262</v>
      </c>
      <c r="V714">
        <f t="shared" si="121"/>
        <v>-1.6</v>
      </c>
      <c r="W714">
        <f t="shared" si="122"/>
        <v>0</v>
      </c>
      <c r="X714">
        <f t="shared" si="123"/>
        <v>1.2</v>
      </c>
      <c r="Y714">
        <f t="shared" si="124"/>
        <v>0.35714285714285715</v>
      </c>
    </row>
    <row r="715" spans="1:25" x14ac:dyDescent="0.2">
      <c r="A715" t="s">
        <v>159</v>
      </c>
      <c r="B715" t="s">
        <v>327</v>
      </c>
      <c r="C715">
        <v>280</v>
      </c>
      <c r="D715" s="2">
        <v>0</v>
      </c>
      <c r="E715">
        <v>10</v>
      </c>
      <c r="F715">
        <v>5</v>
      </c>
      <c r="G715">
        <v>0</v>
      </c>
      <c r="H715">
        <v>20</v>
      </c>
      <c r="I715">
        <v>560</v>
      </c>
      <c r="J715">
        <v>35</v>
      </c>
      <c r="K715">
        <v>3</v>
      </c>
      <c r="L715">
        <v>2</v>
      </c>
      <c r="M715">
        <v>12</v>
      </c>
      <c r="O715" s="3">
        <f t="shared" si="115"/>
        <v>4.2857142857142856</v>
      </c>
      <c r="P715">
        <f t="shared" si="116"/>
        <v>1</v>
      </c>
      <c r="Q715">
        <f t="shared" si="117"/>
        <v>0</v>
      </c>
      <c r="S715">
        <f t="shared" si="118"/>
        <v>-4.66552795031056</v>
      </c>
      <c r="T715">
        <f t="shared" si="119"/>
        <v>-1.25</v>
      </c>
      <c r="U715">
        <f t="shared" si="120"/>
        <v>-6.0869565217391308</v>
      </c>
      <c r="V715">
        <f t="shared" si="121"/>
        <v>-0.8</v>
      </c>
      <c r="W715">
        <f t="shared" si="122"/>
        <v>0</v>
      </c>
      <c r="X715">
        <f t="shared" si="123"/>
        <v>2.4</v>
      </c>
      <c r="Y715">
        <f t="shared" si="124"/>
        <v>1.0714285714285714</v>
      </c>
    </row>
    <row r="716" spans="1:25" x14ac:dyDescent="0.2">
      <c r="A716" t="s">
        <v>159</v>
      </c>
      <c r="B716" t="s">
        <v>334</v>
      </c>
      <c r="C716">
        <v>330</v>
      </c>
      <c r="D716" s="2">
        <v>0</v>
      </c>
      <c r="E716">
        <v>17</v>
      </c>
      <c r="F716">
        <v>7</v>
      </c>
      <c r="G716">
        <v>0</v>
      </c>
      <c r="H716">
        <v>40</v>
      </c>
      <c r="I716">
        <v>720</v>
      </c>
      <c r="J716">
        <v>30</v>
      </c>
      <c r="K716">
        <v>2</v>
      </c>
      <c r="L716">
        <v>2</v>
      </c>
      <c r="M716">
        <v>14</v>
      </c>
      <c r="O716" s="3">
        <f t="shared" si="115"/>
        <v>4.2424242424242431</v>
      </c>
      <c r="P716">
        <f t="shared" si="116"/>
        <v>1</v>
      </c>
      <c r="Q716">
        <f t="shared" si="117"/>
        <v>0</v>
      </c>
      <c r="S716">
        <f t="shared" si="118"/>
        <v>-6.8618012422360257</v>
      </c>
      <c r="T716">
        <f t="shared" si="119"/>
        <v>-1.75</v>
      </c>
      <c r="U716">
        <f t="shared" si="120"/>
        <v>-7.8260869565217401</v>
      </c>
      <c r="V716">
        <f t="shared" si="121"/>
        <v>-0.8</v>
      </c>
      <c r="W716">
        <f t="shared" si="122"/>
        <v>0</v>
      </c>
      <c r="X716">
        <f t="shared" si="123"/>
        <v>2.8000000000000003</v>
      </c>
      <c r="Y716">
        <f t="shared" si="124"/>
        <v>0.7142857142857143</v>
      </c>
    </row>
    <row r="717" spans="1:25" x14ac:dyDescent="0.2">
      <c r="A717" t="s">
        <v>159</v>
      </c>
      <c r="B717" t="s">
        <v>335</v>
      </c>
      <c r="C717">
        <v>330</v>
      </c>
      <c r="D717" s="2">
        <v>0</v>
      </c>
      <c r="E717">
        <v>15</v>
      </c>
      <c r="F717">
        <v>5</v>
      </c>
      <c r="G717">
        <v>0</v>
      </c>
      <c r="H717">
        <v>25</v>
      </c>
      <c r="I717">
        <v>620</v>
      </c>
      <c r="J717">
        <v>38</v>
      </c>
      <c r="K717">
        <v>3</v>
      </c>
      <c r="L717">
        <v>3</v>
      </c>
      <c r="M717">
        <v>14</v>
      </c>
      <c r="O717" s="3">
        <f t="shared" si="115"/>
        <v>4.2424242424242431</v>
      </c>
      <c r="P717">
        <f t="shared" si="116"/>
        <v>1</v>
      </c>
      <c r="Q717">
        <f t="shared" si="117"/>
        <v>0</v>
      </c>
      <c r="S717">
        <f t="shared" si="118"/>
        <v>-5.3177018633540367</v>
      </c>
      <c r="T717">
        <f t="shared" si="119"/>
        <v>-1.25</v>
      </c>
      <c r="U717">
        <f t="shared" si="120"/>
        <v>-6.7391304347826084</v>
      </c>
      <c r="V717">
        <f t="shared" si="121"/>
        <v>-1.2</v>
      </c>
      <c r="W717">
        <f t="shared" si="122"/>
        <v>0</v>
      </c>
      <c r="X717">
        <f t="shared" si="123"/>
        <v>2.8000000000000003</v>
      </c>
      <c r="Y717">
        <f t="shared" si="124"/>
        <v>1.0714285714285714</v>
      </c>
    </row>
    <row r="718" spans="1:25" x14ac:dyDescent="0.2">
      <c r="A718" t="s">
        <v>159</v>
      </c>
      <c r="B718" t="s">
        <v>336</v>
      </c>
      <c r="C718">
        <v>260</v>
      </c>
      <c r="D718" s="2">
        <v>0</v>
      </c>
      <c r="E718">
        <v>9</v>
      </c>
      <c r="F718">
        <v>4</v>
      </c>
      <c r="G718">
        <v>0</v>
      </c>
      <c r="H718">
        <v>20</v>
      </c>
      <c r="I718">
        <v>510</v>
      </c>
      <c r="J718">
        <v>36</v>
      </c>
      <c r="K718">
        <v>3</v>
      </c>
      <c r="L718">
        <v>3</v>
      </c>
      <c r="M718">
        <v>11</v>
      </c>
      <c r="O718" s="3">
        <f t="shared" si="115"/>
        <v>4.2307692307692308</v>
      </c>
      <c r="P718">
        <f t="shared" si="116"/>
        <v>1</v>
      </c>
      <c r="Q718">
        <f t="shared" si="117"/>
        <v>0</v>
      </c>
      <c r="S718">
        <f t="shared" si="118"/>
        <v>-4.4720496894409942</v>
      </c>
      <c r="T718">
        <f t="shared" si="119"/>
        <v>-1</v>
      </c>
      <c r="U718">
        <f t="shared" si="120"/>
        <v>-5.5434782608695654</v>
      </c>
      <c r="V718">
        <f t="shared" si="121"/>
        <v>-1.2</v>
      </c>
      <c r="W718">
        <f t="shared" si="122"/>
        <v>0</v>
      </c>
      <c r="X718">
        <f t="shared" si="123"/>
        <v>2.2000000000000002</v>
      </c>
      <c r="Y718">
        <f t="shared" si="124"/>
        <v>1.0714285714285714</v>
      </c>
    </row>
    <row r="719" spans="1:25" x14ac:dyDescent="0.2">
      <c r="A719" t="s">
        <v>159</v>
      </c>
      <c r="B719" t="s">
        <v>340</v>
      </c>
      <c r="C719">
        <v>380</v>
      </c>
      <c r="D719" s="2">
        <v>0</v>
      </c>
      <c r="E719">
        <v>16</v>
      </c>
      <c r="F719">
        <v>6</v>
      </c>
      <c r="G719">
        <v>0</v>
      </c>
      <c r="H719">
        <v>35</v>
      </c>
      <c r="I719">
        <v>650</v>
      </c>
      <c r="J719">
        <v>43</v>
      </c>
      <c r="K719">
        <v>2</v>
      </c>
      <c r="L719">
        <v>7</v>
      </c>
      <c r="M719">
        <v>16</v>
      </c>
      <c r="O719" s="3">
        <f t="shared" si="115"/>
        <v>4.2105263157894735</v>
      </c>
      <c r="P719">
        <f t="shared" si="116"/>
        <v>1</v>
      </c>
      <c r="Q719">
        <f t="shared" si="117"/>
        <v>0</v>
      </c>
      <c r="S719">
        <f t="shared" si="118"/>
        <v>-7.4509316770186347</v>
      </c>
      <c r="T719">
        <f t="shared" si="119"/>
        <v>-1.5</v>
      </c>
      <c r="U719">
        <f t="shared" si="120"/>
        <v>-7.0652173913043477</v>
      </c>
      <c r="V719">
        <f t="shared" si="121"/>
        <v>-2.8000000000000003</v>
      </c>
      <c r="W719">
        <f t="shared" si="122"/>
        <v>0</v>
      </c>
      <c r="X719">
        <f t="shared" si="123"/>
        <v>3.2</v>
      </c>
      <c r="Y719">
        <f t="shared" si="124"/>
        <v>0.7142857142857143</v>
      </c>
    </row>
    <row r="720" spans="1:25" x14ac:dyDescent="0.2">
      <c r="A720" t="s">
        <v>159</v>
      </c>
      <c r="B720" t="s">
        <v>342</v>
      </c>
      <c r="C720">
        <v>240</v>
      </c>
      <c r="D720" s="2">
        <v>0</v>
      </c>
      <c r="E720">
        <v>10</v>
      </c>
      <c r="F720">
        <v>4.5</v>
      </c>
      <c r="G720">
        <v>0</v>
      </c>
      <c r="H720">
        <v>15</v>
      </c>
      <c r="I720">
        <v>470</v>
      </c>
      <c r="J720">
        <v>29</v>
      </c>
      <c r="K720">
        <v>2</v>
      </c>
      <c r="L720">
        <v>1</v>
      </c>
      <c r="M720">
        <v>10</v>
      </c>
      <c r="O720" s="3">
        <f t="shared" si="115"/>
        <v>4.1666666666666661</v>
      </c>
      <c r="P720">
        <f t="shared" si="116"/>
        <v>1</v>
      </c>
      <c r="Q720">
        <f t="shared" si="117"/>
        <v>0</v>
      </c>
      <c r="S720">
        <f t="shared" si="118"/>
        <v>-3.9194099378881981</v>
      </c>
      <c r="T720">
        <f t="shared" si="119"/>
        <v>-1.125</v>
      </c>
      <c r="U720">
        <f t="shared" si="120"/>
        <v>-5.1086956521739131</v>
      </c>
      <c r="V720">
        <f t="shared" si="121"/>
        <v>-0.4</v>
      </c>
      <c r="W720">
        <f t="shared" si="122"/>
        <v>0</v>
      </c>
      <c r="X720">
        <f t="shared" si="123"/>
        <v>2.0000000000000004</v>
      </c>
      <c r="Y720">
        <f t="shared" si="124"/>
        <v>0.7142857142857143</v>
      </c>
    </row>
    <row r="721" spans="1:25" x14ac:dyDescent="0.2">
      <c r="A721" t="s">
        <v>159</v>
      </c>
      <c r="B721" t="s">
        <v>343</v>
      </c>
      <c r="C721">
        <v>240</v>
      </c>
      <c r="D721" s="2">
        <v>0</v>
      </c>
      <c r="E721">
        <v>10</v>
      </c>
      <c r="F721">
        <v>4</v>
      </c>
      <c r="G721">
        <v>0</v>
      </c>
      <c r="H721">
        <v>25</v>
      </c>
      <c r="I721">
        <v>450</v>
      </c>
      <c r="J721">
        <v>26</v>
      </c>
      <c r="K721">
        <v>2</v>
      </c>
      <c r="L721">
        <v>2</v>
      </c>
      <c r="M721">
        <v>10</v>
      </c>
      <c r="O721" s="3">
        <f t="shared" si="115"/>
        <v>4.1666666666666661</v>
      </c>
      <c r="P721">
        <f t="shared" si="116"/>
        <v>0</v>
      </c>
      <c r="Q721">
        <f t="shared" si="117"/>
        <v>0</v>
      </c>
      <c r="S721">
        <f t="shared" si="118"/>
        <v>-3.9770186335403723</v>
      </c>
      <c r="T721">
        <f t="shared" si="119"/>
        <v>-1</v>
      </c>
      <c r="U721">
        <f t="shared" si="120"/>
        <v>-4.8913043478260869</v>
      </c>
      <c r="V721">
        <f t="shared" si="121"/>
        <v>-0.8</v>
      </c>
      <c r="W721">
        <f t="shared" si="122"/>
        <v>0</v>
      </c>
      <c r="X721">
        <f t="shared" si="123"/>
        <v>2.0000000000000004</v>
      </c>
      <c r="Y721">
        <f t="shared" si="124"/>
        <v>0.7142857142857143</v>
      </c>
    </row>
    <row r="722" spans="1:25" x14ac:dyDescent="0.2">
      <c r="A722" t="s">
        <v>159</v>
      </c>
      <c r="B722" t="s">
        <v>344</v>
      </c>
      <c r="C722">
        <v>120</v>
      </c>
      <c r="D722" s="2">
        <v>0</v>
      </c>
      <c r="E722">
        <v>4</v>
      </c>
      <c r="F722">
        <v>1.5</v>
      </c>
      <c r="G722">
        <v>0</v>
      </c>
      <c r="H722">
        <v>10</v>
      </c>
      <c r="I722">
        <v>230</v>
      </c>
      <c r="J722">
        <v>17</v>
      </c>
      <c r="K722">
        <v>1</v>
      </c>
      <c r="L722">
        <v>1</v>
      </c>
      <c r="M722">
        <v>5</v>
      </c>
      <c r="O722" s="3">
        <f t="shared" si="115"/>
        <v>4.1666666666666661</v>
      </c>
      <c r="P722">
        <f t="shared" si="116"/>
        <v>0</v>
      </c>
      <c r="Q722">
        <f t="shared" si="117"/>
        <v>0</v>
      </c>
      <c r="S722">
        <f t="shared" si="118"/>
        <v>-1.9178571428571423</v>
      </c>
      <c r="T722">
        <f t="shared" si="119"/>
        <v>-0.375</v>
      </c>
      <c r="U722">
        <f t="shared" si="120"/>
        <v>-2.5</v>
      </c>
      <c r="V722">
        <f t="shared" si="121"/>
        <v>-0.4</v>
      </c>
      <c r="W722">
        <f t="shared" si="122"/>
        <v>0</v>
      </c>
      <c r="X722">
        <f t="shared" si="123"/>
        <v>1.0000000000000002</v>
      </c>
      <c r="Y722">
        <f t="shared" si="124"/>
        <v>0.35714285714285715</v>
      </c>
    </row>
    <row r="723" spans="1:25" x14ac:dyDescent="0.2">
      <c r="A723" t="s">
        <v>159</v>
      </c>
      <c r="B723" t="s">
        <v>346</v>
      </c>
      <c r="C723">
        <v>290</v>
      </c>
      <c r="D723" s="2">
        <v>0</v>
      </c>
      <c r="E723">
        <v>15</v>
      </c>
      <c r="F723">
        <v>6</v>
      </c>
      <c r="G723">
        <v>0</v>
      </c>
      <c r="H723">
        <v>30</v>
      </c>
      <c r="I723">
        <v>590</v>
      </c>
      <c r="J723">
        <v>26</v>
      </c>
      <c r="K723">
        <v>2</v>
      </c>
      <c r="L723">
        <v>1</v>
      </c>
      <c r="M723">
        <v>12</v>
      </c>
      <c r="O723" s="3">
        <f t="shared" si="115"/>
        <v>4.1379310344827589</v>
      </c>
      <c r="P723">
        <f t="shared" si="116"/>
        <v>1</v>
      </c>
      <c r="Q723">
        <f t="shared" si="117"/>
        <v>0</v>
      </c>
      <c r="S723">
        <f t="shared" si="118"/>
        <v>-5.1987577639751548</v>
      </c>
      <c r="T723">
        <f t="shared" si="119"/>
        <v>-1.5</v>
      </c>
      <c r="U723">
        <f t="shared" si="120"/>
        <v>-6.4130434782608701</v>
      </c>
      <c r="V723">
        <f t="shared" si="121"/>
        <v>-0.4</v>
      </c>
      <c r="W723">
        <f t="shared" si="122"/>
        <v>0</v>
      </c>
      <c r="X723">
        <f t="shared" si="123"/>
        <v>2.4</v>
      </c>
      <c r="Y723">
        <f t="shared" si="124"/>
        <v>0.7142857142857143</v>
      </c>
    </row>
    <row r="724" spans="1:25" x14ac:dyDescent="0.2">
      <c r="A724" t="s">
        <v>159</v>
      </c>
      <c r="B724" t="s">
        <v>351</v>
      </c>
      <c r="C724">
        <v>170</v>
      </c>
      <c r="D724" s="2">
        <v>0</v>
      </c>
      <c r="E724">
        <v>8</v>
      </c>
      <c r="F724">
        <v>3</v>
      </c>
      <c r="G724">
        <v>0</v>
      </c>
      <c r="H724">
        <v>15</v>
      </c>
      <c r="I724">
        <v>360</v>
      </c>
      <c r="J724">
        <v>18</v>
      </c>
      <c r="K724">
        <v>1</v>
      </c>
      <c r="L724">
        <v>2</v>
      </c>
      <c r="M724">
        <v>7</v>
      </c>
      <c r="O724" s="3">
        <f t="shared" si="115"/>
        <v>4.117647058823529</v>
      </c>
      <c r="P724">
        <f t="shared" si="116"/>
        <v>0</v>
      </c>
      <c r="Q724">
        <f t="shared" si="117"/>
        <v>0</v>
      </c>
      <c r="S724">
        <f t="shared" si="118"/>
        <v>-3.7059006211180123</v>
      </c>
      <c r="T724">
        <f t="shared" si="119"/>
        <v>-0.75</v>
      </c>
      <c r="U724">
        <f t="shared" si="120"/>
        <v>-3.9130434782608701</v>
      </c>
      <c r="V724">
        <f t="shared" si="121"/>
        <v>-0.8</v>
      </c>
      <c r="W724">
        <f t="shared" si="122"/>
        <v>0</v>
      </c>
      <c r="X724">
        <f t="shared" si="123"/>
        <v>1.4000000000000001</v>
      </c>
      <c r="Y724">
        <f t="shared" si="124"/>
        <v>0.35714285714285715</v>
      </c>
    </row>
    <row r="725" spans="1:25" x14ac:dyDescent="0.2">
      <c r="A725" t="s">
        <v>159</v>
      </c>
      <c r="B725" t="s">
        <v>355</v>
      </c>
      <c r="C725">
        <v>390</v>
      </c>
      <c r="D725" s="2">
        <v>0</v>
      </c>
      <c r="E725">
        <v>20</v>
      </c>
      <c r="F725">
        <v>7</v>
      </c>
      <c r="G725">
        <v>0</v>
      </c>
      <c r="H725">
        <v>40</v>
      </c>
      <c r="I725">
        <v>740</v>
      </c>
      <c r="J725">
        <v>37</v>
      </c>
      <c r="K725">
        <v>2</v>
      </c>
      <c r="L725">
        <v>2</v>
      </c>
      <c r="M725">
        <v>16</v>
      </c>
      <c r="O725" s="3">
        <f t="shared" si="115"/>
        <v>4.1025641025641022</v>
      </c>
      <c r="P725">
        <f t="shared" si="116"/>
        <v>1</v>
      </c>
      <c r="Q725">
        <f t="shared" si="117"/>
        <v>0</v>
      </c>
      <c r="S725">
        <f t="shared" si="118"/>
        <v>-6.6791925465838506</v>
      </c>
      <c r="T725">
        <f t="shared" si="119"/>
        <v>-1.75</v>
      </c>
      <c r="U725">
        <f t="shared" si="120"/>
        <v>-8.0434782608695645</v>
      </c>
      <c r="V725">
        <f t="shared" si="121"/>
        <v>-0.8</v>
      </c>
      <c r="W725">
        <f t="shared" si="122"/>
        <v>0</v>
      </c>
      <c r="X725">
        <f t="shared" si="123"/>
        <v>3.2</v>
      </c>
      <c r="Y725">
        <f t="shared" si="124"/>
        <v>0.7142857142857143</v>
      </c>
    </row>
    <row r="726" spans="1:25" x14ac:dyDescent="0.2">
      <c r="A726" t="s">
        <v>159</v>
      </c>
      <c r="B726" t="s">
        <v>359</v>
      </c>
      <c r="C726">
        <v>220</v>
      </c>
      <c r="D726" s="2">
        <v>0</v>
      </c>
      <c r="E726">
        <v>9</v>
      </c>
      <c r="F726">
        <v>4</v>
      </c>
      <c r="G726">
        <v>0</v>
      </c>
      <c r="H726">
        <v>20</v>
      </c>
      <c r="I726">
        <v>420</v>
      </c>
      <c r="J726">
        <v>25</v>
      </c>
      <c r="K726">
        <v>2</v>
      </c>
      <c r="L726">
        <v>1</v>
      </c>
      <c r="M726">
        <v>9</v>
      </c>
      <c r="O726" s="3">
        <f t="shared" si="115"/>
        <v>4.0909090909090908</v>
      </c>
      <c r="P726">
        <f t="shared" si="116"/>
        <v>0</v>
      </c>
      <c r="Q726">
        <f t="shared" si="117"/>
        <v>0</v>
      </c>
      <c r="S726">
        <f t="shared" si="118"/>
        <v>-3.4509316770186338</v>
      </c>
      <c r="T726">
        <f t="shared" si="119"/>
        <v>-1</v>
      </c>
      <c r="U726">
        <f t="shared" si="120"/>
        <v>-4.5652173913043477</v>
      </c>
      <c r="V726">
        <f t="shared" si="121"/>
        <v>-0.4</v>
      </c>
      <c r="W726">
        <f t="shared" si="122"/>
        <v>0</v>
      </c>
      <c r="X726">
        <f t="shared" si="123"/>
        <v>1.7999999999999998</v>
      </c>
      <c r="Y726">
        <f t="shared" si="124"/>
        <v>0.7142857142857143</v>
      </c>
    </row>
    <row r="727" spans="1:25" x14ac:dyDescent="0.2">
      <c r="A727" t="s">
        <v>159</v>
      </c>
      <c r="B727" t="s">
        <v>362</v>
      </c>
      <c r="C727">
        <v>270</v>
      </c>
      <c r="D727" s="2">
        <v>0</v>
      </c>
      <c r="E727">
        <v>10</v>
      </c>
      <c r="F727">
        <v>4</v>
      </c>
      <c r="G727">
        <v>0</v>
      </c>
      <c r="H727">
        <v>25</v>
      </c>
      <c r="I727">
        <v>450</v>
      </c>
      <c r="J727">
        <v>33</v>
      </c>
      <c r="K727">
        <v>2</v>
      </c>
      <c r="L727">
        <v>6</v>
      </c>
      <c r="M727">
        <v>11</v>
      </c>
      <c r="O727" s="3">
        <f t="shared" si="115"/>
        <v>4.0740740740740744</v>
      </c>
      <c r="P727">
        <f t="shared" si="116"/>
        <v>0</v>
      </c>
      <c r="Q727">
        <f t="shared" si="117"/>
        <v>0</v>
      </c>
      <c r="S727">
        <f t="shared" si="118"/>
        <v>-5.3770186335403718</v>
      </c>
      <c r="T727">
        <f t="shared" si="119"/>
        <v>-1</v>
      </c>
      <c r="U727">
        <f t="shared" si="120"/>
        <v>-4.8913043478260869</v>
      </c>
      <c r="V727">
        <f t="shared" si="121"/>
        <v>-2.4</v>
      </c>
      <c r="W727">
        <f t="shared" si="122"/>
        <v>0</v>
      </c>
      <c r="X727">
        <f t="shared" si="123"/>
        <v>2.2000000000000002</v>
      </c>
      <c r="Y727">
        <f t="shared" si="124"/>
        <v>0.7142857142857143</v>
      </c>
    </row>
    <row r="728" spans="1:25" x14ac:dyDescent="0.2">
      <c r="A728" t="s">
        <v>159</v>
      </c>
      <c r="B728" t="s">
        <v>363</v>
      </c>
      <c r="C728">
        <v>270</v>
      </c>
      <c r="D728" s="2">
        <v>0</v>
      </c>
      <c r="E728">
        <v>13</v>
      </c>
      <c r="F728">
        <v>5</v>
      </c>
      <c r="G728">
        <v>0</v>
      </c>
      <c r="H728">
        <v>25</v>
      </c>
      <c r="I728">
        <v>500</v>
      </c>
      <c r="J728">
        <v>29</v>
      </c>
      <c r="K728">
        <v>2</v>
      </c>
      <c r="L728">
        <v>2</v>
      </c>
      <c r="M728">
        <v>11</v>
      </c>
      <c r="O728" s="3">
        <f t="shared" si="115"/>
        <v>4.0740740740740744</v>
      </c>
      <c r="P728">
        <f t="shared" si="116"/>
        <v>1</v>
      </c>
      <c r="Q728">
        <f t="shared" si="117"/>
        <v>0</v>
      </c>
      <c r="S728">
        <f t="shared" si="118"/>
        <v>-4.5704968944099376</v>
      </c>
      <c r="T728">
        <f t="shared" si="119"/>
        <v>-1.25</v>
      </c>
      <c r="U728">
        <f t="shared" si="120"/>
        <v>-5.4347826086956523</v>
      </c>
      <c r="V728">
        <f t="shared" si="121"/>
        <v>-0.8</v>
      </c>
      <c r="W728">
        <f t="shared" si="122"/>
        <v>0</v>
      </c>
      <c r="X728">
        <f t="shared" si="123"/>
        <v>2.2000000000000002</v>
      </c>
      <c r="Y728">
        <f t="shared" si="124"/>
        <v>0.7142857142857143</v>
      </c>
    </row>
    <row r="729" spans="1:25" x14ac:dyDescent="0.2">
      <c r="A729" t="s">
        <v>159</v>
      </c>
      <c r="B729" t="s">
        <v>364</v>
      </c>
      <c r="C729">
        <v>320</v>
      </c>
      <c r="D729" s="2">
        <v>0</v>
      </c>
      <c r="E729">
        <v>17</v>
      </c>
      <c r="F729">
        <v>6</v>
      </c>
      <c r="G729">
        <v>0</v>
      </c>
      <c r="H729">
        <v>35</v>
      </c>
      <c r="I729">
        <v>640</v>
      </c>
      <c r="J729">
        <v>28</v>
      </c>
      <c r="K729">
        <v>2</v>
      </c>
      <c r="L729">
        <v>1</v>
      </c>
      <c r="M729">
        <v>13</v>
      </c>
      <c r="O729" s="3">
        <f t="shared" ref="O729:O792" si="125">M729/C729*100</f>
        <v>4.0625</v>
      </c>
      <c r="P729">
        <f t="shared" si="116"/>
        <v>1</v>
      </c>
      <c r="Q729">
        <f t="shared" si="117"/>
        <v>0</v>
      </c>
      <c r="S729">
        <f t="shared" si="118"/>
        <v>-5.54223602484472</v>
      </c>
      <c r="T729">
        <f t="shared" si="119"/>
        <v>-1.5</v>
      </c>
      <c r="U729">
        <f t="shared" si="120"/>
        <v>-6.9565217391304346</v>
      </c>
      <c r="V729">
        <f t="shared" si="121"/>
        <v>-0.4</v>
      </c>
      <c r="W729">
        <f t="shared" si="122"/>
        <v>0</v>
      </c>
      <c r="X729">
        <f t="shared" si="123"/>
        <v>2.6</v>
      </c>
      <c r="Y729">
        <f t="shared" si="124"/>
        <v>0.7142857142857143</v>
      </c>
    </row>
    <row r="730" spans="1:25" x14ac:dyDescent="0.2">
      <c r="A730" t="s">
        <v>159</v>
      </c>
      <c r="B730" t="s">
        <v>366</v>
      </c>
      <c r="C730">
        <v>370</v>
      </c>
      <c r="D730" s="2">
        <v>0</v>
      </c>
      <c r="E730">
        <v>18</v>
      </c>
      <c r="F730">
        <v>6</v>
      </c>
      <c r="G730">
        <v>0</v>
      </c>
      <c r="H730">
        <v>35</v>
      </c>
      <c r="I730">
        <v>680</v>
      </c>
      <c r="J730">
        <v>36</v>
      </c>
      <c r="K730">
        <v>2</v>
      </c>
      <c r="L730">
        <v>2</v>
      </c>
      <c r="M730">
        <v>15</v>
      </c>
      <c r="O730" s="3">
        <f t="shared" si="125"/>
        <v>4.0540540540540544</v>
      </c>
      <c r="P730">
        <f t="shared" si="116"/>
        <v>1</v>
      </c>
      <c r="Q730">
        <f t="shared" si="117"/>
        <v>0</v>
      </c>
      <c r="S730">
        <f t="shared" si="118"/>
        <v>-5.9770186335403723</v>
      </c>
      <c r="T730">
        <f t="shared" si="119"/>
        <v>-1.5</v>
      </c>
      <c r="U730">
        <f t="shared" si="120"/>
        <v>-7.3913043478260869</v>
      </c>
      <c r="V730">
        <f t="shared" si="121"/>
        <v>-0.8</v>
      </c>
      <c r="W730">
        <f t="shared" si="122"/>
        <v>0</v>
      </c>
      <c r="X730">
        <f t="shared" si="123"/>
        <v>3</v>
      </c>
      <c r="Y730">
        <f t="shared" si="124"/>
        <v>0.7142857142857143</v>
      </c>
    </row>
    <row r="731" spans="1:25" x14ac:dyDescent="0.2">
      <c r="A731" t="s">
        <v>159</v>
      </c>
      <c r="B731" t="s">
        <v>370</v>
      </c>
      <c r="C731">
        <v>470</v>
      </c>
      <c r="D731" s="2">
        <v>0</v>
      </c>
      <c r="E731">
        <v>27</v>
      </c>
      <c r="F731">
        <v>10</v>
      </c>
      <c r="G731">
        <v>0</v>
      </c>
      <c r="H731">
        <v>50</v>
      </c>
      <c r="I731">
        <v>940</v>
      </c>
      <c r="J731">
        <v>37</v>
      </c>
      <c r="K731">
        <v>2</v>
      </c>
      <c r="L731">
        <v>2</v>
      </c>
      <c r="M731">
        <v>19</v>
      </c>
      <c r="O731" s="3">
        <f t="shared" si="125"/>
        <v>4.042553191489362</v>
      </c>
      <c r="P731">
        <f t="shared" si="116"/>
        <v>1</v>
      </c>
      <c r="Q731">
        <f t="shared" si="117"/>
        <v>0</v>
      </c>
      <c r="S731">
        <f t="shared" si="118"/>
        <v>-9.0031055900621126</v>
      </c>
      <c r="T731">
        <f t="shared" si="119"/>
        <v>-2.5</v>
      </c>
      <c r="U731">
        <f t="shared" si="120"/>
        <v>-10.217391304347826</v>
      </c>
      <c r="V731">
        <f t="shared" si="121"/>
        <v>-0.8</v>
      </c>
      <c r="W731">
        <f t="shared" si="122"/>
        <v>0</v>
      </c>
      <c r="X731">
        <f t="shared" si="123"/>
        <v>3.8000000000000007</v>
      </c>
      <c r="Y731">
        <f t="shared" si="124"/>
        <v>0.7142857142857143</v>
      </c>
    </row>
    <row r="732" spans="1:25" x14ac:dyDescent="0.2">
      <c r="A732" t="s">
        <v>159</v>
      </c>
      <c r="B732" t="s">
        <v>381</v>
      </c>
      <c r="C732">
        <v>350</v>
      </c>
      <c r="D732" s="2">
        <v>0</v>
      </c>
      <c r="E732">
        <v>16</v>
      </c>
      <c r="F732">
        <v>6</v>
      </c>
      <c r="G732">
        <v>0</v>
      </c>
      <c r="H732">
        <v>25</v>
      </c>
      <c r="I732">
        <v>680</v>
      </c>
      <c r="J732">
        <v>38</v>
      </c>
      <c r="K732">
        <v>3</v>
      </c>
      <c r="L732">
        <v>2</v>
      </c>
      <c r="M732">
        <v>14</v>
      </c>
      <c r="O732" s="3">
        <f t="shared" si="125"/>
        <v>4</v>
      </c>
      <c r="P732">
        <f t="shared" si="116"/>
        <v>1</v>
      </c>
      <c r="Q732">
        <f t="shared" si="117"/>
        <v>0</v>
      </c>
      <c r="S732">
        <f t="shared" si="118"/>
        <v>-5.8198757763975149</v>
      </c>
      <c r="T732">
        <f t="shared" si="119"/>
        <v>-1.5</v>
      </c>
      <c r="U732">
        <f t="shared" si="120"/>
        <v>-7.3913043478260869</v>
      </c>
      <c r="V732">
        <f t="shared" si="121"/>
        <v>-0.8</v>
      </c>
      <c r="W732">
        <f t="shared" si="122"/>
        <v>0</v>
      </c>
      <c r="X732">
        <f t="shared" si="123"/>
        <v>2.8000000000000003</v>
      </c>
      <c r="Y732">
        <f t="shared" si="124"/>
        <v>1.0714285714285714</v>
      </c>
    </row>
    <row r="733" spans="1:25" x14ac:dyDescent="0.2">
      <c r="A733" t="s">
        <v>159</v>
      </c>
      <c r="B733" t="s">
        <v>382</v>
      </c>
      <c r="C733">
        <v>150</v>
      </c>
      <c r="D733" s="2">
        <v>0</v>
      </c>
      <c r="E733">
        <v>7</v>
      </c>
      <c r="F733">
        <v>2.5</v>
      </c>
      <c r="G733">
        <v>0</v>
      </c>
      <c r="H733">
        <v>15</v>
      </c>
      <c r="I733">
        <v>310</v>
      </c>
      <c r="J733">
        <v>17</v>
      </c>
      <c r="K733">
        <v>1</v>
      </c>
      <c r="L733">
        <v>2</v>
      </c>
      <c r="M733">
        <v>6</v>
      </c>
      <c r="O733" s="3">
        <f t="shared" si="125"/>
        <v>4</v>
      </c>
      <c r="P733">
        <f t="shared" si="116"/>
        <v>0</v>
      </c>
      <c r="Q733">
        <f t="shared" si="117"/>
        <v>0</v>
      </c>
      <c r="S733">
        <f t="shared" si="118"/>
        <v>-3.2374223602484471</v>
      </c>
      <c r="T733">
        <f t="shared" si="119"/>
        <v>-0.625</v>
      </c>
      <c r="U733">
        <f t="shared" si="120"/>
        <v>-3.3695652173913042</v>
      </c>
      <c r="V733">
        <f t="shared" si="121"/>
        <v>-0.8</v>
      </c>
      <c r="W733">
        <f t="shared" si="122"/>
        <v>0</v>
      </c>
      <c r="X733">
        <f t="shared" si="123"/>
        <v>1.2</v>
      </c>
      <c r="Y733">
        <f t="shared" si="124"/>
        <v>0.35714285714285715</v>
      </c>
    </row>
    <row r="734" spans="1:25" x14ac:dyDescent="0.2">
      <c r="A734" t="s">
        <v>159</v>
      </c>
      <c r="B734" t="s">
        <v>383</v>
      </c>
      <c r="C734">
        <v>250</v>
      </c>
      <c r="D734" s="2">
        <v>0</v>
      </c>
      <c r="E734">
        <v>11</v>
      </c>
      <c r="F734">
        <v>4.5</v>
      </c>
      <c r="G734">
        <v>0</v>
      </c>
      <c r="H734">
        <v>25</v>
      </c>
      <c r="I734">
        <v>470</v>
      </c>
      <c r="J734">
        <v>28</v>
      </c>
      <c r="K734">
        <v>2</v>
      </c>
      <c r="L734">
        <v>1</v>
      </c>
      <c r="M734">
        <v>10</v>
      </c>
      <c r="O734" s="3">
        <f t="shared" si="125"/>
        <v>4</v>
      </c>
      <c r="P734">
        <f t="shared" si="116"/>
        <v>1</v>
      </c>
      <c r="Q734">
        <f t="shared" si="117"/>
        <v>0</v>
      </c>
      <c r="S734">
        <f t="shared" si="118"/>
        <v>-3.9194099378881981</v>
      </c>
      <c r="T734">
        <f t="shared" si="119"/>
        <v>-1.125</v>
      </c>
      <c r="U734">
        <f t="shared" si="120"/>
        <v>-5.1086956521739131</v>
      </c>
      <c r="V734">
        <f t="shared" si="121"/>
        <v>-0.4</v>
      </c>
      <c r="W734">
        <f t="shared" si="122"/>
        <v>0</v>
      </c>
      <c r="X734">
        <f t="shared" si="123"/>
        <v>2.0000000000000004</v>
      </c>
      <c r="Y734">
        <f t="shared" si="124"/>
        <v>0.7142857142857143</v>
      </c>
    </row>
    <row r="735" spans="1:25" x14ac:dyDescent="0.2">
      <c r="A735" t="s">
        <v>159</v>
      </c>
      <c r="B735" t="s">
        <v>384</v>
      </c>
      <c r="C735">
        <v>150</v>
      </c>
      <c r="D735" s="2">
        <v>0</v>
      </c>
      <c r="E735">
        <v>6</v>
      </c>
      <c r="F735">
        <v>2.5</v>
      </c>
      <c r="G735">
        <v>0</v>
      </c>
      <c r="H735">
        <v>15</v>
      </c>
      <c r="I735">
        <v>280</v>
      </c>
      <c r="J735">
        <v>17</v>
      </c>
      <c r="K735">
        <v>1</v>
      </c>
      <c r="L735">
        <v>1</v>
      </c>
      <c r="M735">
        <v>6</v>
      </c>
      <c r="O735" s="3">
        <f t="shared" si="125"/>
        <v>4</v>
      </c>
      <c r="P735">
        <f t="shared" si="116"/>
        <v>0</v>
      </c>
      <c r="Q735">
        <f t="shared" si="117"/>
        <v>0</v>
      </c>
      <c r="S735">
        <f t="shared" si="118"/>
        <v>-2.5113354037267084</v>
      </c>
      <c r="T735">
        <f t="shared" si="119"/>
        <v>-0.625</v>
      </c>
      <c r="U735">
        <f t="shared" si="120"/>
        <v>-3.0434782608695654</v>
      </c>
      <c r="V735">
        <f t="shared" si="121"/>
        <v>-0.4</v>
      </c>
      <c r="W735">
        <f t="shared" si="122"/>
        <v>0</v>
      </c>
      <c r="X735">
        <f t="shared" si="123"/>
        <v>1.2</v>
      </c>
      <c r="Y735">
        <f t="shared" si="124"/>
        <v>0.35714285714285715</v>
      </c>
    </row>
    <row r="736" spans="1:25" x14ac:dyDescent="0.2">
      <c r="A736" t="s">
        <v>159</v>
      </c>
      <c r="B736" t="s">
        <v>385</v>
      </c>
      <c r="C736">
        <v>150</v>
      </c>
      <c r="D736" s="2">
        <v>0</v>
      </c>
      <c r="E736">
        <v>6</v>
      </c>
      <c r="F736">
        <v>2.5</v>
      </c>
      <c r="G736">
        <v>0</v>
      </c>
      <c r="H736">
        <v>15</v>
      </c>
      <c r="I736">
        <v>250</v>
      </c>
      <c r="J736">
        <v>16</v>
      </c>
      <c r="K736">
        <v>1</v>
      </c>
      <c r="L736" s="2">
        <v>0</v>
      </c>
      <c r="M736">
        <v>6</v>
      </c>
      <c r="O736" s="3">
        <f t="shared" si="125"/>
        <v>4</v>
      </c>
      <c r="P736">
        <f t="shared" si="116"/>
        <v>0</v>
      </c>
      <c r="Q736">
        <f t="shared" si="117"/>
        <v>0</v>
      </c>
      <c r="S736">
        <f t="shared" si="118"/>
        <v>-1.7852484472049688</v>
      </c>
      <c r="T736">
        <f t="shared" si="119"/>
        <v>-0.625</v>
      </c>
      <c r="U736">
        <f t="shared" si="120"/>
        <v>-2.7173913043478262</v>
      </c>
      <c r="V736">
        <f t="shared" si="121"/>
        <v>0</v>
      </c>
      <c r="W736">
        <f t="shared" si="122"/>
        <v>0</v>
      </c>
      <c r="X736">
        <f t="shared" si="123"/>
        <v>1.2</v>
      </c>
      <c r="Y736">
        <f t="shared" si="124"/>
        <v>0.35714285714285715</v>
      </c>
    </row>
    <row r="737" spans="1:25" x14ac:dyDescent="0.2">
      <c r="A737" t="s">
        <v>159</v>
      </c>
      <c r="B737" t="s">
        <v>386</v>
      </c>
      <c r="C737">
        <v>200</v>
      </c>
      <c r="D737" s="2">
        <v>0</v>
      </c>
      <c r="E737">
        <v>6</v>
      </c>
      <c r="F737">
        <v>2.5</v>
      </c>
      <c r="G737">
        <v>0</v>
      </c>
      <c r="H737">
        <v>15</v>
      </c>
      <c r="I737">
        <v>370</v>
      </c>
      <c r="J737">
        <v>27</v>
      </c>
      <c r="K737">
        <v>2</v>
      </c>
      <c r="L737">
        <v>2</v>
      </c>
      <c r="M737">
        <v>8</v>
      </c>
      <c r="O737" s="3">
        <f t="shared" si="125"/>
        <v>4</v>
      </c>
      <c r="P737">
        <f t="shared" si="116"/>
        <v>0</v>
      </c>
      <c r="Q737">
        <f t="shared" si="117"/>
        <v>0</v>
      </c>
      <c r="S737">
        <f t="shared" si="118"/>
        <v>-3.1324534161490676</v>
      </c>
      <c r="T737">
        <f t="shared" si="119"/>
        <v>-0.625</v>
      </c>
      <c r="U737">
        <f t="shared" si="120"/>
        <v>-4.0217391304347823</v>
      </c>
      <c r="V737">
        <f t="shared" si="121"/>
        <v>-0.8</v>
      </c>
      <c r="W737">
        <f t="shared" si="122"/>
        <v>0</v>
      </c>
      <c r="X737">
        <f t="shared" si="123"/>
        <v>1.6</v>
      </c>
      <c r="Y737">
        <f t="shared" si="124"/>
        <v>0.7142857142857143</v>
      </c>
    </row>
    <row r="738" spans="1:25" x14ac:dyDescent="0.2">
      <c r="A738" t="s">
        <v>159</v>
      </c>
      <c r="B738" t="s">
        <v>391</v>
      </c>
      <c r="C738">
        <v>230</v>
      </c>
      <c r="D738" s="2">
        <v>0</v>
      </c>
      <c r="E738">
        <v>9</v>
      </c>
      <c r="F738">
        <v>3.5</v>
      </c>
      <c r="G738">
        <v>0</v>
      </c>
      <c r="H738">
        <v>15</v>
      </c>
      <c r="I738">
        <v>420</v>
      </c>
      <c r="J738">
        <v>29</v>
      </c>
      <c r="K738">
        <v>2</v>
      </c>
      <c r="L738">
        <v>2</v>
      </c>
      <c r="M738">
        <v>9</v>
      </c>
      <c r="O738" s="3">
        <f t="shared" si="125"/>
        <v>3.9130434782608701</v>
      </c>
      <c r="P738">
        <f t="shared" si="116"/>
        <v>0</v>
      </c>
      <c r="Q738">
        <f t="shared" si="117"/>
        <v>0</v>
      </c>
      <c r="S738">
        <f t="shared" si="118"/>
        <v>-3.7259316770186333</v>
      </c>
      <c r="T738">
        <f t="shared" si="119"/>
        <v>-0.875</v>
      </c>
      <c r="U738">
        <f t="shared" si="120"/>
        <v>-4.5652173913043477</v>
      </c>
      <c r="V738">
        <f t="shared" si="121"/>
        <v>-0.8</v>
      </c>
      <c r="W738">
        <f t="shared" si="122"/>
        <v>0</v>
      </c>
      <c r="X738">
        <f t="shared" si="123"/>
        <v>1.7999999999999998</v>
      </c>
      <c r="Y738">
        <f t="shared" si="124"/>
        <v>0.7142857142857143</v>
      </c>
    </row>
    <row r="739" spans="1:25" x14ac:dyDescent="0.2">
      <c r="A739" t="s">
        <v>159</v>
      </c>
      <c r="B739" t="s">
        <v>395</v>
      </c>
      <c r="C739">
        <v>180</v>
      </c>
      <c r="D739" s="2">
        <v>0</v>
      </c>
      <c r="E739">
        <v>9</v>
      </c>
      <c r="F739">
        <v>3.5</v>
      </c>
      <c r="G739">
        <v>0</v>
      </c>
      <c r="H739">
        <v>20</v>
      </c>
      <c r="I739">
        <v>370</v>
      </c>
      <c r="J739">
        <v>17</v>
      </c>
      <c r="K739">
        <v>1</v>
      </c>
      <c r="L739">
        <v>0</v>
      </c>
      <c r="M739">
        <v>7</v>
      </c>
      <c r="O739" s="3">
        <f t="shared" si="125"/>
        <v>3.8888888888888888</v>
      </c>
      <c r="P739">
        <f t="shared" si="116"/>
        <v>0</v>
      </c>
      <c r="Q739">
        <f t="shared" si="117"/>
        <v>0</v>
      </c>
      <c r="S739">
        <f t="shared" si="118"/>
        <v>-3.1395962732919247</v>
      </c>
      <c r="T739">
        <f t="shared" si="119"/>
        <v>-0.875</v>
      </c>
      <c r="U739">
        <f t="shared" si="120"/>
        <v>-4.0217391304347823</v>
      </c>
      <c r="V739">
        <f t="shared" si="121"/>
        <v>0</v>
      </c>
      <c r="W739">
        <f t="shared" si="122"/>
        <v>0</v>
      </c>
      <c r="X739">
        <f t="shared" si="123"/>
        <v>1.4000000000000001</v>
      </c>
      <c r="Y739">
        <f t="shared" si="124"/>
        <v>0.35714285714285715</v>
      </c>
    </row>
    <row r="740" spans="1:25" x14ac:dyDescent="0.2">
      <c r="A740" t="s">
        <v>17</v>
      </c>
      <c r="B740" t="s">
        <v>18</v>
      </c>
      <c r="C740">
        <v>10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O740" s="3">
        <f t="shared" si="125"/>
        <v>20</v>
      </c>
      <c r="P740">
        <f t="shared" si="116"/>
        <v>0</v>
      </c>
      <c r="Q740">
        <f t="shared" si="117"/>
        <v>0</v>
      </c>
      <c r="S740">
        <f t="shared" si="118"/>
        <v>0.4</v>
      </c>
      <c r="T740">
        <f t="shared" si="119"/>
        <v>0</v>
      </c>
      <c r="U740">
        <f t="shared" si="120"/>
        <v>0</v>
      </c>
      <c r="V740">
        <f t="shared" si="121"/>
        <v>0</v>
      </c>
      <c r="W740">
        <f t="shared" si="122"/>
        <v>0</v>
      </c>
      <c r="X740">
        <f t="shared" si="123"/>
        <v>0.4</v>
      </c>
      <c r="Y740">
        <f t="shared" si="124"/>
        <v>0</v>
      </c>
    </row>
    <row r="741" spans="1:25" x14ac:dyDescent="0.2">
      <c r="A741" t="s">
        <v>17</v>
      </c>
      <c r="B741" t="s">
        <v>19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  <c r="O741" s="3">
        <f t="shared" si="125"/>
        <v>20</v>
      </c>
      <c r="P741">
        <f t="shared" si="116"/>
        <v>0</v>
      </c>
      <c r="Q741">
        <f t="shared" si="117"/>
        <v>0</v>
      </c>
      <c r="S741">
        <f t="shared" si="118"/>
        <v>0.4</v>
      </c>
      <c r="T741">
        <f t="shared" si="119"/>
        <v>0</v>
      </c>
      <c r="U741">
        <f t="shared" si="120"/>
        <v>0</v>
      </c>
      <c r="V741">
        <f t="shared" si="121"/>
        <v>0</v>
      </c>
      <c r="W741">
        <f t="shared" si="122"/>
        <v>0</v>
      </c>
      <c r="X741">
        <f t="shared" si="123"/>
        <v>0.4</v>
      </c>
      <c r="Y741">
        <f t="shared" si="124"/>
        <v>0</v>
      </c>
    </row>
    <row r="742" spans="1:25" x14ac:dyDescent="0.2">
      <c r="A742" t="s">
        <v>17</v>
      </c>
      <c r="B742" t="s">
        <v>62</v>
      </c>
      <c r="C742">
        <v>100</v>
      </c>
      <c r="D742">
        <v>20</v>
      </c>
      <c r="E742">
        <v>2</v>
      </c>
      <c r="F742">
        <v>1.5</v>
      </c>
      <c r="G742">
        <v>0</v>
      </c>
      <c r="H742">
        <v>10</v>
      </c>
      <c r="I742">
        <v>130</v>
      </c>
      <c r="J742">
        <v>13</v>
      </c>
      <c r="K742">
        <v>0</v>
      </c>
      <c r="L742">
        <v>12</v>
      </c>
      <c r="M742">
        <v>9</v>
      </c>
      <c r="O742" s="3">
        <f t="shared" si="125"/>
        <v>9</v>
      </c>
      <c r="P742">
        <f t="shared" si="116"/>
        <v>0</v>
      </c>
      <c r="Q742">
        <f t="shared" si="117"/>
        <v>0</v>
      </c>
      <c r="S742">
        <f t="shared" si="118"/>
        <v>-4.7880434782608701</v>
      </c>
      <c r="T742">
        <f t="shared" si="119"/>
        <v>-0.375</v>
      </c>
      <c r="U742">
        <f t="shared" si="120"/>
        <v>-1.4130434782608696</v>
      </c>
      <c r="V742">
        <f t="shared" si="121"/>
        <v>-4.8</v>
      </c>
      <c r="W742">
        <f t="shared" si="122"/>
        <v>0</v>
      </c>
      <c r="X742">
        <f t="shared" si="123"/>
        <v>1.7999999999999998</v>
      </c>
      <c r="Y742">
        <f t="shared" si="124"/>
        <v>0</v>
      </c>
    </row>
    <row r="743" spans="1:25" x14ac:dyDescent="0.2">
      <c r="A743" t="s">
        <v>17</v>
      </c>
      <c r="B743" t="s">
        <v>66</v>
      </c>
      <c r="C743">
        <v>80</v>
      </c>
      <c r="D743">
        <v>20</v>
      </c>
      <c r="E743">
        <v>2</v>
      </c>
      <c r="F743">
        <v>1.5</v>
      </c>
      <c r="G743">
        <v>0</v>
      </c>
      <c r="H743">
        <v>10</v>
      </c>
      <c r="I743">
        <v>100</v>
      </c>
      <c r="J743">
        <v>10</v>
      </c>
      <c r="K743">
        <v>0</v>
      </c>
      <c r="L743">
        <v>9</v>
      </c>
      <c r="M743">
        <v>7</v>
      </c>
      <c r="O743" s="3">
        <f t="shared" si="125"/>
        <v>8.75</v>
      </c>
      <c r="P743">
        <f t="shared" si="116"/>
        <v>0</v>
      </c>
      <c r="Q743">
        <f t="shared" si="117"/>
        <v>0</v>
      </c>
      <c r="S743">
        <f t="shared" si="118"/>
        <v>-3.6619565217391301</v>
      </c>
      <c r="T743">
        <f t="shared" si="119"/>
        <v>-0.375</v>
      </c>
      <c r="U743">
        <f t="shared" si="120"/>
        <v>-1.0869565217391304</v>
      </c>
      <c r="V743">
        <f t="shared" si="121"/>
        <v>-3.5999999999999996</v>
      </c>
      <c r="W743">
        <f t="shared" si="122"/>
        <v>0</v>
      </c>
      <c r="X743">
        <f t="shared" si="123"/>
        <v>1.4000000000000001</v>
      </c>
      <c r="Y743">
        <f t="shared" si="124"/>
        <v>0</v>
      </c>
    </row>
    <row r="744" spans="1:25" x14ac:dyDescent="0.2">
      <c r="A744" t="s">
        <v>17</v>
      </c>
      <c r="B744" t="s">
        <v>82</v>
      </c>
      <c r="C744">
        <v>160</v>
      </c>
      <c r="D744">
        <v>50</v>
      </c>
      <c r="E744">
        <v>5</v>
      </c>
      <c r="F744">
        <v>2.5</v>
      </c>
      <c r="G744">
        <v>0</v>
      </c>
      <c r="H744">
        <v>30</v>
      </c>
      <c r="I744">
        <v>500</v>
      </c>
      <c r="J744">
        <v>16</v>
      </c>
      <c r="K744">
        <v>1</v>
      </c>
      <c r="L744">
        <v>1</v>
      </c>
      <c r="M744">
        <v>12</v>
      </c>
      <c r="O744" s="3">
        <f t="shared" si="125"/>
        <v>7.5</v>
      </c>
      <c r="P744">
        <f t="shared" si="116"/>
        <v>1</v>
      </c>
      <c r="Q744">
        <f t="shared" si="117"/>
        <v>0</v>
      </c>
      <c r="S744">
        <f t="shared" si="118"/>
        <v>-3.7026397515527951</v>
      </c>
      <c r="T744">
        <f t="shared" si="119"/>
        <v>-0.625</v>
      </c>
      <c r="U744">
        <f t="shared" si="120"/>
        <v>-5.4347826086956523</v>
      </c>
      <c r="V744">
        <f t="shared" si="121"/>
        <v>-0.4</v>
      </c>
      <c r="W744">
        <f t="shared" si="122"/>
        <v>0</v>
      </c>
      <c r="X744">
        <f t="shared" si="123"/>
        <v>2.4</v>
      </c>
      <c r="Y744">
        <f t="shared" si="124"/>
        <v>0.35714285714285715</v>
      </c>
    </row>
    <row r="745" spans="1:25" x14ac:dyDescent="0.2">
      <c r="A745" t="s">
        <v>17</v>
      </c>
      <c r="B745" t="s">
        <v>82</v>
      </c>
      <c r="C745">
        <v>180</v>
      </c>
      <c r="D745">
        <v>60</v>
      </c>
      <c r="E745">
        <v>7</v>
      </c>
      <c r="F745">
        <v>3.5</v>
      </c>
      <c r="G745">
        <v>0</v>
      </c>
      <c r="H745">
        <v>35</v>
      </c>
      <c r="I745">
        <v>520</v>
      </c>
      <c r="J745">
        <v>18</v>
      </c>
      <c r="K745">
        <v>2</v>
      </c>
      <c r="L745">
        <v>2</v>
      </c>
      <c r="M745">
        <v>13</v>
      </c>
      <c r="O745" s="3">
        <f t="shared" si="125"/>
        <v>7.2222222222222214</v>
      </c>
      <c r="P745">
        <f t="shared" si="116"/>
        <v>1</v>
      </c>
      <c r="Q745">
        <f t="shared" si="117"/>
        <v>0</v>
      </c>
      <c r="S745">
        <f t="shared" si="118"/>
        <v>-4.0128881987577634</v>
      </c>
      <c r="T745">
        <f t="shared" si="119"/>
        <v>-0.875</v>
      </c>
      <c r="U745">
        <f t="shared" si="120"/>
        <v>-5.6521739130434785</v>
      </c>
      <c r="V745">
        <f t="shared" si="121"/>
        <v>-0.8</v>
      </c>
      <c r="W745">
        <f t="shared" si="122"/>
        <v>0</v>
      </c>
      <c r="X745">
        <f t="shared" si="123"/>
        <v>2.6</v>
      </c>
      <c r="Y745">
        <f t="shared" si="124"/>
        <v>0.7142857142857143</v>
      </c>
    </row>
    <row r="746" spans="1:25" x14ac:dyDescent="0.2">
      <c r="A746" t="s">
        <v>17</v>
      </c>
      <c r="B746" t="s">
        <v>108</v>
      </c>
      <c r="C746">
        <v>190</v>
      </c>
      <c r="D746">
        <v>80</v>
      </c>
      <c r="E746">
        <v>9</v>
      </c>
      <c r="F746">
        <v>3</v>
      </c>
      <c r="G746">
        <v>0</v>
      </c>
      <c r="H746">
        <v>35</v>
      </c>
      <c r="I746">
        <v>530</v>
      </c>
      <c r="J746">
        <v>15</v>
      </c>
      <c r="K746">
        <v>1</v>
      </c>
      <c r="L746" s="2">
        <v>0</v>
      </c>
      <c r="M746">
        <v>12</v>
      </c>
      <c r="O746" s="3">
        <f t="shared" si="125"/>
        <v>6.3157894736842106</v>
      </c>
      <c r="P746">
        <f t="shared" si="116"/>
        <v>1</v>
      </c>
      <c r="Q746">
        <f t="shared" si="117"/>
        <v>0</v>
      </c>
      <c r="S746">
        <f t="shared" si="118"/>
        <v>-3.7537267080745349</v>
      </c>
      <c r="T746">
        <f t="shared" si="119"/>
        <v>-0.75</v>
      </c>
      <c r="U746">
        <f t="shared" si="120"/>
        <v>-5.7608695652173916</v>
      </c>
      <c r="V746">
        <f t="shared" si="121"/>
        <v>0</v>
      </c>
      <c r="W746">
        <f t="shared" si="122"/>
        <v>0</v>
      </c>
      <c r="X746">
        <f t="shared" si="123"/>
        <v>2.4</v>
      </c>
      <c r="Y746">
        <f t="shared" si="124"/>
        <v>0.35714285714285715</v>
      </c>
    </row>
    <row r="747" spans="1:25" x14ac:dyDescent="0.2">
      <c r="A747" t="s">
        <v>17</v>
      </c>
      <c r="B747" t="s">
        <v>149</v>
      </c>
      <c r="C747">
        <v>470</v>
      </c>
      <c r="D747">
        <v>170</v>
      </c>
      <c r="E747">
        <v>19</v>
      </c>
      <c r="F747">
        <v>6</v>
      </c>
      <c r="G747">
        <v>0</v>
      </c>
      <c r="H747">
        <v>70</v>
      </c>
      <c r="I747">
        <v>1200</v>
      </c>
      <c r="J747">
        <v>50</v>
      </c>
      <c r="K747">
        <v>7</v>
      </c>
      <c r="L747">
        <v>2</v>
      </c>
      <c r="M747">
        <v>26</v>
      </c>
      <c r="O747" s="3">
        <f t="shared" si="125"/>
        <v>5.5319148936170208</v>
      </c>
      <c r="P747">
        <f t="shared" si="116"/>
        <v>1</v>
      </c>
      <c r="Q747">
        <f t="shared" si="117"/>
        <v>0</v>
      </c>
      <c r="S747">
        <f t="shared" si="118"/>
        <v>-7.6434782608695642</v>
      </c>
      <c r="T747">
        <f t="shared" si="119"/>
        <v>-1.5</v>
      </c>
      <c r="U747">
        <f t="shared" si="120"/>
        <v>-13.043478260869565</v>
      </c>
      <c r="V747">
        <f t="shared" si="121"/>
        <v>-0.8</v>
      </c>
      <c r="W747">
        <f t="shared" si="122"/>
        <v>0</v>
      </c>
      <c r="X747">
        <f t="shared" si="123"/>
        <v>5.2</v>
      </c>
      <c r="Y747">
        <f t="shared" si="124"/>
        <v>2.5</v>
      </c>
    </row>
    <row r="748" spans="1:25" x14ac:dyDescent="0.2">
      <c r="A748" t="s">
        <v>17</v>
      </c>
      <c r="B748" t="s">
        <v>150</v>
      </c>
      <c r="C748">
        <v>470</v>
      </c>
      <c r="D748">
        <v>170</v>
      </c>
      <c r="E748">
        <v>19</v>
      </c>
      <c r="F748">
        <v>6</v>
      </c>
      <c r="G748">
        <v>0</v>
      </c>
      <c r="H748">
        <v>70</v>
      </c>
      <c r="I748">
        <v>1200</v>
      </c>
      <c r="J748">
        <v>50</v>
      </c>
      <c r="K748">
        <v>7</v>
      </c>
      <c r="L748">
        <v>2</v>
      </c>
      <c r="M748">
        <v>26</v>
      </c>
      <c r="O748" s="3">
        <f t="shared" si="125"/>
        <v>5.5319148936170208</v>
      </c>
      <c r="P748">
        <f t="shared" si="116"/>
        <v>1</v>
      </c>
      <c r="Q748">
        <f t="shared" si="117"/>
        <v>0</v>
      </c>
      <c r="S748">
        <f t="shared" si="118"/>
        <v>-7.6434782608695642</v>
      </c>
      <c r="T748">
        <f t="shared" si="119"/>
        <v>-1.5</v>
      </c>
      <c r="U748">
        <f t="shared" si="120"/>
        <v>-13.043478260869565</v>
      </c>
      <c r="V748">
        <f t="shared" si="121"/>
        <v>-0.8</v>
      </c>
      <c r="W748">
        <f t="shared" si="122"/>
        <v>0</v>
      </c>
      <c r="X748">
        <f t="shared" si="123"/>
        <v>5.2</v>
      </c>
      <c r="Y748">
        <f t="shared" si="124"/>
        <v>2.5</v>
      </c>
    </row>
    <row r="749" spans="1:25" x14ac:dyDescent="0.2">
      <c r="A749" t="s">
        <v>17</v>
      </c>
      <c r="B749" t="s">
        <v>177</v>
      </c>
      <c r="C749">
        <v>510</v>
      </c>
      <c r="D749">
        <v>240</v>
      </c>
      <c r="E749">
        <v>26</v>
      </c>
      <c r="F749">
        <v>12</v>
      </c>
      <c r="G749">
        <v>0.5</v>
      </c>
      <c r="H749">
        <v>75</v>
      </c>
      <c r="I749">
        <v>1250</v>
      </c>
      <c r="J749">
        <v>38</v>
      </c>
      <c r="K749">
        <v>4</v>
      </c>
      <c r="L749">
        <v>2</v>
      </c>
      <c r="M749">
        <v>27</v>
      </c>
      <c r="O749" s="3">
        <f t="shared" si="125"/>
        <v>5.2941176470588234</v>
      </c>
      <c r="P749">
        <f t="shared" si="116"/>
        <v>1</v>
      </c>
      <c r="Q749">
        <f t="shared" si="117"/>
        <v>0</v>
      </c>
      <c r="S749">
        <f t="shared" si="118"/>
        <v>-10.558885093167699</v>
      </c>
      <c r="T749">
        <f t="shared" si="119"/>
        <v>-3</v>
      </c>
      <c r="U749">
        <f t="shared" si="120"/>
        <v>-13.586956521739129</v>
      </c>
      <c r="V749">
        <f t="shared" si="121"/>
        <v>-0.8</v>
      </c>
      <c r="W749">
        <f t="shared" si="122"/>
        <v>-5.0000000000000001E-4</v>
      </c>
      <c r="X749">
        <f t="shared" si="123"/>
        <v>5.4</v>
      </c>
      <c r="Y749">
        <f t="shared" si="124"/>
        <v>1.4285714285714286</v>
      </c>
    </row>
    <row r="750" spans="1:25" x14ac:dyDescent="0.2">
      <c r="A750" t="s">
        <v>17</v>
      </c>
      <c r="B750" t="s">
        <v>185</v>
      </c>
      <c r="C750">
        <v>480</v>
      </c>
      <c r="D750">
        <v>180</v>
      </c>
      <c r="E750">
        <v>20</v>
      </c>
      <c r="F750">
        <v>7</v>
      </c>
      <c r="G750">
        <v>0</v>
      </c>
      <c r="H750">
        <v>60</v>
      </c>
      <c r="I750">
        <v>1150</v>
      </c>
      <c r="J750">
        <v>51</v>
      </c>
      <c r="K750">
        <v>7</v>
      </c>
      <c r="L750">
        <v>2</v>
      </c>
      <c r="M750">
        <v>25</v>
      </c>
      <c r="O750" s="3">
        <f t="shared" si="125"/>
        <v>5.2083333333333339</v>
      </c>
      <c r="P750">
        <f t="shared" si="116"/>
        <v>1</v>
      </c>
      <c r="Q750">
        <f t="shared" si="117"/>
        <v>0</v>
      </c>
      <c r="S750">
        <f t="shared" si="118"/>
        <v>-7.5500000000000007</v>
      </c>
      <c r="T750">
        <f t="shared" si="119"/>
        <v>-1.75</v>
      </c>
      <c r="U750">
        <f t="shared" si="120"/>
        <v>-12.5</v>
      </c>
      <c r="V750">
        <f t="shared" si="121"/>
        <v>-0.8</v>
      </c>
      <c r="W750">
        <f t="shared" si="122"/>
        <v>0</v>
      </c>
      <c r="X750">
        <f t="shared" si="123"/>
        <v>5</v>
      </c>
      <c r="Y750">
        <f t="shared" si="124"/>
        <v>2.5</v>
      </c>
    </row>
    <row r="751" spans="1:25" x14ac:dyDescent="0.2">
      <c r="A751" t="s">
        <v>17</v>
      </c>
      <c r="B751" t="s">
        <v>187</v>
      </c>
      <c r="C751">
        <v>520</v>
      </c>
      <c r="D751">
        <v>240</v>
      </c>
      <c r="E751">
        <v>27</v>
      </c>
      <c r="F751">
        <v>12</v>
      </c>
      <c r="G751">
        <v>0.5</v>
      </c>
      <c r="H751">
        <v>70</v>
      </c>
      <c r="I751">
        <v>1230</v>
      </c>
      <c r="J751">
        <v>38</v>
      </c>
      <c r="K751">
        <v>4</v>
      </c>
      <c r="L751">
        <v>2</v>
      </c>
      <c r="M751">
        <v>27</v>
      </c>
      <c r="O751" s="3">
        <f t="shared" si="125"/>
        <v>5.1923076923076925</v>
      </c>
      <c r="P751">
        <f t="shared" si="116"/>
        <v>1</v>
      </c>
      <c r="Q751">
        <f t="shared" si="117"/>
        <v>0</v>
      </c>
      <c r="S751">
        <f t="shared" si="118"/>
        <v>-10.341493788819875</v>
      </c>
      <c r="T751">
        <f t="shared" si="119"/>
        <v>-3</v>
      </c>
      <c r="U751">
        <f t="shared" si="120"/>
        <v>-13.369565217391305</v>
      </c>
      <c r="V751">
        <f t="shared" si="121"/>
        <v>-0.8</v>
      </c>
      <c r="W751">
        <f t="shared" si="122"/>
        <v>-5.0000000000000001E-4</v>
      </c>
      <c r="X751">
        <f t="shared" si="123"/>
        <v>5.4</v>
      </c>
      <c r="Y751">
        <f t="shared" si="124"/>
        <v>1.4285714285714286</v>
      </c>
    </row>
    <row r="752" spans="1:25" x14ac:dyDescent="0.2">
      <c r="A752" t="s">
        <v>17</v>
      </c>
      <c r="B752" t="s">
        <v>189</v>
      </c>
      <c r="C752">
        <v>370</v>
      </c>
      <c r="D752">
        <v>100</v>
      </c>
      <c r="E752">
        <v>11</v>
      </c>
      <c r="F752">
        <v>4.5</v>
      </c>
      <c r="G752">
        <v>0</v>
      </c>
      <c r="H752">
        <v>35</v>
      </c>
      <c r="I752">
        <v>1110</v>
      </c>
      <c r="J752">
        <v>49</v>
      </c>
      <c r="K752">
        <v>8</v>
      </c>
      <c r="L752">
        <v>4</v>
      </c>
      <c r="M752">
        <v>19</v>
      </c>
      <c r="O752" s="3">
        <f t="shared" si="125"/>
        <v>5.1351351351351351</v>
      </c>
      <c r="P752">
        <f t="shared" si="116"/>
        <v>1</v>
      </c>
      <c r="Q752">
        <f t="shared" si="117"/>
        <v>0</v>
      </c>
      <c r="S752">
        <f t="shared" si="118"/>
        <v>-8.133074534161489</v>
      </c>
      <c r="T752">
        <f t="shared" si="119"/>
        <v>-1.125</v>
      </c>
      <c r="U752">
        <f t="shared" si="120"/>
        <v>-12.065217391304348</v>
      </c>
      <c r="V752">
        <f t="shared" si="121"/>
        <v>-1.6</v>
      </c>
      <c r="W752">
        <f t="shared" si="122"/>
        <v>0</v>
      </c>
      <c r="X752">
        <f t="shared" si="123"/>
        <v>3.8000000000000007</v>
      </c>
      <c r="Y752">
        <f t="shared" si="124"/>
        <v>2.8571428571428572</v>
      </c>
    </row>
    <row r="753" spans="1:25" x14ac:dyDescent="0.2">
      <c r="A753" t="s">
        <v>17</v>
      </c>
      <c r="B753" t="s">
        <v>212</v>
      </c>
      <c r="C753">
        <v>180</v>
      </c>
      <c r="D753">
        <v>80</v>
      </c>
      <c r="E753">
        <v>9</v>
      </c>
      <c r="F753">
        <v>4</v>
      </c>
      <c r="G753">
        <v>0</v>
      </c>
      <c r="H753">
        <v>25</v>
      </c>
      <c r="I753">
        <v>500</v>
      </c>
      <c r="J753">
        <v>17</v>
      </c>
      <c r="K753">
        <v>3</v>
      </c>
      <c r="L753">
        <v>1</v>
      </c>
      <c r="M753">
        <v>9</v>
      </c>
      <c r="O753" s="3">
        <f t="shared" si="125"/>
        <v>5</v>
      </c>
      <c r="P753">
        <f t="shared" si="116"/>
        <v>1</v>
      </c>
      <c r="Q753">
        <f t="shared" si="117"/>
        <v>0</v>
      </c>
      <c r="S753">
        <f t="shared" si="118"/>
        <v>-3.9633540372670817</v>
      </c>
      <c r="T753">
        <f t="shared" si="119"/>
        <v>-1</v>
      </c>
      <c r="U753">
        <f t="shared" si="120"/>
        <v>-5.4347826086956523</v>
      </c>
      <c r="V753">
        <f t="shared" si="121"/>
        <v>-0.4</v>
      </c>
      <c r="W753">
        <f t="shared" si="122"/>
        <v>0</v>
      </c>
      <c r="X753">
        <f t="shared" si="123"/>
        <v>1.7999999999999998</v>
      </c>
      <c r="Y753">
        <f t="shared" si="124"/>
        <v>1.0714285714285714</v>
      </c>
    </row>
    <row r="754" spans="1:25" x14ac:dyDescent="0.2">
      <c r="A754" t="s">
        <v>17</v>
      </c>
      <c r="B754" t="s">
        <v>216</v>
      </c>
      <c r="C754">
        <v>180</v>
      </c>
      <c r="D754">
        <v>80</v>
      </c>
      <c r="E754">
        <v>9</v>
      </c>
      <c r="F754">
        <v>5</v>
      </c>
      <c r="G754">
        <v>0</v>
      </c>
      <c r="H754">
        <v>20</v>
      </c>
      <c r="I754">
        <v>430</v>
      </c>
      <c r="J754">
        <v>15</v>
      </c>
      <c r="K754">
        <v>2</v>
      </c>
      <c r="L754" s="2">
        <v>0</v>
      </c>
      <c r="M754">
        <v>9</v>
      </c>
      <c r="O754" s="3">
        <f t="shared" si="125"/>
        <v>5</v>
      </c>
      <c r="P754">
        <f t="shared" si="116"/>
        <v>0</v>
      </c>
      <c r="Q754">
        <f t="shared" si="117"/>
        <v>0</v>
      </c>
      <c r="S754">
        <f t="shared" si="118"/>
        <v>-3.4096273291925465</v>
      </c>
      <c r="T754">
        <f t="shared" si="119"/>
        <v>-1.25</v>
      </c>
      <c r="U754">
        <f t="shared" si="120"/>
        <v>-4.6739130434782608</v>
      </c>
      <c r="V754">
        <f t="shared" si="121"/>
        <v>0</v>
      </c>
      <c r="W754">
        <f t="shared" si="122"/>
        <v>0</v>
      </c>
      <c r="X754">
        <f t="shared" si="123"/>
        <v>1.7999999999999998</v>
      </c>
      <c r="Y754">
        <f t="shared" si="124"/>
        <v>0.7142857142857143</v>
      </c>
    </row>
    <row r="755" spans="1:25" x14ac:dyDescent="0.2">
      <c r="A755" t="s">
        <v>17</v>
      </c>
      <c r="B755" t="s">
        <v>221</v>
      </c>
      <c r="C755">
        <v>370</v>
      </c>
      <c r="D755">
        <v>110</v>
      </c>
      <c r="E755">
        <v>12</v>
      </c>
      <c r="F755">
        <v>5</v>
      </c>
      <c r="G755">
        <v>0</v>
      </c>
      <c r="H755">
        <v>30</v>
      </c>
      <c r="I755">
        <v>1090</v>
      </c>
      <c r="J755">
        <v>49</v>
      </c>
      <c r="K755">
        <v>7</v>
      </c>
      <c r="L755">
        <v>4</v>
      </c>
      <c r="M755">
        <v>18</v>
      </c>
      <c r="O755" s="3">
        <f t="shared" si="125"/>
        <v>4.8648648648648649</v>
      </c>
      <c r="P755">
        <f t="shared" si="116"/>
        <v>1</v>
      </c>
      <c r="Q755">
        <f t="shared" si="117"/>
        <v>0</v>
      </c>
      <c r="S755">
        <f t="shared" si="118"/>
        <v>-8.5978260869565215</v>
      </c>
      <c r="T755">
        <f t="shared" si="119"/>
        <v>-1.25</v>
      </c>
      <c r="U755">
        <f t="shared" si="120"/>
        <v>-11.847826086956522</v>
      </c>
      <c r="V755">
        <f t="shared" si="121"/>
        <v>-1.6</v>
      </c>
      <c r="W755">
        <f t="shared" si="122"/>
        <v>0</v>
      </c>
      <c r="X755">
        <f t="shared" si="123"/>
        <v>3.5999999999999996</v>
      </c>
      <c r="Y755">
        <f t="shared" si="124"/>
        <v>2.5</v>
      </c>
    </row>
    <row r="756" spans="1:25" x14ac:dyDescent="0.2">
      <c r="A756" t="s">
        <v>17</v>
      </c>
      <c r="B756" t="s">
        <v>224</v>
      </c>
      <c r="C756">
        <v>330</v>
      </c>
      <c r="D756">
        <v>140</v>
      </c>
      <c r="E756">
        <v>15</v>
      </c>
      <c r="F756">
        <v>3.5</v>
      </c>
      <c r="G756">
        <v>0</v>
      </c>
      <c r="H756">
        <v>35</v>
      </c>
      <c r="I756">
        <v>560</v>
      </c>
      <c r="J756">
        <v>31</v>
      </c>
      <c r="K756">
        <v>2</v>
      </c>
      <c r="L756">
        <v>3</v>
      </c>
      <c r="M756">
        <v>16</v>
      </c>
      <c r="O756" s="3">
        <f t="shared" si="125"/>
        <v>4.8484848484848486</v>
      </c>
      <c r="P756">
        <f t="shared" si="116"/>
        <v>1</v>
      </c>
      <c r="Q756">
        <f t="shared" si="117"/>
        <v>0</v>
      </c>
      <c r="S756">
        <f t="shared" si="118"/>
        <v>-4.2476708074534155</v>
      </c>
      <c r="T756">
        <f t="shared" si="119"/>
        <v>-0.875</v>
      </c>
      <c r="U756">
        <f t="shared" si="120"/>
        <v>-6.0869565217391308</v>
      </c>
      <c r="V756">
        <f t="shared" si="121"/>
        <v>-1.2</v>
      </c>
      <c r="W756">
        <f t="shared" si="122"/>
        <v>0</v>
      </c>
      <c r="X756">
        <f t="shared" si="123"/>
        <v>3.2</v>
      </c>
      <c r="Y756">
        <f t="shared" si="124"/>
        <v>0.7142857142857143</v>
      </c>
    </row>
    <row r="757" spans="1:25" x14ac:dyDescent="0.2">
      <c r="A757" t="s">
        <v>17</v>
      </c>
      <c r="B757" t="s">
        <v>226</v>
      </c>
      <c r="C757">
        <v>560</v>
      </c>
      <c r="D757">
        <v>250</v>
      </c>
      <c r="E757">
        <v>28</v>
      </c>
      <c r="F757">
        <v>9</v>
      </c>
      <c r="G757">
        <v>0</v>
      </c>
      <c r="H757">
        <v>240</v>
      </c>
      <c r="I757">
        <v>1310</v>
      </c>
      <c r="J757">
        <v>50</v>
      </c>
      <c r="K757">
        <v>4</v>
      </c>
      <c r="L757">
        <v>3</v>
      </c>
      <c r="M757">
        <v>27</v>
      </c>
      <c r="O757" s="3">
        <f t="shared" si="125"/>
        <v>4.8214285714285721</v>
      </c>
      <c r="P757">
        <f t="shared" si="116"/>
        <v>1</v>
      </c>
      <c r="Q757">
        <f t="shared" si="117"/>
        <v>0</v>
      </c>
      <c r="S757">
        <f t="shared" si="118"/>
        <v>-10.860559006211179</v>
      </c>
      <c r="T757">
        <f t="shared" si="119"/>
        <v>-2.25</v>
      </c>
      <c r="U757">
        <f t="shared" si="120"/>
        <v>-14.239130434782609</v>
      </c>
      <c r="V757">
        <f t="shared" si="121"/>
        <v>-1.2</v>
      </c>
      <c r="W757">
        <f t="shared" si="122"/>
        <v>0</v>
      </c>
      <c r="X757">
        <f t="shared" si="123"/>
        <v>5.4</v>
      </c>
      <c r="Y757">
        <f t="shared" si="124"/>
        <v>1.4285714285714286</v>
      </c>
    </row>
    <row r="758" spans="1:25" x14ac:dyDescent="0.2">
      <c r="A758" t="s">
        <v>17</v>
      </c>
      <c r="B758" t="s">
        <v>212</v>
      </c>
      <c r="C758">
        <v>210</v>
      </c>
      <c r="D758">
        <v>90</v>
      </c>
      <c r="E758">
        <v>10</v>
      </c>
      <c r="F758">
        <v>5</v>
      </c>
      <c r="G758">
        <v>0</v>
      </c>
      <c r="H758">
        <v>25</v>
      </c>
      <c r="I758">
        <v>520</v>
      </c>
      <c r="J758">
        <v>20</v>
      </c>
      <c r="K758">
        <v>3</v>
      </c>
      <c r="L758">
        <v>2</v>
      </c>
      <c r="M758">
        <v>10</v>
      </c>
      <c r="O758" s="3">
        <f t="shared" si="125"/>
        <v>4.7619047619047619</v>
      </c>
      <c r="P758">
        <f t="shared" si="116"/>
        <v>1</v>
      </c>
      <c r="Q758">
        <f t="shared" si="117"/>
        <v>0</v>
      </c>
      <c r="S758">
        <f t="shared" si="118"/>
        <v>-4.6307453416149063</v>
      </c>
      <c r="T758">
        <f t="shared" si="119"/>
        <v>-1.25</v>
      </c>
      <c r="U758">
        <f t="shared" si="120"/>
        <v>-5.6521739130434785</v>
      </c>
      <c r="V758">
        <f t="shared" si="121"/>
        <v>-0.8</v>
      </c>
      <c r="W758">
        <f t="shared" si="122"/>
        <v>0</v>
      </c>
      <c r="X758">
        <f t="shared" si="123"/>
        <v>2.0000000000000004</v>
      </c>
      <c r="Y758">
        <f t="shared" si="124"/>
        <v>1.0714285714285714</v>
      </c>
    </row>
    <row r="759" spans="1:25" x14ac:dyDescent="0.2">
      <c r="A759" t="s">
        <v>17</v>
      </c>
      <c r="B759" t="s">
        <v>234</v>
      </c>
      <c r="C759">
        <v>210</v>
      </c>
      <c r="D759">
        <v>90</v>
      </c>
      <c r="E759">
        <v>10</v>
      </c>
      <c r="F759">
        <v>5</v>
      </c>
      <c r="G759">
        <v>0</v>
      </c>
      <c r="H759">
        <v>25</v>
      </c>
      <c r="I759">
        <v>520</v>
      </c>
      <c r="J759">
        <v>20</v>
      </c>
      <c r="K759">
        <v>3</v>
      </c>
      <c r="L759">
        <v>2</v>
      </c>
      <c r="M759">
        <v>10</v>
      </c>
      <c r="O759" s="3">
        <f t="shared" si="125"/>
        <v>4.7619047619047619</v>
      </c>
      <c r="P759">
        <f t="shared" si="116"/>
        <v>1</v>
      </c>
      <c r="Q759">
        <f t="shared" si="117"/>
        <v>0</v>
      </c>
      <c r="S759">
        <f t="shared" si="118"/>
        <v>-4.6307453416149063</v>
      </c>
      <c r="T759">
        <f t="shared" si="119"/>
        <v>-1.25</v>
      </c>
      <c r="U759">
        <f t="shared" si="120"/>
        <v>-5.6521739130434785</v>
      </c>
      <c r="V759">
        <f t="shared" si="121"/>
        <v>-0.8</v>
      </c>
      <c r="W759">
        <f t="shared" si="122"/>
        <v>0</v>
      </c>
      <c r="X759">
        <f t="shared" si="123"/>
        <v>2.0000000000000004</v>
      </c>
      <c r="Y759">
        <f t="shared" si="124"/>
        <v>1.0714285714285714</v>
      </c>
    </row>
    <row r="760" spans="1:25" x14ac:dyDescent="0.2">
      <c r="A760" t="s">
        <v>17</v>
      </c>
      <c r="B760" t="s">
        <v>244</v>
      </c>
      <c r="C760">
        <v>170</v>
      </c>
      <c r="D760">
        <v>80</v>
      </c>
      <c r="E760">
        <v>9</v>
      </c>
      <c r="F760">
        <v>3.5</v>
      </c>
      <c r="G760">
        <v>0</v>
      </c>
      <c r="H760">
        <v>25</v>
      </c>
      <c r="I760">
        <v>310</v>
      </c>
      <c r="J760">
        <v>13</v>
      </c>
      <c r="K760">
        <v>3</v>
      </c>
      <c r="L760" s="2">
        <v>0</v>
      </c>
      <c r="M760">
        <v>8</v>
      </c>
      <c r="O760" s="3">
        <f t="shared" si="125"/>
        <v>4.7058823529411766</v>
      </c>
      <c r="P760">
        <f t="shared" si="116"/>
        <v>0</v>
      </c>
      <c r="Q760">
        <f t="shared" si="117"/>
        <v>0</v>
      </c>
      <c r="S760">
        <f t="shared" si="118"/>
        <v>-1.5731366459627332</v>
      </c>
      <c r="T760">
        <f t="shared" si="119"/>
        <v>-0.875</v>
      </c>
      <c r="U760">
        <f t="shared" si="120"/>
        <v>-3.3695652173913042</v>
      </c>
      <c r="V760">
        <f t="shared" si="121"/>
        <v>0</v>
      </c>
      <c r="W760">
        <f t="shared" si="122"/>
        <v>0</v>
      </c>
      <c r="X760">
        <f t="shared" si="123"/>
        <v>1.6</v>
      </c>
      <c r="Y760">
        <f t="shared" si="124"/>
        <v>1.0714285714285714</v>
      </c>
    </row>
    <row r="761" spans="1:25" x14ac:dyDescent="0.2">
      <c r="A761" t="s">
        <v>17</v>
      </c>
      <c r="B761" t="s">
        <v>245</v>
      </c>
      <c r="C761">
        <v>170</v>
      </c>
      <c r="D761">
        <v>80</v>
      </c>
      <c r="E761">
        <v>9</v>
      </c>
      <c r="F761">
        <v>3.5</v>
      </c>
      <c r="G761">
        <v>0</v>
      </c>
      <c r="H761">
        <v>25</v>
      </c>
      <c r="I761">
        <v>360</v>
      </c>
      <c r="J761">
        <v>13</v>
      </c>
      <c r="K761">
        <v>3</v>
      </c>
      <c r="L761" s="2">
        <v>0</v>
      </c>
      <c r="M761">
        <v>8</v>
      </c>
      <c r="O761" s="3">
        <f t="shared" si="125"/>
        <v>4.7058823529411766</v>
      </c>
      <c r="P761">
        <f t="shared" si="116"/>
        <v>0</v>
      </c>
      <c r="Q761">
        <f t="shared" si="117"/>
        <v>0</v>
      </c>
      <c r="S761">
        <f t="shared" si="118"/>
        <v>-2.1166149068322984</v>
      </c>
      <c r="T761">
        <f t="shared" si="119"/>
        <v>-0.875</v>
      </c>
      <c r="U761">
        <f t="shared" si="120"/>
        <v>-3.9130434782608701</v>
      </c>
      <c r="V761">
        <f t="shared" si="121"/>
        <v>0</v>
      </c>
      <c r="W761">
        <f t="shared" si="122"/>
        <v>0</v>
      </c>
      <c r="X761">
        <f t="shared" si="123"/>
        <v>1.6</v>
      </c>
      <c r="Y761">
        <f t="shared" si="124"/>
        <v>1.0714285714285714</v>
      </c>
    </row>
    <row r="762" spans="1:25" x14ac:dyDescent="0.2">
      <c r="A762" t="s">
        <v>17</v>
      </c>
      <c r="B762" t="s">
        <v>277</v>
      </c>
      <c r="C762">
        <v>440</v>
      </c>
      <c r="D762">
        <v>240</v>
      </c>
      <c r="E762">
        <v>27</v>
      </c>
      <c r="F762">
        <v>5</v>
      </c>
      <c r="G762">
        <v>0</v>
      </c>
      <c r="H762">
        <v>50</v>
      </c>
      <c r="I762">
        <v>840</v>
      </c>
      <c r="J762">
        <v>31</v>
      </c>
      <c r="K762">
        <v>2</v>
      </c>
      <c r="L762">
        <v>3</v>
      </c>
      <c r="M762">
        <v>20</v>
      </c>
      <c r="O762" s="3">
        <f t="shared" si="125"/>
        <v>4.5454545454545459</v>
      </c>
      <c r="P762">
        <f t="shared" si="116"/>
        <v>1</v>
      </c>
      <c r="Q762">
        <f t="shared" si="117"/>
        <v>0</v>
      </c>
      <c r="S762">
        <f t="shared" si="118"/>
        <v>-6.8661490683229793</v>
      </c>
      <c r="T762">
        <f t="shared" si="119"/>
        <v>-1.25</v>
      </c>
      <c r="U762">
        <f t="shared" si="120"/>
        <v>-9.1304347826086953</v>
      </c>
      <c r="V762">
        <f t="shared" si="121"/>
        <v>-1.2</v>
      </c>
      <c r="W762">
        <f t="shared" si="122"/>
        <v>0</v>
      </c>
      <c r="X762">
        <f t="shared" si="123"/>
        <v>4.0000000000000009</v>
      </c>
      <c r="Y762">
        <f t="shared" si="124"/>
        <v>0.7142857142857143</v>
      </c>
    </row>
    <row r="763" spans="1:25" x14ac:dyDescent="0.2">
      <c r="A763" t="s">
        <v>17</v>
      </c>
      <c r="B763" t="s">
        <v>278</v>
      </c>
      <c r="C763">
        <v>330</v>
      </c>
      <c r="D763">
        <v>140</v>
      </c>
      <c r="E763">
        <v>16</v>
      </c>
      <c r="F763">
        <v>4</v>
      </c>
      <c r="G763">
        <v>0</v>
      </c>
      <c r="H763">
        <v>30</v>
      </c>
      <c r="I763">
        <v>530</v>
      </c>
      <c r="J763">
        <v>32</v>
      </c>
      <c r="K763">
        <v>2</v>
      </c>
      <c r="L763">
        <v>3</v>
      </c>
      <c r="M763">
        <v>15</v>
      </c>
      <c r="O763" s="3">
        <f t="shared" si="125"/>
        <v>4.5454545454545459</v>
      </c>
      <c r="P763">
        <f t="shared" si="116"/>
        <v>1</v>
      </c>
      <c r="Q763">
        <f t="shared" si="117"/>
        <v>0</v>
      </c>
      <c r="S763">
        <f t="shared" si="118"/>
        <v>-4.2465838509316773</v>
      </c>
      <c r="T763">
        <f t="shared" si="119"/>
        <v>-1</v>
      </c>
      <c r="U763">
        <f t="shared" si="120"/>
        <v>-5.7608695652173916</v>
      </c>
      <c r="V763">
        <f t="shared" si="121"/>
        <v>-1.2</v>
      </c>
      <c r="W763">
        <f t="shared" si="122"/>
        <v>0</v>
      </c>
      <c r="X763">
        <f t="shared" si="123"/>
        <v>3</v>
      </c>
      <c r="Y763">
        <f t="shared" si="124"/>
        <v>0.7142857142857143</v>
      </c>
    </row>
    <row r="764" spans="1:25" x14ac:dyDescent="0.2">
      <c r="A764" t="s">
        <v>17</v>
      </c>
      <c r="B764" t="s">
        <v>279</v>
      </c>
      <c r="C764">
        <v>440</v>
      </c>
      <c r="D764">
        <v>240</v>
      </c>
      <c r="E764">
        <v>27</v>
      </c>
      <c r="F764">
        <v>5</v>
      </c>
      <c r="G764">
        <v>0</v>
      </c>
      <c r="H764">
        <v>50</v>
      </c>
      <c r="I764">
        <v>840</v>
      </c>
      <c r="J764">
        <v>31</v>
      </c>
      <c r="K764">
        <v>2</v>
      </c>
      <c r="L764">
        <v>3</v>
      </c>
      <c r="M764">
        <v>20</v>
      </c>
      <c r="O764" s="3">
        <f t="shared" si="125"/>
        <v>4.5454545454545459</v>
      </c>
      <c r="P764">
        <f t="shared" si="116"/>
        <v>1</v>
      </c>
      <c r="Q764">
        <f t="shared" si="117"/>
        <v>0</v>
      </c>
      <c r="S764">
        <f t="shared" si="118"/>
        <v>-6.8661490683229793</v>
      </c>
      <c r="T764">
        <f t="shared" si="119"/>
        <v>-1.25</v>
      </c>
      <c r="U764">
        <f t="shared" si="120"/>
        <v>-9.1304347826086953</v>
      </c>
      <c r="V764">
        <f t="shared" si="121"/>
        <v>-1.2</v>
      </c>
      <c r="W764">
        <f t="shared" si="122"/>
        <v>0</v>
      </c>
      <c r="X764">
        <f t="shared" si="123"/>
        <v>4.0000000000000009</v>
      </c>
      <c r="Y764">
        <f t="shared" si="124"/>
        <v>0.7142857142857143</v>
      </c>
    </row>
    <row r="765" spans="1:25" x14ac:dyDescent="0.2">
      <c r="A765" t="s">
        <v>17</v>
      </c>
      <c r="B765" t="s">
        <v>317</v>
      </c>
      <c r="C765">
        <v>370</v>
      </c>
      <c r="D765">
        <v>150</v>
      </c>
      <c r="E765">
        <v>17</v>
      </c>
      <c r="F765">
        <v>8</v>
      </c>
      <c r="G765">
        <v>0</v>
      </c>
      <c r="H765">
        <v>35</v>
      </c>
      <c r="I765">
        <v>970</v>
      </c>
      <c r="J765">
        <v>40</v>
      </c>
      <c r="K765">
        <v>4</v>
      </c>
      <c r="L765">
        <v>2</v>
      </c>
      <c r="M765">
        <v>16</v>
      </c>
      <c r="O765" s="3">
        <f t="shared" si="125"/>
        <v>4.3243243243243246</v>
      </c>
      <c r="P765">
        <f t="shared" si="116"/>
        <v>1</v>
      </c>
      <c r="Q765">
        <f t="shared" si="117"/>
        <v>0</v>
      </c>
      <c r="S765">
        <f t="shared" si="118"/>
        <v>-8.7149068322981389</v>
      </c>
      <c r="T765">
        <f t="shared" si="119"/>
        <v>-2</v>
      </c>
      <c r="U765">
        <f t="shared" si="120"/>
        <v>-10.543478260869566</v>
      </c>
      <c r="V765">
        <f t="shared" si="121"/>
        <v>-0.8</v>
      </c>
      <c r="W765">
        <f t="shared" si="122"/>
        <v>0</v>
      </c>
      <c r="X765">
        <f t="shared" si="123"/>
        <v>3.2</v>
      </c>
      <c r="Y765">
        <f t="shared" si="124"/>
        <v>1.4285714285714286</v>
      </c>
    </row>
    <row r="766" spans="1:25" x14ac:dyDescent="0.2">
      <c r="A766" t="s">
        <v>17</v>
      </c>
      <c r="B766" t="s">
        <v>322</v>
      </c>
      <c r="C766">
        <v>560</v>
      </c>
      <c r="D766">
        <v>270</v>
      </c>
      <c r="E766">
        <v>30</v>
      </c>
      <c r="F766">
        <v>10</v>
      </c>
      <c r="G766">
        <v>0</v>
      </c>
      <c r="H766">
        <v>230</v>
      </c>
      <c r="I766">
        <v>1290</v>
      </c>
      <c r="J766">
        <v>49</v>
      </c>
      <c r="K766">
        <v>4</v>
      </c>
      <c r="L766">
        <v>3</v>
      </c>
      <c r="M766">
        <v>24</v>
      </c>
      <c r="O766" s="3">
        <f t="shared" si="125"/>
        <v>4.2857142857142856</v>
      </c>
      <c r="P766">
        <f t="shared" si="116"/>
        <v>1</v>
      </c>
      <c r="Q766">
        <f t="shared" si="117"/>
        <v>0</v>
      </c>
      <c r="S766">
        <f t="shared" si="118"/>
        <v>-11.493167701863351</v>
      </c>
      <c r="T766">
        <f t="shared" si="119"/>
        <v>-2.5</v>
      </c>
      <c r="U766">
        <f t="shared" si="120"/>
        <v>-14.021739130434781</v>
      </c>
      <c r="V766">
        <f t="shared" si="121"/>
        <v>-1.2</v>
      </c>
      <c r="W766">
        <f t="shared" si="122"/>
        <v>0</v>
      </c>
      <c r="X766">
        <f t="shared" si="123"/>
        <v>4.8</v>
      </c>
      <c r="Y766">
        <f t="shared" si="124"/>
        <v>1.4285714285714286</v>
      </c>
    </row>
    <row r="767" spans="1:25" x14ac:dyDescent="0.2">
      <c r="A767" t="s">
        <v>17</v>
      </c>
      <c r="B767" t="s">
        <v>337</v>
      </c>
      <c r="C767">
        <v>190</v>
      </c>
      <c r="D767">
        <v>100</v>
      </c>
      <c r="E767">
        <v>11</v>
      </c>
      <c r="F767">
        <v>4.5</v>
      </c>
      <c r="G767">
        <v>0</v>
      </c>
      <c r="H767">
        <v>25</v>
      </c>
      <c r="I767">
        <v>340</v>
      </c>
      <c r="J767">
        <v>15</v>
      </c>
      <c r="K767">
        <v>3</v>
      </c>
      <c r="L767">
        <v>2</v>
      </c>
      <c r="M767">
        <v>8</v>
      </c>
      <c r="O767" s="3">
        <f t="shared" si="125"/>
        <v>4.2105263157894735</v>
      </c>
      <c r="P767">
        <f t="shared" si="116"/>
        <v>0</v>
      </c>
      <c r="Q767">
        <f t="shared" si="117"/>
        <v>0</v>
      </c>
      <c r="S767">
        <f t="shared" si="118"/>
        <v>-2.9492236024844711</v>
      </c>
      <c r="T767">
        <f t="shared" si="119"/>
        <v>-1.125</v>
      </c>
      <c r="U767">
        <f t="shared" si="120"/>
        <v>-3.6956521739130435</v>
      </c>
      <c r="V767">
        <f t="shared" si="121"/>
        <v>-0.8</v>
      </c>
      <c r="W767">
        <f t="shared" si="122"/>
        <v>0</v>
      </c>
      <c r="X767">
        <f t="shared" si="123"/>
        <v>1.6</v>
      </c>
      <c r="Y767">
        <f t="shared" si="124"/>
        <v>1.0714285714285714</v>
      </c>
    </row>
    <row r="768" spans="1:25" x14ac:dyDescent="0.2">
      <c r="A768" t="s">
        <v>17</v>
      </c>
      <c r="B768" t="s">
        <v>338</v>
      </c>
      <c r="C768">
        <v>190</v>
      </c>
      <c r="D768">
        <v>100</v>
      </c>
      <c r="E768">
        <v>11</v>
      </c>
      <c r="F768">
        <v>4.5</v>
      </c>
      <c r="G768">
        <v>0</v>
      </c>
      <c r="H768">
        <v>30</v>
      </c>
      <c r="I768">
        <v>380</v>
      </c>
      <c r="J768">
        <v>15</v>
      </c>
      <c r="K768">
        <v>3</v>
      </c>
      <c r="L768">
        <v>2</v>
      </c>
      <c r="M768">
        <v>8</v>
      </c>
      <c r="O768" s="3">
        <f t="shared" si="125"/>
        <v>4.2105263157894735</v>
      </c>
      <c r="P768">
        <f t="shared" si="116"/>
        <v>0</v>
      </c>
      <c r="Q768">
        <f t="shared" si="117"/>
        <v>0</v>
      </c>
      <c r="S768">
        <f t="shared" si="118"/>
        <v>-3.3840062111801235</v>
      </c>
      <c r="T768">
        <f t="shared" si="119"/>
        <v>-1.125</v>
      </c>
      <c r="U768">
        <f t="shared" si="120"/>
        <v>-4.1304347826086953</v>
      </c>
      <c r="V768">
        <f t="shared" si="121"/>
        <v>-0.8</v>
      </c>
      <c r="W768">
        <f t="shared" si="122"/>
        <v>0</v>
      </c>
      <c r="X768">
        <f t="shared" si="123"/>
        <v>1.6</v>
      </c>
      <c r="Y768">
        <f t="shared" si="124"/>
        <v>1.0714285714285714</v>
      </c>
    </row>
    <row r="769" spans="1:25" x14ac:dyDescent="0.2">
      <c r="A769" t="s">
        <v>17</v>
      </c>
      <c r="B769" t="s">
        <v>339</v>
      </c>
      <c r="C769">
        <v>570</v>
      </c>
      <c r="D769">
        <v>270</v>
      </c>
      <c r="E769">
        <v>30</v>
      </c>
      <c r="F769">
        <v>9</v>
      </c>
      <c r="G769">
        <v>0</v>
      </c>
      <c r="H769">
        <v>140</v>
      </c>
      <c r="I769">
        <v>1290</v>
      </c>
      <c r="J769">
        <v>50</v>
      </c>
      <c r="K769">
        <v>4</v>
      </c>
      <c r="L769">
        <v>2</v>
      </c>
      <c r="M769">
        <v>24</v>
      </c>
      <c r="O769" s="3">
        <f t="shared" si="125"/>
        <v>4.2105263157894735</v>
      </c>
      <c r="P769">
        <f t="shared" si="116"/>
        <v>1</v>
      </c>
      <c r="Q769">
        <f t="shared" si="117"/>
        <v>0</v>
      </c>
      <c r="S769">
        <f t="shared" si="118"/>
        <v>-10.843167701863353</v>
      </c>
      <c r="T769">
        <f t="shared" si="119"/>
        <v>-2.25</v>
      </c>
      <c r="U769">
        <f t="shared" si="120"/>
        <v>-14.021739130434781</v>
      </c>
      <c r="V769">
        <f t="shared" si="121"/>
        <v>-0.8</v>
      </c>
      <c r="W769">
        <f t="shared" si="122"/>
        <v>0</v>
      </c>
      <c r="X769">
        <f t="shared" si="123"/>
        <v>4.8</v>
      </c>
      <c r="Y769">
        <f t="shared" si="124"/>
        <v>1.4285714285714286</v>
      </c>
    </row>
    <row r="770" spans="1:25" x14ac:dyDescent="0.2">
      <c r="A770" t="s">
        <v>17</v>
      </c>
      <c r="B770" t="s">
        <v>354</v>
      </c>
      <c r="C770">
        <v>390</v>
      </c>
      <c r="D770">
        <v>130</v>
      </c>
      <c r="E770">
        <v>14</v>
      </c>
      <c r="F770">
        <v>6</v>
      </c>
      <c r="G770">
        <v>0</v>
      </c>
      <c r="H770">
        <v>25</v>
      </c>
      <c r="I770">
        <v>1110</v>
      </c>
      <c r="J770">
        <v>51</v>
      </c>
      <c r="K770">
        <v>9</v>
      </c>
      <c r="L770">
        <v>4</v>
      </c>
      <c r="M770">
        <v>16</v>
      </c>
      <c r="O770" s="3">
        <f t="shared" si="125"/>
        <v>4.1025641025641022</v>
      </c>
      <c r="P770">
        <f t="shared" si="116"/>
        <v>1</v>
      </c>
      <c r="Q770">
        <f t="shared" si="117"/>
        <v>0</v>
      </c>
      <c r="S770">
        <f t="shared" si="118"/>
        <v>-8.7509316770186309</v>
      </c>
      <c r="T770">
        <f t="shared" si="119"/>
        <v>-1.5</v>
      </c>
      <c r="U770">
        <f t="shared" si="120"/>
        <v>-12.065217391304348</v>
      </c>
      <c r="V770">
        <f t="shared" si="121"/>
        <v>-1.6</v>
      </c>
      <c r="W770">
        <f t="shared" si="122"/>
        <v>0</v>
      </c>
      <c r="X770">
        <f t="shared" si="123"/>
        <v>3.2</v>
      </c>
      <c r="Y770">
        <f t="shared" si="124"/>
        <v>3.2142857142857149</v>
      </c>
    </row>
    <row r="771" spans="1:25" x14ac:dyDescent="0.2">
      <c r="A771" t="s">
        <v>17</v>
      </c>
      <c r="B771" t="s">
        <v>369</v>
      </c>
      <c r="C771">
        <v>470</v>
      </c>
      <c r="D771">
        <v>230</v>
      </c>
      <c r="E771">
        <v>25</v>
      </c>
      <c r="F771">
        <v>12</v>
      </c>
      <c r="G771">
        <v>0.5</v>
      </c>
      <c r="H771">
        <v>50</v>
      </c>
      <c r="I771">
        <v>990</v>
      </c>
      <c r="J771">
        <v>37</v>
      </c>
      <c r="K771">
        <v>4</v>
      </c>
      <c r="L771">
        <v>2</v>
      </c>
      <c r="M771">
        <v>19</v>
      </c>
      <c r="O771" s="3">
        <f t="shared" si="125"/>
        <v>4.042553191489362</v>
      </c>
      <c r="P771">
        <f t="shared" si="116"/>
        <v>1</v>
      </c>
      <c r="Q771">
        <f t="shared" si="117"/>
        <v>0</v>
      </c>
      <c r="S771">
        <f t="shared" si="118"/>
        <v>-9.3327981366459642</v>
      </c>
      <c r="T771">
        <f t="shared" si="119"/>
        <v>-3</v>
      </c>
      <c r="U771">
        <f t="shared" si="120"/>
        <v>-10.760869565217392</v>
      </c>
      <c r="V771">
        <f t="shared" si="121"/>
        <v>-0.8</v>
      </c>
      <c r="W771">
        <f t="shared" si="122"/>
        <v>-5.0000000000000001E-4</v>
      </c>
      <c r="X771">
        <f t="shared" si="123"/>
        <v>3.8000000000000007</v>
      </c>
      <c r="Y771">
        <f t="shared" si="124"/>
        <v>1.4285714285714286</v>
      </c>
    </row>
    <row r="772" spans="1:25" x14ac:dyDescent="0.2">
      <c r="A772" t="s">
        <v>17</v>
      </c>
      <c r="B772" t="s">
        <v>371</v>
      </c>
      <c r="C772">
        <v>620</v>
      </c>
      <c r="D772">
        <v>270</v>
      </c>
      <c r="E772">
        <v>29</v>
      </c>
      <c r="F772">
        <v>11</v>
      </c>
      <c r="G772">
        <v>0</v>
      </c>
      <c r="H772">
        <v>65</v>
      </c>
      <c r="I772">
        <v>1390</v>
      </c>
      <c r="J772">
        <v>66</v>
      </c>
      <c r="K772">
        <v>4</v>
      </c>
      <c r="L772">
        <v>4</v>
      </c>
      <c r="M772">
        <v>25</v>
      </c>
      <c r="O772" s="3">
        <f t="shared" si="125"/>
        <v>4.032258064516129</v>
      </c>
      <c r="P772">
        <f t="shared" ref="P772:P835" si="126">IF(I772&gt;2300*0.2,1,0)</f>
        <v>1</v>
      </c>
      <c r="Q772">
        <f t="shared" ref="Q772:Q835" si="127">IF(H772&gt;300,1,0)</f>
        <v>0</v>
      </c>
      <c r="S772">
        <f t="shared" ref="S772:S835" si="128">T772+U772+V772+W772+X772+Y772</f>
        <v>-13.030124223602487</v>
      </c>
      <c r="T772">
        <f t="shared" ref="T772:T835" si="129">$T$1*F772</f>
        <v>-2.75</v>
      </c>
      <c r="U772">
        <f t="shared" ref="U772:U835" si="130">($U$1*(I772/2300))*100</f>
        <v>-15.108695652173912</v>
      </c>
      <c r="V772">
        <f t="shared" ref="V772:V835" si="131">((L772/50)*$V$1)*100</f>
        <v>-1.6</v>
      </c>
      <c r="W772">
        <f t="shared" ref="W772:W835" si="132">(G772/100)*$W$1</f>
        <v>0</v>
      </c>
      <c r="X772">
        <f t="shared" ref="X772:X835" si="133">($X$1*(M772/50))*100</f>
        <v>5</v>
      </c>
      <c r="Y772">
        <f t="shared" ref="Y772:Y835" si="134">($Y$1*(K772/28))*100</f>
        <v>1.4285714285714286</v>
      </c>
    </row>
    <row r="773" spans="1:25" x14ac:dyDescent="0.2">
      <c r="A773" t="s">
        <v>17</v>
      </c>
      <c r="B773" t="s">
        <v>375</v>
      </c>
      <c r="C773">
        <v>250</v>
      </c>
      <c r="D773">
        <v>110</v>
      </c>
      <c r="E773">
        <v>12</v>
      </c>
      <c r="F773">
        <v>4.5</v>
      </c>
      <c r="G773">
        <v>0</v>
      </c>
      <c r="H773">
        <v>25</v>
      </c>
      <c r="I773">
        <v>610</v>
      </c>
      <c r="J773">
        <v>24</v>
      </c>
      <c r="K773">
        <v>3</v>
      </c>
      <c r="L773">
        <v>2</v>
      </c>
      <c r="M773">
        <v>10</v>
      </c>
      <c r="O773" s="3">
        <f t="shared" si="125"/>
        <v>4</v>
      </c>
      <c r="P773">
        <f t="shared" si="126"/>
        <v>1</v>
      </c>
      <c r="Q773">
        <f t="shared" si="127"/>
        <v>0</v>
      </c>
      <c r="S773">
        <f t="shared" si="128"/>
        <v>-5.4840062111801249</v>
      </c>
      <c r="T773">
        <f t="shared" si="129"/>
        <v>-1.125</v>
      </c>
      <c r="U773">
        <f t="shared" si="130"/>
        <v>-6.6304347826086962</v>
      </c>
      <c r="V773">
        <f t="shared" si="131"/>
        <v>-0.8</v>
      </c>
      <c r="W773">
        <f t="shared" si="132"/>
        <v>0</v>
      </c>
      <c r="X773">
        <f t="shared" si="133"/>
        <v>2.0000000000000004</v>
      </c>
      <c r="Y773">
        <f t="shared" si="134"/>
        <v>1.0714285714285714</v>
      </c>
    </row>
    <row r="774" spans="1:25" x14ac:dyDescent="0.2">
      <c r="A774" t="s">
        <v>17</v>
      </c>
      <c r="B774" t="s">
        <v>376</v>
      </c>
      <c r="C774">
        <v>500</v>
      </c>
      <c r="D774">
        <v>250</v>
      </c>
      <c r="E774">
        <v>28</v>
      </c>
      <c r="F774">
        <v>10</v>
      </c>
      <c r="G774">
        <v>0.5</v>
      </c>
      <c r="H774">
        <v>55</v>
      </c>
      <c r="I774">
        <v>850</v>
      </c>
      <c r="J774">
        <v>41</v>
      </c>
      <c r="K774">
        <v>5</v>
      </c>
      <c r="L774">
        <v>4</v>
      </c>
      <c r="M774">
        <v>20</v>
      </c>
      <c r="O774" s="3">
        <f t="shared" si="125"/>
        <v>4</v>
      </c>
      <c r="P774">
        <f t="shared" si="126"/>
        <v>1</v>
      </c>
      <c r="Q774">
        <f t="shared" si="127"/>
        <v>0</v>
      </c>
      <c r="S774">
        <f t="shared" si="128"/>
        <v>-7.5539161490683195</v>
      </c>
      <c r="T774">
        <f t="shared" si="129"/>
        <v>-2.5</v>
      </c>
      <c r="U774">
        <f t="shared" si="130"/>
        <v>-9.2391304347826075</v>
      </c>
      <c r="V774">
        <f t="shared" si="131"/>
        <v>-1.6</v>
      </c>
      <c r="W774">
        <f t="shared" si="132"/>
        <v>-5.0000000000000001E-4</v>
      </c>
      <c r="X774">
        <f t="shared" si="133"/>
        <v>4.0000000000000009</v>
      </c>
      <c r="Y774">
        <f t="shared" si="134"/>
        <v>1.785714285714286</v>
      </c>
    </row>
    <row r="775" spans="1:25" x14ac:dyDescent="0.2">
      <c r="A775" t="s">
        <v>17</v>
      </c>
      <c r="B775" t="s">
        <v>377</v>
      </c>
      <c r="C775">
        <v>250</v>
      </c>
      <c r="D775">
        <v>110</v>
      </c>
      <c r="E775">
        <v>12</v>
      </c>
      <c r="F775">
        <v>4.5</v>
      </c>
      <c r="G775">
        <v>0</v>
      </c>
      <c r="H775">
        <v>25</v>
      </c>
      <c r="I775">
        <v>610</v>
      </c>
      <c r="J775">
        <v>24</v>
      </c>
      <c r="K775">
        <v>3</v>
      </c>
      <c r="L775">
        <v>2</v>
      </c>
      <c r="M775">
        <v>10</v>
      </c>
      <c r="O775" s="3">
        <f t="shared" si="125"/>
        <v>4</v>
      </c>
      <c r="P775">
        <f t="shared" si="126"/>
        <v>1</v>
      </c>
      <c r="Q775">
        <f t="shared" si="127"/>
        <v>0</v>
      </c>
      <c r="S775">
        <f t="shared" si="128"/>
        <v>-5.4840062111801249</v>
      </c>
      <c r="T775">
        <f t="shared" si="129"/>
        <v>-1.125</v>
      </c>
      <c r="U775">
        <f t="shared" si="130"/>
        <v>-6.6304347826086962</v>
      </c>
      <c r="V775">
        <f t="shared" si="131"/>
        <v>-0.8</v>
      </c>
      <c r="W775">
        <f t="shared" si="132"/>
        <v>0</v>
      </c>
      <c r="X775">
        <f t="shared" si="133"/>
        <v>2.0000000000000004</v>
      </c>
      <c r="Y775">
        <f t="shared" si="134"/>
        <v>1.0714285714285714</v>
      </c>
    </row>
    <row r="776" spans="1:25" x14ac:dyDescent="0.2">
      <c r="A776" t="s">
        <v>17</v>
      </c>
      <c r="B776" t="s">
        <v>379</v>
      </c>
      <c r="C776">
        <v>50</v>
      </c>
      <c r="D776">
        <v>10</v>
      </c>
      <c r="E776">
        <v>1</v>
      </c>
      <c r="F776">
        <v>0</v>
      </c>
      <c r="G776">
        <v>0</v>
      </c>
      <c r="H776">
        <v>0</v>
      </c>
      <c r="I776">
        <v>135</v>
      </c>
      <c r="J776">
        <v>8</v>
      </c>
      <c r="K776">
        <v>3</v>
      </c>
      <c r="L776">
        <v>0</v>
      </c>
      <c r="M776">
        <v>2</v>
      </c>
      <c r="O776" s="3">
        <f t="shared" si="125"/>
        <v>4</v>
      </c>
      <c r="P776">
        <f t="shared" si="126"/>
        <v>0</v>
      </c>
      <c r="Q776">
        <f t="shared" si="127"/>
        <v>0</v>
      </c>
      <c r="S776">
        <f t="shared" si="128"/>
        <v>4.0372670807451438E-3</v>
      </c>
      <c r="T776">
        <f t="shared" si="129"/>
        <v>0</v>
      </c>
      <c r="U776">
        <f t="shared" si="130"/>
        <v>-1.4673913043478262</v>
      </c>
      <c r="V776">
        <f t="shared" si="131"/>
        <v>0</v>
      </c>
      <c r="W776">
        <f t="shared" si="132"/>
        <v>0</v>
      </c>
      <c r="X776">
        <f t="shared" si="133"/>
        <v>0.4</v>
      </c>
      <c r="Y776">
        <f t="shared" si="134"/>
        <v>1.0714285714285714</v>
      </c>
    </row>
    <row r="777" spans="1:25" x14ac:dyDescent="0.2">
      <c r="A777" t="s">
        <v>17</v>
      </c>
      <c r="B777" t="s">
        <v>380</v>
      </c>
      <c r="C777">
        <v>250</v>
      </c>
      <c r="D777">
        <v>110</v>
      </c>
      <c r="E777">
        <v>12</v>
      </c>
      <c r="F777">
        <v>4.5</v>
      </c>
      <c r="G777">
        <v>0</v>
      </c>
      <c r="H777">
        <v>25</v>
      </c>
      <c r="I777">
        <v>610</v>
      </c>
      <c r="J777">
        <v>24</v>
      </c>
      <c r="K777">
        <v>3</v>
      </c>
      <c r="L777">
        <v>2</v>
      </c>
      <c r="M777">
        <v>10</v>
      </c>
      <c r="O777" s="3">
        <f t="shared" si="125"/>
        <v>4</v>
      </c>
      <c r="P777">
        <f t="shared" si="126"/>
        <v>1</v>
      </c>
      <c r="Q777">
        <f t="shared" si="127"/>
        <v>0</v>
      </c>
      <c r="S777">
        <f t="shared" si="128"/>
        <v>-5.4840062111801249</v>
      </c>
      <c r="T777">
        <f t="shared" si="129"/>
        <v>-1.125</v>
      </c>
      <c r="U777">
        <f t="shared" si="130"/>
        <v>-6.6304347826086962</v>
      </c>
      <c r="V777">
        <f t="shared" si="131"/>
        <v>-0.8</v>
      </c>
      <c r="W777">
        <f t="shared" si="132"/>
        <v>0</v>
      </c>
      <c r="X777">
        <f t="shared" si="133"/>
        <v>2.0000000000000004</v>
      </c>
      <c r="Y777">
        <f t="shared" si="134"/>
        <v>1.0714285714285714</v>
      </c>
    </row>
    <row r="778" spans="1:25" x14ac:dyDescent="0.2">
      <c r="A778" t="s">
        <v>17</v>
      </c>
      <c r="B778" t="s">
        <v>390</v>
      </c>
      <c r="C778">
        <v>560</v>
      </c>
      <c r="D778">
        <v>280</v>
      </c>
      <c r="E778">
        <v>31</v>
      </c>
      <c r="F778">
        <v>10</v>
      </c>
      <c r="G778">
        <v>0</v>
      </c>
      <c r="H778">
        <v>230</v>
      </c>
      <c r="I778">
        <v>1150</v>
      </c>
      <c r="J778">
        <v>49</v>
      </c>
      <c r="K778">
        <v>4</v>
      </c>
      <c r="L778">
        <v>3</v>
      </c>
      <c r="M778">
        <v>22</v>
      </c>
      <c r="O778" s="3">
        <f t="shared" si="125"/>
        <v>3.9285714285714284</v>
      </c>
      <c r="P778">
        <f t="shared" si="126"/>
        <v>1</v>
      </c>
      <c r="Q778">
        <f t="shared" si="127"/>
        <v>0</v>
      </c>
      <c r="S778">
        <f t="shared" si="128"/>
        <v>-10.37142857142857</v>
      </c>
      <c r="T778">
        <f t="shared" si="129"/>
        <v>-2.5</v>
      </c>
      <c r="U778">
        <f t="shared" si="130"/>
        <v>-12.5</v>
      </c>
      <c r="V778">
        <f t="shared" si="131"/>
        <v>-1.2</v>
      </c>
      <c r="W778">
        <f t="shared" si="132"/>
        <v>0</v>
      </c>
      <c r="X778">
        <f t="shared" si="133"/>
        <v>4.4000000000000004</v>
      </c>
      <c r="Y778">
        <f t="shared" si="134"/>
        <v>1.4285714285714286</v>
      </c>
    </row>
    <row r="779" spans="1:25" x14ac:dyDescent="0.2">
      <c r="A779" t="s">
        <v>17</v>
      </c>
      <c r="B779" t="s">
        <v>403</v>
      </c>
      <c r="C779">
        <v>630</v>
      </c>
      <c r="D779">
        <v>270</v>
      </c>
      <c r="E779">
        <v>30</v>
      </c>
      <c r="F779">
        <v>11</v>
      </c>
      <c r="G779">
        <v>0</v>
      </c>
      <c r="H779">
        <v>60</v>
      </c>
      <c r="I779">
        <v>1370</v>
      </c>
      <c r="J779">
        <v>66</v>
      </c>
      <c r="K779">
        <v>4</v>
      </c>
      <c r="L779">
        <v>4</v>
      </c>
      <c r="M779">
        <v>24</v>
      </c>
      <c r="O779" s="3">
        <f t="shared" si="125"/>
        <v>3.8095238095238098</v>
      </c>
      <c r="P779">
        <f t="shared" si="126"/>
        <v>1</v>
      </c>
      <c r="Q779">
        <f t="shared" si="127"/>
        <v>0</v>
      </c>
      <c r="S779">
        <f t="shared" si="128"/>
        <v>-13.012732919254658</v>
      </c>
      <c r="T779">
        <f t="shared" si="129"/>
        <v>-2.75</v>
      </c>
      <c r="U779">
        <f t="shared" si="130"/>
        <v>-14.891304347826088</v>
      </c>
      <c r="V779">
        <f t="shared" si="131"/>
        <v>-1.6</v>
      </c>
      <c r="W779">
        <f t="shared" si="132"/>
        <v>0</v>
      </c>
      <c r="X779">
        <f t="shared" si="133"/>
        <v>4.8</v>
      </c>
      <c r="Y779">
        <f t="shared" si="134"/>
        <v>1.4285714285714286</v>
      </c>
    </row>
    <row r="780" spans="1:25" x14ac:dyDescent="0.2">
      <c r="A780" t="s">
        <v>17</v>
      </c>
      <c r="B780" t="s">
        <v>415</v>
      </c>
      <c r="C780">
        <v>350</v>
      </c>
      <c r="D780">
        <v>170</v>
      </c>
      <c r="E780">
        <v>18</v>
      </c>
      <c r="F780">
        <v>5</v>
      </c>
      <c r="G780">
        <v>0</v>
      </c>
      <c r="H780">
        <v>25</v>
      </c>
      <c r="I780">
        <v>560</v>
      </c>
      <c r="J780">
        <v>33</v>
      </c>
      <c r="K780">
        <v>4</v>
      </c>
      <c r="L780">
        <v>3</v>
      </c>
      <c r="M780">
        <v>13</v>
      </c>
      <c r="O780" s="3">
        <f t="shared" si="125"/>
        <v>3.7142857142857144</v>
      </c>
      <c r="P780">
        <f t="shared" si="126"/>
        <v>1</v>
      </c>
      <c r="Q780">
        <f t="shared" si="127"/>
        <v>0</v>
      </c>
      <c r="S780">
        <f t="shared" si="128"/>
        <v>-4.5083850931677016</v>
      </c>
      <c r="T780">
        <f t="shared" si="129"/>
        <v>-1.25</v>
      </c>
      <c r="U780">
        <f t="shared" si="130"/>
        <v>-6.0869565217391308</v>
      </c>
      <c r="V780">
        <f t="shared" si="131"/>
        <v>-1.2</v>
      </c>
      <c r="W780">
        <f t="shared" si="132"/>
        <v>0</v>
      </c>
      <c r="X780">
        <f t="shared" si="133"/>
        <v>2.6</v>
      </c>
      <c r="Y780">
        <f t="shared" si="134"/>
        <v>1.4285714285714286</v>
      </c>
    </row>
    <row r="781" spans="1:25" x14ac:dyDescent="0.2">
      <c r="A781" t="s">
        <v>17</v>
      </c>
      <c r="B781" t="s">
        <v>418</v>
      </c>
      <c r="C781">
        <v>350</v>
      </c>
      <c r="D781">
        <v>80</v>
      </c>
      <c r="E781">
        <v>9</v>
      </c>
      <c r="F781">
        <v>3.5</v>
      </c>
      <c r="G781">
        <v>0</v>
      </c>
      <c r="H781">
        <v>5</v>
      </c>
      <c r="I781">
        <v>1000</v>
      </c>
      <c r="J781">
        <v>54</v>
      </c>
      <c r="K781">
        <v>11</v>
      </c>
      <c r="L781">
        <v>3</v>
      </c>
      <c r="M781">
        <v>13</v>
      </c>
      <c r="O781" s="3">
        <f t="shared" si="125"/>
        <v>3.7142857142857144</v>
      </c>
      <c r="P781">
        <f t="shared" si="126"/>
        <v>1</v>
      </c>
      <c r="Q781">
        <f t="shared" si="127"/>
        <v>0</v>
      </c>
      <c r="S781">
        <f t="shared" si="128"/>
        <v>-6.4159937888198755</v>
      </c>
      <c r="T781">
        <f t="shared" si="129"/>
        <v>-0.875</v>
      </c>
      <c r="U781">
        <f t="shared" si="130"/>
        <v>-10.869565217391305</v>
      </c>
      <c r="V781">
        <f t="shared" si="131"/>
        <v>-1.2</v>
      </c>
      <c r="W781">
        <f t="shared" si="132"/>
        <v>0</v>
      </c>
      <c r="X781">
        <f t="shared" si="133"/>
        <v>2.6</v>
      </c>
      <c r="Y781">
        <f t="shared" si="134"/>
        <v>3.9285714285714284</v>
      </c>
    </row>
    <row r="782" spans="1:25" x14ac:dyDescent="0.2">
      <c r="A782" t="s">
        <v>17</v>
      </c>
      <c r="B782" t="s">
        <v>419</v>
      </c>
      <c r="C782">
        <v>350</v>
      </c>
      <c r="D782">
        <v>150</v>
      </c>
      <c r="E782">
        <v>16</v>
      </c>
      <c r="F782">
        <v>4.5</v>
      </c>
      <c r="G782">
        <v>0</v>
      </c>
      <c r="H782">
        <v>115</v>
      </c>
      <c r="I782">
        <v>870</v>
      </c>
      <c r="J782">
        <v>36</v>
      </c>
      <c r="K782">
        <v>2</v>
      </c>
      <c r="L782">
        <v>3</v>
      </c>
      <c r="M782">
        <v>13</v>
      </c>
      <c r="O782" s="3">
        <f t="shared" si="125"/>
        <v>3.7142857142857144</v>
      </c>
      <c r="P782">
        <f t="shared" si="126"/>
        <v>1</v>
      </c>
      <c r="Q782">
        <f t="shared" si="127"/>
        <v>0</v>
      </c>
      <c r="S782">
        <f t="shared" si="128"/>
        <v>-8.4672360248447198</v>
      </c>
      <c r="T782">
        <f t="shared" si="129"/>
        <v>-1.125</v>
      </c>
      <c r="U782">
        <f t="shared" si="130"/>
        <v>-9.4565217391304337</v>
      </c>
      <c r="V782">
        <f t="shared" si="131"/>
        <v>-1.2</v>
      </c>
      <c r="W782">
        <f t="shared" si="132"/>
        <v>0</v>
      </c>
      <c r="X782">
        <f t="shared" si="133"/>
        <v>2.6</v>
      </c>
      <c r="Y782">
        <f t="shared" si="134"/>
        <v>0.7142857142857143</v>
      </c>
    </row>
    <row r="783" spans="1:25" x14ac:dyDescent="0.2">
      <c r="A783" t="s">
        <v>17</v>
      </c>
      <c r="B783" t="s">
        <v>420</v>
      </c>
      <c r="C783">
        <v>570</v>
      </c>
      <c r="D783">
        <v>300</v>
      </c>
      <c r="E783">
        <v>33</v>
      </c>
      <c r="F783">
        <v>10</v>
      </c>
      <c r="G783">
        <v>0</v>
      </c>
      <c r="H783">
        <v>135</v>
      </c>
      <c r="I783">
        <v>1270</v>
      </c>
      <c r="J783">
        <v>49</v>
      </c>
      <c r="K783">
        <v>4</v>
      </c>
      <c r="L783">
        <v>2</v>
      </c>
      <c r="M783">
        <v>21</v>
      </c>
      <c r="O783" s="3">
        <f t="shared" si="125"/>
        <v>3.6842105263157889</v>
      </c>
      <c r="P783">
        <f t="shared" si="126"/>
        <v>1</v>
      </c>
      <c r="Q783">
        <f t="shared" si="127"/>
        <v>0</v>
      </c>
      <c r="S783">
        <f t="shared" si="128"/>
        <v>-11.47577639751553</v>
      </c>
      <c r="T783">
        <f t="shared" si="129"/>
        <v>-2.5</v>
      </c>
      <c r="U783">
        <f t="shared" si="130"/>
        <v>-13.804347826086957</v>
      </c>
      <c r="V783">
        <f t="shared" si="131"/>
        <v>-0.8</v>
      </c>
      <c r="W783">
        <f t="shared" si="132"/>
        <v>0</v>
      </c>
      <c r="X783">
        <f t="shared" si="133"/>
        <v>4.2</v>
      </c>
      <c r="Y783">
        <f t="shared" si="134"/>
        <v>1.4285714285714286</v>
      </c>
    </row>
    <row r="784" spans="1:25" x14ac:dyDescent="0.2">
      <c r="A784" t="s">
        <v>17</v>
      </c>
      <c r="B784" t="s">
        <v>421</v>
      </c>
      <c r="C784">
        <v>490</v>
      </c>
      <c r="D784">
        <v>160</v>
      </c>
      <c r="E784">
        <v>18</v>
      </c>
      <c r="F784">
        <v>7</v>
      </c>
      <c r="G784">
        <v>0</v>
      </c>
      <c r="H784">
        <v>30</v>
      </c>
      <c r="I784">
        <v>1250</v>
      </c>
      <c r="J784">
        <v>63</v>
      </c>
      <c r="K784">
        <v>9</v>
      </c>
      <c r="L784">
        <v>5</v>
      </c>
      <c r="M784">
        <v>18</v>
      </c>
      <c r="O784" s="3">
        <f t="shared" si="125"/>
        <v>3.6734693877551026</v>
      </c>
      <c r="P784">
        <f t="shared" si="126"/>
        <v>1</v>
      </c>
      <c r="Q784">
        <f t="shared" si="127"/>
        <v>0</v>
      </c>
      <c r="S784">
        <f t="shared" si="128"/>
        <v>-10.522670807453414</v>
      </c>
      <c r="T784">
        <f t="shared" si="129"/>
        <v>-1.75</v>
      </c>
      <c r="U784">
        <f t="shared" si="130"/>
        <v>-13.586956521739129</v>
      </c>
      <c r="V784">
        <f t="shared" si="131"/>
        <v>-2.0000000000000004</v>
      </c>
      <c r="W784">
        <f t="shared" si="132"/>
        <v>0</v>
      </c>
      <c r="X784">
        <f t="shared" si="133"/>
        <v>3.5999999999999996</v>
      </c>
      <c r="Y784">
        <f t="shared" si="134"/>
        <v>3.2142857142857149</v>
      </c>
    </row>
    <row r="785" spans="1:25" x14ac:dyDescent="0.2">
      <c r="A785" t="s">
        <v>17</v>
      </c>
      <c r="B785" t="s">
        <v>425</v>
      </c>
      <c r="C785">
        <v>660</v>
      </c>
      <c r="D785">
        <v>350</v>
      </c>
      <c r="E785">
        <v>38</v>
      </c>
      <c r="F785">
        <v>12</v>
      </c>
      <c r="G785">
        <v>0</v>
      </c>
      <c r="H785">
        <v>145</v>
      </c>
      <c r="I785">
        <v>1300</v>
      </c>
      <c r="J785">
        <v>51</v>
      </c>
      <c r="K785">
        <v>4</v>
      </c>
      <c r="L785">
        <v>3</v>
      </c>
      <c r="M785">
        <v>24</v>
      </c>
      <c r="O785" s="3">
        <f t="shared" si="125"/>
        <v>3.6363636363636362</v>
      </c>
      <c r="P785">
        <f t="shared" si="126"/>
        <v>1</v>
      </c>
      <c r="Q785">
        <f t="shared" si="127"/>
        <v>0</v>
      </c>
      <c r="S785">
        <f t="shared" si="128"/>
        <v>-12.101863354037265</v>
      </c>
      <c r="T785">
        <f t="shared" si="129"/>
        <v>-3</v>
      </c>
      <c r="U785">
        <f t="shared" si="130"/>
        <v>-14.130434782608695</v>
      </c>
      <c r="V785">
        <f t="shared" si="131"/>
        <v>-1.2</v>
      </c>
      <c r="W785">
        <f t="shared" si="132"/>
        <v>0</v>
      </c>
      <c r="X785">
        <f t="shared" si="133"/>
        <v>4.8</v>
      </c>
      <c r="Y785">
        <f t="shared" si="134"/>
        <v>1.4285714285714286</v>
      </c>
    </row>
    <row r="786" spans="1:25" x14ac:dyDescent="0.2">
      <c r="A786" t="s">
        <v>17</v>
      </c>
      <c r="B786" t="s">
        <v>446</v>
      </c>
      <c r="C786">
        <v>650</v>
      </c>
      <c r="D786">
        <v>300</v>
      </c>
      <c r="E786">
        <v>33</v>
      </c>
      <c r="F786">
        <v>12</v>
      </c>
      <c r="G786">
        <v>0.5</v>
      </c>
      <c r="H786">
        <v>55</v>
      </c>
      <c r="I786">
        <v>1390</v>
      </c>
      <c r="J786">
        <v>67</v>
      </c>
      <c r="K786">
        <v>6</v>
      </c>
      <c r="L786">
        <v>5</v>
      </c>
      <c r="M786">
        <v>22</v>
      </c>
      <c r="O786" s="3">
        <f t="shared" si="125"/>
        <v>3.3846153846153846</v>
      </c>
      <c r="P786">
        <f t="shared" si="126"/>
        <v>1</v>
      </c>
      <c r="Q786">
        <f t="shared" si="127"/>
        <v>0</v>
      </c>
      <c r="S786">
        <f t="shared" si="128"/>
        <v>-13.56633850931677</v>
      </c>
      <c r="T786">
        <f t="shared" si="129"/>
        <v>-3</v>
      </c>
      <c r="U786">
        <f t="shared" si="130"/>
        <v>-15.108695652173912</v>
      </c>
      <c r="V786">
        <f t="shared" si="131"/>
        <v>-2.0000000000000004</v>
      </c>
      <c r="W786">
        <f t="shared" si="132"/>
        <v>-5.0000000000000001E-4</v>
      </c>
      <c r="X786">
        <f t="shared" si="133"/>
        <v>4.4000000000000004</v>
      </c>
      <c r="Y786">
        <f t="shared" si="134"/>
        <v>2.1428571428571428</v>
      </c>
    </row>
    <row r="787" spans="1:25" x14ac:dyDescent="0.2">
      <c r="A787" t="s">
        <v>17</v>
      </c>
      <c r="B787" t="s">
        <v>462</v>
      </c>
      <c r="C787">
        <v>340</v>
      </c>
      <c r="D787">
        <v>160</v>
      </c>
      <c r="E787">
        <v>17</v>
      </c>
      <c r="F787">
        <v>5</v>
      </c>
      <c r="G787">
        <v>0</v>
      </c>
      <c r="H787">
        <v>110</v>
      </c>
      <c r="I787">
        <v>730</v>
      </c>
      <c r="J787">
        <v>36</v>
      </c>
      <c r="K787">
        <v>2</v>
      </c>
      <c r="L787">
        <v>3</v>
      </c>
      <c r="M787">
        <v>11</v>
      </c>
      <c r="O787" s="3">
        <f t="shared" si="125"/>
        <v>3.2352941176470593</v>
      </c>
      <c r="P787">
        <f t="shared" si="126"/>
        <v>1</v>
      </c>
      <c r="Q787">
        <f t="shared" si="127"/>
        <v>0</v>
      </c>
      <c r="S787">
        <f t="shared" si="128"/>
        <v>-7.4704968944099379</v>
      </c>
      <c r="T787">
        <f t="shared" si="129"/>
        <v>-1.25</v>
      </c>
      <c r="U787">
        <f t="shared" si="130"/>
        <v>-7.9347826086956523</v>
      </c>
      <c r="V787">
        <f t="shared" si="131"/>
        <v>-1.2</v>
      </c>
      <c r="W787">
        <f t="shared" si="132"/>
        <v>0</v>
      </c>
      <c r="X787">
        <f t="shared" si="133"/>
        <v>2.2000000000000002</v>
      </c>
      <c r="Y787">
        <f t="shared" si="134"/>
        <v>0.7142857142857143</v>
      </c>
    </row>
    <row r="788" spans="1:25" x14ac:dyDescent="0.2">
      <c r="A788" t="s">
        <v>17</v>
      </c>
      <c r="B788" t="s">
        <v>473</v>
      </c>
      <c r="C788">
        <v>570</v>
      </c>
      <c r="D788">
        <v>300</v>
      </c>
      <c r="E788">
        <v>34</v>
      </c>
      <c r="F788">
        <v>10</v>
      </c>
      <c r="G788">
        <v>0</v>
      </c>
      <c r="H788">
        <v>130</v>
      </c>
      <c r="I788">
        <v>1130</v>
      </c>
      <c r="J788">
        <v>49</v>
      </c>
      <c r="K788">
        <v>4</v>
      </c>
      <c r="L788">
        <v>2</v>
      </c>
      <c r="M788">
        <v>18</v>
      </c>
      <c r="O788" s="3">
        <f t="shared" si="125"/>
        <v>3.1578947368421053</v>
      </c>
      <c r="P788">
        <f t="shared" si="126"/>
        <v>1</v>
      </c>
      <c r="Q788">
        <f t="shared" si="127"/>
        <v>0</v>
      </c>
      <c r="S788">
        <f t="shared" si="128"/>
        <v>-10.554037267080746</v>
      </c>
      <c r="T788">
        <f t="shared" si="129"/>
        <v>-2.5</v>
      </c>
      <c r="U788">
        <f t="shared" si="130"/>
        <v>-12.282608695652174</v>
      </c>
      <c r="V788">
        <f t="shared" si="131"/>
        <v>-0.8</v>
      </c>
      <c r="W788">
        <f t="shared" si="132"/>
        <v>0</v>
      </c>
      <c r="X788">
        <f t="shared" si="133"/>
        <v>3.5999999999999996</v>
      </c>
      <c r="Y788">
        <f t="shared" si="134"/>
        <v>1.4285714285714286</v>
      </c>
    </row>
    <row r="789" spans="1:25" x14ac:dyDescent="0.2">
      <c r="A789" t="s">
        <v>17</v>
      </c>
      <c r="B789" t="s">
        <v>475</v>
      </c>
      <c r="C789">
        <v>670</v>
      </c>
      <c r="D789">
        <v>370</v>
      </c>
      <c r="E789">
        <v>41</v>
      </c>
      <c r="F789">
        <v>12</v>
      </c>
      <c r="G789">
        <v>0</v>
      </c>
      <c r="H789">
        <v>140</v>
      </c>
      <c r="I789">
        <v>1270</v>
      </c>
      <c r="J789">
        <v>50</v>
      </c>
      <c r="K789">
        <v>4</v>
      </c>
      <c r="L789">
        <v>3</v>
      </c>
      <c r="M789">
        <v>21</v>
      </c>
      <c r="O789" s="3">
        <f t="shared" si="125"/>
        <v>3.1343283582089549</v>
      </c>
      <c r="P789">
        <f t="shared" si="126"/>
        <v>1</v>
      </c>
      <c r="Q789">
        <f t="shared" si="127"/>
        <v>0</v>
      </c>
      <c r="S789">
        <f t="shared" si="128"/>
        <v>-12.375776397515528</v>
      </c>
      <c r="T789">
        <f t="shared" si="129"/>
        <v>-3</v>
      </c>
      <c r="U789">
        <f t="shared" si="130"/>
        <v>-13.804347826086957</v>
      </c>
      <c r="V789">
        <f t="shared" si="131"/>
        <v>-1.2</v>
      </c>
      <c r="W789">
        <f t="shared" si="132"/>
        <v>0</v>
      </c>
      <c r="X789">
        <f t="shared" si="133"/>
        <v>4.2</v>
      </c>
      <c r="Y789">
        <f t="shared" si="134"/>
        <v>1.4285714285714286</v>
      </c>
    </row>
    <row r="790" spans="1:25" x14ac:dyDescent="0.2">
      <c r="A790" t="s">
        <v>17</v>
      </c>
      <c r="B790" t="s">
        <v>489</v>
      </c>
      <c r="C790">
        <v>330</v>
      </c>
      <c r="D790">
        <v>140</v>
      </c>
      <c r="E790">
        <v>15</v>
      </c>
      <c r="F790">
        <v>3</v>
      </c>
      <c r="G790">
        <v>0</v>
      </c>
      <c r="H790">
        <v>10</v>
      </c>
      <c r="I790">
        <v>430</v>
      </c>
      <c r="J790">
        <v>39</v>
      </c>
      <c r="K790">
        <v>5</v>
      </c>
      <c r="L790">
        <v>3</v>
      </c>
      <c r="M790">
        <v>10</v>
      </c>
      <c r="O790" s="3">
        <f t="shared" si="125"/>
        <v>3.0303030303030303</v>
      </c>
      <c r="P790">
        <f t="shared" si="126"/>
        <v>0</v>
      </c>
      <c r="Q790">
        <f t="shared" si="127"/>
        <v>0</v>
      </c>
      <c r="S790">
        <f t="shared" si="128"/>
        <v>-2.8381987577639749</v>
      </c>
      <c r="T790">
        <f t="shared" si="129"/>
        <v>-0.75</v>
      </c>
      <c r="U790">
        <f t="shared" si="130"/>
        <v>-4.6739130434782608</v>
      </c>
      <c r="V790">
        <f t="shared" si="131"/>
        <v>-1.2</v>
      </c>
      <c r="W790">
        <f t="shared" si="132"/>
        <v>0</v>
      </c>
      <c r="X790">
        <f t="shared" si="133"/>
        <v>2.0000000000000004</v>
      </c>
      <c r="Y790">
        <f t="shared" si="134"/>
        <v>1.785714285714286</v>
      </c>
    </row>
    <row r="791" spans="1:25" x14ac:dyDescent="0.2">
      <c r="A791" t="s">
        <v>17</v>
      </c>
      <c r="B791" t="s">
        <v>490</v>
      </c>
      <c r="C791">
        <v>530</v>
      </c>
      <c r="D791">
        <v>190</v>
      </c>
      <c r="E791">
        <v>21</v>
      </c>
      <c r="F791">
        <v>6</v>
      </c>
      <c r="G791">
        <v>0</v>
      </c>
      <c r="H791">
        <v>25</v>
      </c>
      <c r="I791">
        <v>1200</v>
      </c>
      <c r="J791">
        <v>71</v>
      </c>
      <c r="K791">
        <v>6</v>
      </c>
      <c r="L791">
        <v>6</v>
      </c>
      <c r="M791">
        <v>16</v>
      </c>
      <c r="O791" s="3">
        <f t="shared" si="125"/>
        <v>3.0188679245283021</v>
      </c>
      <c r="P791">
        <f t="shared" si="126"/>
        <v>1</v>
      </c>
      <c r="Q791">
        <f t="shared" si="127"/>
        <v>0</v>
      </c>
      <c r="S791">
        <f t="shared" si="128"/>
        <v>-11.600621118012423</v>
      </c>
      <c r="T791">
        <f t="shared" si="129"/>
        <v>-1.5</v>
      </c>
      <c r="U791">
        <f t="shared" si="130"/>
        <v>-13.043478260869565</v>
      </c>
      <c r="V791">
        <f t="shared" si="131"/>
        <v>-2.4</v>
      </c>
      <c r="W791">
        <f t="shared" si="132"/>
        <v>0</v>
      </c>
      <c r="X791">
        <f t="shared" si="133"/>
        <v>3.2</v>
      </c>
      <c r="Y791">
        <f t="shared" si="134"/>
        <v>2.1428571428571428</v>
      </c>
    </row>
    <row r="792" spans="1:25" x14ac:dyDescent="0.2">
      <c r="A792" t="s">
        <v>17</v>
      </c>
      <c r="B792" t="s">
        <v>494</v>
      </c>
      <c r="C792">
        <v>630</v>
      </c>
      <c r="D792">
        <v>270</v>
      </c>
      <c r="E792">
        <v>29</v>
      </c>
      <c r="F792">
        <v>10</v>
      </c>
      <c r="G792">
        <v>0</v>
      </c>
      <c r="H792">
        <v>35</v>
      </c>
      <c r="I792">
        <v>1260</v>
      </c>
      <c r="J792">
        <v>73</v>
      </c>
      <c r="K792">
        <v>7</v>
      </c>
      <c r="L792">
        <v>5</v>
      </c>
      <c r="M792">
        <v>19</v>
      </c>
      <c r="O792" s="3">
        <f t="shared" si="125"/>
        <v>3.0158730158730158</v>
      </c>
      <c r="P792">
        <f t="shared" si="126"/>
        <v>1</v>
      </c>
      <c r="Q792">
        <f t="shared" si="127"/>
        <v>0</v>
      </c>
      <c r="S792">
        <f t="shared" si="128"/>
        <v>-11.895652173913042</v>
      </c>
      <c r="T792">
        <f t="shared" si="129"/>
        <v>-2.5</v>
      </c>
      <c r="U792">
        <f t="shared" si="130"/>
        <v>-13.695652173913043</v>
      </c>
      <c r="V792">
        <f t="shared" si="131"/>
        <v>-2.0000000000000004</v>
      </c>
      <c r="W792">
        <f t="shared" si="132"/>
        <v>0</v>
      </c>
      <c r="X792">
        <f t="shared" si="133"/>
        <v>3.8000000000000007</v>
      </c>
      <c r="Y792">
        <f t="shared" si="134"/>
        <v>2.5</v>
      </c>
    </row>
    <row r="793" spans="1:25" x14ac:dyDescent="0.2">
      <c r="A793" t="s">
        <v>17</v>
      </c>
      <c r="B793" t="s">
        <v>500</v>
      </c>
      <c r="C793">
        <v>340</v>
      </c>
      <c r="D793">
        <v>130</v>
      </c>
      <c r="E793">
        <v>14</v>
      </c>
      <c r="F793">
        <v>3.5</v>
      </c>
      <c r="G793">
        <v>0</v>
      </c>
      <c r="H793">
        <v>100</v>
      </c>
      <c r="I793">
        <v>750</v>
      </c>
      <c r="J793">
        <v>43</v>
      </c>
      <c r="K793">
        <v>3</v>
      </c>
      <c r="L793">
        <v>3</v>
      </c>
      <c r="M793">
        <v>10</v>
      </c>
      <c r="O793" s="3">
        <f t="shared" ref="O793:O856" si="135">M793/C793*100</f>
        <v>2.9411764705882351</v>
      </c>
      <c r="P793">
        <f t="shared" si="126"/>
        <v>1</v>
      </c>
      <c r="Q793">
        <f t="shared" si="127"/>
        <v>0</v>
      </c>
      <c r="S793">
        <f t="shared" si="128"/>
        <v>-7.1557453416149066</v>
      </c>
      <c r="T793">
        <f t="shared" si="129"/>
        <v>-0.875</v>
      </c>
      <c r="U793">
        <f t="shared" si="130"/>
        <v>-8.1521739130434785</v>
      </c>
      <c r="V793">
        <f t="shared" si="131"/>
        <v>-1.2</v>
      </c>
      <c r="W793">
        <f t="shared" si="132"/>
        <v>0</v>
      </c>
      <c r="X793">
        <f t="shared" si="133"/>
        <v>2.0000000000000004</v>
      </c>
      <c r="Y793">
        <f t="shared" si="134"/>
        <v>1.0714285714285714</v>
      </c>
    </row>
    <row r="794" spans="1:25" x14ac:dyDescent="0.2">
      <c r="A794" t="s">
        <v>17</v>
      </c>
      <c r="B794" t="s">
        <v>502</v>
      </c>
      <c r="C794">
        <v>720</v>
      </c>
      <c r="D794">
        <v>430</v>
      </c>
      <c r="E794">
        <v>47</v>
      </c>
      <c r="F794">
        <v>15</v>
      </c>
      <c r="G794">
        <v>0</v>
      </c>
      <c r="H794">
        <v>145</v>
      </c>
      <c r="I794">
        <v>1210</v>
      </c>
      <c r="J794">
        <v>51</v>
      </c>
      <c r="K794">
        <v>4</v>
      </c>
      <c r="L794">
        <v>3</v>
      </c>
      <c r="M794">
        <v>21</v>
      </c>
      <c r="O794" s="3">
        <f t="shared" si="135"/>
        <v>2.9166666666666665</v>
      </c>
      <c r="P794">
        <f t="shared" si="126"/>
        <v>1</v>
      </c>
      <c r="Q794">
        <f t="shared" si="127"/>
        <v>0</v>
      </c>
      <c r="S794">
        <f t="shared" si="128"/>
        <v>-12.473602484472048</v>
      </c>
      <c r="T794">
        <f t="shared" si="129"/>
        <v>-3.75</v>
      </c>
      <c r="U794">
        <f t="shared" si="130"/>
        <v>-13.152173913043477</v>
      </c>
      <c r="V794">
        <f t="shared" si="131"/>
        <v>-1.2</v>
      </c>
      <c r="W794">
        <f t="shared" si="132"/>
        <v>0</v>
      </c>
      <c r="X794">
        <f t="shared" si="133"/>
        <v>4.2</v>
      </c>
      <c r="Y794">
        <f t="shared" si="134"/>
        <v>1.4285714285714286</v>
      </c>
    </row>
    <row r="795" spans="1:25" x14ac:dyDescent="0.2">
      <c r="A795" t="s">
        <v>17</v>
      </c>
      <c r="B795" t="s">
        <v>519</v>
      </c>
      <c r="C795">
        <v>430</v>
      </c>
      <c r="D795">
        <v>160</v>
      </c>
      <c r="E795">
        <v>17</v>
      </c>
      <c r="F795">
        <v>5</v>
      </c>
      <c r="G795">
        <v>0</v>
      </c>
      <c r="H795">
        <v>20</v>
      </c>
      <c r="I795">
        <v>810</v>
      </c>
      <c r="J795">
        <v>57</v>
      </c>
      <c r="K795">
        <v>10</v>
      </c>
      <c r="L795">
        <v>2</v>
      </c>
      <c r="M795">
        <v>12</v>
      </c>
      <c r="O795" s="3">
        <f t="shared" si="135"/>
        <v>2.7906976744186047</v>
      </c>
      <c r="P795">
        <f t="shared" si="126"/>
        <v>1</v>
      </c>
      <c r="Q795">
        <f t="shared" si="127"/>
        <v>0</v>
      </c>
      <c r="S795">
        <f t="shared" si="128"/>
        <v>-4.8829192546583853</v>
      </c>
      <c r="T795">
        <f t="shared" si="129"/>
        <v>-1.25</v>
      </c>
      <c r="U795">
        <f t="shared" si="130"/>
        <v>-8.804347826086957</v>
      </c>
      <c r="V795">
        <f t="shared" si="131"/>
        <v>-0.8</v>
      </c>
      <c r="W795">
        <f t="shared" si="132"/>
        <v>0</v>
      </c>
      <c r="X795">
        <f t="shared" si="133"/>
        <v>2.4</v>
      </c>
      <c r="Y795">
        <f t="shared" si="134"/>
        <v>3.5714285714285721</v>
      </c>
    </row>
    <row r="796" spans="1:25" x14ac:dyDescent="0.2">
      <c r="A796" t="s">
        <v>17</v>
      </c>
      <c r="B796" t="s">
        <v>520</v>
      </c>
      <c r="C796">
        <v>430</v>
      </c>
      <c r="D796">
        <v>170</v>
      </c>
      <c r="E796">
        <v>19</v>
      </c>
      <c r="F796">
        <v>5</v>
      </c>
      <c r="G796">
        <v>0</v>
      </c>
      <c r="H796">
        <v>20</v>
      </c>
      <c r="I796">
        <v>970</v>
      </c>
      <c r="J796">
        <v>51</v>
      </c>
      <c r="K796">
        <v>4</v>
      </c>
      <c r="L796">
        <v>3</v>
      </c>
      <c r="M796">
        <v>12</v>
      </c>
      <c r="O796" s="3">
        <f t="shared" si="135"/>
        <v>2.7906976744186047</v>
      </c>
      <c r="P796">
        <f t="shared" si="126"/>
        <v>1</v>
      </c>
      <c r="Q796">
        <f t="shared" si="127"/>
        <v>0</v>
      </c>
      <c r="S796">
        <f t="shared" si="128"/>
        <v>-9.1649068322981364</v>
      </c>
      <c r="T796">
        <f t="shared" si="129"/>
        <v>-1.25</v>
      </c>
      <c r="U796">
        <f t="shared" si="130"/>
        <v>-10.543478260869566</v>
      </c>
      <c r="V796">
        <f t="shared" si="131"/>
        <v>-1.2</v>
      </c>
      <c r="W796">
        <f t="shared" si="132"/>
        <v>0</v>
      </c>
      <c r="X796">
        <f t="shared" si="133"/>
        <v>2.4</v>
      </c>
      <c r="Y796">
        <f t="shared" si="134"/>
        <v>1.4285714285714286</v>
      </c>
    </row>
    <row r="797" spans="1:25" x14ac:dyDescent="0.2">
      <c r="A797" t="s">
        <v>17</v>
      </c>
      <c r="B797" t="s">
        <v>522</v>
      </c>
      <c r="C797">
        <v>430</v>
      </c>
      <c r="D797">
        <v>160</v>
      </c>
      <c r="E797">
        <v>17</v>
      </c>
      <c r="F797">
        <v>5</v>
      </c>
      <c r="G797">
        <v>0</v>
      </c>
      <c r="H797">
        <v>20</v>
      </c>
      <c r="I797">
        <v>810</v>
      </c>
      <c r="J797">
        <v>57</v>
      </c>
      <c r="K797">
        <v>10</v>
      </c>
      <c r="L797">
        <v>2</v>
      </c>
      <c r="M797">
        <v>12</v>
      </c>
      <c r="O797" s="3">
        <f t="shared" si="135"/>
        <v>2.7906976744186047</v>
      </c>
      <c r="P797">
        <f t="shared" si="126"/>
        <v>1</v>
      </c>
      <c r="Q797">
        <f t="shared" si="127"/>
        <v>0</v>
      </c>
      <c r="S797">
        <f t="shared" si="128"/>
        <v>-4.8829192546583853</v>
      </c>
      <c r="T797">
        <f t="shared" si="129"/>
        <v>-1.25</v>
      </c>
      <c r="U797">
        <f t="shared" si="130"/>
        <v>-8.804347826086957</v>
      </c>
      <c r="V797">
        <f t="shared" si="131"/>
        <v>-0.8</v>
      </c>
      <c r="W797">
        <f t="shared" si="132"/>
        <v>0</v>
      </c>
      <c r="X797">
        <f t="shared" si="133"/>
        <v>2.4</v>
      </c>
      <c r="Y797">
        <f t="shared" si="134"/>
        <v>3.5714285714285721</v>
      </c>
    </row>
    <row r="798" spans="1:25" x14ac:dyDescent="0.2">
      <c r="A798" t="s">
        <v>17</v>
      </c>
      <c r="B798" t="s">
        <v>539</v>
      </c>
      <c r="C798">
        <v>720</v>
      </c>
      <c r="D798">
        <v>320</v>
      </c>
      <c r="E798">
        <v>36</v>
      </c>
      <c r="F798">
        <v>6</v>
      </c>
      <c r="G798">
        <v>0</v>
      </c>
      <c r="H798">
        <v>30</v>
      </c>
      <c r="I798">
        <v>1030</v>
      </c>
      <c r="J798">
        <v>81</v>
      </c>
      <c r="K798">
        <v>14</v>
      </c>
      <c r="L798">
        <v>5</v>
      </c>
      <c r="M798">
        <v>19</v>
      </c>
      <c r="O798" s="3">
        <f t="shared" si="135"/>
        <v>2.6388888888888888</v>
      </c>
      <c r="P798">
        <f t="shared" si="126"/>
        <v>1</v>
      </c>
      <c r="Q798">
        <f t="shared" si="127"/>
        <v>0</v>
      </c>
      <c r="S798">
        <f t="shared" si="128"/>
        <v>-5.8956521739130441</v>
      </c>
      <c r="T798">
        <f t="shared" si="129"/>
        <v>-1.5</v>
      </c>
      <c r="U798">
        <f t="shared" si="130"/>
        <v>-11.195652173913045</v>
      </c>
      <c r="V798">
        <f t="shared" si="131"/>
        <v>-2.0000000000000004</v>
      </c>
      <c r="W798">
        <f t="shared" si="132"/>
        <v>0</v>
      </c>
      <c r="X798">
        <f t="shared" si="133"/>
        <v>3.8000000000000007</v>
      </c>
      <c r="Y798">
        <f t="shared" si="134"/>
        <v>5</v>
      </c>
    </row>
    <row r="799" spans="1:25" x14ac:dyDescent="0.2">
      <c r="A799" t="s">
        <v>17</v>
      </c>
      <c r="B799" t="s">
        <v>556</v>
      </c>
      <c r="C799">
        <v>510</v>
      </c>
      <c r="D799">
        <v>160</v>
      </c>
      <c r="E799">
        <v>17</v>
      </c>
      <c r="F799">
        <v>4.5</v>
      </c>
      <c r="G799">
        <v>0</v>
      </c>
      <c r="H799">
        <v>5</v>
      </c>
      <c r="I799">
        <v>1080</v>
      </c>
      <c r="J799">
        <v>77</v>
      </c>
      <c r="K799">
        <v>8</v>
      </c>
      <c r="L799">
        <v>6</v>
      </c>
      <c r="M799">
        <v>13</v>
      </c>
      <c r="O799" s="3">
        <f t="shared" si="135"/>
        <v>2.5490196078431371</v>
      </c>
      <c r="P799">
        <f t="shared" si="126"/>
        <v>1</v>
      </c>
      <c r="Q799">
        <f t="shared" si="127"/>
        <v>0</v>
      </c>
      <c r="S799">
        <f t="shared" si="128"/>
        <v>-9.8069875776397524</v>
      </c>
      <c r="T799">
        <f t="shared" si="129"/>
        <v>-1.125</v>
      </c>
      <c r="U799">
        <f t="shared" si="130"/>
        <v>-11.739130434782609</v>
      </c>
      <c r="V799">
        <f t="shared" si="131"/>
        <v>-2.4</v>
      </c>
      <c r="W799">
        <f t="shared" si="132"/>
        <v>0</v>
      </c>
      <c r="X799">
        <f t="shared" si="133"/>
        <v>2.6</v>
      </c>
      <c r="Y799">
        <f t="shared" si="134"/>
        <v>2.8571428571428572</v>
      </c>
    </row>
    <row r="800" spans="1:25" x14ac:dyDescent="0.2">
      <c r="A800" t="s">
        <v>17</v>
      </c>
      <c r="B800" t="s">
        <v>573</v>
      </c>
      <c r="C800">
        <v>420</v>
      </c>
      <c r="D800">
        <v>140</v>
      </c>
      <c r="E800">
        <v>16</v>
      </c>
      <c r="F800">
        <v>4</v>
      </c>
      <c r="G800">
        <v>0</v>
      </c>
      <c r="H800">
        <v>0</v>
      </c>
      <c r="I800">
        <v>880</v>
      </c>
      <c r="J800">
        <v>56</v>
      </c>
      <c r="K800">
        <v>7</v>
      </c>
      <c r="L800">
        <v>3</v>
      </c>
      <c r="M800">
        <v>10</v>
      </c>
      <c r="O800" s="3">
        <f t="shared" si="135"/>
        <v>2.3809523809523809</v>
      </c>
      <c r="P800">
        <f t="shared" si="126"/>
        <v>1</v>
      </c>
      <c r="Q800">
        <f t="shared" si="127"/>
        <v>0</v>
      </c>
      <c r="S800">
        <f t="shared" si="128"/>
        <v>-7.265217391304347</v>
      </c>
      <c r="T800">
        <f t="shared" si="129"/>
        <v>-1</v>
      </c>
      <c r="U800">
        <f t="shared" si="130"/>
        <v>-9.5652173913043477</v>
      </c>
      <c r="V800">
        <f t="shared" si="131"/>
        <v>-1.2</v>
      </c>
      <c r="W800">
        <f t="shared" si="132"/>
        <v>0</v>
      </c>
      <c r="X800">
        <f t="shared" si="133"/>
        <v>2.0000000000000004</v>
      </c>
      <c r="Y800">
        <f t="shared" si="134"/>
        <v>2.5</v>
      </c>
    </row>
    <row r="801" spans="1:25" x14ac:dyDescent="0.2">
      <c r="A801" t="s">
        <v>17</v>
      </c>
      <c r="B801" t="s">
        <v>579</v>
      </c>
      <c r="C801">
        <v>170</v>
      </c>
      <c r="D801">
        <v>30</v>
      </c>
      <c r="E801">
        <v>3.5</v>
      </c>
      <c r="F801">
        <v>0</v>
      </c>
      <c r="G801">
        <v>0</v>
      </c>
      <c r="H801">
        <v>0</v>
      </c>
      <c r="I801">
        <v>320</v>
      </c>
      <c r="J801">
        <v>31</v>
      </c>
      <c r="K801">
        <v>4</v>
      </c>
      <c r="L801">
        <v>0</v>
      </c>
      <c r="M801">
        <v>4</v>
      </c>
      <c r="O801" s="3">
        <f t="shared" si="135"/>
        <v>2.3529411764705883</v>
      </c>
      <c r="P801">
        <f t="shared" si="126"/>
        <v>0</v>
      </c>
      <c r="Q801">
        <f t="shared" si="127"/>
        <v>0</v>
      </c>
      <c r="S801">
        <f t="shared" si="128"/>
        <v>-1.2496894409937884</v>
      </c>
      <c r="T801">
        <f t="shared" si="129"/>
        <v>0</v>
      </c>
      <c r="U801">
        <f t="shared" si="130"/>
        <v>-3.4782608695652173</v>
      </c>
      <c r="V801">
        <f t="shared" si="131"/>
        <v>0</v>
      </c>
      <c r="W801">
        <f t="shared" si="132"/>
        <v>0</v>
      </c>
      <c r="X801">
        <f t="shared" si="133"/>
        <v>0.8</v>
      </c>
      <c r="Y801">
        <f t="shared" si="134"/>
        <v>1.4285714285714286</v>
      </c>
    </row>
    <row r="802" spans="1:25" x14ac:dyDescent="0.2">
      <c r="A802" t="s">
        <v>17</v>
      </c>
      <c r="B802" t="s">
        <v>608</v>
      </c>
      <c r="C802">
        <v>740</v>
      </c>
      <c r="D802">
        <v>340</v>
      </c>
      <c r="E802">
        <v>38</v>
      </c>
      <c r="F802">
        <v>7</v>
      </c>
      <c r="G802">
        <v>0</v>
      </c>
      <c r="H802">
        <v>25</v>
      </c>
      <c r="I802">
        <v>1050</v>
      </c>
      <c r="J802">
        <v>82</v>
      </c>
      <c r="K802">
        <v>15</v>
      </c>
      <c r="L802">
        <v>5</v>
      </c>
      <c r="M802">
        <v>16</v>
      </c>
      <c r="O802" s="3">
        <f t="shared" si="135"/>
        <v>2.1621621621621623</v>
      </c>
      <c r="P802">
        <f t="shared" si="126"/>
        <v>1</v>
      </c>
      <c r="Q802">
        <f t="shared" si="127"/>
        <v>0</v>
      </c>
      <c r="S802">
        <f t="shared" si="128"/>
        <v>-6.6059006211180105</v>
      </c>
      <c r="T802">
        <f t="shared" si="129"/>
        <v>-1.75</v>
      </c>
      <c r="U802">
        <f t="shared" si="130"/>
        <v>-11.413043478260869</v>
      </c>
      <c r="V802">
        <f t="shared" si="131"/>
        <v>-2.0000000000000004</v>
      </c>
      <c r="W802">
        <f t="shared" si="132"/>
        <v>0</v>
      </c>
      <c r="X802">
        <f t="shared" si="133"/>
        <v>3.2</v>
      </c>
      <c r="Y802">
        <f t="shared" si="134"/>
        <v>5.3571428571428577</v>
      </c>
    </row>
    <row r="803" spans="1:25" x14ac:dyDescent="0.2">
      <c r="A803" t="s">
        <v>17</v>
      </c>
      <c r="B803" t="s">
        <v>640</v>
      </c>
      <c r="C803">
        <v>710</v>
      </c>
      <c r="D803">
        <v>360</v>
      </c>
      <c r="E803">
        <v>40</v>
      </c>
      <c r="F803">
        <v>6</v>
      </c>
      <c r="G803">
        <v>0</v>
      </c>
      <c r="H803">
        <v>30</v>
      </c>
      <c r="I803">
        <v>1440</v>
      </c>
      <c r="J803">
        <v>73</v>
      </c>
      <c r="K803">
        <v>10</v>
      </c>
      <c r="L803">
        <v>4</v>
      </c>
      <c r="M803">
        <v>13</v>
      </c>
      <c r="O803" s="3">
        <f t="shared" si="135"/>
        <v>1.8309859154929577</v>
      </c>
      <c r="P803">
        <f t="shared" si="126"/>
        <v>1</v>
      </c>
      <c r="Q803">
        <f t="shared" si="127"/>
        <v>0</v>
      </c>
      <c r="S803">
        <f t="shared" si="128"/>
        <v>-12.580745341614907</v>
      </c>
      <c r="T803">
        <f t="shared" si="129"/>
        <v>-1.5</v>
      </c>
      <c r="U803">
        <f t="shared" si="130"/>
        <v>-15.65217391304348</v>
      </c>
      <c r="V803">
        <f t="shared" si="131"/>
        <v>-1.6</v>
      </c>
      <c r="W803">
        <f t="shared" si="132"/>
        <v>0</v>
      </c>
      <c r="X803">
        <f t="shared" si="133"/>
        <v>2.6</v>
      </c>
      <c r="Y803">
        <f t="shared" si="134"/>
        <v>3.5714285714285721</v>
      </c>
    </row>
    <row r="804" spans="1:25" x14ac:dyDescent="0.2">
      <c r="A804" t="s">
        <v>17</v>
      </c>
      <c r="B804" t="s">
        <v>667</v>
      </c>
      <c r="C804">
        <v>140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20</v>
      </c>
      <c r="J804">
        <v>33</v>
      </c>
      <c r="K804" s="2">
        <v>0</v>
      </c>
      <c r="L804">
        <v>28</v>
      </c>
      <c r="M804">
        <v>2</v>
      </c>
      <c r="O804" s="3">
        <f t="shared" si="135"/>
        <v>1.4285714285714286</v>
      </c>
      <c r="P804">
        <f t="shared" si="126"/>
        <v>0</v>
      </c>
      <c r="Q804">
        <f t="shared" si="127"/>
        <v>0</v>
      </c>
      <c r="S804">
        <f t="shared" si="128"/>
        <v>-11.017391304347827</v>
      </c>
      <c r="T804">
        <f t="shared" si="129"/>
        <v>0</v>
      </c>
      <c r="U804">
        <f t="shared" si="130"/>
        <v>-0.21739130434782608</v>
      </c>
      <c r="V804">
        <f t="shared" si="131"/>
        <v>-11.200000000000001</v>
      </c>
      <c r="W804">
        <f t="shared" si="132"/>
        <v>0</v>
      </c>
      <c r="X804">
        <f t="shared" si="133"/>
        <v>0.4</v>
      </c>
      <c r="Y804">
        <f t="shared" si="134"/>
        <v>0</v>
      </c>
    </row>
    <row r="805" spans="1:25" x14ac:dyDescent="0.2">
      <c r="A805" t="s">
        <v>17</v>
      </c>
      <c r="B805" t="s">
        <v>689</v>
      </c>
      <c r="C805">
        <v>320</v>
      </c>
      <c r="D805">
        <v>160</v>
      </c>
      <c r="E805">
        <v>18</v>
      </c>
      <c r="F805">
        <v>1.5</v>
      </c>
      <c r="G805">
        <v>0</v>
      </c>
      <c r="H805">
        <v>0</v>
      </c>
      <c r="I805">
        <v>630</v>
      </c>
      <c r="J805">
        <v>35</v>
      </c>
      <c r="K805">
        <v>4</v>
      </c>
      <c r="L805">
        <v>2</v>
      </c>
      <c r="M805">
        <v>4</v>
      </c>
      <c r="O805" s="3">
        <f t="shared" si="135"/>
        <v>1.25</v>
      </c>
      <c r="P805">
        <f t="shared" si="126"/>
        <v>1</v>
      </c>
      <c r="Q805">
        <f t="shared" si="127"/>
        <v>0</v>
      </c>
      <c r="S805">
        <f t="shared" si="128"/>
        <v>-5.7942546583850936</v>
      </c>
      <c r="T805">
        <f t="shared" si="129"/>
        <v>-0.375</v>
      </c>
      <c r="U805">
        <f t="shared" si="130"/>
        <v>-6.8478260869565215</v>
      </c>
      <c r="V805">
        <f t="shared" si="131"/>
        <v>-0.8</v>
      </c>
      <c r="W805">
        <f t="shared" si="132"/>
        <v>0</v>
      </c>
      <c r="X805">
        <f t="shared" si="133"/>
        <v>0.8</v>
      </c>
      <c r="Y805">
        <f t="shared" si="134"/>
        <v>1.4285714285714286</v>
      </c>
    </row>
    <row r="806" spans="1:25" x14ac:dyDescent="0.2">
      <c r="A806" t="s">
        <v>17</v>
      </c>
      <c r="B806" t="s">
        <v>691</v>
      </c>
      <c r="C806">
        <v>160</v>
      </c>
      <c r="D806">
        <v>80</v>
      </c>
      <c r="E806">
        <v>9</v>
      </c>
      <c r="F806">
        <v>2</v>
      </c>
      <c r="G806">
        <v>0</v>
      </c>
      <c r="H806">
        <v>5</v>
      </c>
      <c r="I806">
        <v>80</v>
      </c>
      <c r="J806">
        <v>17</v>
      </c>
      <c r="K806">
        <v>0</v>
      </c>
      <c r="L806">
        <v>10</v>
      </c>
      <c r="M806">
        <v>2</v>
      </c>
      <c r="O806" s="3">
        <f t="shared" si="135"/>
        <v>1.25</v>
      </c>
      <c r="P806">
        <f t="shared" si="126"/>
        <v>0</v>
      </c>
      <c r="Q806">
        <f t="shared" si="127"/>
        <v>0</v>
      </c>
      <c r="S806">
        <f t="shared" si="128"/>
        <v>-4.9695652173913043</v>
      </c>
      <c r="T806">
        <f t="shared" si="129"/>
        <v>-0.5</v>
      </c>
      <c r="U806">
        <f t="shared" si="130"/>
        <v>-0.86956521739130432</v>
      </c>
      <c r="V806">
        <f t="shared" si="131"/>
        <v>-4.0000000000000009</v>
      </c>
      <c r="W806">
        <f t="shared" si="132"/>
        <v>0</v>
      </c>
      <c r="X806">
        <f t="shared" si="133"/>
        <v>0.4</v>
      </c>
      <c r="Y806">
        <f t="shared" si="134"/>
        <v>0</v>
      </c>
    </row>
    <row r="807" spans="1:25" x14ac:dyDescent="0.2">
      <c r="A807" t="s">
        <v>17</v>
      </c>
      <c r="B807" t="s">
        <v>719</v>
      </c>
      <c r="C807">
        <v>930</v>
      </c>
      <c r="D807">
        <v>480</v>
      </c>
      <c r="E807">
        <v>53</v>
      </c>
      <c r="F807">
        <v>13</v>
      </c>
      <c r="G807">
        <v>2</v>
      </c>
      <c r="H807">
        <v>40</v>
      </c>
      <c r="I807">
        <v>480</v>
      </c>
      <c r="J807">
        <v>104</v>
      </c>
      <c r="K807">
        <v>3</v>
      </c>
      <c r="L807">
        <v>59</v>
      </c>
      <c r="M807">
        <v>9</v>
      </c>
      <c r="O807" s="3">
        <f t="shared" si="135"/>
        <v>0.967741935483871</v>
      </c>
      <c r="P807">
        <f t="shared" si="126"/>
        <v>1</v>
      </c>
      <c r="Q807">
        <f t="shared" si="127"/>
        <v>0</v>
      </c>
      <c r="S807">
        <f t="shared" si="128"/>
        <v>-29.197962732919251</v>
      </c>
      <c r="T807">
        <f t="shared" si="129"/>
        <v>-3.25</v>
      </c>
      <c r="U807">
        <f t="shared" si="130"/>
        <v>-5.2173913043478262</v>
      </c>
      <c r="V807">
        <f t="shared" si="131"/>
        <v>-23.599999999999998</v>
      </c>
      <c r="W807">
        <f t="shared" si="132"/>
        <v>-2E-3</v>
      </c>
      <c r="X807">
        <f t="shared" si="133"/>
        <v>1.7999999999999998</v>
      </c>
      <c r="Y807">
        <f t="shared" si="134"/>
        <v>1.0714285714285714</v>
      </c>
    </row>
    <row r="808" spans="1:25" x14ac:dyDescent="0.2">
      <c r="A808" t="s">
        <v>17</v>
      </c>
      <c r="B808" t="s">
        <v>731</v>
      </c>
      <c r="C808">
        <v>220</v>
      </c>
      <c r="D808">
        <v>120</v>
      </c>
      <c r="E808">
        <v>13</v>
      </c>
      <c r="F808">
        <v>1.5</v>
      </c>
      <c r="G808">
        <v>0</v>
      </c>
      <c r="H808">
        <v>0</v>
      </c>
      <c r="I808">
        <v>250</v>
      </c>
      <c r="J808">
        <v>24</v>
      </c>
      <c r="K808">
        <v>2</v>
      </c>
      <c r="L808">
        <v>2</v>
      </c>
      <c r="M808">
        <v>2</v>
      </c>
      <c r="O808" s="3">
        <f t="shared" si="135"/>
        <v>0.90909090909090906</v>
      </c>
      <c r="P808">
        <f t="shared" si="126"/>
        <v>0</v>
      </c>
      <c r="Q808">
        <f t="shared" si="127"/>
        <v>0</v>
      </c>
      <c r="S808">
        <f t="shared" si="128"/>
        <v>-2.7781055900621117</v>
      </c>
      <c r="T808">
        <f t="shared" si="129"/>
        <v>-0.375</v>
      </c>
      <c r="U808">
        <f t="shared" si="130"/>
        <v>-2.7173913043478262</v>
      </c>
      <c r="V808">
        <f t="shared" si="131"/>
        <v>-0.8</v>
      </c>
      <c r="W808">
        <f t="shared" si="132"/>
        <v>0</v>
      </c>
      <c r="X808">
        <f t="shared" si="133"/>
        <v>0.4</v>
      </c>
      <c r="Y808">
        <f t="shared" si="134"/>
        <v>0.7142857142857143</v>
      </c>
    </row>
    <row r="809" spans="1:25" x14ac:dyDescent="0.2">
      <c r="A809" t="s">
        <v>17</v>
      </c>
      <c r="B809" t="s">
        <v>753</v>
      </c>
      <c r="C809">
        <v>160</v>
      </c>
      <c r="D809">
        <v>100</v>
      </c>
      <c r="E809">
        <v>12</v>
      </c>
      <c r="F809">
        <v>1</v>
      </c>
      <c r="G809">
        <v>0</v>
      </c>
      <c r="H809">
        <v>0</v>
      </c>
      <c r="I809">
        <v>270</v>
      </c>
      <c r="J809">
        <v>13</v>
      </c>
      <c r="K809">
        <v>2</v>
      </c>
      <c r="L809">
        <v>0</v>
      </c>
      <c r="M809">
        <v>1</v>
      </c>
      <c r="O809" s="3">
        <f t="shared" si="135"/>
        <v>0.625</v>
      </c>
      <c r="P809">
        <f t="shared" si="126"/>
        <v>0</v>
      </c>
      <c r="Q809">
        <f t="shared" si="127"/>
        <v>0</v>
      </c>
      <c r="S809">
        <f t="shared" si="128"/>
        <v>-2.2704968944099377</v>
      </c>
      <c r="T809">
        <f t="shared" si="129"/>
        <v>-0.25</v>
      </c>
      <c r="U809">
        <f t="shared" si="130"/>
        <v>-2.9347826086956523</v>
      </c>
      <c r="V809">
        <f t="shared" si="131"/>
        <v>0</v>
      </c>
      <c r="W809">
        <f t="shared" si="132"/>
        <v>0</v>
      </c>
      <c r="X809">
        <f t="shared" si="133"/>
        <v>0.2</v>
      </c>
      <c r="Y809">
        <f t="shared" si="134"/>
        <v>0.7142857142857143</v>
      </c>
    </row>
    <row r="810" spans="1:25" x14ac:dyDescent="0.2">
      <c r="A810" t="s">
        <v>17</v>
      </c>
      <c r="B810" t="s">
        <v>760</v>
      </c>
      <c r="C810">
        <v>160</v>
      </c>
      <c r="D810">
        <v>100</v>
      </c>
      <c r="E810">
        <v>12</v>
      </c>
      <c r="F810">
        <v>1</v>
      </c>
      <c r="G810">
        <v>0</v>
      </c>
      <c r="H810">
        <v>0</v>
      </c>
      <c r="I810">
        <v>270</v>
      </c>
      <c r="J810">
        <v>13</v>
      </c>
      <c r="K810">
        <v>2</v>
      </c>
      <c r="L810">
        <v>0</v>
      </c>
      <c r="M810">
        <v>1</v>
      </c>
      <c r="O810" s="3">
        <f t="shared" si="135"/>
        <v>0.625</v>
      </c>
      <c r="P810">
        <f t="shared" si="126"/>
        <v>0</v>
      </c>
      <c r="Q810">
        <f t="shared" si="127"/>
        <v>0</v>
      </c>
      <c r="S810">
        <f t="shared" si="128"/>
        <v>-2.2704968944099377</v>
      </c>
      <c r="T810">
        <f t="shared" si="129"/>
        <v>-0.25</v>
      </c>
      <c r="U810">
        <f t="shared" si="130"/>
        <v>-2.9347826086956523</v>
      </c>
      <c r="V810">
        <f t="shared" si="131"/>
        <v>0</v>
      </c>
      <c r="W810">
        <f t="shared" si="132"/>
        <v>0</v>
      </c>
      <c r="X810">
        <f t="shared" si="133"/>
        <v>0.2</v>
      </c>
      <c r="Y810">
        <f t="shared" si="134"/>
        <v>0.7142857142857143</v>
      </c>
    </row>
    <row r="811" spans="1:25" x14ac:dyDescent="0.2">
      <c r="A811" t="s">
        <v>17</v>
      </c>
      <c r="B811" t="s">
        <v>766</v>
      </c>
      <c r="C811">
        <v>170</v>
      </c>
      <c r="D811">
        <v>50</v>
      </c>
      <c r="E811">
        <v>6</v>
      </c>
      <c r="F811">
        <v>0</v>
      </c>
      <c r="G811">
        <v>0</v>
      </c>
      <c r="H811">
        <v>0</v>
      </c>
      <c r="I811">
        <v>210</v>
      </c>
      <c r="J811">
        <v>27</v>
      </c>
      <c r="K811" s="2">
        <v>0</v>
      </c>
      <c r="L811">
        <v>13</v>
      </c>
      <c r="M811">
        <v>1</v>
      </c>
      <c r="O811" s="3">
        <f t="shared" si="135"/>
        <v>0.58823529411764708</v>
      </c>
      <c r="P811">
        <f t="shared" si="126"/>
        <v>0</v>
      </c>
      <c r="Q811">
        <f t="shared" si="127"/>
        <v>0</v>
      </c>
      <c r="S811">
        <f t="shared" si="128"/>
        <v>-7.2826086956521738</v>
      </c>
      <c r="T811">
        <f t="shared" si="129"/>
        <v>0</v>
      </c>
      <c r="U811">
        <f t="shared" si="130"/>
        <v>-2.2826086956521738</v>
      </c>
      <c r="V811">
        <f t="shared" si="131"/>
        <v>-5.2</v>
      </c>
      <c r="W811">
        <f t="shared" si="132"/>
        <v>0</v>
      </c>
      <c r="X811">
        <f t="shared" si="133"/>
        <v>0.2</v>
      </c>
      <c r="Y811">
        <f t="shared" si="134"/>
        <v>0</v>
      </c>
    </row>
    <row r="812" spans="1:25" x14ac:dyDescent="0.2">
      <c r="A812" t="s">
        <v>17</v>
      </c>
      <c r="B812" t="s">
        <v>1064</v>
      </c>
      <c r="C812">
        <v>120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35</v>
      </c>
      <c r="J812">
        <v>30</v>
      </c>
      <c r="K812">
        <v>0</v>
      </c>
      <c r="L812">
        <v>30</v>
      </c>
      <c r="M812">
        <v>0</v>
      </c>
      <c r="O812" s="3">
        <f t="shared" si="135"/>
        <v>0</v>
      </c>
      <c r="P812">
        <f t="shared" si="126"/>
        <v>0</v>
      </c>
      <c r="Q812">
        <f t="shared" si="127"/>
        <v>0</v>
      </c>
      <c r="S812">
        <f t="shared" si="128"/>
        <v>-12.380434782608695</v>
      </c>
      <c r="T812">
        <f t="shared" si="129"/>
        <v>0</v>
      </c>
      <c r="U812">
        <f t="shared" si="130"/>
        <v>-0.38043478260869568</v>
      </c>
      <c r="V812">
        <f t="shared" si="131"/>
        <v>-12</v>
      </c>
      <c r="W812">
        <f t="shared" si="132"/>
        <v>0</v>
      </c>
      <c r="X812">
        <f t="shared" si="133"/>
        <v>0</v>
      </c>
      <c r="Y812">
        <f t="shared" si="134"/>
        <v>0</v>
      </c>
    </row>
    <row r="813" spans="1:25" x14ac:dyDescent="0.2">
      <c r="A813" t="s">
        <v>17</v>
      </c>
      <c r="B813" t="s">
        <v>1065</v>
      </c>
      <c r="C813">
        <v>150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40</v>
      </c>
      <c r="J813">
        <v>38</v>
      </c>
      <c r="K813">
        <v>0</v>
      </c>
      <c r="L813">
        <v>38</v>
      </c>
      <c r="M813">
        <v>0</v>
      </c>
      <c r="O813" s="3">
        <f t="shared" si="135"/>
        <v>0</v>
      </c>
      <c r="P813">
        <f t="shared" si="126"/>
        <v>0</v>
      </c>
      <c r="Q813">
        <f t="shared" si="127"/>
        <v>0</v>
      </c>
      <c r="S813">
        <f t="shared" si="128"/>
        <v>-15.634782608695655</v>
      </c>
      <c r="T813">
        <f t="shared" si="129"/>
        <v>0</v>
      </c>
      <c r="U813">
        <f t="shared" si="130"/>
        <v>-0.43478260869565216</v>
      </c>
      <c r="V813">
        <f t="shared" si="131"/>
        <v>-15.200000000000003</v>
      </c>
      <c r="W813">
        <f t="shared" si="132"/>
        <v>0</v>
      </c>
      <c r="X813">
        <f t="shared" si="133"/>
        <v>0</v>
      </c>
      <c r="Y813">
        <f t="shared" si="134"/>
        <v>0</v>
      </c>
    </row>
    <row r="814" spans="1:25" x14ac:dyDescent="0.2">
      <c r="A814" t="s">
        <v>17</v>
      </c>
      <c r="B814" t="s">
        <v>1066</v>
      </c>
      <c r="C814">
        <v>140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35</v>
      </c>
      <c r="J814">
        <v>35</v>
      </c>
      <c r="K814">
        <v>0</v>
      </c>
      <c r="L814">
        <v>34</v>
      </c>
      <c r="M814">
        <v>0</v>
      </c>
      <c r="O814" s="3">
        <f t="shared" si="135"/>
        <v>0</v>
      </c>
      <c r="P814">
        <f t="shared" si="126"/>
        <v>0</v>
      </c>
      <c r="Q814">
        <f t="shared" si="127"/>
        <v>0</v>
      </c>
      <c r="S814">
        <f t="shared" si="128"/>
        <v>-13.980434782608697</v>
      </c>
      <c r="T814">
        <f t="shared" si="129"/>
        <v>0</v>
      </c>
      <c r="U814">
        <f t="shared" si="130"/>
        <v>-0.38043478260869568</v>
      </c>
      <c r="V814">
        <f t="shared" si="131"/>
        <v>-13.600000000000001</v>
      </c>
      <c r="W814">
        <f t="shared" si="132"/>
        <v>0</v>
      </c>
      <c r="X814">
        <f t="shared" si="133"/>
        <v>0</v>
      </c>
      <c r="Y814">
        <f t="shared" si="134"/>
        <v>0</v>
      </c>
    </row>
    <row r="815" spans="1:25" x14ac:dyDescent="0.2">
      <c r="A815" t="s">
        <v>17</v>
      </c>
      <c r="B815" t="s">
        <v>1067</v>
      </c>
      <c r="C815">
        <v>170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40</v>
      </c>
      <c r="J815">
        <v>43</v>
      </c>
      <c r="K815">
        <v>0</v>
      </c>
      <c r="L815">
        <v>42</v>
      </c>
      <c r="M815">
        <v>0</v>
      </c>
      <c r="O815" s="3">
        <f t="shared" si="135"/>
        <v>0</v>
      </c>
      <c r="P815">
        <f t="shared" si="126"/>
        <v>0</v>
      </c>
      <c r="Q815">
        <f t="shared" si="127"/>
        <v>0</v>
      </c>
      <c r="S815">
        <f t="shared" si="128"/>
        <v>-17.234782608695653</v>
      </c>
      <c r="T815">
        <f t="shared" si="129"/>
        <v>0</v>
      </c>
      <c r="U815">
        <f t="shared" si="130"/>
        <v>-0.43478260869565216</v>
      </c>
      <c r="V815">
        <f t="shared" si="131"/>
        <v>-16.8</v>
      </c>
      <c r="W815">
        <f t="shared" si="132"/>
        <v>0</v>
      </c>
      <c r="X815">
        <f t="shared" si="133"/>
        <v>0</v>
      </c>
      <c r="Y815">
        <f t="shared" si="134"/>
        <v>0</v>
      </c>
    </row>
    <row r="816" spans="1:25" x14ac:dyDescent="0.2">
      <c r="A816" t="s">
        <v>17</v>
      </c>
      <c r="B816" t="s">
        <v>1072</v>
      </c>
      <c r="C816">
        <v>120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35</v>
      </c>
      <c r="J816">
        <v>30</v>
      </c>
      <c r="K816">
        <v>0</v>
      </c>
      <c r="L816">
        <v>30</v>
      </c>
      <c r="M816">
        <v>0</v>
      </c>
      <c r="O816" s="3">
        <f t="shared" si="135"/>
        <v>0</v>
      </c>
      <c r="P816">
        <f t="shared" si="126"/>
        <v>0</v>
      </c>
      <c r="Q816">
        <f t="shared" si="127"/>
        <v>0</v>
      </c>
      <c r="S816">
        <f t="shared" si="128"/>
        <v>-12.380434782608695</v>
      </c>
      <c r="T816">
        <f t="shared" si="129"/>
        <v>0</v>
      </c>
      <c r="U816">
        <f t="shared" si="130"/>
        <v>-0.38043478260869568</v>
      </c>
      <c r="V816">
        <f t="shared" si="131"/>
        <v>-12</v>
      </c>
      <c r="W816">
        <f t="shared" si="132"/>
        <v>0</v>
      </c>
      <c r="X816">
        <f t="shared" si="133"/>
        <v>0</v>
      </c>
      <c r="Y816">
        <f t="shared" si="134"/>
        <v>0</v>
      </c>
    </row>
    <row r="817" spans="1:25" x14ac:dyDescent="0.2">
      <c r="A817" t="s">
        <v>17</v>
      </c>
      <c r="B817" t="s">
        <v>1073</v>
      </c>
      <c r="C817">
        <v>150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40</v>
      </c>
      <c r="J817">
        <v>38</v>
      </c>
      <c r="K817">
        <v>0</v>
      </c>
      <c r="L817">
        <v>38</v>
      </c>
      <c r="M817">
        <v>0</v>
      </c>
      <c r="O817" s="3">
        <f t="shared" si="135"/>
        <v>0</v>
      </c>
      <c r="P817">
        <f t="shared" si="126"/>
        <v>0</v>
      </c>
      <c r="Q817">
        <f t="shared" si="127"/>
        <v>0</v>
      </c>
      <c r="S817">
        <f t="shared" si="128"/>
        <v>-15.634782608695655</v>
      </c>
      <c r="T817">
        <f t="shared" si="129"/>
        <v>0</v>
      </c>
      <c r="U817">
        <f t="shared" si="130"/>
        <v>-0.43478260869565216</v>
      </c>
      <c r="V817">
        <f t="shared" si="131"/>
        <v>-15.200000000000003</v>
      </c>
      <c r="W817">
        <f t="shared" si="132"/>
        <v>0</v>
      </c>
      <c r="X817">
        <f t="shared" si="133"/>
        <v>0</v>
      </c>
      <c r="Y817">
        <f t="shared" si="134"/>
        <v>0</v>
      </c>
    </row>
    <row r="818" spans="1:25" x14ac:dyDescent="0.2">
      <c r="A818" t="s">
        <v>17</v>
      </c>
      <c r="B818" t="s">
        <v>1074</v>
      </c>
      <c r="C818">
        <v>190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50</v>
      </c>
      <c r="J818">
        <v>49</v>
      </c>
      <c r="K818">
        <v>0</v>
      </c>
      <c r="L818">
        <v>47</v>
      </c>
      <c r="M818">
        <v>0</v>
      </c>
      <c r="O818" s="3">
        <f t="shared" si="135"/>
        <v>0</v>
      </c>
      <c r="P818">
        <f t="shared" si="126"/>
        <v>0</v>
      </c>
      <c r="Q818">
        <f t="shared" si="127"/>
        <v>0</v>
      </c>
      <c r="S818">
        <f t="shared" si="128"/>
        <v>-19.343478260869567</v>
      </c>
      <c r="T818">
        <f t="shared" si="129"/>
        <v>0</v>
      </c>
      <c r="U818">
        <f t="shared" si="130"/>
        <v>-0.54347826086956519</v>
      </c>
      <c r="V818">
        <f t="shared" si="131"/>
        <v>-18.8</v>
      </c>
      <c r="W818">
        <f t="shared" si="132"/>
        <v>0</v>
      </c>
      <c r="X818">
        <f t="shared" si="133"/>
        <v>0</v>
      </c>
      <c r="Y818">
        <f t="shared" si="134"/>
        <v>0</v>
      </c>
    </row>
    <row r="819" spans="1:25" x14ac:dyDescent="0.2">
      <c r="A819" t="s">
        <v>17</v>
      </c>
      <c r="B819" t="s">
        <v>1075</v>
      </c>
      <c r="C819">
        <v>230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60</v>
      </c>
      <c r="J819">
        <v>59</v>
      </c>
      <c r="K819">
        <v>0</v>
      </c>
      <c r="L819">
        <v>57</v>
      </c>
      <c r="M819">
        <v>0</v>
      </c>
      <c r="O819" s="3">
        <f t="shared" si="135"/>
        <v>0</v>
      </c>
      <c r="P819">
        <f t="shared" si="126"/>
        <v>0</v>
      </c>
      <c r="Q819">
        <f t="shared" si="127"/>
        <v>0</v>
      </c>
      <c r="S819">
        <f t="shared" si="128"/>
        <v>-23.452173913043474</v>
      </c>
      <c r="T819">
        <f t="shared" si="129"/>
        <v>0</v>
      </c>
      <c r="U819">
        <f t="shared" si="130"/>
        <v>-0.65217391304347827</v>
      </c>
      <c r="V819">
        <f t="shared" si="131"/>
        <v>-22.799999999999997</v>
      </c>
      <c r="W819">
        <f t="shared" si="132"/>
        <v>0</v>
      </c>
      <c r="X819">
        <f t="shared" si="133"/>
        <v>0</v>
      </c>
      <c r="Y819">
        <f t="shared" si="134"/>
        <v>0</v>
      </c>
    </row>
    <row r="820" spans="1:25" x14ac:dyDescent="0.2">
      <c r="A820" t="s">
        <v>17</v>
      </c>
      <c r="B820" t="s">
        <v>1076</v>
      </c>
      <c r="C820">
        <v>140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35</v>
      </c>
      <c r="J820">
        <v>35</v>
      </c>
      <c r="K820">
        <v>0</v>
      </c>
      <c r="L820">
        <v>34</v>
      </c>
      <c r="M820">
        <v>0</v>
      </c>
      <c r="O820" s="3">
        <f t="shared" si="135"/>
        <v>0</v>
      </c>
      <c r="P820">
        <f t="shared" si="126"/>
        <v>0</v>
      </c>
      <c r="Q820">
        <f t="shared" si="127"/>
        <v>0</v>
      </c>
      <c r="S820">
        <f t="shared" si="128"/>
        <v>-13.980434782608697</v>
      </c>
      <c r="T820">
        <f t="shared" si="129"/>
        <v>0</v>
      </c>
      <c r="U820">
        <f t="shared" si="130"/>
        <v>-0.38043478260869568</v>
      </c>
      <c r="V820">
        <f t="shared" si="131"/>
        <v>-13.600000000000001</v>
      </c>
      <c r="W820">
        <f t="shared" si="132"/>
        <v>0</v>
      </c>
      <c r="X820">
        <f t="shared" si="133"/>
        <v>0</v>
      </c>
      <c r="Y820">
        <f t="shared" si="134"/>
        <v>0</v>
      </c>
    </row>
    <row r="821" spans="1:25" x14ac:dyDescent="0.2">
      <c r="A821" t="s">
        <v>17</v>
      </c>
      <c r="B821" t="s">
        <v>1077</v>
      </c>
      <c r="C821">
        <v>170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40</v>
      </c>
      <c r="J821">
        <v>43</v>
      </c>
      <c r="K821">
        <v>0</v>
      </c>
      <c r="L821">
        <v>42</v>
      </c>
      <c r="M821">
        <v>0</v>
      </c>
      <c r="O821" s="3">
        <f t="shared" si="135"/>
        <v>0</v>
      </c>
      <c r="P821">
        <f t="shared" si="126"/>
        <v>0</v>
      </c>
      <c r="Q821">
        <f t="shared" si="127"/>
        <v>0</v>
      </c>
      <c r="S821">
        <f t="shared" si="128"/>
        <v>-17.234782608695653</v>
      </c>
      <c r="T821">
        <f t="shared" si="129"/>
        <v>0</v>
      </c>
      <c r="U821">
        <f t="shared" si="130"/>
        <v>-0.43478260869565216</v>
      </c>
      <c r="V821">
        <f t="shared" si="131"/>
        <v>-16.8</v>
      </c>
      <c r="W821">
        <f t="shared" si="132"/>
        <v>0</v>
      </c>
      <c r="X821">
        <f t="shared" si="133"/>
        <v>0</v>
      </c>
      <c r="Y821">
        <f t="shared" si="134"/>
        <v>0</v>
      </c>
    </row>
    <row r="822" spans="1:25" x14ac:dyDescent="0.2">
      <c r="A822" t="s">
        <v>17</v>
      </c>
      <c r="B822" t="s">
        <v>1078</v>
      </c>
      <c r="C822">
        <v>150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45</v>
      </c>
      <c r="J822">
        <v>41</v>
      </c>
      <c r="K822">
        <v>0</v>
      </c>
      <c r="L822">
        <v>41</v>
      </c>
      <c r="M822">
        <v>0</v>
      </c>
      <c r="O822" s="3">
        <f t="shared" si="135"/>
        <v>0</v>
      </c>
      <c r="P822">
        <f t="shared" si="126"/>
        <v>0</v>
      </c>
      <c r="Q822">
        <f t="shared" si="127"/>
        <v>0</v>
      </c>
      <c r="S822">
        <f t="shared" si="128"/>
        <v>-16.889130434782611</v>
      </c>
      <c r="T822">
        <f t="shared" si="129"/>
        <v>0</v>
      </c>
      <c r="U822">
        <f t="shared" si="130"/>
        <v>-0.48913043478260876</v>
      </c>
      <c r="V822">
        <f t="shared" si="131"/>
        <v>-16.400000000000002</v>
      </c>
      <c r="W822">
        <f t="shared" si="132"/>
        <v>0</v>
      </c>
      <c r="X822">
        <f t="shared" si="133"/>
        <v>0</v>
      </c>
      <c r="Y822">
        <f t="shared" si="134"/>
        <v>0</v>
      </c>
    </row>
    <row r="823" spans="1:25" x14ac:dyDescent="0.2">
      <c r="A823" t="s">
        <v>17</v>
      </c>
      <c r="B823" t="s">
        <v>1079</v>
      </c>
      <c r="C823">
        <v>190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55</v>
      </c>
      <c r="J823">
        <v>51</v>
      </c>
      <c r="K823">
        <v>0</v>
      </c>
      <c r="L823">
        <v>51</v>
      </c>
      <c r="M823">
        <v>0</v>
      </c>
      <c r="O823" s="3">
        <f t="shared" si="135"/>
        <v>0</v>
      </c>
      <c r="P823">
        <f t="shared" si="126"/>
        <v>0</v>
      </c>
      <c r="Q823">
        <f t="shared" si="127"/>
        <v>0</v>
      </c>
      <c r="S823">
        <f t="shared" si="128"/>
        <v>-20.997826086956525</v>
      </c>
      <c r="T823">
        <f t="shared" si="129"/>
        <v>0</v>
      </c>
      <c r="U823">
        <f t="shared" si="130"/>
        <v>-0.59782608695652173</v>
      </c>
      <c r="V823">
        <f t="shared" si="131"/>
        <v>-20.400000000000002</v>
      </c>
      <c r="W823">
        <f t="shared" si="132"/>
        <v>0</v>
      </c>
      <c r="X823">
        <f t="shared" si="133"/>
        <v>0</v>
      </c>
      <c r="Y823">
        <f t="shared" si="134"/>
        <v>0</v>
      </c>
    </row>
    <row r="824" spans="1:25" x14ac:dyDescent="0.2">
      <c r="A824" t="s">
        <v>17</v>
      </c>
      <c r="B824" t="s">
        <v>1081</v>
      </c>
      <c r="C824">
        <v>150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40</v>
      </c>
      <c r="J824">
        <v>41</v>
      </c>
      <c r="K824">
        <v>0</v>
      </c>
      <c r="L824">
        <v>41</v>
      </c>
      <c r="M824">
        <v>0</v>
      </c>
      <c r="O824" s="3">
        <f t="shared" si="135"/>
        <v>0</v>
      </c>
      <c r="P824">
        <f t="shared" si="126"/>
        <v>0</v>
      </c>
      <c r="Q824">
        <f t="shared" si="127"/>
        <v>0</v>
      </c>
      <c r="S824">
        <f t="shared" si="128"/>
        <v>-16.834782608695654</v>
      </c>
      <c r="T824">
        <f t="shared" si="129"/>
        <v>0</v>
      </c>
      <c r="U824">
        <f t="shared" si="130"/>
        <v>-0.43478260869565216</v>
      </c>
      <c r="V824">
        <f t="shared" si="131"/>
        <v>-16.400000000000002</v>
      </c>
      <c r="W824">
        <f t="shared" si="132"/>
        <v>0</v>
      </c>
      <c r="X824">
        <f t="shared" si="133"/>
        <v>0</v>
      </c>
      <c r="Y824">
        <f t="shared" si="134"/>
        <v>0</v>
      </c>
    </row>
    <row r="825" spans="1:25" x14ac:dyDescent="0.2">
      <c r="A825" t="s">
        <v>17</v>
      </c>
      <c r="B825" t="s">
        <v>1082</v>
      </c>
      <c r="C825">
        <v>190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55</v>
      </c>
      <c r="J825">
        <v>51</v>
      </c>
      <c r="K825">
        <v>0</v>
      </c>
      <c r="L825">
        <v>51</v>
      </c>
      <c r="M825">
        <v>0</v>
      </c>
      <c r="O825" s="3">
        <f t="shared" si="135"/>
        <v>0</v>
      </c>
      <c r="P825">
        <f t="shared" si="126"/>
        <v>0</v>
      </c>
      <c r="Q825">
        <f t="shared" si="127"/>
        <v>0</v>
      </c>
      <c r="S825">
        <f t="shared" si="128"/>
        <v>-20.997826086956525</v>
      </c>
      <c r="T825">
        <f t="shared" si="129"/>
        <v>0</v>
      </c>
      <c r="U825">
        <f t="shared" si="130"/>
        <v>-0.59782608695652173</v>
      </c>
      <c r="V825">
        <f t="shared" si="131"/>
        <v>-20.400000000000002</v>
      </c>
      <c r="W825">
        <f t="shared" si="132"/>
        <v>0</v>
      </c>
      <c r="X825">
        <f t="shared" si="133"/>
        <v>0</v>
      </c>
      <c r="Y825">
        <f t="shared" si="134"/>
        <v>0</v>
      </c>
    </row>
    <row r="826" spans="1:25" x14ac:dyDescent="0.2">
      <c r="A826" t="s">
        <v>58</v>
      </c>
      <c r="B826" t="s">
        <v>59</v>
      </c>
      <c r="C826">
        <v>250</v>
      </c>
      <c r="D826" s="2">
        <v>0</v>
      </c>
      <c r="E826">
        <v>7</v>
      </c>
      <c r="F826">
        <v>3</v>
      </c>
      <c r="G826">
        <v>0.5</v>
      </c>
      <c r="H826">
        <v>50</v>
      </c>
      <c r="I826">
        <v>1170</v>
      </c>
      <c r="J826">
        <v>23</v>
      </c>
      <c r="K826">
        <v>5</v>
      </c>
      <c r="L826">
        <v>9</v>
      </c>
      <c r="M826">
        <v>23</v>
      </c>
      <c r="N826">
        <v>239</v>
      </c>
      <c r="O826" s="3">
        <f t="shared" si="135"/>
        <v>9.1999999999999993</v>
      </c>
      <c r="P826">
        <f t="shared" si="126"/>
        <v>1</v>
      </c>
      <c r="Q826">
        <f t="shared" si="127"/>
        <v>0</v>
      </c>
      <c r="S826">
        <f t="shared" si="128"/>
        <v>-10.682177018633533</v>
      </c>
      <c r="T826">
        <f t="shared" si="129"/>
        <v>-0.75</v>
      </c>
      <c r="U826">
        <f t="shared" si="130"/>
        <v>-12.717391304347824</v>
      </c>
      <c r="V826">
        <f t="shared" si="131"/>
        <v>-3.5999999999999996</v>
      </c>
      <c r="W826">
        <f t="shared" si="132"/>
        <v>-5.0000000000000001E-4</v>
      </c>
      <c r="X826">
        <f t="shared" si="133"/>
        <v>4.6000000000000005</v>
      </c>
      <c r="Y826">
        <f t="shared" si="134"/>
        <v>1.785714285714286</v>
      </c>
    </row>
    <row r="827" spans="1:25" x14ac:dyDescent="0.2">
      <c r="A827" t="s">
        <v>58</v>
      </c>
      <c r="B827" t="s">
        <v>60</v>
      </c>
      <c r="C827">
        <v>370</v>
      </c>
      <c r="D827" s="2">
        <v>0</v>
      </c>
      <c r="E827">
        <v>10</v>
      </c>
      <c r="F827">
        <v>2</v>
      </c>
      <c r="G827">
        <v>0</v>
      </c>
      <c r="H827">
        <v>90</v>
      </c>
      <c r="I827">
        <v>830</v>
      </c>
      <c r="J827">
        <v>38</v>
      </c>
      <c r="K827">
        <v>3</v>
      </c>
      <c r="L827">
        <v>8</v>
      </c>
      <c r="M827">
        <v>34</v>
      </c>
      <c r="N827">
        <v>346</v>
      </c>
      <c r="O827" s="3">
        <f t="shared" si="135"/>
        <v>9.1891891891891895</v>
      </c>
      <c r="P827">
        <f t="shared" si="126"/>
        <v>1</v>
      </c>
      <c r="Q827">
        <f t="shared" si="127"/>
        <v>0</v>
      </c>
      <c r="S827">
        <f t="shared" si="128"/>
        <v>-4.8503105590062123</v>
      </c>
      <c r="T827">
        <f t="shared" si="129"/>
        <v>-0.5</v>
      </c>
      <c r="U827">
        <f t="shared" si="130"/>
        <v>-9.0217391304347831</v>
      </c>
      <c r="V827">
        <f t="shared" si="131"/>
        <v>-3.2</v>
      </c>
      <c r="W827">
        <f t="shared" si="132"/>
        <v>0</v>
      </c>
      <c r="X827">
        <f t="shared" si="133"/>
        <v>6.8000000000000007</v>
      </c>
      <c r="Y827">
        <f t="shared" si="134"/>
        <v>1.0714285714285714</v>
      </c>
    </row>
    <row r="828" spans="1:25" x14ac:dyDescent="0.2">
      <c r="A828" t="s">
        <v>58</v>
      </c>
      <c r="B828" t="s">
        <v>63</v>
      </c>
      <c r="C828">
        <v>460</v>
      </c>
      <c r="D828" s="2">
        <v>0</v>
      </c>
      <c r="E828">
        <v>17</v>
      </c>
      <c r="F828">
        <v>4.5</v>
      </c>
      <c r="G828">
        <v>0</v>
      </c>
      <c r="H828">
        <v>105</v>
      </c>
      <c r="I828">
        <v>1090</v>
      </c>
      <c r="J828">
        <v>41</v>
      </c>
      <c r="K828">
        <v>7</v>
      </c>
      <c r="L828">
        <v>29</v>
      </c>
      <c r="M828">
        <v>41</v>
      </c>
      <c r="N828">
        <v>453</v>
      </c>
      <c r="O828" s="3">
        <f t="shared" si="135"/>
        <v>8.9130434782608692</v>
      </c>
      <c r="P828">
        <f t="shared" si="126"/>
        <v>1</v>
      </c>
      <c r="Q828">
        <f t="shared" si="127"/>
        <v>0</v>
      </c>
      <c r="S828">
        <f t="shared" si="128"/>
        <v>-13.872826086956522</v>
      </c>
      <c r="T828">
        <f t="shared" si="129"/>
        <v>-1.125</v>
      </c>
      <c r="U828">
        <f t="shared" si="130"/>
        <v>-11.847826086956522</v>
      </c>
      <c r="V828">
        <f t="shared" si="131"/>
        <v>-11.6</v>
      </c>
      <c r="W828">
        <f t="shared" si="132"/>
        <v>0</v>
      </c>
      <c r="X828">
        <f t="shared" si="133"/>
        <v>8.2000000000000011</v>
      </c>
      <c r="Y828">
        <f t="shared" si="134"/>
        <v>2.5</v>
      </c>
    </row>
    <row r="829" spans="1:25" x14ac:dyDescent="0.2">
      <c r="A829" t="s">
        <v>58</v>
      </c>
      <c r="B829" t="s">
        <v>64</v>
      </c>
      <c r="C829">
        <v>170</v>
      </c>
      <c r="D829" s="2">
        <v>0</v>
      </c>
      <c r="E829">
        <v>5</v>
      </c>
      <c r="F829">
        <v>2</v>
      </c>
      <c r="G829">
        <v>0</v>
      </c>
      <c r="H829">
        <v>35</v>
      </c>
      <c r="I829">
        <v>780</v>
      </c>
      <c r="J829">
        <v>16</v>
      </c>
      <c r="K829">
        <v>4</v>
      </c>
      <c r="L829">
        <v>6</v>
      </c>
      <c r="M829">
        <v>15</v>
      </c>
      <c r="N829">
        <v>163</v>
      </c>
      <c r="O829" s="3">
        <f t="shared" si="135"/>
        <v>8.8235294117647065</v>
      </c>
      <c r="P829">
        <f t="shared" si="126"/>
        <v>1</v>
      </c>
      <c r="Q829">
        <f t="shared" si="127"/>
        <v>0</v>
      </c>
      <c r="S829">
        <f t="shared" si="128"/>
        <v>-6.9496894409937884</v>
      </c>
      <c r="T829">
        <f t="shared" si="129"/>
        <v>-0.5</v>
      </c>
      <c r="U829">
        <f t="shared" si="130"/>
        <v>-8.4782608695652169</v>
      </c>
      <c r="V829">
        <f t="shared" si="131"/>
        <v>-2.4</v>
      </c>
      <c r="W829">
        <f t="shared" si="132"/>
        <v>0</v>
      </c>
      <c r="X829">
        <f t="shared" si="133"/>
        <v>3</v>
      </c>
      <c r="Y829">
        <f t="shared" si="134"/>
        <v>1.4285714285714286</v>
      </c>
    </row>
    <row r="830" spans="1:25" x14ac:dyDescent="0.2">
      <c r="A830" t="s">
        <v>58</v>
      </c>
      <c r="B830" t="s">
        <v>69</v>
      </c>
      <c r="C830">
        <v>530</v>
      </c>
      <c r="D830" s="2">
        <v>0</v>
      </c>
      <c r="E830">
        <v>23</v>
      </c>
      <c r="F830">
        <v>7</v>
      </c>
      <c r="G830">
        <v>0</v>
      </c>
      <c r="H830">
        <v>120</v>
      </c>
      <c r="I830">
        <v>1220</v>
      </c>
      <c r="J830">
        <v>36</v>
      </c>
      <c r="K830">
        <v>3</v>
      </c>
      <c r="L830">
        <v>6</v>
      </c>
      <c r="M830">
        <v>43</v>
      </c>
      <c r="N830">
        <v>500</v>
      </c>
      <c r="O830" s="3">
        <f t="shared" si="135"/>
        <v>8.1132075471698109</v>
      </c>
      <c r="P830">
        <f t="shared" si="126"/>
        <v>1</v>
      </c>
      <c r="Q830">
        <f t="shared" si="127"/>
        <v>0</v>
      </c>
      <c r="S830">
        <f t="shared" si="128"/>
        <v>-7.7394409937888202</v>
      </c>
      <c r="T830">
        <f t="shared" si="129"/>
        <v>-1.75</v>
      </c>
      <c r="U830">
        <f t="shared" si="130"/>
        <v>-13.260869565217392</v>
      </c>
      <c r="V830">
        <f t="shared" si="131"/>
        <v>-2.4</v>
      </c>
      <c r="W830">
        <f t="shared" si="132"/>
        <v>0</v>
      </c>
      <c r="X830">
        <f t="shared" si="133"/>
        <v>8.6000000000000014</v>
      </c>
      <c r="Y830">
        <f t="shared" si="134"/>
        <v>1.0714285714285714</v>
      </c>
    </row>
    <row r="831" spans="1:25" x14ac:dyDescent="0.2">
      <c r="A831" t="s">
        <v>58</v>
      </c>
      <c r="B831" t="s">
        <v>71</v>
      </c>
      <c r="C831">
        <v>290</v>
      </c>
      <c r="D831" s="2">
        <v>0</v>
      </c>
      <c r="E831">
        <v>13</v>
      </c>
      <c r="F831">
        <v>2.5</v>
      </c>
      <c r="G831">
        <v>0</v>
      </c>
      <c r="H831">
        <v>50</v>
      </c>
      <c r="I831">
        <v>570</v>
      </c>
      <c r="J831">
        <v>23</v>
      </c>
      <c r="K831">
        <v>5</v>
      </c>
      <c r="L831">
        <v>15</v>
      </c>
      <c r="M831">
        <v>23</v>
      </c>
      <c r="N831">
        <v>285</v>
      </c>
      <c r="O831" s="3">
        <f t="shared" si="135"/>
        <v>7.931034482758621</v>
      </c>
      <c r="P831">
        <f t="shared" si="126"/>
        <v>1</v>
      </c>
      <c r="Q831">
        <f t="shared" si="127"/>
        <v>0</v>
      </c>
      <c r="S831">
        <f t="shared" si="128"/>
        <v>-6.4349378881987551</v>
      </c>
      <c r="T831">
        <f t="shared" si="129"/>
        <v>-0.625</v>
      </c>
      <c r="U831">
        <f t="shared" si="130"/>
        <v>-6.1956521739130439</v>
      </c>
      <c r="V831">
        <f t="shared" si="131"/>
        <v>-6</v>
      </c>
      <c r="W831">
        <f t="shared" si="132"/>
        <v>0</v>
      </c>
      <c r="X831">
        <f t="shared" si="133"/>
        <v>4.6000000000000005</v>
      </c>
      <c r="Y831">
        <f t="shared" si="134"/>
        <v>1.785714285714286</v>
      </c>
    </row>
    <row r="832" spans="1:25" x14ac:dyDescent="0.2">
      <c r="A832" t="s">
        <v>58</v>
      </c>
      <c r="B832" t="s">
        <v>75</v>
      </c>
      <c r="C832">
        <v>90</v>
      </c>
      <c r="D832" s="2">
        <v>0</v>
      </c>
      <c r="E832">
        <v>2</v>
      </c>
      <c r="F832">
        <v>1.5</v>
      </c>
      <c r="G832">
        <v>0</v>
      </c>
      <c r="H832">
        <v>10</v>
      </c>
      <c r="I832">
        <v>105</v>
      </c>
      <c r="J832">
        <v>10</v>
      </c>
      <c r="K832">
        <v>0</v>
      </c>
      <c r="L832">
        <v>10</v>
      </c>
      <c r="M832">
        <v>7</v>
      </c>
      <c r="N832">
        <v>95</v>
      </c>
      <c r="O832" s="3">
        <f t="shared" si="135"/>
        <v>7.7777777777777777</v>
      </c>
      <c r="P832">
        <f t="shared" si="126"/>
        <v>0</v>
      </c>
      <c r="Q832">
        <f t="shared" si="127"/>
        <v>0</v>
      </c>
      <c r="S832">
        <f t="shared" si="128"/>
        <v>-4.1163043478260875</v>
      </c>
      <c r="T832">
        <f t="shared" si="129"/>
        <v>-0.375</v>
      </c>
      <c r="U832">
        <f t="shared" si="130"/>
        <v>-1.1413043478260869</v>
      </c>
      <c r="V832">
        <f t="shared" si="131"/>
        <v>-4.0000000000000009</v>
      </c>
      <c r="W832">
        <f t="shared" si="132"/>
        <v>0</v>
      </c>
      <c r="X832">
        <f t="shared" si="133"/>
        <v>1.4000000000000001</v>
      </c>
      <c r="Y832">
        <f t="shared" si="134"/>
        <v>0</v>
      </c>
    </row>
    <row r="833" spans="1:25" x14ac:dyDescent="0.2">
      <c r="A833" t="s">
        <v>58</v>
      </c>
      <c r="B833" t="s">
        <v>80</v>
      </c>
      <c r="C833">
        <v>200</v>
      </c>
      <c r="D833" s="2">
        <v>0</v>
      </c>
      <c r="E833">
        <v>10</v>
      </c>
      <c r="F833">
        <v>1.5</v>
      </c>
      <c r="G833">
        <v>0</v>
      </c>
      <c r="H833">
        <v>45</v>
      </c>
      <c r="I833">
        <v>620</v>
      </c>
      <c r="J833">
        <v>13</v>
      </c>
      <c r="K833">
        <v>0</v>
      </c>
      <c r="L833">
        <v>0</v>
      </c>
      <c r="M833">
        <v>15</v>
      </c>
      <c r="N833">
        <v>187</v>
      </c>
      <c r="O833" s="3">
        <f t="shared" si="135"/>
        <v>7.5</v>
      </c>
      <c r="P833">
        <f t="shared" si="126"/>
        <v>1</v>
      </c>
      <c r="Q833">
        <f t="shared" si="127"/>
        <v>0</v>
      </c>
      <c r="S833">
        <f t="shared" si="128"/>
        <v>-4.1141304347826084</v>
      </c>
      <c r="T833">
        <f t="shared" si="129"/>
        <v>-0.375</v>
      </c>
      <c r="U833">
        <f t="shared" si="130"/>
        <v>-6.7391304347826084</v>
      </c>
      <c r="V833">
        <f t="shared" si="131"/>
        <v>0</v>
      </c>
      <c r="W833">
        <f t="shared" si="132"/>
        <v>0</v>
      </c>
      <c r="X833">
        <f t="shared" si="133"/>
        <v>3</v>
      </c>
      <c r="Y833">
        <f t="shared" si="134"/>
        <v>0</v>
      </c>
    </row>
    <row r="834" spans="1:25" x14ac:dyDescent="0.2">
      <c r="A834" t="s">
        <v>58</v>
      </c>
      <c r="B834" t="s">
        <v>83</v>
      </c>
      <c r="C834">
        <v>430</v>
      </c>
      <c r="D834" s="2">
        <v>0</v>
      </c>
      <c r="E834">
        <v>21</v>
      </c>
      <c r="F834">
        <v>3.5</v>
      </c>
      <c r="G834">
        <v>0</v>
      </c>
      <c r="H834">
        <v>100</v>
      </c>
      <c r="I834">
        <v>1350</v>
      </c>
      <c r="J834">
        <v>29</v>
      </c>
      <c r="K834">
        <v>0</v>
      </c>
      <c r="L834">
        <v>1</v>
      </c>
      <c r="M834">
        <v>32</v>
      </c>
      <c r="N834">
        <v>403</v>
      </c>
      <c r="O834" s="3">
        <f t="shared" si="135"/>
        <v>7.441860465116279</v>
      </c>
      <c r="P834">
        <f t="shared" si="126"/>
        <v>1</v>
      </c>
      <c r="Q834">
        <f t="shared" si="127"/>
        <v>0</v>
      </c>
      <c r="S834">
        <f t="shared" si="128"/>
        <v>-9.5489130434782616</v>
      </c>
      <c r="T834">
        <f t="shared" si="129"/>
        <v>-0.875</v>
      </c>
      <c r="U834">
        <f t="shared" si="130"/>
        <v>-14.673913043478262</v>
      </c>
      <c r="V834">
        <f t="shared" si="131"/>
        <v>-0.4</v>
      </c>
      <c r="W834">
        <f t="shared" si="132"/>
        <v>0</v>
      </c>
      <c r="X834">
        <f t="shared" si="133"/>
        <v>6.4</v>
      </c>
      <c r="Y834">
        <f t="shared" si="134"/>
        <v>0</v>
      </c>
    </row>
    <row r="835" spans="1:25" x14ac:dyDescent="0.2">
      <c r="A835" t="s">
        <v>58</v>
      </c>
      <c r="B835" t="s">
        <v>84</v>
      </c>
      <c r="C835">
        <v>270</v>
      </c>
      <c r="D835" s="2">
        <v>0</v>
      </c>
      <c r="E835">
        <v>10</v>
      </c>
      <c r="F835">
        <v>3.5</v>
      </c>
      <c r="G835">
        <v>0</v>
      </c>
      <c r="H835">
        <v>55</v>
      </c>
      <c r="I835">
        <v>640</v>
      </c>
      <c r="J835">
        <v>24</v>
      </c>
      <c r="K835">
        <v>2</v>
      </c>
      <c r="L835">
        <v>3</v>
      </c>
      <c r="M835">
        <v>20</v>
      </c>
      <c r="N835">
        <v>257</v>
      </c>
      <c r="O835" s="3">
        <f t="shared" si="135"/>
        <v>7.4074074074074066</v>
      </c>
      <c r="P835">
        <f t="shared" si="126"/>
        <v>1</v>
      </c>
      <c r="Q835">
        <f t="shared" si="127"/>
        <v>0</v>
      </c>
      <c r="S835">
        <f t="shared" si="128"/>
        <v>-4.3172360248447195</v>
      </c>
      <c r="T835">
        <f t="shared" si="129"/>
        <v>-0.875</v>
      </c>
      <c r="U835">
        <f t="shared" si="130"/>
        <v>-6.9565217391304346</v>
      </c>
      <c r="V835">
        <f t="shared" si="131"/>
        <v>-1.2</v>
      </c>
      <c r="W835">
        <f t="shared" si="132"/>
        <v>0</v>
      </c>
      <c r="X835">
        <f t="shared" si="133"/>
        <v>4.0000000000000009</v>
      </c>
      <c r="Y835">
        <f t="shared" si="134"/>
        <v>0.7142857142857143</v>
      </c>
    </row>
    <row r="836" spans="1:25" x14ac:dyDescent="0.2">
      <c r="A836" t="s">
        <v>58</v>
      </c>
      <c r="B836" t="s">
        <v>85</v>
      </c>
      <c r="C836">
        <v>270</v>
      </c>
      <c r="D836" s="2">
        <v>0</v>
      </c>
      <c r="E836">
        <v>10</v>
      </c>
      <c r="F836">
        <v>3.5</v>
      </c>
      <c r="G836">
        <v>0</v>
      </c>
      <c r="H836">
        <v>55</v>
      </c>
      <c r="I836">
        <v>640</v>
      </c>
      <c r="J836">
        <v>24</v>
      </c>
      <c r="K836">
        <v>2</v>
      </c>
      <c r="L836">
        <v>3</v>
      </c>
      <c r="M836">
        <v>20</v>
      </c>
      <c r="N836">
        <v>257</v>
      </c>
      <c r="O836" s="3">
        <f t="shared" si="135"/>
        <v>7.4074074074074066</v>
      </c>
      <c r="P836">
        <f t="shared" ref="P836:P899" si="136">IF(I836&gt;2300*0.2,1,0)</f>
        <v>1</v>
      </c>
      <c r="Q836">
        <f t="shared" ref="Q836:Q899" si="137">IF(H836&gt;300,1,0)</f>
        <v>0</v>
      </c>
      <c r="S836">
        <f t="shared" ref="S836:S899" si="138">T836+U836+V836+W836+X836+Y836</f>
        <v>-4.3172360248447195</v>
      </c>
      <c r="T836">
        <f t="shared" ref="T836:T899" si="139">$T$1*F836</f>
        <v>-0.875</v>
      </c>
      <c r="U836">
        <f t="shared" ref="U836:U899" si="140">($U$1*(I836/2300))*100</f>
        <v>-6.9565217391304346</v>
      </c>
      <c r="V836">
        <f t="shared" ref="V836:V899" si="141">((L836/50)*$V$1)*100</f>
        <v>-1.2</v>
      </c>
      <c r="W836">
        <f t="shared" ref="W836:W899" si="142">(G836/100)*$W$1</f>
        <v>0</v>
      </c>
      <c r="X836">
        <f t="shared" ref="X836:X899" si="143">($X$1*(M836/50))*100</f>
        <v>4.0000000000000009</v>
      </c>
      <c r="Y836">
        <f t="shared" ref="Y836:Y899" si="144">($Y$1*(K836/28))*100</f>
        <v>0.7142857142857143</v>
      </c>
    </row>
    <row r="837" spans="1:25" x14ac:dyDescent="0.2">
      <c r="A837" t="s">
        <v>58</v>
      </c>
      <c r="B837" t="s">
        <v>87</v>
      </c>
      <c r="C837">
        <v>650</v>
      </c>
      <c r="D837" s="2">
        <v>0</v>
      </c>
      <c r="E837">
        <v>32</v>
      </c>
      <c r="F837">
        <v>5</v>
      </c>
      <c r="G837">
        <v>0</v>
      </c>
      <c r="H837">
        <v>150</v>
      </c>
      <c r="I837">
        <v>2020</v>
      </c>
      <c r="J837">
        <v>43</v>
      </c>
      <c r="K837">
        <v>0</v>
      </c>
      <c r="L837">
        <v>1</v>
      </c>
      <c r="M837">
        <v>48</v>
      </c>
      <c r="N837">
        <v>608</v>
      </c>
      <c r="O837" s="3">
        <f t="shared" si="135"/>
        <v>7.384615384615385</v>
      </c>
      <c r="P837">
        <f t="shared" si="136"/>
        <v>1</v>
      </c>
      <c r="Q837">
        <f t="shared" si="137"/>
        <v>0</v>
      </c>
      <c r="S837">
        <f t="shared" si="138"/>
        <v>-14.006521739130436</v>
      </c>
      <c r="T837">
        <f t="shared" si="139"/>
        <v>-1.25</v>
      </c>
      <c r="U837">
        <f t="shared" si="140"/>
        <v>-21.956521739130437</v>
      </c>
      <c r="V837">
        <f t="shared" si="141"/>
        <v>-0.4</v>
      </c>
      <c r="W837">
        <f t="shared" si="142"/>
        <v>0</v>
      </c>
      <c r="X837">
        <f t="shared" si="143"/>
        <v>9.6</v>
      </c>
      <c r="Y837">
        <f t="shared" si="144"/>
        <v>0</v>
      </c>
    </row>
    <row r="838" spans="1:25" x14ac:dyDescent="0.2">
      <c r="A838" t="s">
        <v>58</v>
      </c>
      <c r="B838" t="s">
        <v>89</v>
      </c>
      <c r="C838">
        <v>330</v>
      </c>
      <c r="D838" s="2">
        <v>0</v>
      </c>
      <c r="E838">
        <v>16</v>
      </c>
      <c r="F838">
        <v>2.5</v>
      </c>
      <c r="G838">
        <v>0</v>
      </c>
      <c r="H838">
        <v>75</v>
      </c>
      <c r="I838">
        <v>1010</v>
      </c>
      <c r="J838">
        <v>22</v>
      </c>
      <c r="K838">
        <v>0</v>
      </c>
      <c r="L838">
        <v>0</v>
      </c>
      <c r="M838">
        <v>24</v>
      </c>
      <c r="N838">
        <v>309</v>
      </c>
      <c r="O838" s="3">
        <f t="shared" si="135"/>
        <v>7.2727272727272725</v>
      </c>
      <c r="P838">
        <f t="shared" si="136"/>
        <v>1</v>
      </c>
      <c r="Q838">
        <f t="shared" si="137"/>
        <v>0</v>
      </c>
      <c r="S838">
        <f t="shared" si="138"/>
        <v>-6.8032608695652188</v>
      </c>
      <c r="T838">
        <f t="shared" si="139"/>
        <v>-0.625</v>
      </c>
      <c r="U838">
        <f t="shared" si="140"/>
        <v>-10.978260869565219</v>
      </c>
      <c r="V838">
        <f t="shared" si="141"/>
        <v>0</v>
      </c>
      <c r="W838">
        <f t="shared" si="142"/>
        <v>0</v>
      </c>
      <c r="X838">
        <f t="shared" si="143"/>
        <v>4.8</v>
      </c>
      <c r="Y838">
        <f t="shared" si="144"/>
        <v>0</v>
      </c>
    </row>
    <row r="839" spans="1:25" x14ac:dyDescent="0.2">
      <c r="A839" t="s">
        <v>58</v>
      </c>
      <c r="B839" t="s">
        <v>90</v>
      </c>
      <c r="C839">
        <v>600</v>
      </c>
      <c r="D839" s="2">
        <v>0</v>
      </c>
      <c r="E839">
        <v>41</v>
      </c>
      <c r="F839">
        <v>11</v>
      </c>
      <c r="G839">
        <v>0</v>
      </c>
      <c r="H839">
        <v>135</v>
      </c>
      <c r="I839">
        <v>1220</v>
      </c>
      <c r="J839">
        <v>18</v>
      </c>
      <c r="K839">
        <v>7</v>
      </c>
      <c r="L839">
        <v>7</v>
      </c>
      <c r="M839">
        <v>42</v>
      </c>
      <c r="N839">
        <v>576</v>
      </c>
      <c r="O839" s="3">
        <f t="shared" si="135"/>
        <v>7.0000000000000009</v>
      </c>
      <c r="P839">
        <f t="shared" si="136"/>
        <v>1</v>
      </c>
      <c r="Q839">
        <f t="shared" si="137"/>
        <v>0</v>
      </c>
      <c r="S839">
        <f t="shared" si="138"/>
        <v>-7.910869565217391</v>
      </c>
      <c r="T839">
        <f t="shared" si="139"/>
        <v>-2.75</v>
      </c>
      <c r="U839">
        <f t="shared" si="140"/>
        <v>-13.260869565217392</v>
      </c>
      <c r="V839">
        <f t="shared" si="141"/>
        <v>-2.8000000000000003</v>
      </c>
      <c r="W839">
        <f t="shared" si="142"/>
        <v>0</v>
      </c>
      <c r="X839">
        <f t="shared" si="143"/>
        <v>8.4</v>
      </c>
      <c r="Y839">
        <f t="shared" si="144"/>
        <v>2.5</v>
      </c>
    </row>
    <row r="840" spans="1:25" x14ac:dyDescent="0.2">
      <c r="A840" t="s">
        <v>58</v>
      </c>
      <c r="B840" t="s">
        <v>91</v>
      </c>
      <c r="C840">
        <v>300</v>
      </c>
      <c r="D840" s="2">
        <v>0</v>
      </c>
      <c r="E840">
        <v>20</v>
      </c>
      <c r="F840">
        <v>6</v>
      </c>
      <c r="G840">
        <v>0</v>
      </c>
      <c r="H840">
        <v>70</v>
      </c>
      <c r="I840">
        <v>620</v>
      </c>
      <c r="J840">
        <v>10</v>
      </c>
      <c r="K840">
        <v>4</v>
      </c>
      <c r="L840">
        <v>4</v>
      </c>
      <c r="M840">
        <v>21</v>
      </c>
      <c r="N840">
        <v>289</v>
      </c>
      <c r="O840" s="3">
        <f t="shared" si="135"/>
        <v>7.0000000000000009</v>
      </c>
      <c r="P840">
        <f t="shared" si="136"/>
        <v>1</v>
      </c>
      <c r="Q840">
        <f t="shared" si="137"/>
        <v>0</v>
      </c>
      <c r="S840">
        <f t="shared" si="138"/>
        <v>-4.21055900621118</v>
      </c>
      <c r="T840">
        <f t="shared" si="139"/>
        <v>-1.5</v>
      </c>
      <c r="U840">
        <f t="shared" si="140"/>
        <v>-6.7391304347826084</v>
      </c>
      <c r="V840">
        <f t="shared" si="141"/>
        <v>-1.6</v>
      </c>
      <c r="W840">
        <f t="shared" si="142"/>
        <v>0</v>
      </c>
      <c r="X840">
        <f t="shared" si="143"/>
        <v>4.2</v>
      </c>
      <c r="Y840">
        <f t="shared" si="144"/>
        <v>1.4285714285714286</v>
      </c>
    </row>
    <row r="841" spans="1:25" x14ac:dyDescent="0.2">
      <c r="A841" t="s">
        <v>58</v>
      </c>
      <c r="B841" t="s">
        <v>96</v>
      </c>
      <c r="C841">
        <v>560</v>
      </c>
      <c r="D841" s="2">
        <v>0</v>
      </c>
      <c r="E841">
        <v>24</v>
      </c>
      <c r="F841">
        <v>7</v>
      </c>
      <c r="G841">
        <v>0</v>
      </c>
      <c r="H841">
        <v>115</v>
      </c>
      <c r="I841">
        <v>1020</v>
      </c>
      <c r="J841">
        <v>52</v>
      </c>
      <c r="K841">
        <v>7</v>
      </c>
      <c r="L841">
        <v>40</v>
      </c>
      <c r="M841">
        <v>38</v>
      </c>
      <c r="N841">
        <v>569</v>
      </c>
      <c r="O841" s="3">
        <f t="shared" si="135"/>
        <v>6.7857142857142856</v>
      </c>
      <c r="P841">
        <f t="shared" si="136"/>
        <v>1</v>
      </c>
      <c r="Q841">
        <f t="shared" si="137"/>
        <v>0</v>
      </c>
      <c r="S841">
        <f t="shared" si="138"/>
        <v>-18.736956521739131</v>
      </c>
      <c r="T841">
        <f t="shared" si="139"/>
        <v>-1.75</v>
      </c>
      <c r="U841">
        <f t="shared" si="140"/>
        <v>-11.086956521739131</v>
      </c>
      <c r="V841">
        <f t="shared" si="141"/>
        <v>-16.000000000000004</v>
      </c>
      <c r="W841">
        <f t="shared" si="142"/>
        <v>0</v>
      </c>
      <c r="X841">
        <f t="shared" si="143"/>
        <v>7.6000000000000014</v>
      </c>
      <c r="Y841">
        <f t="shared" si="144"/>
        <v>2.5</v>
      </c>
    </row>
    <row r="842" spans="1:25" x14ac:dyDescent="0.2">
      <c r="A842" t="s">
        <v>58</v>
      </c>
      <c r="B842" t="s">
        <v>104</v>
      </c>
      <c r="C842">
        <v>1090</v>
      </c>
      <c r="D842" s="2">
        <v>0</v>
      </c>
      <c r="E842">
        <v>72</v>
      </c>
      <c r="F842">
        <v>30</v>
      </c>
      <c r="G842">
        <v>4</v>
      </c>
      <c r="H842">
        <v>260</v>
      </c>
      <c r="I842">
        <v>1650</v>
      </c>
      <c r="J842">
        <v>43</v>
      </c>
      <c r="K842">
        <v>3</v>
      </c>
      <c r="L842">
        <v>9</v>
      </c>
      <c r="M842">
        <v>71</v>
      </c>
      <c r="N842">
        <v>1058</v>
      </c>
      <c r="O842" s="3">
        <f t="shared" si="135"/>
        <v>6.5137614678899087</v>
      </c>
      <c r="P842">
        <f t="shared" si="136"/>
        <v>1</v>
      </c>
      <c r="Q842">
        <f t="shared" si="137"/>
        <v>0</v>
      </c>
      <c r="S842">
        <f t="shared" si="138"/>
        <v>-13.767354037267081</v>
      </c>
      <c r="T842">
        <f t="shared" si="139"/>
        <v>-7.5</v>
      </c>
      <c r="U842">
        <f t="shared" si="140"/>
        <v>-17.934782608695652</v>
      </c>
      <c r="V842">
        <f t="shared" si="141"/>
        <v>-3.5999999999999996</v>
      </c>
      <c r="W842">
        <f t="shared" si="142"/>
        <v>-4.0000000000000001E-3</v>
      </c>
      <c r="X842">
        <f t="shared" si="143"/>
        <v>14.2</v>
      </c>
      <c r="Y842">
        <f t="shared" si="144"/>
        <v>1.0714285714285714</v>
      </c>
    </row>
    <row r="843" spans="1:25" x14ac:dyDescent="0.2">
      <c r="A843" t="s">
        <v>58</v>
      </c>
      <c r="B843" t="s">
        <v>107</v>
      </c>
      <c r="C843">
        <v>390</v>
      </c>
      <c r="D843" s="2">
        <v>0</v>
      </c>
      <c r="E843">
        <v>21</v>
      </c>
      <c r="F843">
        <v>9</v>
      </c>
      <c r="G843">
        <v>1.5</v>
      </c>
      <c r="H843">
        <v>90</v>
      </c>
      <c r="I843">
        <v>740</v>
      </c>
      <c r="J843">
        <v>26</v>
      </c>
      <c r="K843">
        <v>1</v>
      </c>
      <c r="L843">
        <v>6</v>
      </c>
      <c r="M843">
        <v>25</v>
      </c>
      <c r="N843">
        <v>380</v>
      </c>
      <c r="O843" s="3">
        <f t="shared" si="135"/>
        <v>6.4102564102564097</v>
      </c>
      <c r="P843">
        <f t="shared" si="136"/>
        <v>1</v>
      </c>
      <c r="Q843">
        <f t="shared" si="137"/>
        <v>0</v>
      </c>
      <c r="S843">
        <f t="shared" si="138"/>
        <v>-7.3378354037267082</v>
      </c>
      <c r="T843">
        <f t="shared" si="139"/>
        <v>-2.25</v>
      </c>
      <c r="U843">
        <f t="shared" si="140"/>
        <v>-8.0434782608695645</v>
      </c>
      <c r="V843">
        <f t="shared" si="141"/>
        <v>-2.4</v>
      </c>
      <c r="W843">
        <f t="shared" si="142"/>
        <v>-1.5E-3</v>
      </c>
      <c r="X843">
        <f t="shared" si="143"/>
        <v>5</v>
      </c>
      <c r="Y843">
        <f t="shared" si="144"/>
        <v>0.35714285714285715</v>
      </c>
    </row>
    <row r="844" spans="1:25" x14ac:dyDescent="0.2">
      <c r="A844" t="s">
        <v>58</v>
      </c>
      <c r="B844" t="s">
        <v>111</v>
      </c>
      <c r="C844">
        <v>950</v>
      </c>
      <c r="D844" s="2">
        <v>0</v>
      </c>
      <c r="E844">
        <v>62</v>
      </c>
      <c r="F844">
        <v>24</v>
      </c>
      <c r="G844">
        <v>3</v>
      </c>
      <c r="H844">
        <v>205</v>
      </c>
      <c r="I844">
        <v>1630</v>
      </c>
      <c r="J844">
        <v>40</v>
      </c>
      <c r="K844">
        <v>2</v>
      </c>
      <c r="L844">
        <v>8</v>
      </c>
      <c r="M844">
        <v>59</v>
      </c>
      <c r="N844">
        <v>923</v>
      </c>
      <c r="O844" s="3">
        <f t="shared" si="135"/>
        <v>6.2105263157894743</v>
      </c>
      <c r="P844">
        <f t="shared" si="136"/>
        <v>1</v>
      </c>
      <c r="Q844">
        <f t="shared" si="137"/>
        <v>0</v>
      </c>
      <c r="S844">
        <f t="shared" si="138"/>
        <v>-14.406105590062115</v>
      </c>
      <c r="T844">
        <f t="shared" si="139"/>
        <v>-6</v>
      </c>
      <c r="U844">
        <f t="shared" si="140"/>
        <v>-17.717391304347828</v>
      </c>
      <c r="V844">
        <f t="shared" si="141"/>
        <v>-3.2</v>
      </c>
      <c r="W844">
        <f t="shared" si="142"/>
        <v>-3.0000000000000001E-3</v>
      </c>
      <c r="X844">
        <f t="shared" si="143"/>
        <v>11.799999999999999</v>
      </c>
      <c r="Y844">
        <f t="shared" si="144"/>
        <v>0.7142857142857143</v>
      </c>
    </row>
    <row r="845" spans="1:25" x14ac:dyDescent="0.2">
      <c r="A845" t="s">
        <v>58</v>
      </c>
      <c r="B845" t="s">
        <v>112</v>
      </c>
      <c r="C845">
        <v>810</v>
      </c>
      <c r="D845" s="2">
        <v>0</v>
      </c>
      <c r="E845">
        <v>51</v>
      </c>
      <c r="F845">
        <v>20</v>
      </c>
      <c r="G845">
        <v>3</v>
      </c>
      <c r="H845">
        <v>175</v>
      </c>
      <c r="I845">
        <v>1280</v>
      </c>
      <c r="J845">
        <v>41</v>
      </c>
      <c r="K845">
        <v>3</v>
      </c>
      <c r="L845">
        <v>8</v>
      </c>
      <c r="M845">
        <v>49</v>
      </c>
      <c r="N845">
        <v>789</v>
      </c>
      <c r="O845" s="3">
        <f t="shared" si="135"/>
        <v>6.0493827160493829</v>
      </c>
      <c r="P845">
        <f t="shared" si="136"/>
        <v>1</v>
      </c>
      <c r="Q845">
        <f t="shared" si="137"/>
        <v>0</v>
      </c>
      <c r="S845">
        <f t="shared" si="138"/>
        <v>-11.244614906832295</v>
      </c>
      <c r="T845">
        <f t="shared" si="139"/>
        <v>-5</v>
      </c>
      <c r="U845">
        <f t="shared" si="140"/>
        <v>-13.913043478260869</v>
      </c>
      <c r="V845">
        <f t="shared" si="141"/>
        <v>-3.2</v>
      </c>
      <c r="W845">
        <f t="shared" si="142"/>
        <v>-3.0000000000000001E-3</v>
      </c>
      <c r="X845">
        <f t="shared" si="143"/>
        <v>9.8000000000000007</v>
      </c>
      <c r="Y845">
        <f t="shared" si="144"/>
        <v>1.0714285714285714</v>
      </c>
    </row>
    <row r="846" spans="1:25" x14ac:dyDescent="0.2">
      <c r="A846" t="s">
        <v>58</v>
      </c>
      <c r="B846" t="s">
        <v>121</v>
      </c>
      <c r="C846">
        <v>340</v>
      </c>
      <c r="D846" s="2">
        <v>0</v>
      </c>
      <c r="E846">
        <v>17</v>
      </c>
      <c r="F846">
        <v>4</v>
      </c>
      <c r="G846">
        <v>0</v>
      </c>
      <c r="H846">
        <v>55</v>
      </c>
      <c r="I846">
        <v>550</v>
      </c>
      <c r="J846">
        <v>29</v>
      </c>
      <c r="K846">
        <v>4</v>
      </c>
      <c r="L846">
        <v>22</v>
      </c>
      <c r="M846">
        <v>20</v>
      </c>
      <c r="N846">
        <v>346</v>
      </c>
      <c r="O846" s="3">
        <f t="shared" si="135"/>
        <v>5.8823529411764701</v>
      </c>
      <c r="P846">
        <f t="shared" si="136"/>
        <v>1</v>
      </c>
      <c r="Q846">
        <f t="shared" si="137"/>
        <v>0</v>
      </c>
      <c r="S846">
        <f t="shared" si="138"/>
        <v>-10.349689440993791</v>
      </c>
      <c r="T846">
        <f t="shared" si="139"/>
        <v>-1</v>
      </c>
      <c r="U846">
        <f t="shared" si="140"/>
        <v>-5.9782608695652177</v>
      </c>
      <c r="V846">
        <f t="shared" si="141"/>
        <v>-8.8000000000000007</v>
      </c>
      <c r="W846">
        <f t="shared" si="142"/>
        <v>0</v>
      </c>
      <c r="X846">
        <f t="shared" si="143"/>
        <v>4.0000000000000009</v>
      </c>
      <c r="Y846">
        <f t="shared" si="144"/>
        <v>1.4285714285714286</v>
      </c>
    </row>
    <row r="847" spans="1:25" x14ac:dyDescent="0.2">
      <c r="A847" t="s">
        <v>58</v>
      </c>
      <c r="B847" t="s">
        <v>124</v>
      </c>
      <c r="C847">
        <v>720</v>
      </c>
      <c r="D847" s="2">
        <v>0</v>
      </c>
      <c r="E847">
        <v>42</v>
      </c>
      <c r="F847">
        <v>12</v>
      </c>
      <c r="G847">
        <v>1</v>
      </c>
      <c r="H847">
        <v>150</v>
      </c>
      <c r="I847">
        <v>1680</v>
      </c>
      <c r="J847">
        <v>44</v>
      </c>
      <c r="K847">
        <v>8</v>
      </c>
      <c r="L847">
        <v>6</v>
      </c>
      <c r="M847">
        <v>42</v>
      </c>
      <c r="N847">
        <v>696</v>
      </c>
      <c r="O847" s="3">
        <f t="shared" si="135"/>
        <v>5.833333333333333</v>
      </c>
      <c r="P847">
        <f t="shared" si="136"/>
        <v>1</v>
      </c>
      <c r="Q847">
        <f t="shared" si="137"/>
        <v>0</v>
      </c>
      <c r="S847">
        <f t="shared" si="138"/>
        <v>-12.404726708074532</v>
      </c>
      <c r="T847">
        <f t="shared" si="139"/>
        <v>-3</v>
      </c>
      <c r="U847">
        <f t="shared" si="140"/>
        <v>-18.260869565217391</v>
      </c>
      <c r="V847">
        <f t="shared" si="141"/>
        <v>-2.4</v>
      </c>
      <c r="W847">
        <f t="shared" si="142"/>
        <v>-1E-3</v>
      </c>
      <c r="X847">
        <f t="shared" si="143"/>
        <v>8.4</v>
      </c>
      <c r="Y847">
        <f t="shared" si="144"/>
        <v>2.8571428571428572</v>
      </c>
    </row>
    <row r="848" spans="1:25" x14ac:dyDescent="0.2">
      <c r="A848" t="s">
        <v>58</v>
      </c>
      <c r="B848" t="s">
        <v>130</v>
      </c>
      <c r="C848">
        <v>660</v>
      </c>
      <c r="D848" s="2">
        <v>0</v>
      </c>
      <c r="E848">
        <v>34</v>
      </c>
      <c r="F848">
        <v>9</v>
      </c>
      <c r="G848">
        <v>0</v>
      </c>
      <c r="H848">
        <v>100</v>
      </c>
      <c r="I848">
        <v>1650</v>
      </c>
      <c r="J848">
        <v>52</v>
      </c>
      <c r="K848">
        <v>3</v>
      </c>
      <c r="L848">
        <v>7</v>
      </c>
      <c r="M848">
        <v>38</v>
      </c>
      <c r="N848">
        <v>638</v>
      </c>
      <c r="O848" s="3">
        <f t="shared" si="135"/>
        <v>5.7575757575757578</v>
      </c>
      <c r="P848">
        <f t="shared" si="136"/>
        <v>1</v>
      </c>
      <c r="Q848">
        <f t="shared" si="137"/>
        <v>0</v>
      </c>
      <c r="S848">
        <f t="shared" si="138"/>
        <v>-14.31335403726708</v>
      </c>
      <c r="T848">
        <f t="shared" si="139"/>
        <v>-2.25</v>
      </c>
      <c r="U848">
        <f t="shared" si="140"/>
        <v>-17.934782608695652</v>
      </c>
      <c r="V848">
        <f t="shared" si="141"/>
        <v>-2.8000000000000003</v>
      </c>
      <c r="W848">
        <f t="shared" si="142"/>
        <v>0</v>
      </c>
      <c r="X848">
        <f t="shared" si="143"/>
        <v>7.6000000000000014</v>
      </c>
      <c r="Y848">
        <f t="shared" si="144"/>
        <v>1.0714285714285714</v>
      </c>
    </row>
    <row r="849" spans="1:25" x14ac:dyDescent="0.2">
      <c r="A849" t="s">
        <v>58</v>
      </c>
      <c r="B849" t="s">
        <v>135</v>
      </c>
      <c r="C849">
        <v>280</v>
      </c>
      <c r="D849" s="2">
        <v>0</v>
      </c>
      <c r="E849">
        <v>13</v>
      </c>
      <c r="F849">
        <v>6</v>
      </c>
      <c r="G849">
        <v>1</v>
      </c>
      <c r="H849">
        <v>50</v>
      </c>
      <c r="I849">
        <v>660</v>
      </c>
      <c r="J849">
        <v>26</v>
      </c>
      <c r="K849">
        <v>1</v>
      </c>
      <c r="L849">
        <v>6</v>
      </c>
      <c r="M849">
        <v>16</v>
      </c>
      <c r="N849">
        <v>276</v>
      </c>
      <c r="O849" s="3">
        <f t="shared" si="135"/>
        <v>5.7142857142857144</v>
      </c>
      <c r="P849">
        <f t="shared" si="136"/>
        <v>1</v>
      </c>
      <c r="Q849">
        <f t="shared" si="137"/>
        <v>0</v>
      </c>
      <c r="S849">
        <f t="shared" si="138"/>
        <v>-7.5177701863354045</v>
      </c>
      <c r="T849">
        <f t="shared" si="139"/>
        <v>-1.5</v>
      </c>
      <c r="U849">
        <f t="shared" si="140"/>
        <v>-7.1739130434782608</v>
      </c>
      <c r="V849">
        <f t="shared" si="141"/>
        <v>-2.4</v>
      </c>
      <c r="W849">
        <f t="shared" si="142"/>
        <v>-1E-3</v>
      </c>
      <c r="X849">
        <f t="shared" si="143"/>
        <v>3.2</v>
      </c>
      <c r="Y849">
        <f t="shared" si="144"/>
        <v>0.35714285714285715</v>
      </c>
    </row>
    <row r="850" spans="1:25" x14ac:dyDescent="0.2">
      <c r="A850" t="s">
        <v>58</v>
      </c>
      <c r="B850" t="s">
        <v>138</v>
      </c>
      <c r="C850">
        <v>510</v>
      </c>
      <c r="D850" s="2">
        <v>0</v>
      </c>
      <c r="E850">
        <v>20</v>
      </c>
      <c r="F850">
        <v>3.5</v>
      </c>
      <c r="G850">
        <v>0</v>
      </c>
      <c r="H850">
        <v>65</v>
      </c>
      <c r="I850">
        <v>1030</v>
      </c>
      <c r="J850">
        <v>54</v>
      </c>
      <c r="K850">
        <v>4</v>
      </c>
      <c r="L850">
        <v>6</v>
      </c>
      <c r="M850">
        <v>29</v>
      </c>
      <c r="N850">
        <v>491</v>
      </c>
      <c r="O850" s="3">
        <f t="shared" si="135"/>
        <v>5.6862745098039218</v>
      </c>
      <c r="P850">
        <f t="shared" si="136"/>
        <v>1</v>
      </c>
      <c r="Q850">
        <f t="shared" si="137"/>
        <v>0</v>
      </c>
      <c r="S850">
        <f t="shared" si="138"/>
        <v>-7.2420807453416156</v>
      </c>
      <c r="T850">
        <f t="shared" si="139"/>
        <v>-0.875</v>
      </c>
      <c r="U850">
        <f t="shared" si="140"/>
        <v>-11.195652173913045</v>
      </c>
      <c r="V850">
        <f t="shared" si="141"/>
        <v>-2.4</v>
      </c>
      <c r="W850">
        <f t="shared" si="142"/>
        <v>0</v>
      </c>
      <c r="X850">
        <f t="shared" si="143"/>
        <v>5.8</v>
      </c>
      <c r="Y850">
        <f t="shared" si="144"/>
        <v>1.4285714285714286</v>
      </c>
    </row>
    <row r="851" spans="1:25" x14ac:dyDescent="0.2">
      <c r="A851" t="s">
        <v>58</v>
      </c>
      <c r="B851" t="s">
        <v>140</v>
      </c>
      <c r="C851">
        <v>670</v>
      </c>
      <c r="D851" s="2">
        <v>0</v>
      </c>
      <c r="E851">
        <v>32</v>
      </c>
      <c r="F851">
        <v>9</v>
      </c>
      <c r="G851">
        <v>0</v>
      </c>
      <c r="H851">
        <v>100</v>
      </c>
      <c r="I851">
        <v>1530</v>
      </c>
      <c r="J851">
        <v>55</v>
      </c>
      <c r="K851">
        <v>4</v>
      </c>
      <c r="L851">
        <v>6</v>
      </c>
      <c r="M851">
        <v>38</v>
      </c>
      <c r="N851">
        <v>647</v>
      </c>
      <c r="O851" s="3">
        <f t="shared" si="135"/>
        <v>5.6716417910447765</v>
      </c>
      <c r="P851">
        <f t="shared" si="136"/>
        <v>1</v>
      </c>
      <c r="Q851">
        <f t="shared" si="137"/>
        <v>0</v>
      </c>
      <c r="S851">
        <f t="shared" si="138"/>
        <v>-12.251863354037264</v>
      </c>
      <c r="T851">
        <f t="shared" si="139"/>
        <v>-2.25</v>
      </c>
      <c r="U851">
        <f t="shared" si="140"/>
        <v>-16.630434782608695</v>
      </c>
      <c r="V851">
        <f t="shared" si="141"/>
        <v>-2.4</v>
      </c>
      <c r="W851">
        <f t="shared" si="142"/>
        <v>0</v>
      </c>
      <c r="X851">
        <f t="shared" si="143"/>
        <v>7.6000000000000014</v>
      </c>
      <c r="Y851">
        <f t="shared" si="144"/>
        <v>1.4285714285714286</v>
      </c>
    </row>
    <row r="852" spans="1:25" x14ac:dyDescent="0.2">
      <c r="A852" t="s">
        <v>58</v>
      </c>
      <c r="B852" t="s">
        <v>144</v>
      </c>
      <c r="C852">
        <v>320</v>
      </c>
      <c r="D852" s="2">
        <v>0</v>
      </c>
      <c r="E852">
        <v>17</v>
      </c>
      <c r="F852">
        <v>8</v>
      </c>
      <c r="G852">
        <v>0</v>
      </c>
      <c r="H852">
        <v>245</v>
      </c>
      <c r="I852">
        <v>750</v>
      </c>
      <c r="J852">
        <v>25</v>
      </c>
      <c r="K852">
        <v>1</v>
      </c>
      <c r="L852">
        <v>4</v>
      </c>
      <c r="M852">
        <v>18</v>
      </c>
      <c r="N852">
        <v>314</v>
      </c>
      <c r="O852" s="3">
        <f t="shared" si="135"/>
        <v>5.625</v>
      </c>
      <c r="P852">
        <f t="shared" si="136"/>
        <v>1</v>
      </c>
      <c r="Q852">
        <f t="shared" si="137"/>
        <v>0</v>
      </c>
      <c r="S852">
        <f t="shared" si="138"/>
        <v>-7.7950310559006217</v>
      </c>
      <c r="T852">
        <f t="shared" si="139"/>
        <v>-2</v>
      </c>
      <c r="U852">
        <f t="shared" si="140"/>
        <v>-8.1521739130434785</v>
      </c>
      <c r="V852">
        <f t="shared" si="141"/>
        <v>-1.6</v>
      </c>
      <c r="W852">
        <f t="shared" si="142"/>
        <v>0</v>
      </c>
      <c r="X852">
        <f t="shared" si="143"/>
        <v>3.5999999999999996</v>
      </c>
      <c r="Y852">
        <f t="shared" si="144"/>
        <v>0.35714285714285715</v>
      </c>
    </row>
    <row r="853" spans="1:25" x14ac:dyDescent="0.2">
      <c r="A853" t="s">
        <v>58</v>
      </c>
      <c r="B853" t="s">
        <v>145</v>
      </c>
      <c r="C853">
        <v>410</v>
      </c>
      <c r="D853" s="2">
        <v>0</v>
      </c>
      <c r="E853">
        <v>23</v>
      </c>
      <c r="F853">
        <v>6</v>
      </c>
      <c r="G853">
        <v>0.5</v>
      </c>
      <c r="H853">
        <v>75</v>
      </c>
      <c r="I853">
        <v>930</v>
      </c>
      <c r="J853">
        <v>30</v>
      </c>
      <c r="K853">
        <v>5</v>
      </c>
      <c r="L853">
        <v>4</v>
      </c>
      <c r="M853">
        <v>23</v>
      </c>
      <c r="N853">
        <v>397</v>
      </c>
      <c r="O853" s="3">
        <f t="shared" si="135"/>
        <v>5.6097560975609762</v>
      </c>
      <c r="P853">
        <f t="shared" si="136"/>
        <v>1</v>
      </c>
      <c r="Q853">
        <f t="shared" si="137"/>
        <v>0</v>
      </c>
      <c r="S853">
        <f t="shared" si="138"/>
        <v>-6.8234813664596263</v>
      </c>
      <c r="T853">
        <f t="shared" si="139"/>
        <v>-1.5</v>
      </c>
      <c r="U853">
        <f t="shared" si="140"/>
        <v>-10.108695652173912</v>
      </c>
      <c r="V853">
        <f t="shared" si="141"/>
        <v>-1.6</v>
      </c>
      <c r="W853">
        <f t="shared" si="142"/>
        <v>-5.0000000000000001E-4</v>
      </c>
      <c r="X853">
        <f t="shared" si="143"/>
        <v>4.6000000000000005</v>
      </c>
      <c r="Y853">
        <f t="shared" si="144"/>
        <v>1.785714285714286</v>
      </c>
    </row>
    <row r="854" spans="1:25" x14ac:dyDescent="0.2">
      <c r="A854" t="s">
        <v>58</v>
      </c>
      <c r="B854" t="s">
        <v>152</v>
      </c>
      <c r="C854">
        <v>510</v>
      </c>
      <c r="D854" s="2">
        <v>0</v>
      </c>
      <c r="E854">
        <v>22</v>
      </c>
      <c r="F854">
        <v>4</v>
      </c>
      <c r="G854">
        <v>0</v>
      </c>
      <c r="H854">
        <v>70</v>
      </c>
      <c r="I854">
        <v>1150</v>
      </c>
      <c r="J854">
        <v>51</v>
      </c>
      <c r="K854">
        <v>3</v>
      </c>
      <c r="L854">
        <v>6</v>
      </c>
      <c r="M854">
        <v>28</v>
      </c>
      <c r="N854">
        <v>492</v>
      </c>
      <c r="O854" s="3">
        <f t="shared" si="135"/>
        <v>5.4901960784313726</v>
      </c>
      <c r="P854">
        <f t="shared" si="136"/>
        <v>1</v>
      </c>
      <c r="Q854">
        <f t="shared" si="137"/>
        <v>0</v>
      </c>
      <c r="S854">
        <f t="shared" si="138"/>
        <v>-9.2285714285714295</v>
      </c>
      <c r="T854">
        <f t="shared" si="139"/>
        <v>-1</v>
      </c>
      <c r="U854">
        <f t="shared" si="140"/>
        <v>-12.5</v>
      </c>
      <c r="V854">
        <f t="shared" si="141"/>
        <v>-2.4</v>
      </c>
      <c r="W854">
        <f t="shared" si="142"/>
        <v>0</v>
      </c>
      <c r="X854">
        <f t="shared" si="143"/>
        <v>5.6000000000000005</v>
      </c>
      <c r="Y854">
        <f t="shared" si="144"/>
        <v>1.0714285714285714</v>
      </c>
    </row>
    <row r="855" spans="1:25" x14ac:dyDescent="0.2">
      <c r="A855" t="s">
        <v>58</v>
      </c>
      <c r="B855" t="s">
        <v>155</v>
      </c>
      <c r="C855">
        <v>240</v>
      </c>
      <c r="D855" s="2">
        <v>0</v>
      </c>
      <c r="E855">
        <v>9</v>
      </c>
      <c r="F855">
        <v>3.5</v>
      </c>
      <c r="G855">
        <v>0.5</v>
      </c>
      <c r="H855">
        <v>40</v>
      </c>
      <c r="I855">
        <v>350</v>
      </c>
      <c r="J855">
        <v>24</v>
      </c>
      <c r="K855">
        <v>1</v>
      </c>
      <c r="L855">
        <v>5</v>
      </c>
      <c r="M855">
        <v>13</v>
      </c>
      <c r="N855">
        <v>236</v>
      </c>
      <c r="O855" s="3">
        <f t="shared" si="135"/>
        <v>5.416666666666667</v>
      </c>
      <c r="P855">
        <f t="shared" si="136"/>
        <v>0</v>
      </c>
      <c r="Q855">
        <f t="shared" si="137"/>
        <v>0</v>
      </c>
      <c r="S855">
        <f t="shared" si="138"/>
        <v>-3.722704968944099</v>
      </c>
      <c r="T855">
        <f t="shared" si="139"/>
        <v>-0.875</v>
      </c>
      <c r="U855">
        <f t="shared" si="140"/>
        <v>-3.804347826086957</v>
      </c>
      <c r="V855">
        <f t="shared" si="141"/>
        <v>-2.0000000000000004</v>
      </c>
      <c r="W855">
        <f t="shared" si="142"/>
        <v>-5.0000000000000001E-4</v>
      </c>
      <c r="X855">
        <f t="shared" si="143"/>
        <v>2.6</v>
      </c>
      <c r="Y855">
        <f t="shared" si="144"/>
        <v>0.35714285714285715</v>
      </c>
    </row>
    <row r="856" spans="1:25" x14ac:dyDescent="0.2">
      <c r="A856" t="s">
        <v>58</v>
      </c>
      <c r="B856" t="s">
        <v>156</v>
      </c>
      <c r="C856">
        <v>630</v>
      </c>
      <c r="D856" s="2">
        <v>0</v>
      </c>
      <c r="E856">
        <v>39</v>
      </c>
      <c r="F856">
        <v>15</v>
      </c>
      <c r="G856">
        <v>1.5</v>
      </c>
      <c r="H856">
        <v>125</v>
      </c>
      <c r="I856">
        <v>1280</v>
      </c>
      <c r="J856">
        <v>37</v>
      </c>
      <c r="K856">
        <v>2</v>
      </c>
      <c r="L856">
        <v>7</v>
      </c>
      <c r="M856">
        <v>34</v>
      </c>
      <c r="N856">
        <v>618</v>
      </c>
      <c r="O856" s="3">
        <f t="shared" si="135"/>
        <v>5.3968253968253972</v>
      </c>
      <c r="P856">
        <f t="shared" si="136"/>
        <v>1</v>
      </c>
      <c r="Q856">
        <f t="shared" si="137"/>
        <v>0</v>
      </c>
      <c r="S856">
        <f t="shared" si="138"/>
        <v>-12.950257763975154</v>
      </c>
      <c r="T856">
        <f t="shared" si="139"/>
        <v>-3.75</v>
      </c>
      <c r="U856">
        <f t="shared" si="140"/>
        <v>-13.913043478260869</v>
      </c>
      <c r="V856">
        <f t="shared" si="141"/>
        <v>-2.8000000000000003</v>
      </c>
      <c r="W856">
        <f t="shared" si="142"/>
        <v>-1.5E-3</v>
      </c>
      <c r="X856">
        <f t="shared" si="143"/>
        <v>6.8000000000000007</v>
      </c>
      <c r="Y856">
        <f t="shared" si="144"/>
        <v>0.7142857142857143</v>
      </c>
    </row>
    <row r="857" spans="1:25" x14ac:dyDescent="0.2">
      <c r="A857" t="s">
        <v>58</v>
      </c>
      <c r="B857" t="s">
        <v>163</v>
      </c>
      <c r="C857">
        <v>280</v>
      </c>
      <c r="D857" s="2">
        <v>0</v>
      </c>
      <c r="E857">
        <v>13</v>
      </c>
      <c r="F857">
        <v>6</v>
      </c>
      <c r="G857">
        <v>0.5</v>
      </c>
      <c r="H857">
        <v>50</v>
      </c>
      <c r="I857">
        <v>540</v>
      </c>
      <c r="J857">
        <v>25</v>
      </c>
      <c r="K857">
        <v>1</v>
      </c>
      <c r="L857">
        <v>5</v>
      </c>
      <c r="M857">
        <v>15</v>
      </c>
      <c r="N857">
        <v>276</v>
      </c>
      <c r="O857" s="3">
        <f t="shared" ref="O857:O920" si="145">M857/C857*100</f>
        <v>5.3571428571428568</v>
      </c>
      <c r="P857">
        <f t="shared" si="136"/>
        <v>1</v>
      </c>
      <c r="Q857">
        <f t="shared" si="137"/>
        <v>0</v>
      </c>
      <c r="S857">
        <f t="shared" si="138"/>
        <v>-6.0129223602484485</v>
      </c>
      <c r="T857">
        <f t="shared" si="139"/>
        <v>-1.5</v>
      </c>
      <c r="U857">
        <f t="shared" si="140"/>
        <v>-5.8695652173913047</v>
      </c>
      <c r="V857">
        <f t="shared" si="141"/>
        <v>-2.0000000000000004</v>
      </c>
      <c r="W857">
        <f t="shared" si="142"/>
        <v>-5.0000000000000001E-4</v>
      </c>
      <c r="X857">
        <f t="shared" si="143"/>
        <v>3</v>
      </c>
      <c r="Y857">
        <f t="shared" si="144"/>
        <v>0.35714285714285715</v>
      </c>
    </row>
    <row r="858" spans="1:25" x14ac:dyDescent="0.2">
      <c r="A858" t="s">
        <v>58</v>
      </c>
      <c r="B858" t="s">
        <v>175</v>
      </c>
      <c r="C858">
        <v>170</v>
      </c>
      <c r="D858" s="2">
        <v>0</v>
      </c>
      <c r="E858">
        <v>11</v>
      </c>
      <c r="F858">
        <v>2</v>
      </c>
      <c r="G858">
        <v>0</v>
      </c>
      <c r="H858">
        <v>35</v>
      </c>
      <c r="I858">
        <v>340</v>
      </c>
      <c r="J858">
        <v>10</v>
      </c>
      <c r="K858">
        <v>0</v>
      </c>
      <c r="L858">
        <v>0</v>
      </c>
      <c r="M858">
        <v>9</v>
      </c>
      <c r="N858">
        <v>163</v>
      </c>
      <c r="O858" s="3">
        <f t="shared" si="145"/>
        <v>5.2941176470588234</v>
      </c>
      <c r="P858">
        <f t="shared" si="136"/>
        <v>0</v>
      </c>
      <c r="Q858">
        <f t="shared" si="137"/>
        <v>0</v>
      </c>
      <c r="S858">
        <f t="shared" si="138"/>
        <v>-2.3956521739130432</v>
      </c>
      <c r="T858">
        <f t="shared" si="139"/>
        <v>-0.5</v>
      </c>
      <c r="U858">
        <f t="shared" si="140"/>
        <v>-3.6956521739130435</v>
      </c>
      <c r="V858">
        <f t="shared" si="141"/>
        <v>0</v>
      </c>
      <c r="W858">
        <f t="shared" si="142"/>
        <v>0</v>
      </c>
      <c r="X858">
        <f t="shared" si="143"/>
        <v>1.7999999999999998</v>
      </c>
      <c r="Y858">
        <f t="shared" si="144"/>
        <v>0</v>
      </c>
    </row>
    <row r="859" spans="1:25" x14ac:dyDescent="0.2">
      <c r="A859" t="s">
        <v>58</v>
      </c>
      <c r="B859" t="s">
        <v>176</v>
      </c>
      <c r="C859">
        <v>170</v>
      </c>
      <c r="D859" s="2">
        <v>0</v>
      </c>
      <c r="E859">
        <v>11</v>
      </c>
      <c r="F859">
        <v>2</v>
      </c>
      <c r="G859">
        <v>0</v>
      </c>
      <c r="H859">
        <v>35</v>
      </c>
      <c r="I859">
        <v>340</v>
      </c>
      <c r="J859">
        <v>10</v>
      </c>
      <c r="K859">
        <v>0</v>
      </c>
      <c r="L859">
        <v>0</v>
      </c>
      <c r="M859">
        <v>9</v>
      </c>
      <c r="N859">
        <v>163</v>
      </c>
      <c r="O859" s="3">
        <f t="shared" si="145"/>
        <v>5.2941176470588234</v>
      </c>
      <c r="P859">
        <f t="shared" si="136"/>
        <v>0</v>
      </c>
      <c r="Q859">
        <f t="shared" si="137"/>
        <v>0</v>
      </c>
      <c r="S859">
        <f t="shared" si="138"/>
        <v>-2.3956521739130432</v>
      </c>
      <c r="T859">
        <f t="shared" si="139"/>
        <v>-0.5</v>
      </c>
      <c r="U859">
        <f t="shared" si="140"/>
        <v>-3.6956521739130435</v>
      </c>
      <c r="V859">
        <f t="shared" si="141"/>
        <v>0</v>
      </c>
      <c r="W859">
        <f t="shared" si="142"/>
        <v>0</v>
      </c>
      <c r="X859">
        <f t="shared" si="143"/>
        <v>1.7999999999999998</v>
      </c>
      <c r="Y859">
        <f t="shared" si="144"/>
        <v>0</v>
      </c>
    </row>
    <row r="860" spans="1:25" x14ac:dyDescent="0.2">
      <c r="A860" t="s">
        <v>58</v>
      </c>
      <c r="B860" t="s">
        <v>179</v>
      </c>
      <c r="C860">
        <v>570</v>
      </c>
      <c r="D860" s="2">
        <v>0</v>
      </c>
      <c r="E860">
        <v>34</v>
      </c>
      <c r="F860">
        <v>13</v>
      </c>
      <c r="G860">
        <v>1.5</v>
      </c>
      <c r="H860">
        <v>100</v>
      </c>
      <c r="I860">
        <v>1110</v>
      </c>
      <c r="J860">
        <v>40</v>
      </c>
      <c r="K860">
        <v>3</v>
      </c>
      <c r="L860">
        <v>9</v>
      </c>
      <c r="M860">
        <v>30</v>
      </c>
      <c r="N860">
        <v>562</v>
      </c>
      <c r="O860" s="3">
        <f t="shared" si="145"/>
        <v>5.2631578947368416</v>
      </c>
      <c r="P860">
        <f t="shared" si="136"/>
        <v>1</v>
      </c>
      <c r="Q860">
        <f t="shared" si="137"/>
        <v>0</v>
      </c>
      <c r="S860">
        <f t="shared" si="138"/>
        <v>-11.845288819875774</v>
      </c>
      <c r="T860">
        <f t="shared" si="139"/>
        <v>-3.25</v>
      </c>
      <c r="U860">
        <f t="shared" si="140"/>
        <v>-12.065217391304348</v>
      </c>
      <c r="V860">
        <f t="shared" si="141"/>
        <v>-3.5999999999999996</v>
      </c>
      <c r="W860">
        <f t="shared" si="142"/>
        <v>-1.5E-3</v>
      </c>
      <c r="X860">
        <f t="shared" si="143"/>
        <v>6</v>
      </c>
      <c r="Y860">
        <f t="shared" si="144"/>
        <v>1.0714285714285714</v>
      </c>
    </row>
    <row r="861" spans="1:25" x14ac:dyDescent="0.2">
      <c r="A861" t="s">
        <v>58</v>
      </c>
      <c r="B861" t="s">
        <v>182</v>
      </c>
      <c r="C861">
        <v>420</v>
      </c>
      <c r="D861" s="2">
        <v>0</v>
      </c>
      <c r="E861">
        <v>27</v>
      </c>
      <c r="F861">
        <v>5</v>
      </c>
      <c r="G861">
        <v>0</v>
      </c>
      <c r="H861">
        <v>80</v>
      </c>
      <c r="I861">
        <v>850</v>
      </c>
      <c r="J861">
        <v>24</v>
      </c>
      <c r="K861">
        <v>1</v>
      </c>
      <c r="L861">
        <v>0</v>
      </c>
      <c r="M861">
        <v>22</v>
      </c>
      <c r="N861">
        <v>403</v>
      </c>
      <c r="O861" s="3">
        <f t="shared" si="145"/>
        <v>5.2380952380952381</v>
      </c>
      <c r="P861">
        <f t="shared" si="136"/>
        <v>1</v>
      </c>
      <c r="Q861">
        <f t="shared" si="137"/>
        <v>0</v>
      </c>
      <c r="S861">
        <f t="shared" si="138"/>
        <v>-5.7319875776397504</v>
      </c>
      <c r="T861">
        <f t="shared" si="139"/>
        <v>-1.25</v>
      </c>
      <c r="U861">
        <f t="shared" si="140"/>
        <v>-9.2391304347826075</v>
      </c>
      <c r="V861">
        <f t="shared" si="141"/>
        <v>0</v>
      </c>
      <c r="W861">
        <f t="shared" si="142"/>
        <v>0</v>
      </c>
      <c r="X861">
        <f t="shared" si="143"/>
        <v>4.4000000000000004</v>
      </c>
      <c r="Y861">
        <f t="shared" si="144"/>
        <v>0.35714285714285715</v>
      </c>
    </row>
    <row r="862" spans="1:25" x14ac:dyDescent="0.2">
      <c r="A862" t="s">
        <v>58</v>
      </c>
      <c r="B862" t="s">
        <v>186</v>
      </c>
      <c r="C862">
        <v>250</v>
      </c>
      <c r="D862" s="2">
        <v>0</v>
      </c>
      <c r="E862">
        <v>16</v>
      </c>
      <c r="F862">
        <v>3.5</v>
      </c>
      <c r="G862">
        <v>0</v>
      </c>
      <c r="H862">
        <v>50</v>
      </c>
      <c r="I862">
        <v>510</v>
      </c>
      <c r="J862">
        <v>14</v>
      </c>
      <c r="K862">
        <v>1</v>
      </c>
      <c r="L862">
        <v>0</v>
      </c>
      <c r="M862">
        <v>13</v>
      </c>
      <c r="N862">
        <v>241</v>
      </c>
      <c r="O862" s="3">
        <f t="shared" si="145"/>
        <v>5.2</v>
      </c>
      <c r="P862">
        <f t="shared" si="136"/>
        <v>1</v>
      </c>
      <c r="Q862">
        <f t="shared" si="137"/>
        <v>0</v>
      </c>
      <c r="S862">
        <f t="shared" si="138"/>
        <v>-3.4613354037267081</v>
      </c>
      <c r="T862">
        <f t="shared" si="139"/>
        <v>-0.875</v>
      </c>
      <c r="U862">
        <f t="shared" si="140"/>
        <v>-5.5434782608695654</v>
      </c>
      <c r="V862">
        <f t="shared" si="141"/>
        <v>0</v>
      </c>
      <c r="W862">
        <f t="shared" si="142"/>
        <v>0</v>
      </c>
      <c r="X862">
        <f t="shared" si="143"/>
        <v>2.6</v>
      </c>
      <c r="Y862">
        <f t="shared" si="144"/>
        <v>0.35714285714285715</v>
      </c>
    </row>
    <row r="863" spans="1:25" x14ac:dyDescent="0.2">
      <c r="A863" t="s">
        <v>58</v>
      </c>
      <c r="B863" t="s">
        <v>208</v>
      </c>
      <c r="C863">
        <v>380</v>
      </c>
      <c r="D863" s="2">
        <v>0</v>
      </c>
      <c r="E863">
        <v>22</v>
      </c>
      <c r="F863">
        <v>8</v>
      </c>
      <c r="G863">
        <v>1</v>
      </c>
      <c r="H863">
        <v>65</v>
      </c>
      <c r="I863">
        <v>680</v>
      </c>
      <c r="J863">
        <v>25</v>
      </c>
      <c r="K863">
        <v>1</v>
      </c>
      <c r="L863">
        <v>5</v>
      </c>
      <c r="M863">
        <v>19</v>
      </c>
      <c r="N863">
        <v>374</v>
      </c>
      <c r="O863" s="3">
        <f t="shared" si="145"/>
        <v>5</v>
      </c>
      <c r="P863">
        <f t="shared" si="136"/>
        <v>1</v>
      </c>
      <c r="Q863">
        <f t="shared" si="137"/>
        <v>0</v>
      </c>
      <c r="S863">
        <f t="shared" si="138"/>
        <v>-7.235161490683228</v>
      </c>
      <c r="T863">
        <f t="shared" si="139"/>
        <v>-2</v>
      </c>
      <c r="U863">
        <f t="shared" si="140"/>
        <v>-7.3913043478260869</v>
      </c>
      <c r="V863">
        <f t="shared" si="141"/>
        <v>-2.0000000000000004</v>
      </c>
      <c r="W863">
        <f t="shared" si="142"/>
        <v>-1E-3</v>
      </c>
      <c r="X863">
        <f t="shared" si="143"/>
        <v>3.8000000000000007</v>
      </c>
      <c r="Y863">
        <f t="shared" si="144"/>
        <v>0.35714285714285715</v>
      </c>
    </row>
    <row r="864" spans="1:25" x14ac:dyDescent="0.2">
      <c r="A864" t="s">
        <v>58</v>
      </c>
      <c r="B864" t="s">
        <v>220</v>
      </c>
      <c r="C864">
        <v>370</v>
      </c>
      <c r="D864" s="2">
        <v>0</v>
      </c>
      <c r="E864">
        <v>20</v>
      </c>
      <c r="F864">
        <v>5</v>
      </c>
      <c r="G864">
        <v>0</v>
      </c>
      <c r="H864">
        <v>50</v>
      </c>
      <c r="I864">
        <v>850</v>
      </c>
      <c r="J864">
        <v>30</v>
      </c>
      <c r="K864">
        <v>2</v>
      </c>
      <c r="L864">
        <v>2</v>
      </c>
      <c r="M864">
        <v>18</v>
      </c>
      <c r="N864">
        <v>359</v>
      </c>
      <c r="O864" s="3">
        <f t="shared" si="145"/>
        <v>4.8648648648648649</v>
      </c>
      <c r="P864">
        <f t="shared" si="136"/>
        <v>1</v>
      </c>
      <c r="Q864">
        <f t="shared" si="137"/>
        <v>0</v>
      </c>
      <c r="S864">
        <f t="shared" si="138"/>
        <v>-6.9748447204968942</v>
      </c>
      <c r="T864">
        <f t="shared" si="139"/>
        <v>-1.25</v>
      </c>
      <c r="U864">
        <f t="shared" si="140"/>
        <v>-9.2391304347826075</v>
      </c>
      <c r="V864">
        <f t="shared" si="141"/>
        <v>-0.8</v>
      </c>
      <c r="W864">
        <f t="shared" si="142"/>
        <v>0</v>
      </c>
      <c r="X864">
        <f t="shared" si="143"/>
        <v>3.5999999999999996</v>
      </c>
      <c r="Y864">
        <f t="shared" si="144"/>
        <v>0.7142857142857143</v>
      </c>
    </row>
    <row r="865" spans="1:25" x14ac:dyDescent="0.2">
      <c r="A865" t="s">
        <v>58</v>
      </c>
      <c r="B865" t="s">
        <v>223</v>
      </c>
      <c r="C865">
        <v>660</v>
      </c>
      <c r="D865" s="2">
        <v>0</v>
      </c>
      <c r="E865">
        <v>32</v>
      </c>
      <c r="F865">
        <v>13</v>
      </c>
      <c r="G865">
        <v>1</v>
      </c>
      <c r="H865">
        <v>85</v>
      </c>
      <c r="I865">
        <v>1820</v>
      </c>
      <c r="J865">
        <v>63</v>
      </c>
      <c r="K865">
        <v>10</v>
      </c>
      <c r="L865">
        <v>18</v>
      </c>
      <c r="M865">
        <v>32</v>
      </c>
      <c r="N865">
        <v>659</v>
      </c>
      <c r="O865" s="3">
        <f t="shared" si="145"/>
        <v>4.8484848484848486</v>
      </c>
      <c r="P865">
        <f t="shared" si="136"/>
        <v>1</v>
      </c>
      <c r="Q865">
        <f t="shared" si="137"/>
        <v>0</v>
      </c>
      <c r="S865">
        <f t="shared" si="138"/>
        <v>-20.262180124223601</v>
      </c>
      <c r="T865">
        <f t="shared" si="139"/>
        <v>-3.25</v>
      </c>
      <c r="U865">
        <f t="shared" si="140"/>
        <v>-19.782608695652172</v>
      </c>
      <c r="V865">
        <f t="shared" si="141"/>
        <v>-7.1999999999999993</v>
      </c>
      <c r="W865">
        <f t="shared" si="142"/>
        <v>-1E-3</v>
      </c>
      <c r="X865">
        <f t="shared" si="143"/>
        <v>6.4</v>
      </c>
      <c r="Y865">
        <f t="shared" si="144"/>
        <v>3.5714285714285721</v>
      </c>
    </row>
    <row r="866" spans="1:25" x14ac:dyDescent="0.2">
      <c r="A866" t="s">
        <v>58</v>
      </c>
      <c r="B866" t="s">
        <v>233</v>
      </c>
      <c r="C866">
        <v>420</v>
      </c>
      <c r="D866" s="2">
        <v>0</v>
      </c>
      <c r="E866">
        <v>23</v>
      </c>
      <c r="F866">
        <v>6</v>
      </c>
      <c r="G866">
        <v>0</v>
      </c>
      <c r="H866">
        <v>50</v>
      </c>
      <c r="I866">
        <v>950</v>
      </c>
      <c r="J866">
        <v>35</v>
      </c>
      <c r="K866">
        <v>2</v>
      </c>
      <c r="L866">
        <v>5</v>
      </c>
      <c r="M866">
        <v>20</v>
      </c>
      <c r="N866">
        <v>411</v>
      </c>
      <c r="O866" s="3">
        <f t="shared" si="145"/>
        <v>4.7619047619047619</v>
      </c>
      <c r="P866">
        <f t="shared" si="136"/>
        <v>1</v>
      </c>
      <c r="Q866">
        <f t="shared" si="137"/>
        <v>0</v>
      </c>
      <c r="S866">
        <f t="shared" si="138"/>
        <v>-9.1118012422360248</v>
      </c>
      <c r="T866">
        <f t="shared" si="139"/>
        <v>-1.5</v>
      </c>
      <c r="U866">
        <f t="shared" si="140"/>
        <v>-10.326086956521738</v>
      </c>
      <c r="V866">
        <f t="shared" si="141"/>
        <v>-2.0000000000000004</v>
      </c>
      <c r="W866">
        <f t="shared" si="142"/>
        <v>0</v>
      </c>
      <c r="X866">
        <f t="shared" si="143"/>
        <v>4.0000000000000009</v>
      </c>
      <c r="Y866">
        <f t="shared" si="144"/>
        <v>0.7142857142857143</v>
      </c>
    </row>
    <row r="867" spans="1:25" x14ac:dyDescent="0.2">
      <c r="A867" t="s">
        <v>58</v>
      </c>
      <c r="B867" t="s">
        <v>238</v>
      </c>
      <c r="C867">
        <v>360</v>
      </c>
      <c r="D867" s="2">
        <v>0</v>
      </c>
      <c r="E867">
        <v>20</v>
      </c>
      <c r="F867">
        <v>8</v>
      </c>
      <c r="G867">
        <v>0</v>
      </c>
      <c r="H867">
        <v>210</v>
      </c>
      <c r="I867">
        <v>920</v>
      </c>
      <c r="J867">
        <v>29</v>
      </c>
      <c r="K867">
        <v>1</v>
      </c>
      <c r="L867">
        <v>2</v>
      </c>
      <c r="M867">
        <v>17</v>
      </c>
      <c r="N867">
        <v>353</v>
      </c>
      <c r="O867" s="3">
        <f t="shared" si="145"/>
        <v>4.7222222222222223</v>
      </c>
      <c r="P867">
        <f t="shared" si="136"/>
        <v>1</v>
      </c>
      <c r="Q867">
        <f t="shared" si="137"/>
        <v>0</v>
      </c>
      <c r="S867">
        <f t="shared" si="138"/>
        <v>-9.0428571428571427</v>
      </c>
      <c r="T867">
        <f t="shared" si="139"/>
        <v>-2</v>
      </c>
      <c r="U867">
        <f t="shared" si="140"/>
        <v>-10</v>
      </c>
      <c r="V867">
        <f t="shared" si="141"/>
        <v>-0.8</v>
      </c>
      <c r="W867">
        <f t="shared" si="142"/>
        <v>0</v>
      </c>
      <c r="X867">
        <f t="shared" si="143"/>
        <v>3.4000000000000004</v>
      </c>
      <c r="Y867">
        <f t="shared" si="144"/>
        <v>0.35714285714285715</v>
      </c>
    </row>
    <row r="868" spans="1:25" x14ac:dyDescent="0.2">
      <c r="A868" t="s">
        <v>58</v>
      </c>
      <c r="B868" t="s">
        <v>239</v>
      </c>
      <c r="C868">
        <v>720</v>
      </c>
      <c r="D868" s="2">
        <v>0</v>
      </c>
      <c r="E868">
        <v>41</v>
      </c>
      <c r="F868">
        <v>16</v>
      </c>
      <c r="G868">
        <v>0</v>
      </c>
      <c r="H868">
        <v>420</v>
      </c>
      <c r="I868">
        <v>1830</v>
      </c>
      <c r="J868">
        <v>59</v>
      </c>
      <c r="K868">
        <v>2</v>
      </c>
      <c r="L868">
        <v>5</v>
      </c>
      <c r="M868">
        <v>34</v>
      </c>
      <c r="N868">
        <v>707</v>
      </c>
      <c r="O868" s="3">
        <f t="shared" si="145"/>
        <v>4.7222222222222223</v>
      </c>
      <c r="P868">
        <f t="shared" si="136"/>
        <v>1</v>
      </c>
      <c r="Q868">
        <f t="shared" si="137"/>
        <v>1</v>
      </c>
      <c r="S868">
        <f t="shared" si="138"/>
        <v>-18.37701863354037</v>
      </c>
      <c r="T868">
        <f t="shared" si="139"/>
        <v>-4</v>
      </c>
      <c r="U868">
        <f t="shared" si="140"/>
        <v>-19.891304347826086</v>
      </c>
      <c r="V868">
        <f t="shared" si="141"/>
        <v>-2.0000000000000004</v>
      </c>
      <c r="W868">
        <f t="shared" si="142"/>
        <v>0</v>
      </c>
      <c r="X868">
        <f t="shared" si="143"/>
        <v>6.8000000000000007</v>
      </c>
      <c r="Y868">
        <f t="shared" si="144"/>
        <v>0.7142857142857143</v>
      </c>
    </row>
    <row r="869" spans="1:25" x14ac:dyDescent="0.2">
      <c r="A869" t="s">
        <v>58</v>
      </c>
      <c r="B869" t="s">
        <v>242</v>
      </c>
      <c r="C869">
        <v>340</v>
      </c>
      <c r="D869" s="2">
        <v>0</v>
      </c>
      <c r="E869">
        <v>19</v>
      </c>
      <c r="F869">
        <v>7</v>
      </c>
      <c r="G869">
        <v>1</v>
      </c>
      <c r="H869">
        <v>55</v>
      </c>
      <c r="I869">
        <v>660</v>
      </c>
      <c r="J869">
        <v>27</v>
      </c>
      <c r="K869">
        <v>2</v>
      </c>
      <c r="L869">
        <v>7</v>
      </c>
      <c r="M869">
        <v>16</v>
      </c>
      <c r="N869">
        <v>338</v>
      </c>
      <c r="O869" s="3">
        <f t="shared" si="145"/>
        <v>4.7058823529411766</v>
      </c>
      <c r="P869">
        <f t="shared" si="136"/>
        <v>1</v>
      </c>
      <c r="Q869">
        <f t="shared" si="137"/>
        <v>0</v>
      </c>
      <c r="S869">
        <f t="shared" si="138"/>
        <v>-7.8106273291925463</v>
      </c>
      <c r="T869">
        <f t="shared" si="139"/>
        <v>-1.75</v>
      </c>
      <c r="U869">
        <f t="shared" si="140"/>
        <v>-7.1739130434782608</v>
      </c>
      <c r="V869">
        <f t="shared" si="141"/>
        <v>-2.8000000000000003</v>
      </c>
      <c r="W869">
        <f t="shared" si="142"/>
        <v>-1E-3</v>
      </c>
      <c r="X869">
        <f t="shared" si="143"/>
        <v>3.2</v>
      </c>
      <c r="Y869">
        <f t="shared" si="144"/>
        <v>0.7142857142857143</v>
      </c>
    </row>
    <row r="870" spans="1:25" x14ac:dyDescent="0.2">
      <c r="A870" t="s">
        <v>58</v>
      </c>
      <c r="B870" t="s">
        <v>251</v>
      </c>
      <c r="C870">
        <v>150</v>
      </c>
      <c r="D870" s="2">
        <v>0</v>
      </c>
      <c r="E870">
        <v>2.5</v>
      </c>
      <c r="F870">
        <v>1.5</v>
      </c>
      <c r="G870">
        <v>0</v>
      </c>
      <c r="H870">
        <v>10</v>
      </c>
      <c r="I870">
        <v>170</v>
      </c>
      <c r="J870">
        <v>26</v>
      </c>
      <c r="K870">
        <v>0</v>
      </c>
      <c r="L870">
        <v>23</v>
      </c>
      <c r="M870">
        <v>7</v>
      </c>
      <c r="N870">
        <v>168</v>
      </c>
      <c r="O870" s="3">
        <f t="shared" si="145"/>
        <v>4.666666666666667</v>
      </c>
      <c r="P870">
        <f t="shared" si="136"/>
        <v>0</v>
      </c>
      <c r="Q870">
        <f t="shared" si="137"/>
        <v>0</v>
      </c>
      <c r="S870">
        <f t="shared" si="138"/>
        <v>-10.022826086956522</v>
      </c>
      <c r="T870">
        <f t="shared" si="139"/>
        <v>-0.375</v>
      </c>
      <c r="U870">
        <f t="shared" si="140"/>
        <v>-1.8478260869565217</v>
      </c>
      <c r="V870">
        <f t="shared" si="141"/>
        <v>-9.2000000000000011</v>
      </c>
      <c r="W870">
        <f t="shared" si="142"/>
        <v>0</v>
      </c>
      <c r="X870">
        <f t="shared" si="143"/>
        <v>1.4000000000000001</v>
      </c>
      <c r="Y870">
        <f t="shared" si="144"/>
        <v>0</v>
      </c>
    </row>
    <row r="871" spans="1:25" x14ac:dyDescent="0.2">
      <c r="A871" t="s">
        <v>58</v>
      </c>
      <c r="B871" t="s">
        <v>299</v>
      </c>
      <c r="C871">
        <v>610</v>
      </c>
      <c r="D871" s="2">
        <v>0</v>
      </c>
      <c r="E871">
        <v>40</v>
      </c>
      <c r="F871">
        <v>15</v>
      </c>
      <c r="G871">
        <v>0</v>
      </c>
      <c r="H871">
        <v>290</v>
      </c>
      <c r="I871">
        <v>1400</v>
      </c>
      <c r="J871">
        <v>37</v>
      </c>
      <c r="K871">
        <v>2</v>
      </c>
      <c r="L871">
        <v>7</v>
      </c>
      <c r="M871">
        <v>27</v>
      </c>
      <c r="N871">
        <v>605</v>
      </c>
      <c r="O871" s="3">
        <f t="shared" si="145"/>
        <v>4.4262295081967213</v>
      </c>
      <c r="P871">
        <f t="shared" si="136"/>
        <v>1</v>
      </c>
      <c r="Q871">
        <f t="shared" si="137"/>
        <v>0</v>
      </c>
      <c r="S871">
        <f t="shared" si="138"/>
        <v>-15.653105590062113</v>
      </c>
      <c r="T871">
        <f t="shared" si="139"/>
        <v>-3.75</v>
      </c>
      <c r="U871">
        <f t="shared" si="140"/>
        <v>-15.217391304347828</v>
      </c>
      <c r="V871">
        <f t="shared" si="141"/>
        <v>-2.8000000000000003</v>
      </c>
      <c r="W871">
        <f t="shared" si="142"/>
        <v>0</v>
      </c>
      <c r="X871">
        <f t="shared" si="143"/>
        <v>5.4</v>
      </c>
      <c r="Y871">
        <f t="shared" si="144"/>
        <v>0.7142857142857143</v>
      </c>
    </row>
    <row r="872" spans="1:25" x14ac:dyDescent="0.2">
      <c r="A872" t="s">
        <v>58</v>
      </c>
      <c r="B872" t="s">
        <v>305</v>
      </c>
      <c r="C872">
        <v>480</v>
      </c>
      <c r="D872" s="2">
        <v>0</v>
      </c>
      <c r="E872">
        <v>33</v>
      </c>
      <c r="F872">
        <v>13</v>
      </c>
      <c r="G872">
        <v>0</v>
      </c>
      <c r="H872">
        <v>275</v>
      </c>
      <c r="I872">
        <v>980</v>
      </c>
      <c r="J872">
        <v>27</v>
      </c>
      <c r="K872">
        <v>1</v>
      </c>
      <c r="L872">
        <v>4</v>
      </c>
      <c r="M872">
        <v>21</v>
      </c>
      <c r="N872">
        <v>476</v>
      </c>
      <c r="O872" s="3">
        <f t="shared" si="145"/>
        <v>4.375</v>
      </c>
      <c r="P872">
        <f t="shared" si="136"/>
        <v>1</v>
      </c>
      <c r="Q872">
        <f t="shared" si="137"/>
        <v>0</v>
      </c>
      <c r="S872">
        <f t="shared" si="138"/>
        <v>-10.945031055900621</v>
      </c>
      <c r="T872">
        <f t="shared" si="139"/>
        <v>-3.25</v>
      </c>
      <c r="U872">
        <f t="shared" si="140"/>
        <v>-10.652173913043478</v>
      </c>
      <c r="V872">
        <f t="shared" si="141"/>
        <v>-1.6</v>
      </c>
      <c r="W872">
        <f t="shared" si="142"/>
        <v>0</v>
      </c>
      <c r="X872">
        <f t="shared" si="143"/>
        <v>4.2</v>
      </c>
      <c r="Y872">
        <f t="shared" si="144"/>
        <v>0.35714285714285715</v>
      </c>
    </row>
    <row r="873" spans="1:25" x14ac:dyDescent="0.2">
      <c r="A873" t="s">
        <v>58</v>
      </c>
      <c r="B873" t="s">
        <v>333</v>
      </c>
      <c r="C873">
        <v>330</v>
      </c>
      <c r="D873" s="2">
        <v>0</v>
      </c>
      <c r="E873">
        <v>16</v>
      </c>
      <c r="F873">
        <v>3</v>
      </c>
      <c r="G873">
        <v>0</v>
      </c>
      <c r="H873">
        <v>30</v>
      </c>
      <c r="I873">
        <v>600</v>
      </c>
      <c r="J873">
        <v>33</v>
      </c>
      <c r="K873">
        <v>2</v>
      </c>
      <c r="L873">
        <v>4</v>
      </c>
      <c r="M873">
        <v>14</v>
      </c>
      <c r="N873">
        <v>323</v>
      </c>
      <c r="O873" s="3">
        <f t="shared" si="145"/>
        <v>4.2424242424242431</v>
      </c>
      <c r="P873">
        <f t="shared" si="136"/>
        <v>1</v>
      </c>
      <c r="Q873">
        <f t="shared" si="137"/>
        <v>0</v>
      </c>
      <c r="S873">
        <f t="shared" si="138"/>
        <v>-5.3574534161490677</v>
      </c>
      <c r="T873">
        <f t="shared" si="139"/>
        <v>-0.75</v>
      </c>
      <c r="U873">
        <f t="shared" si="140"/>
        <v>-6.5217391304347823</v>
      </c>
      <c r="V873">
        <f t="shared" si="141"/>
        <v>-1.6</v>
      </c>
      <c r="W873">
        <f t="shared" si="142"/>
        <v>0</v>
      </c>
      <c r="X873">
        <f t="shared" si="143"/>
        <v>2.8000000000000003</v>
      </c>
      <c r="Y873">
        <f t="shared" si="144"/>
        <v>0.7142857142857143</v>
      </c>
    </row>
    <row r="874" spans="1:25" x14ac:dyDescent="0.2">
      <c r="A874" t="s">
        <v>58</v>
      </c>
      <c r="B874" t="s">
        <v>347</v>
      </c>
      <c r="C874">
        <v>460</v>
      </c>
      <c r="D874" s="2">
        <v>0</v>
      </c>
      <c r="E874">
        <v>11</v>
      </c>
      <c r="F874">
        <v>5</v>
      </c>
      <c r="G874">
        <v>0</v>
      </c>
      <c r="H874">
        <v>35</v>
      </c>
      <c r="I874">
        <v>710</v>
      </c>
      <c r="J874">
        <v>71</v>
      </c>
      <c r="K874">
        <v>8</v>
      </c>
      <c r="L874">
        <v>7</v>
      </c>
      <c r="M874">
        <v>19</v>
      </c>
      <c r="N874">
        <v>453</v>
      </c>
      <c r="O874" s="3">
        <f t="shared" si="145"/>
        <v>4.1304347826086953</v>
      </c>
      <c r="P874">
        <f t="shared" si="136"/>
        <v>1</v>
      </c>
      <c r="Q874">
        <f t="shared" si="137"/>
        <v>0</v>
      </c>
      <c r="S874">
        <f t="shared" si="138"/>
        <v>-5.1102484472049685</v>
      </c>
      <c r="T874">
        <f t="shared" si="139"/>
        <v>-1.25</v>
      </c>
      <c r="U874">
        <f t="shared" si="140"/>
        <v>-7.7173913043478262</v>
      </c>
      <c r="V874">
        <f t="shared" si="141"/>
        <v>-2.8000000000000003</v>
      </c>
      <c r="W874">
        <f t="shared" si="142"/>
        <v>0</v>
      </c>
      <c r="X874">
        <f t="shared" si="143"/>
        <v>3.8000000000000007</v>
      </c>
      <c r="Y874">
        <f t="shared" si="144"/>
        <v>2.8571428571428572</v>
      </c>
    </row>
    <row r="875" spans="1:25" x14ac:dyDescent="0.2">
      <c r="A875" t="s">
        <v>58</v>
      </c>
      <c r="B875" t="s">
        <v>367</v>
      </c>
      <c r="C875">
        <v>470</v>
      </c>
      <c r="D875" s="2">
        <v>0</v>
      </c>
      <c r="E875">
        <v>23</v>
      </c>
      <c r="F875">
        <v>8</v>
      </c>
      <c r="G875">
        <v>0.5</v>
      </c>
      <c r="H875">
        <v>45</v>
      </c>
      <c r="I875">
        <v>1320</v>
      </c>
      <c r="J875">
        <v>49</v>
      </c>
      <c r="K875">
        <v>7</v>
      </c>
      <c r="L875">
        <v>12</v>
      </c>
      <c r="M875">
        <v>19</v>
      </c>
      <c r="N875">
        <v>471</v>
      </c>
      <c r="O875" s="3">
        <f t="shared" si="145"/>
        <v>4.042553191489362</v>
      </c>
      <c r="P875">
        <f t="shared" si="136"/>
        <v>1</v>
      </c>
      <c r="Q875">
        <f t="shared" si="137"/>
        <v>0</v>
      </c>
      <c r="S875">
        <f t="shared" si="138"/>
        <v>-14.848326086956522</v>
      </c>
      <c r="T875">
        <f t="shared" si="139"/>
        <v>-2</v>
      </c>
      <c r="U875">
        <f t="shared" si="140"/>
        <v>-14.347826086956522</v>
      </c>
      <c r="V875">
        <f t="shared" si="141"/>
        <v>-4.8</v>
      </c>
      <c r="W875">
        <f t="shared" si="142"/>
        <v>-5.0000000000000001E-4</v>
      </c>
      <c r="X875">
        <f t="shared" si="143"/>
        <v>3.8000000000000007</v>
      </c>
      <c r="Y875">
        <f t="shared" si="144"/>
        <v>2.5</v>
      </c>
    </row>
    <row r="876" spans="1:25" x14ac:dyDescent="0.2">
      <c r="A876" t="s">
        <v>58</v>
      </c>
      <c r="B876" t="s">
        <v>396</v>
      </c>
      <c r="C876">
        <v>440</v>
      </c>
      <c r="D876" s="2">
        <v>0</v>
      </c>
      <c r="E876">
        <v>14</v>
      </c>
      <c r="F876">
        <v>6</v>
      </c>
      <c r="G876">
        <v>0</v>
      </c>
      <c r="H876">
        <v>35</v>
      </c>
      <c r="I876">
        <v>550</v>
      </c>
      <c r="J876">
        <v>64</v>
      </c>
      <c r="K876">
        <v>7</v>
      </c>
      <c r="L876">
        <v>4</v>
      </c>
      <c r="M876">
        <v>17</v>
      </c>
      <c r="N876">
        <v>433</v>
      </c>
      <c r="O876" s="3">
        <f t="shared" si="145"/>
        <v>3.8636363636363633</v>
      </c>
      <c r="P876">
        <f t="shared" si="136"/>
        <v>1</v>
      </c>
      <c r="Q876">
        <f t="shared" si="137"/>
        <v>0</v>
      </c>
      <c r="S876">
        <f t="shared" si="138"/>
        <v>-3.1782608695652179</v>
      </c>
      <c r="T876">
        <f t="shared" si="139"/>
        <v>-1.5</v>
      </c>
      <c r="U876">
        <f t="shared" si="140"/>
        <v>-5.9782608695652177</v>
      </c>
      <c r="V876">
        <f t="shared" si="141"/>
        <v>-1.6</v>
      </c>
      <c r="W876">
        <f t="shared" si="142"/>
        <v>0</v>
      </c>
      <c r="X876">
        <f t="shared" si="143"/>
        <v>3.4000000000000004</v>
      </c>
      <c r="Y876">
        <f t="shared" si="144"/>
        <v>2.5</v>
      </c>
    </row>
    <row r="877" spans="1:25" x14ac:dyDescent="0.2">
      <c r="A877" t="s">
        <v>58</v>
      </c>
      <c r="B877" t="s">
        <v>405</v>
      </c>
      <c r="C877">
        <v>500</v>
      </c>
      <c r="D877" s="2">
        <v>0</v>
      </c>
      <c r="E877">
        <v>26</v>
      </c>
      <c r="F877">
        <v>12</v>
      </c>
      <c r="G877">
        <v>0</v>
      </c>
      <c r="H877">
        <v>50</v>
      </c>
      <c r="I877">
        <v>1120</v>
      </c>
      <c r="J877">
        <v>48</v>
      </c>
      <c r="K877">
        <v>1</v>
      </c>
      <c r="L877">
        <v>9</v>
      </c>
      <c r="M877">
        <v>19</v>
      </c>
      <c r="N877">
        <v>502</v>
      </c>
      <c r="O877" s="3">
        <f t="shared" si="145"/>
        <v>3.8</v>
      </c>
      <c r="P877">
        <f t="shared" si="136"/>
        <v>1</v>
      </c>
      <c r="Q877">
        <f t="shared" si="137"/>
        <v>0</v>
      </c>
      <c r="S877">
        <f t="shared" si="138"/>
        <v>-14.616770186335401</v>
      </c>
      <c r="T877">
        <f t="shared" si="139"/>
        <v>-3</v>
      </c>
      <c r="U877">
        <f t="shared" si="140"/>
        <v>-12.173913043478262</v>
      </c>
      <c r="V877">
        <f t="shared" si="141"/>
        <v>-3.5999999999999996</v>
      </c>
      <c r="W877">
        <f t="shared" si="142"/>
        <v>0</v>
      </c>
      <c r="X877">
        <f t="shared" si="143"/>
        <v>3.8000000000000007</v>
      </c>
      <c r="Y877">
        <f t="shared" si="144"/>
        <v>0.35714285714285715</v>
      </c>
    </row>
    <row r="878" spans="1:25" x14ac:dyDescent="0.2">
      <c r="A878" t="s">
        <v>58</v>
      </c>
      <c r="B878" t="s">
        <v>414</v>
      </c>
      <c r="C878">
        <v>510</v>
      </c>
      <c r="D878" s="2">
        <v>0</v>
      </c>
      <c r="E878">
        <v>28</v>
      </c>
      <c r="F878">
        <v>9</v>
      </c>
      <c r="G878">
        <v>0</v>
      </c>
      <c r="H878">
        <v>245</v>
      </c>
      <c r="I878">
        <v>1390</v>
      </c>
      <c r="J878">
        <v>44</v>
      </c>
      <c r="K878">
        <v>4</v>
      </c>
      <c r="L878">
        <v>2</v>
      </c>
      <c r="M878">
        <v>19</v>
      </c>
      <c r="N878">
        <v>502</v>
      </c>
      <c r="O878" s="3">
        <f t="shared" si="145"/>
        <v>3.7254901960784315</v>
      </c>
      <c r="P878">
        <f t="shared" si="136"/>
        <v>1</v>
      </c>
      <c r="Q878">
        <f t="shared" si="137"/>
        <v>0</v>
      </c>
      <c r="S878">
        <f t="shared" si="138"/>
        <v>-12.930124223602485</v>
      </c>
      <c r="T878">
        <f t="shared" si="139"/>
        <v>-2.25</v>
      </c>
      <c r="U878">
        <f t="shared" si="140"/>
        <v>-15.108695652173912</v>
      </c>
      <c r="V878">
        <f t="shared" si="141"/>
        <v>-0.8</v>
      </c>
      <c r="W878">
        <f t="shared" si="142"/>
        <v>0</v>
      </c>
      <c r="X878">
        <f t="shared" si="143"/>
        <v>3.8000000000000007</v>
      </c>
      <c r="Y878">
        <f t="shared" si="144"/>
        <v>1.4285714285714286</v>
      </c>
    </row>
    <row r="879" spans="1:25" x14ac:dyDescent="0.2">
      <c r="A879" t="s">
        <v>58</v>
      </c>
      <c r="B879" t="s">
        <v>424</v>
      </c>
      <c r="C879">
        <v>410</v>
      </c>
      <c r="D879" s="2">
        <v>0</v>
      </c>
      <c r="E879">
        <v>24</v>
      </c>
      <c r="F879">
        <v>13</v>
      </c>
      <c r="G879">
        <v>0</v>
      </c>
      <c r="H879">
        <v>235</v>
      </c>
      <c r="I879">
        <v>970</v>
      </c>
      <c r="J879">
        <v>34</v>
      </c>
      <c r="K879">
        <v>1</v>
      </c>
      <c r="L879">
        <v>5</v>
      </c>
      <c r="M879">
        <v>15</v>
      </c>
      <c r="N879">
        <v>413</v>
      </c>
      <c r="O879" s="3">
        <f t="shared" si="145"/>
        <v>3.6585365853658534</v>
      </c>
      <c r="P879">
        <f t="shared" si="136"/>
        <v>1</v>
      </c>
      <c r="Q879">
        <f t="shared" si="137"/>
        <v>0</v>
      </c>
      <c r="S879">
        <f t="shared" si="138"/>
        <v>-12.436335403726709</v>
      </c>
      <c r="T879">
        <f t="shared" si="139"/>
        <v>-3.25</v>
      </c>
      <c r="U879">
        <f t="shared" si="140"/>
        <v>-10.543478260869566</v>
      </c>
      <c r="V879">
        <f t="shared" si="141"/>
        <v>-2.0000000000000004</v>
      </c>
      <c r="W879">
        <f t="shared" si="142"/>
        <v>0</v>
      </c>
      <c r="X879">
        <f t="shared" si="143"/>
        <v>3</v>
      </c>
      <c r="Y879">
        <f t="shared" si="144"/>
        <v>0.35714285714285715</v>
      </c>
    </row>
    <row r="880" spans="1:25" x14ac:dyDescent="0.2">
      <c r="A880" t="s">
        <v>58</v>
      </c>
      <c r="B880" t="s">
        <v>443</v>
      </c>
      <c r="C880">
        <v>590</v>
      </c>
      <c r="D880" s="2">
        <v>0</v>
      </c>
      <c r="E880">
        <v>41</v>
      </c>
      <c r="F880">
        <v>19</v>
      </c>
      <c r="G880">
        <v>0</v>
      </c>
      <c r="H880">
        <v>270</v>
      </c>
      <c r="I880">
        <v>1270</v>
      </c>
      <c r="J880">
        <v>36</v>
      </c>
      <c r="K880">
        <v>1</v>
      </c>
      <c r="L880">
        <v>6</v>
      </c>
      <c r="M880">
        <v>20</v>
      </c>
      <c r="N880">
        <v>595</v>
      </c>
      <c r="O880" s="3">
        <f t="shared" si="145"/>
        <v>3.3898305084745761</v>
      </c>
      <c r="P880">
        <f t="shared" si="136"/>
        <v>1</v>
      </c>
      <c r="Q880">
        <f t="shared" si="137"/>
        <v>0</v>
      </c>
      <c r="S880">
        <f t="shared" si="138"/>
        <v>-16.597204968944098</v>
      </c>
      <c r="T880">
        <f t="shared" si="139"/>
        <v>-4.75</v>
      </c>
      <c r="U880">
        <f t="shared" si="140"/>
        <v>-13.804347826086957</v>
      </c>
      <c r="V880">
        <f t="shared" si="141"/>
        <v>-2.4</v>
      </c>
      <c r="W880">
        <f t="shared" si="142"/>
        <v>0</v>
      </c>
      <c r="X880">
        <f t="shared" si="143"/>
        <v>4.0000000000000009</v>
      </c>
      <c r="Y880">
        <f t="shared" si="144"/>
        <v>0.35714285714285715</v>
      </c>
    </row>
    <row r="881" spans="1:25" x14ac:dyDescent="0.2">
      <c r="A881" t="s">
        <v>58</v>
      </c>
      <c r="B881" t="s">
        <v>81</v>
      </c>
      <c r="C881">
        <v>240</v>
      </c>
      <c r="D881" s="2">
        <v>0</v>
      </c>
      <c r="E881">
        <v>15</v>
      </c>
      <c r="F881">
        <v>4</v>
      </c>
      <c r="G881">
        <v>0</v>
      </c>
      <c r="H881">
        <v>30</v>
      </c>
      <c r="I881">
        <v>500</v>
      </c>
      <c r="J881">
        <v>19</v>
      </c>
      <c r="K881">
        <v>3</v>
      </c>
      <c r="L881">
        <v>4</v>
      </c>
      <c r="M881">
        <v>8</v>
      </c>
      <c r="N881">
        <v>240</v>
      </c>
      <c r="O881" s="3">
        <f t="shared" si="145"/>
        <v>3.3333333333333335</v>
      </c>
      <c r="P881">
        <f t="shared" si="136"/>
        <v>1</v>
      </c>
      <c r="Q881">
        <f t="shared" si="137"/>
        <v>0</v>
      </c>
      <c r="S881">
        <f t="shared" si="138"/>
        <v>-5.3633540372670812</v>
      </c>
      <c r="T881">
        <f t="shared" si="139"/>
        <v>-1</v>
      </c>
      <c r="U881">
        <f t="shared" si="140"/>
        <v>-5.4347826086956523</v>
      </c>
      <c r="V881">
        <f t="shared" si="141"/>
        <v>-1.6</v>
      </c>
      <c r="W881">
        <f t="shared" si="142"/>
        <v>0</v>
      </c>
      <c r="X881">
        <f t="shared" si="143"/>
        <v>1.6</v>
      </c>
      <c r="Y881">
        <f t="shared" si="144"/>
        <v>1.0714285714285714</v>
      </c>
    </row>
    <row r="882" spans="1:25" x14ac:dyDescent="0.2">
      <c r="A882" t="s">
        <v>58</v>
      </c>
      <c r="B882" t="s">
        <v>459</v>
      </c>
      <c r="C882">
        <v>640</v>
      </c>
      <c r="D882" s="2">
        <v>0</v>
      </c>
      <c r="E882">
        <v>42</v>
      </c>
      <c r="F882">
        <v>14</v>
      </c>
      <c r="G882">
        <v>0</v>
      </c>
      <c r="H882">
        <v>270</v>
      </c>
      <c r="I882">
        <v>1540</v>
      </c>
      <c r="J882">
        <v>46</v>
      </c>
      <c r="K882">
        <v>4</v>
      </c>
      <c r="L882">
        <v>3</v>
      </c>
      <c r="M882">
        <v>21</v>
      </c>
      <c r="N882">
        <v>636</v>
      </c>
      <c r="O882" s="3">
        <f t="shared" si="145"/>
        <v>3.28125</v>
      </c>
      <c r="P882">
        <f t="shared" si="136"/>
        <v>1</v>
      </c>
      <c r="Q882">
        <f t="shared" si="137"/>
        <v>0</v>
      </c>
      <c r="S882">
        <f t="shared" si="138"/>
        <v>-15.81055900621118</v>
      </c>
      <c r="T882">
        <f t="shared" si="139"/>
        <v>-3.5</v>
      </c>
      <c r="U882">
        <f t="shared" si="140"/>
        <v>-16.739130434782609</v>
      </c>
      <c r="V882">
        <f t="shared" si="141"/>
        <v>-1.2</v>
      </c>
      <c r="W882">
        <f t="shared" si="142"/>
        <v>0</v>
      </c>
      <c r="X882">
        <f t="shared" si="143"/>
        <v>4.2</v>
      </c>
      <c r="Y882">
        <f t="shared" si="144"/>
        <v>1.4285714285714286</v>
      </c>
    </row>
    <row r="883" spans="1:25" x14ac:dyDescent="0.2">
      <c r="A883" t="s">
        <v>58</v>
      </c>
      <c r="B883" t="s">
        <v>460</v>
      </c>
      <c r="C883">
        <v>430</v>
      </c>
      <c r="D883" s="2">
        <v>0</v>
      </c>
      <c r="E883">
        <v>13</v>
      </c>
      <c r="F883">
        <v>7</v>
      </c>
      <c r="G883">
        <v>0</v>
      </c>
      <c r="H883">
        <v>30</v>
      </c>
      <c r="I883">
        <v>560</v>
      </c>
      <c r="J883">
        <v>65</v>
      </c>
      <c r="K883">
        <v>7</v>
      </c>
      <c r="L883">
        <v>5</v>
      </c>
      <c r="M883">
        <v>14</v>
      </c>
      <c r="N883">
        <v>428</v>
      </c>
      <c r="O883" s="3">
        <f t="shared" si="145"/>
        <v>3.2558139534883721</v>
      </c>
      <c r="P883">
        <f t="shared" si="136"/>
        <v>1</v>
      </c>
      <c r="Q883">
        <f t="shared" si="137"/>
        <v>0</v>
      </c>
      <c r="S883">
        <f t="shared" si="138"/>
        <v>-4.5369565217391301</v>
      </c>
      <c r="T883">
        <f t="shared" si="139"/>
        <v>-1.75</v>
      </c>
      <c r="U883">
        <f t="shared" si="140"/>
        <v>-6.0869565217391308</v>
      </c>
      <c r="V883">
        <f t="shared" si="141"/>
        <v>-2.0000000000000004</v>
      </c>
      <c r="W883">
        <f t="shared" si="142"/>
        <v>0</v>
      </c>
      <c r="X883">
        <f t="shared" si="143"/>
        <v>2.8000000000000003</v>
      </c>
      <c r="Y883">
        <f t="shared" si="144"/>
        <v>2.5</v>
      </c>
    </row>
    <row r="884" spans="1:25" x14ac:dyDescent="0.2">
      <c r="A884" t="s">
        <v>58</v>
      </c>
      <c r="B884" t="s">
        <v>465</v>
      </c>
      <c r="C884">
        <v>500</v>
      </c>
      <c r="D884" s="2">
        <v>0</v>
      </c>
      <c r="E884">
        <v>25</v>
      </c>
      <c r="F884">
        <v>8</v>
      </c>
      <c r="G884">
        <v>0.5</v>
      </c>
      <c r="H884">
        <v>35</v>
      </c>
      <c r="I884">
        <v>710</v>
      </c>
      <c r="J884">
        <v>53</v>
      </c>
      <c r="K884">
        <v>6</v>
      </c>
      <c r="L884">
        <v>4</v>
      </c>
      <c r="M884">
        <v>16</v>
      </c>
      <c r="N884">
        <v>496</v>
      </c>
      <c r="O884" s="3">
        <f t="shared" si="145"/>
        <v>3.2</v>
      </c>
      <c r="P884">
        <f t="shared" si="136"/>
        <v>1</v>
      </c>
      <c r="Q884">
        <f t="shared" si="137"/>
        <v>0</v>
      </c>
      <c r="S884">
        <f t="shared" si="138"/>
        <v>-5.975034161490683</v>
      </c>
      <c r="T884">
        <f t="shared" si="139"/>
        <v>-2</v>
      </c>
      <c r="U884">
        <f t="shared" si="140"/>
        <v>-7.7173913043478262</v>
      </c>
      <c r="V884">
        <f t="shared" si="141"/>
        <v>-1.6</v>
      </c>
      <c r="W884">
        <f t="shared" si="142"/>
        <v>-5.0000000000000001E-4</v>
      </c>
      <c r="X884">
        <f t="shared" si="143"/>
        <v>3.2</v>
      </c>
      <c r="Y884">
        <f t="shared" si="144"/>
        <v>2.1428571428571428</v>
      </c>
    </row>
    <row r="885" spans="1:25" x14ac:dyDescent="0.2">
      <c r="A885" t="s">
        <v>58</v>
      </c>
      <c r="B885" t="s">
        <v>496</v>
      </c>
      <c r="C885">
        <v>100</v>
      </c>
      <c r="D885" s="2">
        <v>0</v>
      </c>
      <c r="E885">
        <v>8</v>
      </c>
      <c r="F885">
        <v>5</v>
      </c>
      <c r="G885">
        <v>0</v>
      </c>
      <c r="H885">
        <v>25</v>
      </c>
      <c r="I885">
        <v>45</v>
      </c>
      <c r="J885">
        <v>14</v>
      </c>
      <c r="K885">
        <v>0</v>
      </c>
      <c r="L885">
        <v>0</v>
      </c>
      <c r="M885">
        <v>3</v>
      </c>
      <c r="N885">
        <v>102</v>
      </c>
      <c r="O885" s="3">
        <f t="shared" si="145"/>
        <v>3</v>
      </c>
      <c r="P885">
        <f t="shared" si="136"/>
        <v>0</v>
      </c>
      <c r="Q885">
        <f t="shared" si="137"/>
        <v>0</v>
      </c>
      <c r="S885">
        <f t="shared" si="138"/>
        <v>-1.1391304347826088</v>
      </c>
      <c r="T885">
        <f t="shared" si="139"/>
        <v>-1.25</v>
      </c>
      <c r="U885">
        <f t="shared" si="140"/>
        <v>-0.48913043478260876</v>
      </c>
      <c r="V885">
        <f t="shared" si="141"/>
        <v>0</v>
      </c>
      <c r="W885">
        <f t="shared" si="142"/>
        <v>0</v>
      </c>
      <c r="X885">
        <f t="shared" si="143"/>
        <v>0.6</v>
      </c>
      <c r="Y885">
        <f t="shared" si="144"/>
        <v>0</v>
      </c>
    </row>
    <row r="886" spans="1:25" x14ac:dyDescent="0.2">
      <c r="A886" t="s">
        <v>58</v>
      </c>
      <c r="B886" t="s">
        <v>497</v>
      </c>
      <c r="C886">
        <v>200</v>
      </c>
      <c r="D886" s="2">
        <v>0</v>
      </c>
      <c r="E886">
        <v>5</v>
      </c>
      <c r="F886">
        <v>3</v>
      </c>
      <c r="G886">
        <v>0</v>
      </c>
      <c r="H886">
        <v>20</v>
      </c>
      <c r="I886">
        <v>90</v>
      </c>
      <c r="J886">
        <v>33</v>
      </c>
      <c r="K886">
        <v>0</v>
      </c>
      <c r="L886">
        <v>27</v>
      </c>
      <c r="M886">
        <v>6</v>
      </c>
      <c r="N886">
        <v>224</v>
      </c>
      <c r="O886" s="3">
        <f t="shared" si="145"/>
        <v>3</v>
      </c>
      <c r="P886">
        <f t="shared" si="136"/>
        <v>0</v>
      </c>
      <c r="Q886">
        <f t="shared" si="137"/>
        <v>0</v>
      </c>
      <c r="S886">
        <f t="shared" si="138"/>
        <v>-11.328260869565218</v>
      </c>
      <c r="T886">
        <f t="shared" si="139"/>
        <v>-0.75</v>
      </c>
      <c r="U886">
        <f t="shared" si="140"/>
        <v>-0.97826086956521752</v>
      </c>
      <c r="V886">
        <f t="shared" si="141"/>
        <v>-10.8</v>
      </c>
      <c r="W886">
        <f t="shared" si="142"/>
        <v>0</v>
      </c>
      <c r="X886">
        <f t="shared" si="143"/>
        <v>1.2</v>
      </c>
      <c r="Y886">
        <f t="shared" si="144"/>
        <v>0</v>
      </c>
    </row>
    <row r="887" spans="1:25" x14ac:dyDescent="0.2">
      <c r="A887" t="s">
        <v>58</v>
      </c>
      <c r="B887" t="s">
        <v>504</v>
      </c>
      <c r="C887">
        <v>590</v>
      </c>
      <c r="D887" s="2">
        <v>0</v>
      </c>
      <c r="E887">
        <v>15</v>
      </c>
      <c r="F887">
        <v>10</v>
      </c>
      <c r="G887">
        <v>0.5</v>
      </c>
      <c r="H887">
        <v>60</v>
      </c>
      <c r="I887">
        <v>260</v>
      </c>
      <c r="J887">
        <v>99</v>
      </c>
      <c r="K887">
        <v>0</v>
      </c>
      <c r="L887">
        <v>81</v>
      </c>
      <c r="M887">
        <v>17</v>
      </c>
      <c r="N887">
        <v>664</v>
      </c>
      <c r="O887" s="3">
        <f t="shared" si="145"/>
        <v>2.8813559322033897</v>
      </c>
      <c r="P887">
        <f t="shared" si="136"/>
        <v>0</v>
      </c>
      <c r="Q887">
        <f t="shared" si="137"/>
        <v>0</v>
      </c>
      <c r="S887">
        <f t="shared" si="138"/>
        <v>-34.326586956521751</v>
      </c>
      <c r="T887">
        <f t="shared" si="139"/>
        <v>-2.5</v>
      </c>
      <c r="U887">
        <f t="shared" si="140"/>
        <v>-2.8260869565217392</v>
      </c>
      <c r="V887">
        <f t="shared" si="141"/>
        <v>-32.400000000000006</v>
      </c>
      <c r="W887">
        <f t="shared" si="142"/>
        <v>-5.0000000000000001E-4</v>
      </c>
      <c r="X887">
        <f t="shared" si="143"/>
        <v>3.4000000000000004</v>
      </c>
      <c r="Y887">
        <f t="shared" si="144"/>
        <v>0</v>
      </c>
    </row>
    <row r="888" spans="1:25" x14ac:dyDescent="0.2">
      <c r="A888" t="s">
        <v>58</v>
      </c>
      <c r="B888" t="s">
        <v>510</v>
      </c>
      <c r="C888">
        <v>490</v>
      </c>
      <c r="D888" s="2">
        <v>0</v>
      </c>
      <c r="E888">
        <v>28</v>
      </c>
      <c r="F888">
        <v>9</v>
      </c>
      <c r="G888">
        <v>0</v>
      </c>
      <c r="H888">
        <v>35</v>
      </c>
      <c r="I888">
        <v>550</v>
      </c>
      <c r="J888">
        <v>45</v>
      </c>
      <c r="K888">
        <v>4</v>
      </c>
      <c r="L888">
        <v>2</v>
      </c>
      <c r="M888">
        <v>14</v>
      </c>
      <c r="N888">
        <v>487</v>
      </c>
      <c r="O888" s="3">
        <f t="shared" si="145"/>
        <v>2.8571428571428572</v>
      </c>
      <c r="P888">
        <f t="shared" si="136"/>
        <v>1</v>
      </c>
      <c r="Q888">
        <f t="shared" si="137"/>
        <v>0</v>
      </c>
      <c r="S888">
        <f t="shared" si="138"/>
        <v>-4.7996894409937898</v>
      </c>
      <c r="T888">
        <f t="shared" si="139"/>
        <v>-2.25</v>
      </c>
      <c r="U888">
        <f t="shared" si="140"/>
        <v>-5.9782608695652177</v>
      </c>
      <c r="V888">
        <f t="shared" si="141"/>
        <v>-0.8</v>
      </c>
      <c r="W888">
        <f t="shared" si="142"/>
        <v>0</v>
      </c>
      <c r="X888">
        <f t="shared" si="143"/>
        <v>2.8000000000000003</v>
      </c>
      <c r="Y888">
        <f t="shared" si="144"/>
        <v>1.4285714285714286</v>
      </c>
    </row>
    <row r="889" spans="1:25" x14ac:dyDescent="0.2">
      <c r="A889" t="s">
        <v>58</v>
      </c>
      <c r="B889" t="s">
        <v>511</v>
      </c>
      <c r="C889">
        <v>70</v>
      </c>
      <c r="D889" s="2">
        <v>0</v>
      </c>
      <c r="E889">
        <v>5</v>
      </c>
      <c r="F889">
        <v>3.5</v>
      </c>
      <c r="G889">
        <v>0</v>
      </c>
      <c r="H889">
        <v>15</v>
      </c>
      <c r="I889">
        <v>30</v>
      </c>
      <c r="J889">
        <v>6</v>
      </c>
      <c r="K889">
        <v>0</v>
      </c>
      <c r="L889">
        <v>0</v>
      </c>
      <c r="M889">
        <v>2</v>
      </c>
      <c r="N889">
        <v>72</v>
      </c>
      <c r="O889" s="3">
        <f t="shared" si="145"/>
        <v>2.8571428571428572</v>
      </c>
      <c r="P889">
        <f t="shared" si="136"/>
        <v>0</v>
      </c>
      <c r="Q889">
        <f t="shared" si="137"/>
        <v>0</v>
      </c>
      <c r="S889">
        <f t="shared" si="138"/>
        <v>-0.80108695652173922</v>
      </c>
      <c r="T889">
        <f t="shared" si="139"/>
        <v>-0.875</v>
      </c>
      <c r="U889">
        <f t="shared" si="140"/>
        <v>-0.32608695652173914</v>
      </c>
      <c r="V889">
        <f t="shared" si="141"/>
        <v>0</v>
      </c>
      <c r="W889">
        <f t="shared" si="142"/>
        <v>0</v>
      </c>
      <c r="X889">
        <f t="shared" si="143"/>
        <v>0.4</v>
      </c>
      <c r="Y889">
        <f t="shared" si="144"/>
        <v>0</v>
      </c>
    </row>
    <row r="890" spans="1:25" x14ac:dyDescent="0.2">
      <c r="A890" t="s">
        <v>58</v>
      </c>
      <c r="B890" t="s">
        <v>512</v>
      </c>
      <c r="C890">
        <v>350</v>
      </c>
      <c r="D890" s="2">
        <v>0</v>
      </c>
      <c r="E890">
        <v>9</v>
      </c>
      <c r="F890">
        <v>6</v>
      </c>
      <c r="G890">
        <v>0</v>
      </c>
      <c r="H890">
        <v>35</v>
      </c>
      <c r="I890">
        <v>150</v>
      </c>
      <c r="J890">
        <v>58</v>
      </c>
      <c r="K890">
        <v>0</v>
      </c>
      <c r="L890">
        <v>47</v>
      </c>
      <c r="M890">
        <v>10</v>
      </c>
      <c r="N890">
        <v>393</v>
      </c>
      <c r="O890" s="3">
        <f t="shared" si="145"/>
        <v>2.8571428571428572</v>
      </c>
      <c r="P890">
        <f t="shared" si="136"/>
        <v>0</v>
      </c>
      <c r="Q890">
        <f t="shared" si="137"/>
        <v>0</v>
      </c>
      <c r="S890">
        <f t="shared" si="138"/>
        <v>-19.930434782608696</v>
      </c>
      <c r="T890">
        <f t="shared" si="139"/>
        <v>-1.5</v>
      </c>
      <c r="U890">
        <f t="shared" si="140"/>
        <v>-1.6304347826086956</v>
      </c>
      <c r="V890">
        <f t="shared" si="141"/>
        <v>-18.8</v>
      </c>
      <c r="W890">
        <f t="shared" si="142"/>
        <v>0</v>
      </c>
      <c r="X890">
        <f t="shared" si="143"/>
        <v>2.0000000000000004</v>
      </c>
      <c r="Y890">
        <f t="shared" si="144"/>
        <v>0</v>
      </c>
    </row>
    <row r="891" spans="1:25" x14ac:dyDescent="0.2">
      <c r="A891" t="s">
        <v>58</v>
      </c>
      <c r="B891" t="s">
        <v>518</v>
      </c>
      <c r="C891">
        <v>250</v>
      </c>
      <c r="D891" s="2">
        <v>0</v>
      </c>
      <c r="E891">
        <v>18</v>
      </c>
      <c r="F891">
        <v>4</v>
      </c>
      <c r="G891">
        <v>0</v>
      </c>
      <c r="H891">
        <v>20</v>
      </c>
      <c r="I891">
        <v>460</v>
      </c>
      <c r="J891">
        <v>18</v>
      </c>
      <c r="K891">
        <v>2</v>
      </c>
      <c r="L891">
        <v>4</v>
      </c>
      <c r="M891">
        <v>7</v>
      </c>
      <c r="N891">
        <v>251</v>
      </c>
      <c r="O891" s="3">
        <f t="shared" si="145"/>
        <v>2.8000000000000003</v>
      </c>
      <c r="P891">
        <f t="shared" si="136"/>
        <v>0</v>
      </c>
      <c r="Q891">
        <f t="shared" si="137"/>
        <v>0</v>
      </c>
      <c r="S891">
        <f t="shared" si="138"/>
        <v>-5.4857142857142849</v>
      </c>
      <c r="T891">
        <f t="shared" si="139"/>
        <v>-1</v>
      </c>
      <c r="U891">
        <f t="shared" si="140"/>
        <v>-5</v>
      </c>
      <c r="V891">
        <f t="shared" si="141"/>
        <v>-1.6</v>
      </c>
      <c r="W891">
        <f t="shared" si="142"/>
        <v>0</v>
      </c>
      <c r="X891">
        <f t="shared" si="143"/>
        <v>1.4000000000000001</v>
      </c>
      <c r="Y891">
        <f t="shared" si="144"/>
        <v>0.7142857142857143</v>
      </c>
    </row>
    <row r="892" spans="1:25" x14ac:dyDescent="0.2">
      <c r="A892" t="s">
        <v>58</v>
      </c>
      <c r="B892" t="s">
        <v>526</v>
      </c>
      <c r="C892">
        <v>470</v>
      </c>
      <c r="D892" s="2">
        <v>0</v>
      </c>
      <c r="E892">
        <v>12</v>
      </c>
      <c r="F892">
        <v>8</v>
      </c>
      <c r="G892">
        <v>0.5</v>
      </c>
      <c r="H892">
        <v>50</v>
      </c>
      <c r="I892">
        <v>210</v>
      </c>
      <c r="J892">
        <v>79</v>
      </c>
      <c r="K892">
        <v>0</v>
      </c>
      <c r="L892">
        <v>65</v>
      </c>
      <c r="M892">
        <v>13</v>
      </c>
      <c r="N892">
        <v>530</v>
      </c>
      <c r="O892" s="3">
        <f t="shared" si="145"/>
        <v>2.7659574468085104</v>
      </c>
      <c r="P892">
        <f t="shared" si="136"/>
        <v>0</v>
      </c>
      <c r="Q892">
        <f t="shared" si="137"/>
        <v>0</v>
      </c>
      <c r="S892">
        <f t="shared" si="138"/>
        <v>-27.683108695652169</v>
      </c>
      <c r="T892">
        <f t="shared" si="139"/>
        <v>-2</v>
      </c>
      <c r="U892">
        <f t="shared" si="140"/>
        <v>-2.2826086956521738</v>
      </c>
      <c r="V892">
        <f t="shared" si="141"/>
        <v>-26</v>
      </c>
      <c r="W892">
        <f t="shared" si="142"/>
        <v>-5.0000000000000001E-4</v>
      </c>
      <c r="X892">
        <f t="shared" si="143"/>
        <v>2.6</v>
      </c>
      <c r="Y892">
        <f t="shared" si="144"/>
        <v>0</v>
      </c>
    </row>
    <row r="893" spans="1:25" x14ac:dyDescent="0.2">
      <c r="A893" t="s">
        <v>58</v>
      </c>
      <c r="B893" t="s">
        <v>536</v>
      </c>
      <c r="C893">
        <v>450</v>
      </c>
      <c r="D893" s="2">
        <v>0</v>
      </c>
      <c r="E893">
        <v>12</v>
      </c>
      <c r="F893">
        <v>8</v>
      </c>
      <c r="G893">
        <v>0.5</v>
      </c>
      <c r="H893">
        <v>55</v>
      </c>
      <c r="I893">
        <v>210</v>
      </c>
      <c r="J893">
        <v>75</v>
      </c>
      <c r="K893">
        <v>0</v>
      </c>
      <c r="L893">
        <v>63</v>
      </c>
      <c r="M893">
        <v>12</v>
      </c>
      <c r="N893">
        <v>509</v>
      </c>
      <c r="O893" s="3">
        <f t="shared" si="145"/>
        <v>2.666666666666667</v>
      </c>
      <c r="P893">
        <f t="shared" si="136"/>
        <v>0</v>
      </c>
      <c r="Q893">
        <f t="shared" si="137"/>
        <v>0</v>
      </c>
      <c r="S893">
        <f t="shared" si="138"/>
        <v>-27.083108695652175</v>
      </c>
      <c r="T893">
        <f t="shared" si="139"/>
        <v>-2</v>
      </c>
      <c r="U893">
        <f t="shared" si="140"/>
        <v>-2.2826086956521738</v>
      </c>
      <c r="V893">
        <f t="shared" si="141"/>
        <v>-25.2</v>
      </c>
      <c r="W893">
        <f t="shared" si="142"/>
        <v>-5.0000000000000001E-4</v>
      </c>
      <c r="X893">
        <f t="shared" si="143"/>
        <v>2.4</v>
      </c>
      <c r="Y893">
        <f t="shared" si="144"/>
        <v>0</v>
      </c>
    </row>
    <row r="894" spans="1:25" x14ac:dyDescent="0.2">
      <c r="A894" t="s">
        <v>58</v>
      </c>
      <c r="B894" t="s">
        <v>537</v>
      </c>
      <c r="C894">
        <v>450</v>
      </c>
      <c r="D894" s="2">
        <v>0</v>
      </c>
      <c r="E894">
        <v>22</v>
      </c>
      <c r="F894">
        <v>6</v>
      </c>
      <c r="G894">
        <v>0</v>
      </c>
      <c r="H894">
        <v>220</v>
      </c>
      <c r="I894">
        <v>1260</v>
      </c>
      <c r="J894">
        <v>50</v>
      </c>
      <c r="K894">
        <v>4</v>
      </c>
      <c r="L894">
        <v>2</v>
      </c>
      <c r="M894">
        <v>12</v>
      </c>
      <c r="N894">
        <v>446</v>
      </c>
      <c r="O894" s="3">
        <f t="shared" si="145"/>
        <v>2.666666666666667</v>
      </c>
      <c r="P894">
        <f t="shared" si="136"/>
        <v>1</v>
      </c>
      <c r="Q894">
        <f t="shared" si="137"/>
        <v>0</v>
      </c>
      <c r="S894">
        <f t="shared" si="138"/>
        <v>-12.167080745341615</v>
      </c>
      <c r="T894">
        <f t="shared" si="139"/>
        <v>-1.5</v>
      </c>
      <c r="U894">
        <f t="shared" si="140"/>
        <v>-13.695652173913043</v>
      </c>
      <c r="V894">
        <f t="shared" si="141"/>
        <v>-0.8</v>
      </c>
      <c r="W894">
        <f t="shared" si="142"/>
        <v>0</v>
      </c>
      <c r="X894">
        <f t="shared" si="143"/>
        <v>2.4</v>
      </c>
      <c r="Y894">
        <f t="shared" si="144"/>
        <v>1.4285714285714286</v>
      </c>
    </row>
    <row r="895" spans="1:25" x14ac:dyDescent="0.2">
      <c r="A895" t="s">
        <v>58</v>
      </c>
      <c r="B895" t="s">
        <v>538</v>
      </c>
      <c r="C895">
        <v>340</v>
      </c>
      <c r="D895" s="2">
        <v>0</v>
      </c>
      <c r="E895">
        <v>9</v>
      </c>
      <c r="F895">
        <v>6</v>
      </c>
      <c r="G895">
        <v>0</v>
      </c>
      <c r="H895">
        <v>45</v>
      </c>
      <c r="I895">
        <v>160</v>
      </c>
      <c r="J895">
        <v>56</v>
      </c>
      <c r="K895">
        <v>0</v>
      </c>
      <c r="L895">
        <v>47</v>
      </c>
      <c r="M895">
        <v>9</v>
      </c>
      <c r="N895">
        <v>384</v>
      </c>
      <c r="O895" s="3">
        <f t="shared" si="145"/>
        <v>2.6470588235294117</v>
      </c>
      <c r="P895">
        <f t="shared" si="136"/>
        <v>0</v>
      </c>
      <c r="Q895">
        <f t="shared" si="137"/>
        <v>0</v>
      </c>
      <c r="S895">
        <f t="shared" si="138"/>
        <v>-20.239130434782609</v>
      </c>
      <c r="T895">
        <f t="shared" si="139"/>
        <v>-1.5</v>
      </c>
      <c r="U895">
        <f t="shared" si="140"/>
        <v>-1.7391304347826086</v>
      </c>
      <c r="V895">
        <f t="shared" si="141"/>
        <v>-18.8</v>
      </c>
      <c r="W895">
        <f t="shared" si="142"/>
        <v>0</v>
      </c>
      <c r="X895">
        <f t="shared" si="143"/>
        <v>1.7999999999999998</v>
      </c>
      <c r="Y895">
        <f t="shared" si="144"/>
        <v>0</v>
      </c>
    </row>
    <row r="896" spans="1:25" x14ac:dyDescent="0.2">
      <c r="A896" t="s">
        <v>58</v>
      </c>
      <c r="B896" t="s">
        <v>544</v>
      </c>
      <c r="C896">
        <v>190</v>
      </c>
      <c r="D896" s="2">
        <v>0</v>
      </c>
      <c r="E896">
        <v>5</v>
      </c>
      <c r="F896">
        <v>3.5</v>
      </c>
      <c r="G896">
        <v>0</v>
      </c>
      <c r="H896">
        <v>25</v>
      </c>
      <c r="I896">
        <v>90</v>
      </c>
      <c r="J896">
        <v>32</v>
      </c>
      <c r="K896">
        <v>0</v>
      </c>
      <c r="L896">
        <v>27</v>
      </c>
      <c r="M896">
        <v>5</v>
      </c>
      <c r="N896">
        <v>216</v>
      </c>
      <c r="O896" s="3">
        <f t="shared" si="145"/>
        <v>2.6315789473684208</v>
      </c>
      <c r="P896">
        <f t="shared" si="136"/>
        <v>0</v>
      </c>
      <c r="Q896">
        <f t="shared" si="137"/>
        <v>0</v>
      </c>
      <c r="S896">
        <f t="shared" si="138"/>
        <v>-11.653260869565218</v>
      </c>
      <c r="T896">
        <f t="shared" si="139"/>
        <v>-0.875</v>
      </c>
      <c r="U896">
        <f t="shared" si="140"/>
        <v>-0.97826086956521752</v>
      </c>
      <c r="V896">
        <f t="shared" si="141"/>
        <v>-10.8</v>
      </c>
      <c r="W896">
        <f t="shared" si="142"/>
        <v>0</v>
      </c>
      <c r="X896">
        <f t="shared" si="143"/>
        <v>1.0000000000000002</v>
      </c>
      <c r="Y896">
        <f t="shared" si="144"/>
        <v>0</v>
      </c>
    </row>
    <row r="897" spans="1:25" x14ac:dyDescent="0.2">
      <c r="A897" t="s">
        <v>58</v>
      </c>
      <c r="B897" t="s">
        <v>545</v>
      </c>
      <c r="C897">
        <v>570</v>
      </c>
      <c r="D897" s="2">
        <v>0</v>
      </c>
      <c r="E897">
        <v>15</v>
      </c>
      <c r="F897">
        <v>10</v>
      </c>
      <c r="G897">
        <v>0.5</v>
      </c>
      <c r="H897">
        <v>70</v>
      </c>
      <c r="I897">
        <v>260</v>
      </c>
      <c r="J897">
        <v>94</v>
      </c>
      <c r="K897">
        <v>0</v>
      </c>
      <c r="L897">
        <v>78</v>
      </c>
      <c r="M897">
        <v>15</v>
      </c>
      <c r="N897">
        <v>643</v>
      </c>
      <c r="O897" s="3">
        <f t="shared" si="145"/>
        <v>2.6315789473684208</v>
      </c>
      <c r="P897">
        <f t="shared" si="136"/>
        <v>0</v>
      </c>
      <c r="Q897">
        <f t="shared" si="137"/>
        <v>0</v>
      </c>
      <c r="S897">
        <f t="shared" si="138"/>
        <v>-33.526586956521747</v>
      </c>
      <c r="T897">
        <f t="shared" si="139"/>
        <v>-2.5</v>
      </c>
      <c r="U897">
        <f t="shared" si="140"/>
        <v>-2.8260869565217392</v>
      </c>
      <c r="V897">
        <f t="shared" si="141"/>
        <v>-31.200000000000006</v>
      </c>
      <c r="W897">
        <f t="shared" si="142"/>
        <v>-5.0000000000000001E-4</v>
      </c>
      <c r="X897">
        <f t="shared" si="143"/>
        <v>3</v>
      </c>
      <c r="Y897">
        <f t="shared" si="144"/>
        <v>0</v>
      </c>
    </row>
    <row r="898" spans="1:25" x14ac:dyDescent="0.2">
      <c r="A898" t="s">
        <v>58</v>
      </c>
      <c r="B898" t="s">
        <v>551</v>
      </c>
      <c r="C898">
        <v>270</v>
      </c>
      <c r="D898" s="2">
        <v>0</v>
      </c>
      <c r="E898">
        <v>0</v>
      </c>
      <c r="F898">
        <v>0</v>
      </c>
      <c r="G898">
        <v>0</v>
      </c>
      <c r="H898">
        <v>0</v>
      </c>
      <c r="I898">
        <v>25</v>
      </c>
      <c r="J898">
        <v>61</v>
      </c>
      <c r="K898">
        <v>7</v>
      </c>
      <c r="L898">
        <v>3</v>
      </c>
      <c r="M898">
        <v>7</v>
      </c>
      <c r="N898">
        <v>266</v>
      </c>
      <c r="O898" s="3">
        <f t="shared" si="145"/>
        <v>2.5925925925925926</v>
      </c>
      <c r="P898">
        <f t="shared" si="136"/>
        <v>0</v>
      </c>
      <c r="Q898">
        <f t="shared" si="137"/>
        <v>0</v>
      </c>
      <c r="S898">
        <f t="shared" si="138"/>
        <v>2.4282608695652179</v>
      </c>
      <c r="T898">
        <f t="shared" si="139"/>
        <v>0</v>
      </c>
      <c r="U898">
        <f t="shared" si="140"/>
        <v>-0.27173913043478259</v>
      </c>
      <c r="V898">
        <f t="shared" si="141"/>
        <v>-1.2</v>
      </c>
      <c r="W898">
        <f t="shared" si="142"/>
        <v>0</v>
      </c>
      <c r="X898">
        <f t="shared" si="143"/>
        <v>1.4000000000000001</v>
      </c>
      <c r="Y898">
        <f t="shared" si="144"/>
        <v>2.5</v>
      </c>
    </row>
    <row r="899" spans="1:25" x14ac:dyDescent="0.2">
      <c r="A899" t="s">
        <v>58</v>
      </c>
      <c r="B899" t="s">
        <v>553</v>
      </c>
      <c r="C899">
        <v>310</v>
      </c>
      <c r="D899" s="2">
        <v>0</v>
      </c>
      <c r="E899">
        <v>2.5</v>
      </c>
      <c r="F899">
        <v>2.5</v>
      </c>
      <c r="G899">
        <v>0</v>
      </c>
      <c r="H899">
        <v>10</v>
      </c>
      <c r="I899">
        <v>35</v>
      </c>
      <c r="J899">
        <v>63</v>
      </c>
      <c r="K899">
        <v>7</v>
      </c>
      <c r="L899">
        <v>4</v>
      </c>
      <c r="M899">
        <v>8</v>
      </c>
      <c r="N899">
        <v>309</v>
      </c>
      <c r="O899" s="3">
        <f t="shared" si="145"/>
        <v>2.5806451612903225</v>
      </c>
      <c r="P899">
        <f t="shared" si="136"/>
        <v>0</v>
      </c>
      <c r="Q899">
        <f t="shared" si="137"/>
        <v>0</v>
      </c>
      <c r="S899">
        <f t="shared" si="138"/>
        <v>1.4945652173913042</v>
      </c>
      <c r="T899">
        <f t="shared" si="139"/>
        <v>-0.625</v>
      </c>
      <c r="U899">
        <f t="shared" si="140"/>
        <v>-0.38043478260869568</v>
      </c>
      <c r="V899">
        <f t="shared" si="141"/>
        <v>-1.6</v>
      </c>
      <c r="W899">
        <f t="shared" si="142"/>
        <v>0</v>
      </c>
      <c r="X899">
        <f t="shared" si="143"/>
        <v>1.6</v>
      </c>
      <c r="Y899">
        <f t="shared" si="144"/>
        <v>2.5</v>
      </c>
    </row>
    <row r="900" spans="1:25" x14ac:dyDescent="0.2">
      <c r="A900" t="s">
        <v>58</v>
      </c>
      <c r="B900" t="s">
        <v>509</v>
      </c>
      <c r="C900">
        <v>480</v>
      </c>
      <c r="D900" s="2">
        <v>0</v>
      </c>
      <c r="E900">
        <v>33</v>
      </c>
      <c r="F900">
        <v>15</v>
      </c>
      <c r="G900">
        <v>0</v>
      </c>
      <c r="H900">
        <v>50</v>
      </c>
      <c r="I900">
        <v>1010</v>
      </c>
      <c r="J900">
        <v>35</v>
      </c>
      <c r="K900">
        <v>1</v>
      </c>
      <c r="L900">
        <v>5</v>
      </c>
      <c r="M900">
        <v>12</v>
      </c>
      <c r="N900">
        <v>488</v>
      </c>
      <c r="O900" s="3">
        <f t="shared" si="145"/>
        <v>2.5</v>
      </c>
      <c r="P900">
        <f t="shared" ref="P900:P963" si="146">IF(I900&gt;2300*0.2,1,0)</f>
        <v>1</v>
      </c>
      <c r="Q900">
        <f t="shared" ref="Q900:Q963" si="147">IF(H900&gt;300,1,0)</f>
        <v>0</v>
      </c>
      <c r="S900">
        <f t="shared" ref="S900:S963" si="148">T900+U900+V900+W900+X900+Y900</f>
        <v>-13.971118012422361</v>
      </c>
      <c r="T900">
        <f t="shared" ref="T900:T963" si="149">$T$1*F900</f>
        <v>-3.75</v>
      </c>
      <c r="U900">
        <f t="shared" ref="U900:U963" si="150">($U$1*(I900/2300))*100</f>
        <v>-10.978260869565219</v>
      </c>
      <c r="V900">
        <f t="shared" ref="V900:V963" si="151">((L900/50)*$V$1)*100</f>
        <v>-2.0000000000000004</v>
      </c>
      <c r="W900">
        <f t="shared" ref="W900:W963" si="152">(G900/100)*$W$1</f>
        <v>0</v>
      </c>
      <c r="X900">
        <f t="shared" ref="X900:X963" si="153">($X$1*(M900/50))*100</f>
        <v>2.4</v>
      </c>
      <c r="Y900">
        <f t="shared" ref="Y900:Y963" si="154">($Y$1*(K900/28))*100</f>
        <v>0.35714285714285715</v>
      </c>
    </row>
    <row r="901" spans="1:25" x14ac:dyDescent="0.2">
      <c r="A901" t="s">
        <v>58</v>
      </c>
      <c r="B901" t="s">
        <v>570</v>
      </c>
      <c r="C901">
        <v>960</v>
      </c>
      <c r="D901" s="2">
        <v>0</v>
      </c>
      <c r="E901">
        <v>65</v>
      </c>
      <c r="F901">
        <v>31</v>
      </c>
      <c r="G901">
        <v>0</v>
      </c>
      <c r="H901">
        <v>95</v>
      </c>
      <c r="I901">
        <v>2020</v>
      </c>
      <c r="J901">
        <v>70</v>
      </c>
      <c r="K901">
        <v>3</v>
      </c>
      <c r="L901">
        <v>10</v>
      </c>
      <c r="M901">
        <v>23</v>
      </c>
      <c r="N901">
        <v>978</v>
      </c>
      <c r="O901" s="3">
        <f t="shared" si="145"/>
        <v>2.3958333333333335</v>
      </c>
      <c r="P901">
        <f t="shared" si="146"/>
        <v>1</v>
      </c>
      <c r="Q901">
        <f t="shared" si="147"/>
        <v>0</v>
      </c>
      <c r="S901">
        <f t="shared" si="148"/>
        <v>-28.035093167701863</v>
      </c>
      <c r="T901">
        <f t="shared" si="149"/>
        <v>-7.75</v>
      </c>
      <c r="U901">
        <f t="shared" si="150"/>
        <v>-21.956521739130437</v>
      </c>
      <c r="V901">
        <f t="shared" si="151"/>
        <v>-4.0000000000000009</v>
      </c>
      <c r="W901">
        <f t="shared" si="152"/>
        <v>0</v>
      </c>
      <c r="X901">
        <f t="shared" si="153"/>
        <v>4.6000000000000005</v>
      </c>
      <c r="Y901">
        <f t="shared" si="154"/>
        <v>1.0714285714285714</v>
      </c>
    </row>
    <row r="902" spans="1:25" x14ac:dyDescent="0.2">
      <c r="A902" t="s">
        <v>58</v>
      </c>
      <c r="B902" t="s">
        <v>650</v>
      </c>
      <c r="C902">
        <v>490</v>
      </c>
      <c r="D902" s="2">
        <v>0</v>
      </c>
      <c r="E902">
        <v>29</v>
      </c>
      <c r="F902">
        <v>14</v>
      </c>
      <c r="G902">
        <v>0</v>
      </c>
      <c r="H902">
        <v>20</v>
      </c>
      <c r="I902">
        <v>1400</v>
      </c>
      <c r="J902">
        <v>49</v>
      </c>
      <c r="K902">
        <v>2</v>
      </c>
      <c r="L902">
        <v>6</v>
      </c>
      <c r="M902">
        <v>8</v>
      </c>
      <c r="N902">
        <v>502</v>
      </c>
      <c r="O902" s="3">
        <f t="shared" si="145"/>
        <v>1.6326530612244898</v>
      </c>
      <c r="P902">
        <f t="shared" si="146"/>
        <v>1</v>
      </c>
      <c r="Q902">
        <f t="shared" si="147"/>
        <v>0</v>
      </c>
      <c r="S902">
        <f t="shared" si="148"/>
        <v>-18.80310559006211</v>
      </c>
      <c r="T902">
        <f t="shared" si="149"/>
        <v>-3.5</v>
      </c>
      <c r="U902">
        <f t="shared" si="150"/>
        <v>-15.217391304347828</v>
      </c>
      <c r="V902">
        <f t="shared" si="151"/>
        <v>-2.4</v>
      </c>
      <c r="W902">
        <f t="shared" si="152"/>
        <v>0</v>
      </c>
      <c r="X902">
        <f t="shared" si="153"/>
        <v>1.6</v>
      </c>
      <c r="Y902">
        <f t="shared" si="154"/>
        <v>0.7142857142857143</v>
      </c>
    </row>
    <row r="903" spans="1:25" x14ac:dyDescent="0.2">
      <c r="A903" t="s">
        <v>58</v>
      </c>
      <c r="B903" t="s">
        <v>651</v>
      </c>
      <c r="C903">
        <v>250</v>
      </c>
      <c r="D903" s="2">
        <v>0</v>
      </c>
      <c r="E903">
        <v>9</v>
      </c>
      <c r="F903">
        <v>1.5</v>
      </c>
      <c r="G903">
        <v>0</v>
      </c>
      <c r="H903">
        <v>0</v>
      </c>
      <c r="I903">
        <v>750</v>
      </c>
      <c r="J903">
        <v>39</v>
      </c>
      <c r="K903">
        <v>4</v>
      </c>
      <c r="L903">
        <v>1</v>
      </c>
      <c r="M903">
        <v>4</v>
      </c>
      <c r="N903">
        <v>249</v>
      </c>
      <c r="O903" s="3">
        <f t="shared" si="145"/>
        <v>1.6</v>
      </c>
      <c r="P903">
        <f t="shared" si="146"/>
        <v>1</v>
      </c>
      <c r="Q903">
        <f t="shared" si="147"/>
        <v>0</v>
      </c>
      <c r="S903">
        <f t="shared" si="148"/>
        <v>-6.6986024844720493</v>
      </c>
      <c r="T903">
        <f t="shared" si="149"/>
        <v>-0.375</v>
      </c>
      <c r="U903">
        <f t="shared" si="150"/>
        <v>-8.1521739130434785</v>
      </c>
      <c r="V903">
        <f t="shared" si="151"/>
        <v>-0.4</v>
      </c>
      <c r="W903">
        <f t="shared" si="152"/>
        <v>0</v>
      </c>
      <c r="X903">
        <f t="shared" si="153"/>
        <v>0.8</v>
      </c>
      <c r="Y903">
        <f t="shared" si="154"/>
        <v>1.4285714285714286</v>
      </c>
    </row>
    <row r="904" spans="1:25" x14ac:dyDescent="0.2">
      <c r="A904" t="s">
        <v>58</v>
      </c>
      <c r="B904" t="s">
        <v>653</v>
      </c>
      <c r="C904">
        <v>320</v>
      </c>
      <c r="D904" s="2">
        <v>0</v>
      </c>
      <c r="E904">
        <v>15</v>
      </c>
      <c r="F904">
        <v>2.5</v>
      </c>
      <c r="G904">
        <v>0</v>
      </c>
      <c r="H904">
        <v>0</v>
      </c>
      <c r="I904">
        <v>320</v>
      </c>
      <c r="J904">
        <v>43</v>
      </c>
      <c r="K904">
        <v>4</v>
      </c>
      <c r="L904">
        <v>0</v>
      </c>
      <c r="M904">
        <v>5</v>
      </c>
      <c r="N904">
        <v>318</v>
      </c>
      <c r="O904" s="3">
        <f t="shared" si="145"/>
        <v>1.5625</v>
      </c>
      <c r="P904">
        <f t="shared" si="146"/>
        <v>0</v>
      </c>
      <c r="Q904">
        <f t="shared" si="147"/>
        <v>0</v>
      </c>
      <c r="S904">
        <f t="shared" si="148"/>
        <v>-1.6746894409937882</v>
      </c>
      <c r="T904">
        <f t="shared" si="149"/>
        <v>-0.625</v>
      </c>
      <c r="U904">
        <f t="shared" si="150"/>
        <v>-3.4782608695652173</v>
      </c>
      <c r="V904">
        <f t="shared" si="151"/>
        <v>0</v>
      </c>
      <c r="W904">
        <f t="shared" si="152"/>
        <v>0</v>
      </c>
      <c r="X904">
        <f t="shared" si="153"/>
        <v>1.0000000000000002</v>
      </c>
      <c r="Y904">
        <f t="shared" si="154"/>
        <v>1.4285714285714286</v>
      </c>
    </row>
    <row r="905" spans="1:25" x14ac:dyDescent="0.2">
      <c r="A905" t="s">
        <v>58</v>
      </c>
      <c r="B905" t="s">
        <v>664</v>
      </c>
      <c r="C905">
        <v>420</v>
      </c>
      <c r="D905" s="2">
        <v>0</v>
      </c>
      <c r="E905">
        <v>19</v>
      </c>
      <c r="F905">
        <v>3.5</v>
      </c>
      <c r="G905">
        <v>0</v>
      </c>
      <c r="H905">
        <v>0</v>
      </c>
      <c r="I905">
        <v>420</v>
      </c>
      <c r="J905">
        <v>56</v>
      </c>
      <c r="K905">
        <v>5</v>
      </c>
      <c r="L905">
        <v>0</v>
      </c>
      <c r="M905">
        <v>6</v>
      </c>
      <c r="N905">
        <v>418</v>
      </c>
      <c r="O905" s="3">
        <f t="shared" si="145"/>
        <v>1.4285714285714286</v>
      </c>
      <c r="P905">
        <f t="shared" si="146"/>
        <v>0</v>
      </c>
      <c r="Q905">
        <f t="shared" si="147"/>
        <v>0</v>
      </c>
      <c r="S905">
        <f t="shared" si="148"/>
        <v>-2.4545031055900615</v>
      </c>
      <c r="T905">
        <f t="shared" si="149"/>
        <v>-0.875</v>
      </c>
      <c r="U905">
        <f t="shared" si="150"/>
        <v>-4.5652173913043477</v>
      </c>
      <c r="V905">
        <f t="shared" si="151"/>
        <v>0</v>
      </c>
      <c r="W905">
        <f t="shared" si="152"/>
        <v>0</v>
      </c>
      <c r="X905">
        <f t="shared" si="153"/>
        <v>1.2</v>
      </c>
      <c r="Y905">
        <f t="shared" si="154"/>
        <v>1.785714285714286</v>
      </c>
    </row>
    <row r="906" spans="1:25" x14ac:dyDescent="0.2">
      <c r="A906" t="s">
        <v>58</v>
      </c>
      <c r="B906" t="s">
        <v>665</v>
      </c>
      <c r="C906">
        <v>210</v>
      </c>
      <c r="D906" s="2">
        <v>0</v>
      </c>
      <c r="E906">
        <v>8</v>
      </c>
      <c r="F906">
        <v>5</v>
      </c>
      <c r="G906">
        <v>0</v>
      </c>
      <c r="H906">
        <v>25</v>
      </c>
      <c r="I906">
        <v>40</v>
      </c>
      <c r="J906">
        <v>32</v>
      </c>
      <c r="K906">
        <v>0</v>
      </c>
      <c r="L906">
        <v>28</v>
      </c>
      <c r="M906">
        <v>3</v>
      </c>
      <c r="N906">
        <v>240</v>
      </c>
      <c r="O906" s="3">
        <f t="shared" si="145"/>
        <v>1.4285714285714286</v>
      </c>
      <c r="P906">
        <f t="shared" si="146"/>
        <v>0</v>
      </c>
      <c r="Q906">
        <f t="shared" si="147"/>
        <v>0</v>
      </c>
      <c r="S906">
        <f t="shared" si="148"/>
        <v>-12.284782608695654</v>
      </c>
      <c r="T906">
        <f t="shared" si="149"/>
        <v>-1.25</v>
      </c>
      <c r="U906">
        <f t="shared" si="150"/>
        <v>-0.43478260869565216</v>
      </c>
      <c r="V906">
        <f t="shared" si="151"/>
        <v>-11.200000000000001</v>
      </c>
      <c r="W906">
        <f t="shared" si="152"/>
        <v>0</v>
      </c>
      <c r="X906">
        <f t="shared" si="153"/>
        <v>0.6</v>
      </c>
      <c r="Y906">
        <f t="shared" si="154"/>
        <v>0</v>
      </c>
    </row>
    <row r="907" spans="1:25" x14ac:dyDescent="0.2">
      <c r="A907" t="s">
        <v>58</v>
      </c>
      <c r="B907" t="s">
        <v>668</v>
      </c>
      <c r="C907">
        <v>360</v>
      </c>
      <c r="D907" s="2">
        <v>0</v>
      </c>
      <c r="E907">
        <v>13</v>
      </c>
      <c r="F907">
        <v>2.5</v>
      </c>
      <c r="G907">
        <v>0</v>
      </c>
      <c r="H907">
        <v>0</v>
      </c>
      <c r="I907">
        <v>1080</v>
      </c>
      <c r="J907">
        <v>57</v>
      </c>
      <c r="K907">
        <v>6</v>
      </c>
      <c r="L907">
        <v>1</v>
      </c>
      <c r="M907">
        <v>5</v>
      </c>
      <c r="N907">
        <v>359</v>
      </c>
      <c r="O907" s="3">
        <f t="shared" si="145"/>
        <v>1.3888888888888888</v>
      </c>
      <c r="P907">
        <f t="shared" si="146"/>
        <v>1</v>
      </c>
      <c r="Q907">
        <f t="shared" si="147"/>
        <v>0</v>
      </c>
      <c r="S907">
        <f t="shared" si="148"/>
        <v>-9.6212732919254673</v>
      </c>
      <c r="T907">
        <f t="shared" si="149"/>
        <v>-0.625</v>
      </c>
      <c r="U907">
        <f t="shared" si="150"/>
        <v>-11.739130434782609</v>
      </c>
      <c r="V907">
        <f t="shared" si="151"/>
        <v>-0.4</v>
      </c>
      <c r="W907">
        <f t="shared" si="152"/>
        <v>0</v>
      </c>
      <c r="X907">
        <f t="shared" si="153"/>
        <v>1.0000000000000002</v>
      </c>
      <c r="Y907">
        <f t="shared" si="154"/>
        <v>2.1428571428571428</v>
      </c>
    </row>
    <row r="908" spans="1:25" x14ac:dyDescent="0.2">
      <c r="A908" t="s">
        <v>58</v>
      </c>
      <c r="B908" t="s">
        <v>669</v>
      </c>
      <c r="C908">
        <v>290</v>
      </c>
      <c r="D908" s="2">
        <v>0</v>
      </c>
      <c r="E908">
        <v>14</v>
      </c>
      <c r="F908">
        <v>7</v>
      </c>
      <c r="G908">
        <v>0</v>
      </c>
      <c r="H908">
        <v>20</v>
      </c>
      <c r="I908">
        <v>230</v>
      </c>
      <c r="J908">
        <v>39</v>
      </c>
      <c r="K908">
        <v>4</v>
      </c>
      <c r="L908">
        <v>21</v>
      </c>
      <c r="M908">
        <v>4</v>
      </c>
      <c r="N908">
        <v>314</v>
      </c>
      <c r="O908" s="3">
        <f t="shared" si="145"/>
        <v>1.3793103448275863</v>
      </c>
      <c r="P908">
        <f t="shared" si="146"/>
        <v>0</v>
      </c>
      <c r="Q908">
        <f t="shared" si="147"/>
        <v>0</v>
      </c>
      <c r="S908">
        <f t="shared" si="148"/>
        <v>-10.421428571428571</v>
      </c>
      <c r="T908">
        <f t="shared" si="149"/>
        <v>-1.75</v>
      </c>
      <c r="U908">
        <f t="shared" si="150"/>
        <v>-2.5</v>
      </c>
      <c r="V908">
        <f t="shared" si="151"/>
        <v>-8.4</v>
      </c>
      <c r="W908">
        <f t="shared" si="152"/>
        <v>0</v>
      </c>
      <c r="X908">
        <f t="shared" si="153"/>
        <v>0.8</v>
      </c>
      <c r="Y908">
        <f t="shared" si="154"/>
        <v>1.4285714285714286</v>
      </c>
    </row>
    <row r="909" spans="1:25" x14ac:dyDescent="0.2">
      <c r="A909" t="s">
        <v>58</v>
      </c>
      <c r="B909" t="s">
        <v>675</v>
      </c>
      <c r="C909">
        <v>530</v>
      </c>
      <c r="D909" s="2">
        <v>0</v>
      </c>
      <c r="E909">
        <v>24</v>
      </c>
      <c r="F909">
        <v>4.5</v>
      </c>
      <c r="G909">
        <v>0</v>
      </c>
      <c r="H909">
        <v>0</v>
      </c>
      <c r="I909">
        <v>520</v>
      </c>
      <c r="J909">
        <v>70</v>
      </c>
      <c r="K909">
        <v>6</v>
      </c>
      <c r="L909">
        <v>0</v>
      </c>
      <c r="M909">
        <v>7</v>
      </c>
      <c r="N909">
        <v>528</v>
      </c>
      <c r="O909" s="3">
        <f t="shared" si="145"/>
        <v>1.3207547169811322</v>
      </c>
      <c r="P909">
        <f t="shared" si="146"/>
        <v>1</v>
      </c>
      <c r="Q909">
        <f t="shared" si="147"/>
        <v>0</v>
      </c>
      <c r="S909">
        <f t="shared" si="148"/>
        <v>-3.2343167701863353</v>
      </c>
      <c r="T909">
        <f t="shared" si="149"/>
        <v>-1.125</v>
      </c>
      <c r="U909">
        <f t="shared" si="150"/>
        <v>-5.6521739130434785</v>
      </c>
      <c r="V909">
        <f t="shared" si="151"/>
        <v>0</v>
      </c>
      <c r="W909">
        <f t="shared" si="152"/>
        <v>0</v>
      </c>
      <c r="X909">
        <f t="shared" si="153"/>
        <v>1.4000000000000001</v>
      </c>
      <c r="Y909">
        <f t="shared" si="154"/>
        <v>2.1428571428571428</v>
      </c>
    </row>
    <row r="910" spans="1:25" x14ac:dyDescent="0.2">
      <c r="A910" t="s">
        <v>58</v>
      </c>
      <c r="B910" t="s">
        <v>680</v>
      </c>
      <c r="C910">
        <v>230</v>
      </c>
      <c r="D910" s="2">
        <v>0</v>
      </c>
      <c r="E910">
        <v>10</v>
      </c>
      <c r="F910">
        <v>2</v>
      </c>
      <c r="G910">
        <v>0</v>
      </c>
      <c r="H910">
        <v>0</v>
      </c>
      <c r="I910">
        <v>15</v>
      </c>
      <c r="J910">
        <v>30</v>
      </c>
      <c r="K910">
        <v>3</v>
      </c>
      <c r="L910">
        <v>0</v>
      </c>
      <c r="M910">
        <v>3</v>
      </c>
      <c r="N910">
        <v>229</v>
      </c>
      <c r="O910" s="3">
        <f t="shared" si="145"/>
        <v>1.3043478260869565</v>
      </c>
      <c r="P910">
        <f t="shared" si="146"/>
        <v>0</v>
      </c>
      <c r="Q910">
        <f t="shared" si="147"/>
        <v>0</v>
      </c>
      <c r="S910">
        <f t="shared" si="148"/>
        <v>1.0083850931677016</v>
      </c>
      <c r="T910">
        <f t="shared" si="149"/>
        <v>-0.5</v>
      </c>
      <c r="U910">
        <f t="shared" si="150"/>
        <v>-0.16304347826086957</v>
      </c>
      <c r="V910">
        <f t="shared" si="151"/>
        <v>0</v>
      </c>
      <c r="W910">
        <f t="shared" si="152"/>
        <v>0</v>
      </c>
      <c r="X910">
        <f t="shared" si="153"/>
        <v>0.6</v>
      </c>
      <c r="Y910">
        <f t="shared" si="154"/>
        <v>1.0714285714285714</v>
      </c>
    </row>
    <row r="911" spans="1:25" x14ac:dyDescent="0.2">
      <c r="A911" t="s">
        <v>58</v>
      </c>
      <c r="B911" t="s">
        <v>681</v>
      </c>
      <c r="C911">
        <v>230</v>
      </c>
      <c r="D911" s="2">
        <v>0</v>
      </c>
      <c r="E911">
        <v>8</v>
      </c>
      <c r="F911">
        <v>1.5</v>
      </c>
      <c r="G911">
        <v>0</v>
      </c>
      <c r="H911">
        <v>0</v>
      </c>
      <c r="I911">
        <v>680</v>
      </c>
      <c r="J911">
        <v>35</v>
      </c>
      <c r="K911">
        <v>4</v>
      </c>
      <c r="L911">
        <v>0</v>
      </c>
      <c r="M911">
        <v>3</v>
      </c>
      <c r="N911">
        <v>229</v>
      </c>
      <c r="O911" s="3">
        <f t="shared" si="145"/>
        <v>1.3043478260869565</v>
      </c>
      <c r="P911">
        <f t="shared" si="146"/>
        <v>1</v>
      </c>
      <c r="Q911">
        <f t="shared" si="147"/>
        <v>0</v>
      </c>
      <c r="S911">
        <f t="shared" si="148"/>
        <v>-5.7377329192546584</v>
      </c>
      <c r="T911">
        <f t="shared" si="149"/>
        <v>-0.375</v>
      </c>
      <c r="U911">
        <f t="shared" si="150"/>
        <v>-7.3913043478260869</v>
      </c>
      <c r="V911">
        <f t="shared" si="151"/>
        <v>0</v>
      </c>
      <c r="W911">
        <f t="shared" si="152"/>
        <v>0</v>
      </c>
      <c r="X911">
        <f t="shared" si="153"/>
        <v>0.6</v>
      </c>
      <c r="Y911">
        <f t="shared" si="154"/>
        <v>1.4285714285714286</v>
      </c>
    </row>
    <row r="912" spans="1:25" x14ac:dyDescent="0.2">
      <c r="A912" t="s">
        <v>58</v>
      </c>
      <c r="B912" t="s">
        <v>687</v>
      </c>
      <c r="C912">
        <v>240</v>
      </c>
      <c r="D912" s="2">
        <v>0</v>
      </c>
      <c r="E912">
        <v>8</v>
      </c>
      <c r="F912">
        <v>5</v>
      </c>
      <c r="G912">
        <v>0</v>
      </c>
      <c r="H912">
        <v>25</v>
      </c>
      <c r="I912">
        <v>45</v>
      </c>
      <c r="J912">
        <v>40</v>
      </c>
      <c r="K912">
        <v>0</v>
      </c>
      <c r="L912">
        <v>36</v>
      </c>
      <c r="M912">
        <v>3</v>
      </c>
      <c r="N912">
        <v>278</v>
      </c>
      <c r="O912" s="3">
        <f t="shared" si="145"/>
        <v>1.25</v>
      </c>
      <c r="P912">
        <f t="shared" si="146"/>
        <v>0</v>
      </c>
      <c r="Q912">
        <f t="shared" si="147"/>
        <v>0</v>
      </c>
      <c r="S912">
        <f t="shared" si="148"/>
        <v>-15.539130434782608</v>
      </c>
      <c r="T912">
        <f t="shared" si="149"/>
        <v>-1.25</v>
      </c>
      <c r="U912">
        <f t="shared" si="150"/>
        <v>-0.48913043478260876</v>
      </c>
      <c r="V912">
        <f t="shared" si="151"/>
        <v>-14.399999999999999</v>
      </c>
      <c r="W912">
        <f t="shared" si="152"/>
        <v>0</v>
      </c>
      <c r="X912">
        <f t="shared" si="153"/>
        <v>0.6</v>
      </c>
      <c r="Y912">
        <f t="shared" si="154"/>
        <v>0</v>
      </c>
    </row>
    <row r="913" spans="1:25" x14ac:dyDescent="0.2">
      <c r="A913" t="s">
        <v>58</v>
      </c>
      <c r="B913" t="s">
        <v>688</v>
      </c>
      <c r="C913">
        <v>160</v>
      </c>
      <c r="D913" s="2">
        <v>0</v>
      </c>
      <c r="E913">
        <v>6</v>
      </c>
      <c r="F913">
        <v>3.5</v>
      </c>
      <c r="G913">
        <v>0</v>
      </c>
      <c r="H913">
        <v>20</v>
      </c>
      <c r="I913">
        <v>30</v>
      </c>
      <c r="J913">
        <v>26</v>
      </c>
      <c r="K913">
        <v>0</v>
      </c>
      <c r="L913">
        <v>24</v>
      </c>
      <c r="M913">
        <v>2</v>
      </c>
      <c r="N913">
        <v>186</v>
      </c>
      <c r="O913" s="3">
        <f t="shared" si="145"/>
        <v>1.25</v>
      </c>
      <c r="P913">
        <f t="shared" si="146"/>
        <v>0</v>
      </c>
      <c r="Q913">
        <f t="shared" si="147"/>
        <v>0</v>
      </c>
      <c r="S913">
        <f t="shared" si="148"/>
        <v>-10.401086956521739</v>
      </c>
      <c r="T913">
        <f t="shared" si="149"/>
        <v>-0.875</v>
      </c>
      <c r="U913">
        <f t="shared" si="150"/>
        <v>-0.32608695652173914</v>
      </c>
      <c r="V913">
        <f t="shared" si="151"/>
        <v>-9.6</v>
      </c>
      <c r="W913">
        <f t="shared" si="152"/>
        <v>0</v>
      </c>
      <c r="X913">
        <f t="shared" si="153"/>
        <v>0.4</v>
      </c>
      <c r="Y913">
        <f t="shared" si="154"/>
        <v>0</v>
      </c>
    </row>
    <row r="914" spans="1:25" x14ac:dyDescent="0.2">
      <c r="A914" t="s">
        <v>58</v>
      </c>
      <c r="B914" t="s">
        <v>695</v>
      </c>
      <c r="C914">
        <v>250</v>
      </c>
      <c r="D914" s="2">
        <v>0</v>
      </c>
      <c r="E914">
        <v>8</v>
      </c>
      <c r="F914">
        <v>5</v>
      </c>
      <c r="G914">
        <v>0</v>
      </c>
      <c r="H914">
        <v>25</v>
      </c>
      <c r="I914">
        <v>40</v>
      </c>
      <c r="J914">
        <v>42</v>
      </c>
      <c r="K914">
        <v>0</v>
      </c>
      <c r="L914">
        <v>39</v>
      </c>
      <c r="M914">
        <v>3</v>
      </c>
      <c r="N914">
        <v>291</v>
      </c>
      <c r="O914" s="3">
        <f t="shared" si="145"/>
        <v>1.2</v>
      </c>
      <c r="P914">
        <f t="shared" si="146"/>
        <v>0</v>
      </c>
      <c r="Q914">
        <f t="shared" si="147"/>
        <v>0</v>
      </c>
      <c r="S914">
        <f t="shared" si="148"/>
        <v>-16.684782608695652</v>
      </c>
      <c r="T914">
        <f t="shared" si="149"/>
        <v>-1.25</v>
      </c>
      <c r="U914">
        <f t="shared" si="150"/>
        <v>-0.43478260869565216</v>
      </c>
      <c r="V914">
        <f t="shared" si="151"/>
        <v>-15.600000000000003</v>
      </c>
      <c r="W914">
        <f t="shared" si="152"/>
        <v>0</v>
      </c>
      <c r="X914">
        <f t="shared" si="153"/>
        <v>0.6</v>
      </c>
      <c r="Y914">
        <f t="shared" si="154"/>
        <v>0</v>
      </c>
    </row>
    <row r="915" spans="1:25" x14ac:dyDescent="0.2">
      <c r="A915" t="s">
        <v>58</v>
      </c>
      <c r="B915" t="s">
        <v>696</v>
      </c>
      <c r="C915">
        <v>170</v>
      </c>
      <c r="D915" s="2">
        <v>0</v>
      </c>
      <c r="E915">
        <v>6</v>
      </c>
      <c r="F915">
        <v>3.5</v>
      </c>
      <c r="G915">
        <v>0</v>
      </c>
      <c r="H915">
        <v>20</v>
      </c>
      <c r="I915">
        <v>30</v>
      </c>
      <c r="J915">
        <v>28</v>
      </c>
      <c r="K915">
        <v>0</v>
      </c>
      <c r="L915">
        <v>25</v>
      </c>
      <c r="M915">
        <v>2</v>
      </c>
      <c r="N915">
        <v>197</v>
      </c>
      <c r="O915" s="3">
        <f t="shared" si="145"/>
        <v>1.1764705882352942</v>
      </c>
      <c r="P915">
        <f t="shared" si="146"/>
        <v>0</v>
      </c>
      <c r="Q915">
        <f t="shared" si="147"/>
        <v>0</v>
      </c>
      <c r="S915">
        <f t="shared" si="148"/>
        <v>-10.801086956521738</v>
      </c>
      <c r="T915">
        <f t="shared" si="149"/>
        <v>-0.875</v>
      </c>
      <c r="U915">
        <f t="shared" si="150"/>
        <v>-0.32608695652173914</v>
      </c>
      <c r="V915">
        <f t="shared" si="151"/>
        <v>-10</v>
      </c>
      <c r="W915">
        <f t="shared" si="152"/>
        <v>0</v>
      </c>
      <c r="X915">
        <f t="shared" si="153"/>
        <v>0.4</v>
      </c>
      <c r="Y915">
        <f t="shared" si="154"/>
        <v>0</v>
      </c>
    </row>
    <row r="916" spans="1:25" x14ac:dyDescent="0.2">
      <c r="A916" t="s">
        <v>58</v>
      </c>
      <c r="B916" t="s">
        <v>697</v>
      </c>
      <c r="C916">
        <v>170</v>
      </c>
      <c r="D916" s="2">
        <v>0</v>
      </c>
      <c r="E916">
        <v>6</v>
      </c>
      <c r="F916">
        <v>3.5</v>
      </c>
      <c r="G916">
        <v>0</v>
      </c>
      <c r="H916">
        <v>20</v>
      </c>
      <c r="I916">
        <v>30</v>
      </c>
      <c r="J916">
        <v>28</v>
      </c>
      <c r="K916">
        <v>0</v>
      </c>
      <c r="L916">
        <v>26</v>
      </c>
      <c r="M916">
        <v>2</v>
      </c>
      <c r="N916">
        <v>198</v>
      </c>
      <c r="O916" s="3">
        <f t="shared" si="145"/>
        <v>1.1764705882352942</v>
      </c>
      <c r="P916">
        <f t="shared" si="146"/>
        <v>0</v>
      </c>
      <c r="Q916">
        <f t="shared" si="147"/>
        <v>0</v>
      </c>
      <c r="S916">
        <f t="shared" si="148"/>
        <v>-11.20108695652174</v>
      </c>
      <c r="T916">
        <f t="shared" si="149"/>
        <v>-0.875</v>
      </c>
      <c r="U916">
        <f t="shared" si="150"/>
        <v>-0.32608695652173914</v>
      </c>
      <c r="V916">
        <f t="shared" si="151"/>
        <v>-10.4</v>
      </c>
      <c r="W916">
        <f t="shared" si="152"/>
        <v>0</v>
      </c>
      <c r="X916">
        <f t="shared" si="153"/>
        <v>0.4</v>
      </c>
      <c r="Y916">
        <f t="shared" si="154"/>
        <v>0</v>
      </c>
    </row>
    <row r="917" spans="1:25" x14ac:dyDescent="0.2">
      <c r="A917" t="s">
        <v>58</v>
      </c>
      <c r="B917" t="s">
        <v>718</v>
      </c>
      <c r="C917">
        <v>310</v>
      </c>
      <c r="D917" s="2">
        <v>0</v>
      </c>
      <c r="E917">
        <v>16</v>
      </c>
      <c r="F917">
        <v>8</v>
      </c>
      <c r="G917">
        <v>0</v>
      </c>
      <c r="H917">
        <v>20</v>
      </c>
      <c r="I917">
        <v>210</v>
      </c>
      <c r="J917">
        <v>40</v>
      </c>
      <c r="K917">
        <v>2</v>
      </c>
      <c r="L917">
        <v>24</v>
      </c>
      <c r="M917">
        <v>3</v>
      </c>
      <c r="N917">
        <v>339</v>
      </c>
      <c r="O917" s="3">
        <f t="shared" si="145"/>
        <v>0.967741935483871</v>
      </c>
      <c r="P917">
        <f t="shared" si="146"/>
        <v>0</v>
      </c>
      <c r="Q917">
        <f t="shared" si="147"/>
        <v>0</v>
      </c>
      <c r="S917">
        <f t="shared" si="148"/>
        <v>-12.56832298136646</v>
      </c>
      <c r="T917">
        <f t="shared" si="149"/>
        <v>-2</v>
      </c>
      <c r="U917">
        <f t="shared" si="150"/>
        <v>-2.2826086956521738</v>
      </c>
      <c r="V917">
        <f t="shared" si="151"/>
        <v>-9.6</v>
      </c>
      <c r="W917">
        <f t="shared" si="152"/>
        <v>0</v>
      </c>
      <c r="X917">
        <f t="shared" si="153"/>
        <v>0.6</v>
      </c>
      <c r="Y917">
        <f t="shared" si="154"/>
        <v>0.7142857142857143</v>
      </c>
    </row>
    <row r="918" spans="1:25" x14ac:dyDescent="0.2">
      <c r="A918" t="s">
        <v>58</v>
      </c>
      <c r="B918" t="s">
        <v>684</v>
      </c>
      <c r="C918">
        <v>330</v>
      </c>
      <c r="D918" s="2">
        <v>0</v>
      </c>
      <c r="E918">
        <v>16</v>
      </c>
      <c r="F918">
        <v>8</v>
      </c>
      <c r="G918">
        <v>0</v>
      </c>
      <c r="H918">
        <v>25</v>
      </c>
      <c r="I918">
        <v>300</v>
      </c>
      <c r="J918">
        <v>43</v>
      </c>
      <c r="K918">
        <v>1</v>
      </c>
      <c r="L918">
        <v>24</v>
      </c>
      <c r="M918">
        <v>3</v>
      </c>
      <c r="N918">
        <v>359</v>
      </c>
      <c r="O918" s="3">
        <f t="shared" si="145"/>
        <v>0.90909090909090906</v>
      </c>
      <c r="P918">
        <f t="shared" si="146"/>
        <v>0</v>
      </c>
      <c r="Q918">
        <f t="shared" si="147"/>
        <v>0</v>
      </c>
      <c r="S918">
        <f t="shared" si="148"/>
        <v>-13.903726708074533</v>
      </c>
      <c r="T918">
        <f t="shared" si="149"/>
        <v>-2</v>
      </c>
      <c r="U918">
        <f t="shared" si="150"/>
        <v>-3.2608695652173911</v>
      </c>
      <c r="V918">
        <f t="shared" si="151"/>
        <v>-9.6</v>
      </c>
      <c r="W918">
        <f t="shared" si="152"/>
        <v>0</v>
      </c>
      <c r="X918">
        <f t="shared" si="153"/>
        <v>0.6</v>
      </c>
      <c r="Y918">
        <f t="shared" si="154"/>
        <v>0.35714285714285715</v>
      </c>
    </row>
    <row r="919" spans="1:25" x14ac:dyDescent="0.2">
      <c r="A919" t="s">
        <v>58</v>
      </c>
      <c r="B919" t="s">
        <v>735</v>
      </c>
      <c r="C919">
        <v>120</v>
      </c>
      <c r="D919" s="2">
        <v>0</v>
      </c>
      <c r="E919">
        <v>12</v>
      </c>
      <c r="F919">
        <v>2</v>
      </c>
      <c r="G919">
        <v>0</v>
      </c>
      <c r="H919">
        <v>0</v>
      </c>
      <c r="I919">
        <v>170</v>
      </c>
      <c r="J919">
        <v>4</v>
      </c>
      <c r="K919">
        <v>1</v>
      </c>
      <c r="L919">
        <v>3</v>
      </c>
      <c r="M919">
        <v>1</v>
      </c>
      <c r="N919">
        <v>124</v>
      </c>
      <c r="O919" s="3">
        <f t="shared" si="145"/>
        <v>0.83333333333333337</v>
      </c>
      <c r="P919">
        <f t="shared" si="146"/>
        <v>0</v>
      </c>
      <c r="Q919">
        <f t="shared" si="147"/>
        <v>0</v>
      </c>
      <c r="S919">
        <f t="shared" si="148"/>
        <v>-2.9906832298136643</v>
      </c>
      <c r="T919">
        <f t="shared" si="149"/>
        <v>-0.5</v>
      </c>
      <c r="U919">
        <f t="shared" si="150"/>
        <v>-1.8478260869565217</v>
      </c>
      <c r="V919">
        <f t="shared" si="151"/>
        <v>-1.2</v>
      </c>
      <c r="W919">
        <f t="shared" si="152"/>
        <v>0</v>
      </c>
      <c r="X919">
        <f t="shared" si="153"/>
        <v>0.2</v>
      </c>
      <c r="Y919">
        <f t="shared" si="154"/>
        <v>0.35714285714285715</v>
      </c>
    </row>
    <row r="920" spans="1:25" x14ac:dyDescent="0.2">
      <c r="A920" t="s">
        <v>58</v>
      </c>
      <c r="B920" t="s">
        <v>881</v>
      </c>
      <c r="C920">
        <v>35</v>
      </c>
      <c r="D920" s="2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9</v>
      </c>
      <c r="K920">
        <v>2</v>
      </c>
      <c r="L920">
        <v>7</v>
      </c>
      <c r="M920">
        <v>0</v>
      </c>
      <c r="N920">
        <v>42</v>
      </c>
      <c r="O920" s="3">
        <f t="shared" si="145"/>
        <v>0</v>
      </c>
      <c r="P920">
        <f t="shared" si="146"/>
        <v>0</v>
      </c>
      <c r="Q920">
        <f t="shared" si="147"/>
        <v>0</v>
      </c>
      <c r="S920">
        <f t="shared" si="148"/>
        <v>-2.0857142857142859</v>
      </c>
      <c r="T920">
        <f t="shared" si="149"/>
        <v>0</v>
      </c>
      <c r="U920">
        <f t="shared" si="150"/>
        <v>0</v>
      </c>
      <c r="V920">
        <f t="shared" si="151"/>
        <v>-2.8000000000000003</v>
      </c>
      <c r="W920">
        <f t="shared" si="152"/>
        <v>0</v>
      </c>
      <c r="X920">
        <f t="shared" si="153"/>
        <v>0</v>
      </c>
      <c r="Y920">
        <f t="shared" si="154"/>
        <v>0.7142857142857143</v>
      </c>
    </row>
    <row r="921" spans="1:25" x14ac:dyDescent="0.2">
      <c r="A921" t="s">
        <v>58</v>
      </c>
      <c r="B921" t="s">
        <v>882</v>
      </c>
      <c r="C921">
        <v>20</v>
      </c>
      <c r="D921" s="2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</v>
      </c>
      <c r="K921">
        <v>1</v>
      </c>
      <c r="L921">
        <v>3</v>
      </c>
      <c r="M921">
        <v>0</v>
      </c>
      <c r="N921">
        <v>23</v>
      </c>
      <c r="O921" s="3">
        <f t="shared" ref="O921:O931" si="155">M921/C921*100</f>
        <v>0</v>
      </c>
      <c r="P921">
        <f t="shared" si="146"/>
        <v>0</v>
      </c>
      <c r="Q921">
        <f t="shared" si="147"/>
        <v>0</v>
      </c>
      <c r="S921">
        <f t="shared" si="148"/>
        <v>-0.84285714285714275</v>
      </c>
      <c r="T921">
        <f t="shared" si="149"/>
        <v>0</v>
      </c>
      <c r="U921">
        <f t="shared" si="150"/>
        <v>0</v>
      </c>
      <c r="V921">
        <f t="shared" si="151"/>
        <v>-1.2</v>
      </c>
      <c r="W921">
        <f t="shared" si="152"/>
        <v>0</v>
      </c>
      <c r="X921">
        <f t="shared" si="153"/>
        <v>0</v>
      </c>
      <c r="Y921">
        <f t="shared" si="154"/>
        <v>0.35714285714285715</v>
      </c>
    </row>
    <row r="922" spans="1:25" x14ac:dyDescent="0.2">
      <c r="A922" t="s">
        <v>58</v>
      </c>
      <c r="B922" t="s">
        <v>883</v>
      </c>
      <c r="C922">
        <v>380</v>
      </c>
      <c r="D922" s="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100</v>
      </c>
      <c r="K922">
        <v>0</v>
      </c>
      <c r="L922">
        <v>93</v>
      </c>
      <c r="M922">
        <v>0</v>
      </c>
      <c r="N922">
        <v>473</v>
      </c>
      <c r="O922" s="3">
        <f t="shared" si="155"/>
        <v>0</v>
      </c>
      <c r="P922">
        <f t="shared" si="146"/>
        <v>0</v>
      </c>
      <c r="Q922">
        <f t="shared" si="147"/>
        <v>0</v>
      </c>
      <c r="S922">
        <f t="shared" si="148"/>
        <v>-37.200000000000003</v>
      </c>
      <c r="T922">
        <f t="shared" si="149"/>
        <v>0</v>
      </c>
      <c r="U922">
        <f t="shared" si="150"/>
        <v>0</v>
      </c>
      <c r="V922">
        <f t="shared" si="151"/>
        <v>-37.200000000000003</v>
      </c>
      <c r="W922">
        <f t="shared" si="152"/>
        <v>0</v>
      </c>
      <c r="X922">
        <f t="shared" si="153"/>
        <v>0</v>
      </c>
      <c r="Y922">
        <f t="shared" si="154"/>
        <v>0</v>
      </c>
    </row>
    <row r="923" spans="1:25" x14ac:dyDescent="0.2">
      <c r="A923" t="s">
        <v>58</v>
      </c>
      <c r="B923" t="s">
        <v>884</v>
      </c>
      <c r="C923">
        <v>330</v>
      </c>
      <c r="D923" s="2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86</v>
      </c>
      <c r="K923">
        <v>0</v>
      </c>
      <c r="L923">
        <v>81</v>
      </c>
      <c r="M923">
        <v>0</v>
      </c>
      <c r="N923">
        <v>411</v>
      </c>
      <c r="O923" s="3">
        <f t="shared" si="155"/>
        <v>0</v>
      </c>
      <c r="P923">
        <f t="shared" si="146"/>
        <v>0</v>
      </c>
      <c r="Q923">
        <f t="shared" si="147"/>
        <v>0</v>
      </c>
      <c r="S923">
        <f t="shared" si="148"/>
        <v>-32.400000000000006</v>
      </c>
      <c r="T923">
        <f t="shared" si="149"/>
        <v>0</v>
      </c>
      <c r="U923">
        <f t="shared" si="150"/>
        <v>0</v>
      </c>
      <c r="V923">
        <f t="shared" si="151"/>
        <v>-32.400000000000006</v>
      </c>
      <c r="W923">
        <f t="shared" si="152"/>
        <v>0</v>
      </c>
      <c r="X923">
        <f t="shared" si="153"/>
        <v>0</v>
      </c>
      <c r="Y923">
        <f t="shared" si="154"/>
        <v>0</v>
      </c>
    </row>
    <row r="924" spans="1:25" x14ac:dyDescent="0.2">
      <c r="A924" t="s">
        <v>58</v>
      </c>
      <c r="B924" t="s">
        <v>885</v>
      </c>
      <c r="C924">
        <v>190</v>
      </c>
      <c r="D924" s="2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50</v>
      </c>
      <c r="K924">
        <v>0</v>
      </c>
      <c r="L924">
        <v>47</v>
      </c>
      <c r="M924">
        <v>0</v>
      </c>
      <c r="N924">
        <v>237</v>
      </c>
      <c r="O924" s="3">
        <f t="shared" si="155"/>
        <v>0</v>
      </c>
      <c r="P924">
        <f t="shared" si="146"/>
        <v>0</v>
      </c>
      <c r="Q924">
        <f t="shared" si="147"/>
        <v>0</v>
      </c>
      <c r="S924">
        <f t="shared" si="148"/>
        <v>-18.8</v>
      </c>
      <c r="T924">
        <f t="shared" si="149"/>
        <v>0</v>
      </c>
      <c r="U924">
        <f t="shared" si="150"/>
        <v>0</v>
      </c>
      <c r="V924">
        <f t="shared" si="151"/>
        <v>-18.8</v>
      </c>
      <c r="W924">
        <f t="shared" si="152"/>
        <v>0</v>
      </c>
      <c r="X924">
        <f t="shared" si="153"/>
        <v>0</v>
      </c>
      <c r="Y924">
        <f t="shared" si="154"/>
        <v>0</v>
      </c>
    </row>
    <row r="925" spans="1:25" x14ac:dyDescent="0.2">
      <c r="A925" t="s">
        <v>58</v>
      </c>
      <c r="B925" t="s">
        <v>886</v>
      </c>
      <c r="C925">
        <v>330</v>
      </c>
      <c r="D925" s="2">
        <v>0</v>
      </c>
      <c r="E925">
        <v>0</v>
      </c>
      <c r="F925">
        <v>0</v>
      </c>
      <c r="G925">
        <v>0</v>
      </c>
      <c r="H925">
        <v>0</v>
      </c>
      <c r="I925">
        <v>60</v>
      </c>
      <c r="J925">
        <v>83</v>
      </c>
      <c r="K925">
        <v>0</v>
      </c>
      <c r="L925">
        <v>80</v>
      </c>
      <c r="M925">
        <v>0</v>
      </c>
      <c r="N925">
        <v>410</v>
      </c>
      <c r="O925" s="3">
        <f t="shared" si="155"/>
        <v>0</v>
      </c>
      <c r="P925">
        <f t="shared" si="146"/>
        <v>0</v>
      </c>
      <c r="Q925">
        <f t="shared" si="147"/>
        <v>0</v>
      </c>
      <c r="S925">
        <f t="shared" si="148"/>
        <v>-32.652173913043484</v>
      </c>
      <c r="T925">
        <f t="shared" si="149"/>
        <v>0</v>
      </c>
      <c r="U925">
        <f t="shared" si="150"/>
        <v>-0.65217391304347827</v>
      </c>
      <c r="V925">
        <f t="shared" si="151"/>
        <v>-32.000000000000007</v>
      </c>
      <c r="W925">
        <f t="shared" si="152"/>
        <v>0</v>
      </c>
      <c r="X925">
        <f t="shared" si="153"/>
        <v>0</v>
      </c>
      <c r="Y925">
        <f t="shared" si="154"/>
        <v>0</v>
      </c>
    </row>
    <row r="926" spans="1:25" x14ac:dyDescent="0.2">
      <c r="A926" t="s">
        <v>58</v>
      </c>
      <c r="B926" t="s">
        <v>887</v>
      </c>
      <c r="C926">
        <v>300</v>
      </c>
      <c r="D926" s="2">
        <v>0</v>
      </c>
      <c r="E926">
        <v>0</v>
      </c>
      <c r="F926">
        <v>0</v>
      </c>
      <c r="G926">
        <v>0</v>
      </c>
      <c r="H926">
        <v>0</v>
      </c>
      <c r="I926">
        <v>50</v>
      </c>
      <c r="J926">
        <v>76</v>
      </c>
      <c r="K926">
        <v>0</v>
      </c>
      <c r="L926">
        <v>73</v>
      </c>
      <c r="M926">
        <v>0</v>
      </c>
      <c r="N926">
        <v>373</v>
      </c>
      <c r="O926" s="3">
        <f t="shared" si="155"/>
        <v>0</v>
      </c>
      <c r="P926">
        <f t="shared" si="146"/>
        <v>0</v>
      </c>
      <c r="Q926">
        <f t="shared" si="147"/>
        <v>0</v>
      </c>
      <c r="S926">
        <f t="shared" si="148"/>
        <v>-29.743478260869566</v>
      </c>
      <c r="T926">
        <f t="shared" si="149"/>
        <v>0</v>
      </c>
      <c r="U926">
        <f t="shared" si="150"/>
        <v>-0.54347826086956519</v>
      </c>
      <c r="V926">
        <f t="shared" si="151"/>
        <v>-29.2</v>
      </c>
      <c r="W926">
        <f t="shared" si="152"/>
        <v>0</v>
      </c>
      <c r="X926">
        <f t="shared" si="153"/>
        <v>0</v>
      </c>
      <c r="Y926">
        <f t="shared" si="154"/>
        <v>0</v>
      </c>
    </row>
    <row r="927" spans="1:25" x14ac:dyDescent="0.2">
      <c r="A927" t="s">
        <v>58</v>
      </c>
      <c r="B927" t="s">
        <v>888</v>
      </c>
      <c r="C927">
        <v>170</v>
      </c>
      <c r="D927" s="2">
        <v>0</v>
      </c>
      <c r="E927">
        <v>0</v>
      </c>
      <c r="F927">
        <v>0</v>
      </c>
      <c r="G927">
        <v>0</v>
      </c>
      <c r="H927">
        <v>0</v>
      </c>
      <c r="I927">
        <v>30</v>
      </c>
      <c r="J927">
        <v>44</v>
      </c>
      <c r="K927">
        <v>0</v>
      </c>
      <c r="L927">
        <v>42</v>
      </c>
      <c r="M927">
        <v>0</v>
      </c>
      <c r="N927">
        <v>212</v>
      </c>
      <c r="O927" s="3">
        <f t="shared" si="155"/>
        <v>0</v>
      </c>
      <c r="P927">
        <f t="shared" si="146"/>
        <v>0</v>
      </c>
      <c r="Q927">
        <f t="shared" si="147"/>
        <v>0</v>
      </c>
      <c r="S927">
        <f t="shared" si="148"/>
        <v>-17.126086956521739</v>
      </c>
      <c r="T927">
        <f t="shared" si="149"/>
        <v>0</v>
      </c>
      <c r="U927">
        <f t="shared" si="150"/>
        <v>-0.32608695652173914</v>
      </c>
      <c r="V927">
        <f t="shared" si="151"/>
        <v>-16.8</v>
      </c>
      <c r="W927">
        <f t="shared" si="152"/>
        <v>0</v>
      </c>
      <c r="X927">
        <f t="shared" si="153"/>
        <v>0</v>
      </c>
      <c r="Y927">
        <f t="shared" si="154"/>
        <v>0</v>
      </c>
    </row>
    <row r="928" spans="1:25" x14ac:dyDescent="0.2">
      <c r="A928" t="s">
        <v>58</v>
      </c>
      <c r="B928" t="s">
        <v>889</v>
      </c>
      <c r="C928">
        <v>450</v>
      </c>
      <c r="D928" s="2">
        <v>0</v>
      </c>
      <c r="E928">
        <v>0</v>
      </c>
      <c r="F928">
        <v>0</v>
      </c>
      <c r="G928">
        <v>0</v>
      </c>
      <c r="H928">
        <v>0</v>
      </c>
      <c r="I928">
        <v>180</v>
      </c>
      <c r="J928">
        <v>122</v>
      </c>
      <c r="K928">
        <v>0</v>
      </c>
      <c r="L928">
        <v>122</v>
      </c>
      <c r="M928">
        <v>0</v>
      </c>
      <c r="N928">
        <v>572</v>
      </c>
      <c r="O928" s="3">
        <f t="shared" si="155"/>
        <v>0</v>
      </c>
      <c r="P928">
        <f t="shared" si="146"/>
        <v>0</v>
      </c>
      <c r="Q928">
        <f t="shared" si="147"/>
        <v>0</v>
      </c>
      <c r="S928">
        <f t="shared" si="148"/>
        <v>-50.756521739130434</v>
      </c>
      <c r="T928">
        <f t="shared" si="149"/>
        <v>0</v>
      </c>
      <c r="U928">
        <f t="shared" si="150"/>
        <v>-1.956521739130435</v>
      </c>
      <c r="V928">
        <f t="shared" si="151"/>
        <v>-48.8</v>
      </c>
      <c r="W928">
        <f t="shared" si="152"/>
        <v>0</v>
      </c>
      <c r="X928">
        <f t="shared" si="153"/>
        <v>0</v>
      </c>
      <c r="Y928">
        <f t="shared" si="154"/>
        <v>0</v>
      </c>
    </row>
    <row r="929" spans="1:25" x14ac:dyDescent="0.2">
      <c r="A929" t="s">
        <v>58</v>
      </c>
      <c r="B929" t="s">
        <v>890</v>
      </c>
      <c r="C929">
        <v>360</v>
      </c>
      <c r="D929" s="2">
        <v>0</v>
      </c>
      <c r="E929">
        <v>0</v>
      </c>
      <c r="F929">
        <v>0</v>
      </c>
      <c r="G929">
        <v>0</v>
      </c>
      <c r="H929">
        <v>0</v>
      </c>
      <c r="I929">
        <v>150</v>
      </c>
      <c r="J929">
        <v>98</v>
      </c>
      <c r="K929">
        <v>0</v>
      </c>
      <c r="L929">
        <v>98</v>
      </c>
      <c r="M929">
        <v>0</v>
      </c>
      <c r="N929">
        <v>458</v>
      </c>
      <c r="O929" s="3">
        <f t="shared" si="155"/>
        <v>0</v>
      </c>
      <c r="P929">
        <f t="shared" si="146"/>
        <v>0</v>
      </c>
      <c r="Q929">
        <f t="shared" si="147"/>
        <v>0</v>
      </c>
      <c r="S929">
        <f t="shared" si="148"/>
        <v>-40.830434782608698</v>
      </c>
      <c r="T929">
        <f t="shared" si="149"/>
        <v>0</v>
      </c>
      <c r="U929">
        <f t="shared" si="150"/>
        <v>-1.6304347826086956</v>
      </c>
      <c r="V929">
        <f t="shared" si="151"/>
        <v>-39.200000000000003</v>
      </c>
      <c r="W929">
        <f t="shared" si="152"/>
        <v>0</v>
      </c>
      <c r="X929">
        <f t="shared" si="153"/>
        <v>0</v>
      </c>
      <c r="Y929">
        <f t="shared" si="154"/>
        <v>0</v>
      </c>
    </row>
    <row r="930" spans="1:25" x14ac:dyDescent="0.2">
      <c r="A930" t="s">
        <v>58</v>
      </c>
      <c r="B930" t="s">
        <v>891</v>
      </c>
      <c r="C930">
        <v>220</v>
      </c>
      <c r="D930" s="2">
        <v>0</v>
      </c>
      <c r="E930">
        <v>0</v>
      </c>
      <c r="F930">
        <v>0</v>
      </c>
      <c r="G930">
        <v>0</v>
      </c>
      <c r="H930">
        <v>0</v>
      </c>
      <c r="I930">
        <v>90</v>
      </c>
      <c r="J930">
        <v>61</v>
      </c>
      <c r="K930">
        <v>0</v>
      </c>
      <c r="L930">
        <v>61</v>
      </c>
      <c r="M930">
        <v>0</v>
      </c>
      <c r="N930">
        <v>281</v>
      </c>
      <c r="O930" s="3">
        <f t="shared" si="155"/>
        <v>0</v>
      </c>
      <c r="P930">
        <f t="shared" si="146"/>
        <v>0</v>
      </c>
      <c r="Q930">
        <f t="shared" si="147"/>
        <v>0</v>
      </c>
      <c r="S930">
        <f t="shared" si="148"/>
        <v>-25.378260869565217</v>
      </c>
      <c r="T930">
        <f t="shared" si="149"/>
        <v>0</v>
      </c>
      <c r="U930">
        <f t="shared" si="150"/>
        <v>-0.97826086956521752</v>
      </c>
      <c r="V930">
        <f t="shared" si="151"/>
        <v>-24.4</v>
      </c>
      <c r="W930">
        <f t="shared" si="152"/>
        <v>0</v>
      </c>
      <c r="X930">
        <f t="shared" si="153"/>
        <v>0</v>
      </c>
      <c r="Y930">
        <f t="shared" si="154"/>
        <v>0</v>
      </c>
    </row>
    <row r="931" spans="1:25" x14ac:dyDescent="0.2">
      <c r="A931" t="s">
        <v>58</v>
      </c>
      <c r="B931" t="s">
        <v>892</v>
      </c>
      <c r="C931">
        <v>5</v>
      </c>
      <c r="D931" s="2">
        <v>0</v>
      </c>
      <c r="E931">
        <v>0</v>
      </c>
      <c r="F931">
        <v>0</v>
      </c>
      <c r="G931">
        <v>0</v>
      </c>
      <c r="H931">
        <v>0</v>
      </c>
      <c r="I931">
        <v>25</v>
      </c>
      <c r="J931">
        <v>2</v>
      </c>
      <c r="K931">
        <v>0</v>
      </c>
      <c r="L931">
        <v>0</v>
      </c>
      <c r="M931">
        <v>0</v>
      </c>
      <c r="N931">
        <v>5</v>
      </c>
      <c r="O931" s="3">
        <f t="shared" si="155"/>
        <v>0</v>
      </c>
      <c r="P931">
        <f t="shared" si="146"/>
        <v>0</v>
      </c>
      <c r="Q931">
        <f t="shared" si="147"/>
        <v>0</v>
      </c>
      <c r="S931">
        <f t="shared" si="148"/>
        <v>-0.27173913043478259</v>
      </c>
      <c r="T931">
        <f t="shared" si="149"/>
        <v>0</v>
      </c>
      <c r="U931">
        <f t="shared" si="150"/>
        <v>-0.27173913043478259</v>
      </c>
      <c r="V931">
        <f t="shared" si="151"/>
        <v>0</v>
      </c>
      <c r="W931">
        <f t="shared" si="152"/>
        <v>0</v>
      </c>
      <c r="X931">
        <f t="shared" si="153"/>
        <v>0</v>
      </c>
      <c r="Y931">
        <f t="shared" si="154"/>
        <v>0</v>
      </c>
    </row>
    <row r="932" spans="1:25" x14ac:dyDescent="0.2">
      <c r="A932" t="s">
        <v>58</v>
      </c>
      <c r="B932" t="s">
        <v>893</v>
      </c>
      <c r="C932">
        <v>0</v>
      </c>
      <c r="D932" s="2">
        <v>0</v>
      </c>
      <c r="E932">
        <v>0</v>
      </c>
      <c r="F932">
        <v>0</v>
      </c>
      <c r="G932">
        <v>0</v>
      </c>
      <c r="H932">
        <v>0</v>
      </c>
      <c r="I932">
        <v>15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f t="shared" si="146"/>
        <v>0</v>
      </c>
      <c r="Q932">
        <f t="shared" si="147"/>
        <v>0</v>
      </c>
      <c r="S932">
        <f t="shared" si="148"/>
        <v>-0.16304347826086957</v>
      </c>
      <c r="T932">
        <f t="shared" si="149"/>
        <v>0</v>
      </c>
      <c r="U932">
        <f t="shared" si="150"/>
        <v>-0.16304347826086957</v>
      </c>
      <c r="V932">
        <f t="shared" si="151"/>
        <v>0</v>
      </c>
      <c r="W932">
        <f t="shared" si="152"/>
        <v>0</v>
      </c>
      <c r="X932">
        <f t="shared" si="153"/>
        <v>0</v>
      </c>
      <c r="Y932">
        <f t="shared" si="154"/>
        <v>0</v>
      </c>
    </row>
    <row r="933" spans="1:25" x14ac:dyDescent="0.2">
      <c r="A933" t="s">
        <v>58</v>
      </c>
      <c r="B933" t="s">
        <v>894</v>
      </c>
      <c r="C933">
        <v>0</v>
      </c>
      <c r="D933" s="2">
        <v>0</v>
      </c>
      <c r="E933">
        <v>0</v>
      </c>
      <c r="F933">
        <v>0</v>
      </c>
      <c r="G933">
        <v>0</v>
      </c>
      <c r="H933">
        <v>0</v>
      </c>
      <c r="I933">
        <v>10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f t="shared" si="146"/>
        <v>0</v>
      </c>
      <c r="Q933">
        <f t="shared" si="147"/>
        <v>0</v>
      </c>
      <c r="S933">
        <f t="shared" si="148"/>
        <v>-0.10869565217391304</v>
      </c>
      <c r="T933">
        <f t="shared" si="149"/>
        <v>0</v>
      </c>
      <c r="U933">
        <f t="shared" si="150"/>
        <v>-0.10869565217391304</v>
      </c>
      <c r="V933">
        <f t="shared" si="151"/>
        <v>0</v>
      </c>
      <c r="W933">
        <f t="shared" si="152"/>
        <v>0</v>
      </c>
      <c r="X933">
        <f t="shared" si="153"/>
        <v>0</v>
      </c>
      <c r="Y933">
        <f t="shared" si="154"/>
        <v>0</v>
      </c>
    </row>
    <row r="934" spans="1:25" x14ac:dyDescent="0.2">
      <c r="A934" t="s">
        <v>58</v>
      </c>
      <c r="B934" t="s">
        <v>895</v>
      </c>
      <c r="C934">
        <v>400</v>
      </c>
      <c r="D934" s="2">
        <v>0</v>
      </c>
      <c r="E934">
        <v>0</v>
      </c>
      <c r="F934">
        <v>0</v>
      </c>
      <c r="G934">
        <v>0</v>
      </c>
      <c r="H934">
        <v>0</v>
      </c>
      <c r="I934">
        <v>90</v>
      </c>
      <c r="J934">
        <v>109</v>
      </c>
      <c r="K934">
        <v>0</v>
      </c>
      <c r="L934">
        <v>109</v>
      </c>
      <c r="M934">
        <v>0</v>
      </c>
      <c r="N934">
        <v>509</v>
      </c>
      <c r="O934" s="3">
        <f>M934/C934*100</f>
        <v>0</v>
      </c>
      <c r="P934">
        <f t="shared" si="146"/>
        <v>0</v>
      </c>
      <c r="Q934">
        <f t="shared" si="147"/>
        <v>0</v>
      </c>
      <c r="S934">
        <f t="shared" si="148"/>
        <v>-44.578260869565227</v>
      </c>
      <c r="T934">
        <f t="shared" si="149"/>
        <v>0</v>
      </c>
      <c r="U934">
        <f t="shared" si="150"/>
        <v>-0.97826086956521752</v>
      </c>
      <c r="V934">
        <f t="shared" si="151"/>
        <v>-43.600000000000009</v>
      </c>
      <c r="W934">
        <f t="shared" si="152"/>
        <v>0</v>
      </c>
      <c r="X934">
        <f t="shared" si="153"/>
        <v>0</v>
      </c>
      <c r="Y934">
        <f t="shared" si="154"/>
        <v>0</v>
      </c>
    </row>
    <row r="935" spans="1:25" x14ac:dyDescent="0.2">
      <c r="A935" t="s">
        <v>58</v>
      </c>
      <c r="B935" t="s">
        <v>896</v>
      </c>
      <c r="C935">
        <v>320</v>
      </c>
      <c r="D935" s="2">
        <v>0</v>
      </c>
      <c r="E935">
        <v>0</v>
      </c>
      <c r="F935">
        <v>0</v>
      </c>
      <c r="G935">
        <v>0</v>
      </c>
      <c r="H935">
        <v>0</v>
      </c>
      <c r="I935">
        <v>70</v>
      </c>
      <c r="J935">
        <v>87</v>
      </c>
      <c r="K935">
        <v>0</v>
      </c>
      <c r="L935">
        <v>87</v>
      </c>
      <c r="M935">
        <v>0</v>
      </c>
      <c r="N935">
        <v>407</v>
      </c>
      <c r="O935" s="3">
        <f>M935/C935*100</f>
        <v>0</v>
      </c>
      <c r="P935">
        <f t="shared" si="146"/>
        <v>0</v>
      </c>
      <c r="Q935">
        <f t="shared" si="147"/>
        <v>0</v>
      </c>
      <c r="S935">
        <f t="shared" si="148"/>
        <v>-35.560869565217395</v>
      </c>
      <c r="T935">
        <f t="shared" si="149"/>
        <v>0</v>
      </c>
      <c r="U935">
        <f t="shared" si="150"/>
        <v>-0.76086956521739135</v>
      </c>
      <c r="V935">
        <f t="shared" si="151"/>
        <v>-34.800000000000004</v>
      </c>
      <c r="W935">
        <f t="shared" si="152"/>
        <v>0</v>
      </c>
      <c r="X935">
        <f t="shared" si="153"/>
        <v>0</v>
      </c>
      <c r="Y935">
        <f t="shared" si="154"/>
        <v>0</v>
      </c>
    </row>
    <row r="936" spans="1:25" x14ac:dyDescent="0.2">
      <c r="A936" t="s">
        <v>58</v>
      </c>
      <c r="B936" t="s">
        <v>897</v>
      </c>
      <c r="C936">
        <v>200</v>
      </c>
      <c r="D936" s="2">
        <v>0</v>
      </c>
      <c r="E936">
        <v>0</v>
      </c>
      <c r="F936">
        <v>0</v>
      </c>
      <c r="G936">
        <v>0</v>
      </c>
      <c r="H936">
        <v>0</v>
      </c>
      <c r="I936">
        <v>45</v>
      </c>
      <c r="J936">
        <v>54</v>
      </c>
      <c r="K936">
        <v>0</v>
      </c>
      <c r="L936">
        <v>54</v>
      </c>
      <c r="M936">
        <v>0</v>
      </c>
      <c r="N936">
        <v>254</v>
      </c>
      <c r="O936" s="3">
        <f>M936/C936*100</f>
        <v>0</v>
      </c>
      <c r="P936">
        <f t="shared" si="146"/>
        <v>0</v>
      </c>
      <c r="Q936">
        <f t="shared" si="147"/>
        <v>0</v>
      </c>
      <c r="S936">
        <f t="shared" si="148"/>
        <v>-22.089130434782611</v>
      </c>
      <c r="T936">
        <f t="shared" si="149"/>
        <v>0</v>
      </c>
      <c r="U936">
        <f t="shared" si="150"/>
        <v>-0.48913043478260876</v>
      </c>
      <c r="V936">
        <f t="shared" si="151"/>
        <v>-21.6</v>
      </c>
      <c r="W936">
        <f t="shared" si="152"/>
        <v>0</v>
      </c>
      <c r="X936">
        <f t="shared" si="153"/>
        <v>0</v>
      </c>
      <c r="Y936">
        <f t="shared" si="154"/>
        <v>0</v>
      </c>
    </row>
    <row r="937" spans="1:25" x14ac:dyDescent="0.2">
      <c r="A937" t="s">
        <v>58</v>
      </c>
      <c r="B937" t="s">
        <v>898</v>
      </c>
      <c r="C937">
        <v>0</v>
      </c>
      <c r="D937" s="2">
        <v>0</v>
      </c>
      <c r="E937">
        <v>0</v>
      </c>
      <c r="F937">
        <v>0</v>
      </c>
      <c r="G937">
        <v>0</v>
      </c>
      <c r="H937">
        <v>0</v>
      </c>
      <c r="I937">
        <v>100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146"/>
        <v>0</v>
      </c>
      <c r="Q937">
        <f t="shared" si="147"/>
        <v>0</v>
      </c>
      <c r="S937">
        <f t="shared" si="148"/>
        <v>-1.0869565217391304</v>
      </c>
      <c r="T937">
        <f t="shared" si="149"/>
        <v>0</v>
      </c>
      <c r="U937">
        <f t="shared" si="150"/>
        <v>-1.0869565217391304</v>
      </c>
      <c r="V937">
        <f t="shared" si="151"/>
        <v>0</v>
      </c>
      <c r="W937">
        <f t="shared" si="152"/>
        <v>0</v>
      </c>
      <c r="X937">
        <f t="shared" si="153"/>
        <v>0</v>
      </c>
      <c r="Y937">
        <f t="shared" si="154"/>
        <v>0</v>
      </c>
    </row>
    <row r="938" spans="1:25" x14ac:dyDescent="0.2">
      <c r="A938" t="s">
        <v>58</v>
      </c>
      <c r="B938" t="s">
        <v>899</v>
      </c>
      <c r="C938">
        <v>0</v>
      </c>
      <c r="D938" s="2">
        <v>0</v>
      </c>
      <c r="E938">
        <v>0</v>
      </c>
      <c r="F938">
        <v>0</v>
      </c>
      <c r="G938">
        <v>0</v>
      </c>
      <c r="H938">
        <v>0</v>
      </c>
      <c r="I938">
        <v>80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146"/>
        <v>0</v>
      </c>
      <c r="Q938">
        <f t="shared" si="147"/>
        <v>0</v>
      </c>
      <c r="S938">
        <f t="shared" si="148"/>
        <v>-0.86956521739130432</v>
      </c>
      <c r="T938">
        <f t="shared" si="149"/>
        <v>0</v>
      </c>
      <c r="U938">
        <f t="shared" si="150"/>
        <v>-0.86956521739130432</v>
      </c>
      <c r="V938">
        <f t="shared" si="151"/>
        <v>0</v>
      </c>
      <c r="W938">
        <f t="shared" si="152"/>
        <v>0</v>
      </c>
      <c r="X938">
        <f t="shared" si="153"/>
        <v>0</v>
      </c>
      <c r="Y938">
        <f t="shared" si="154"/>
        <v>0</v>
      </c>
    </row>
    <row r="939" spans="1:25" x14ac:dyDescent="0.2">
      <c r="A939" t="s">
        <v>58</v>
      </c>
      <c r="B939" t="s">
        <v>900</v>
      </c>
      <c r="C939">
        <v>0</v>
      </c>
      <c r="D939" s="2">
        <v>0</v>
      </c>
      <c r="E939">
        <v>0</v>
      </c>
      <c r="F939">
        <v>0</v>
      </c>
      <c r="G939">
        <v>0</v>
      </c>
      <c r="H939">
        <v>0</v>
      </c>
      <c r="I939">
        <v>50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f t="shared" si="146"/>
        <v>0</v>
      </c>
      <c r="Q939">
        <f t="shared" si="147"/>
        <v>0</v>
      </c>
      <c r="S939">
        <f t="shared" si="148"/>
        <v>-0.54347826086956519</v>
      </c>
      <c r="T939">
        <f t="shared" si="149"/>
        <v>0</v>
      </c>
      <c r="U939">
        <f t="shared" si="150"/>
        <v>-0.54347826086956519</v>
      </c>
      <c r="V939">
        <f t="shared" si="151"/>
        <v>0</v>
      </c>
      <c r="W939">
        <f t="shared" si="152"/>
        <v>0</v>
      </c>
      <c r="X939">
        <f t="shared" si="153"/>
        <v>0</v>
      </c>
      <c r="Y939">
        <f t="shared" si="154"/>
        <v>0</v>
      </c>
    </row>
    <row r="940" spans="1:25" x14ac:dyDescent="0.2">
      <c r="A940" t="s">
        <v>58</v>
      </c>
      <c r="B940" t="s">
        <v>901</v>
      </c>
      <c r="C940">
        <v>0</v>
      </c>
      <c r="D940" s="2">
        <v>0</v>
      </c>
      <c r="E940">
        <v>0</v>
      </c>
      <c r="F940">
        <v>0</v>
      </c>
      <c r="G940">
        <v>0</v>
      </c>
      <c r="H940">
        <v>0</v>
      </c>
      <c r="I940">
        <v>125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146"/>
        <v>0</v>
      </c>
      <c r="Q940">
        <f t="shared" si="147"/>
        <v>0</v>
      </c>
      <c r="S940">
        <f t="shared" si="148"/>
        <v>-1.3586956521739131</v>
      </c>
      <c r="T940">
        <f t="shared" si="149"/>
        <v>0</v>
      </c>
      <c r="U940">
        <f t="shared" si="150"/>
        <v>-1.3586956521739131</v>
      </c>
      <c r="V940">
        <f t="shared" si="151"/>
        <v>0</v>
      </c>
      <c r="W940">
        <f t="shared" si="152"/>
        <v>0</v>
      </c>
      <c r="X940">
        <f t="shared" si="153"/>
        <v>0</v>
      </c>
      <c r="Y940">
        <f t="shared" si="154"/>
        <v>0</v>
      </c>
    </row>
    <row r="941" spans="1:25" x14ac:dyDescent="0.2">
      <c r="A941" t="s">
        <v>58</v>
      </c>
      <c r="B941" t="s">
        <v>902</v>
      </c>
      <c r="C941">
        <v>0</v>
      </c>
      <c r="D941" s="2">
        <v>0</v>
      </c>
      <c r="E941">
        <v>0</v>
      </c>
      <c r="F941">
        <v>0</v>
      </c>
      <c r="G941">
        <v>0</v>
      </c>
      <c r="H941">
        <v>0</v>
      </c>
      <c r="I941">
        <v>100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f t="shared" si="146"/>
        <v>0</v>
      </c>
      <c r="Q941">
        <f t="shared" si="147"/>
        <v>0</v>
      </c>
      <c r="S941">
        <f t="shared" si="148"/>
        <v>-1.0869565217391304</v>
      </c>
      <c r="T941">
        <f t="shared" si="149"/>
        <v>0</v>
      </c>
      <c r="U941">
        <f t="shared" si="150"/>
        <v>-1.0869565217391304</v>
      </c>
      <c r="V941">
        <f t="shared" si="151"/>
        <v>0</v>
      </c>
      <c r="W941">
        <f t="shared" si="152"/>
        <v>0</v>
      </c>
      <c r="X941">
        <f t="shared" si="153"/>
        <v>0</v>
      </c>
      <c r="Y941">
        <f t="shared" si="154"/>
        <v>0</v>
      </c>
    </row>
    <row r="942" spans="1:25" x14ac:dyDescent="0.2">
      <c r="A942" t="s">
        <v>58</v>
      </c>
      <c r="B942" t="s">
        <v>903</v>
      </c>
      <c r="C942">
        <v>0</v>
      </c>
      <c r="D942" s="2">
        <v>0</v>
      </c>
      <c r="E942">
        <v>0</v>
      </c>
      <c r="F942">
        <v>0</v>
      </c>
      <c r="G942">
        <v>0</v>
      </c>
      <c r="H942">
        <v>0</v>
      </c>
      <c r="I942">
        <v>45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f t="shared" si="146"/>
        <v>0</v>
      </c>
      <c r="Q942">
        <f t="shared" si="147"/>
        <v>0</v>
      </c>
      <c r="S942">
        <f t="shared" si="148"/>
        <v>-0.48913043478260876</v>
      </c>
      <c r="T942">
        <f t="shared" si="149"/>
        <v>0</v>
      </c>
      <c r="U942">
        <f t="shared" si="150"/>
        <v>-0.48913043478260876</v>
      </c>
      <c r="V942">
        <f t="shared" si="151"/>
        <v>0</v>
      </c>
      <c r="W942">
        <f t="shared" si="152"/>
        <v>0</v>
      </c>
      <c r="X942">
        <f t="shared" si="153"/>
        <v>0</v>
      </c>
      <c r="Y942">
        <f t="shared" si="154"/>
        <v>0</v>
      </c>
    </row>
    <row r="943" spans="1:25" x14ac:dyDescent="0.2">
      <c r="A943" t="s">
        <v>58</v>
      </c>
      <c r="B943" t="s">
        <v>904</v>
      </c>
      <c r="C943">
        <v>240</v>
      </c>
      <c r="D943" s="2">
        <v>0</v>
      </c>
      <c r="E943">
        <v>0</v>
      </c>
      <c r="F943">
        <v>0</v>
      </c>
      <c r="G943">
        <v>0</v>
      </c>
      <c r="H943">
        <v>0</v>
      </c>
      <c r="I943">
        <v>70</v>
      </c>
      <c r="J943">
        <v>66</v>
      </c>
      <c r="K943">
        <v>0</v>
      </c>
      <c r="L943">
        <v>64</v>
      </c>
      <c r="M943">
        <v>0</v>
      </c>
      <c r="N943">
        <v>304</v>
      </c>
      <c r="O943" s="3">
        <f t="shared" ref="O943:O954" si="156">M943/C943*100</f>
        <v>0</v>
      </c>
      <c r="P943">
        <f t="shared" si="146"/>
        <v>0</v>
      </c>
      <c r="Q943">
        <f t="shared" si="147"/>
        <v>0</v>
      </c>
      <c r="S943">
        <f t="shared" si="148"/>
        <v>-26.360869565217392</v>
      </c>
      <c r="T943">
        <f t="shared" si="149"/>
        <v>0</v>
      </c>
      <c r="U943">
        <f t="shared" si="150"/>
        <v>-0.76086956521739135</v>
      </c>
      <c r="V943">
        <f t="shared" si="151"/>
        <v>-25.6</v>
      </c>
      <c r="W943">
        <f t="shared" si="152"/>
        <v>0</v>
      </c>
      <c r="X943">
        <f t="shared" si="153"/>
        <v>0</v>
      </c>
      <c r="Y943">
        <f t="shared" si="154"/>
        <v>0</v>
      </c>
    </row>
    <row r="944" spans="1:25" x14ac:dyDescent="0.2">
      <c r="A944" t="s">
        <v>58</v>
      </c>
      <c r="B944" t="s">
        <v>905</v>
      </c>
      <c r="C944">
        <v>190</v>
      </c>
      <c r="D944" s="2">
        <v>0</v>
      </c>
      <c r="E944">
        <v>0</v>
      </c>
      <c r="F944">
        <v>0</v>
      </c>
      <c r="G944">
        <v>0</v>
      </c>
      <c r="H944">
        <v>0</v>
      </c>
      <c r="I944">
        <v>55</v>
      </c>
      <c r="J944">
        <v>53</v>
      </c>
      <c r="K944">
        <v>0</v>
      </c>
      <c r="L944">
        <v>51</v>
      </c>
      <c r="M944">
        <v>0</v>
      </c>
      <c r="N944">
        <v>241</v>
      </c>
      <c r="O944" s="3">
        <f t="shared" si="156"/>
        <v>0</v>
      </c>
      <c r="P944">
        <f t="shared" si="146"/>
        <v>0</v>
      </c>
      <c r="Q944">
        <f t="shared" si="147"/>
        <v>0</v>
      </c>
      <c r="S944">
        <f t="shared" si="148"/>
        <v>-20.997826086956525</v>
      </c>
      <c r="T944">
        <f t="shared" si="149"/>
        <v>0</v>
      </c>
      <c r="U944">
        <f t="shared" si="150"/>
        <v>-0.59782608695652173</v>
      </c>
      <c r="V944">
        <f t="shared" si="151"/>
        <v>-20.400000000000002</v>
      </c>
      <c r="W944">
        <f t="shared" si="152"/>
        <v>0</v>
      </c>
      <c r="X944">
        <f t="shared" si="153"/>
        <v>0</v>
      </c>
      <c r="Y944">
        <f t="shared" si="154"/>
        <v>0</v>
      </c>
    </row>
    <row r="945" spans="1:25" x14ac:dyDescent="0.2">
      <c r="A945" t="s">
        <v>58</v>
      </c>
      <c r="B945" t="s">
        <v>906</v>
      </c>
      <c r="C945">
        <v>120</v>
      </c>
      <c r="D945" s="2">
        <v>0</v>
      </c>
      <c r="E945">
        <v>0</v>
      </c>
      <c r="F945">
        <v>0</v>
      </c>
      <c r="G945">
        <v>0</v>
      </c>
      <c r="H945">
        <v>0</v>
      </c>
      <c r="I945">
        <v>35</v>
      </c>
      <c r="J945">
        <v>33</v>
      </c>
      <c r="K945">
        <v>0</v>
      </c>
      <c r="L945">
        <v>32</v>
      </c>
      <c r="M945">
        <v>0</v>
      </c>
      <c r="N945">
        <v>152</v>
      </c>
      <c r="O945" s="3">
        <f t="shared" si="156"/>
        <v>0</v>
      </c>
      <c r="P945">
        <f t="shared" si="146"/>
        <v>0</v>
      </c>
      <c r="Q945">
        <f t="shared" si="147"/>
        <v>0</v>
      </c>
      <c r="S945">
        <f t="shared" si="148"/>
        <v>-13.180434782608696</v>
      </c>
      <c r="T945">
        <f t="shared" si="149"/>
        <v>0</v>
      </c>
      <c r="U945">
        <f t="shared" si="150"/>
        <v>-0.38043478260869568</v>
      </c>
      <c r="V945">
        <f t="shared" si="151"/>
        <v>-12.8</v>
      </c>
      <c r="W945">
        <f t="shared" si="152"/>
        <v>0</v>
      </c>
      <c r="X945">
        <f t="shared" si="153"/>
        <v>0</v>
      </c>
      <c r="Y945">
        <f t="shared" si="154"/>
        <v>0</v>
      </c>
    </row>
    <row r="946" spans="1:25" x14ac:dyDescent="0.2">
      <c r="A946" t="s">
        <v>58</v>
      </c>
      <c r="B946" t="s">
        <v>907</v>
      </c>
      <c r="C946">
        <v>430</v>
      </c>
      <c r="D946" s="2">
        <v>0</v>
      </c>
      <c r="E946">
        <v>0</v>
      </c>
      <c r="F946">
        <v>0</v>
      </c>
      <c r="G946">
        <v>0</v>
      </c>
      <c r="H946">
        <v>0</v>
      </c>
      <c r="I946">
        <v>110</v>
      </c>
      <c r="J946">
        <v>117</v>
      </c>
      <c r="K946">
        <v>0</v>
      </c>
      <c r="L946">
        <v>115</v>
      </c>
      <c r="M946">
        <v>0</v>
      </c>
      <c r="N946">
        <v>545</v>
      </c>
      <c r="O946" s="3">
        <f t="shared" si="156"/>
        <v>0</v>
      </c>
      <c r="P946">
        <f t="shared" si="146"/>
        <v>0</v>
      </c>
      <c r="Q946">
        <f t="shared" si="147"/>
        <v>0</v>
      </c>
      <c r="S946">
        <f t="shared" si="148"/>
        <v>-47.195652173913047</v>
      </c>
      <c r="T946">
        <f t="shared" si="149"/>
        <v>0</v>
      </c>
      <c r="U946">
        <f t="shared" si="150"/>
        <v>-1.1956521739130435</v>
      </c>
      <c r="V946">
        <f t="shared" si="151"/>
        <v>-46</v>
      </c>
      <c r="W946">
        <f t="shared" si="152"/>
        <v>0</v>
      </c>
      <c r="X946">
        <f t="shared" si="153"/>
        <v>0</v>
      </c>
      <c r="Y946">
        <f t="shared" si="154"/>
        <v>0</v>
      </c>
    </row>
    <row r="947" spans="1:25" x14ac:dyDescent="0.2">
      <c r="A947" t="s">
        <v>58</v>
      </c>
      <c r="B947" t="s">
        <v>908</v>
      </c>
      <c r="C947">
        <v>340</v>
      </c>
      <c r="D947" s="2">
        <v>0</v>
      </c>
      <c r="E947">
        <v>0</v>
      </c>
      <c r="F947">
        <v>0</v>
      </c>
      <c r="G947">
        <v>0</v>
      </c>
      <c r="H947">
        <v>0</v>
      </c>
      <c r="I947">
        <v>85</v>
      </c>
      <c r="J947">
        <v>94</v>
      </c>
      <c r="K947">
        <v>0</v>
      </c>
      <c r="L947">
        <v>92</v>
      </c>
      <c r="M947">
        <v>0</v>
      </c>
      <c r="N947">
        <v>432</v>
      </c>
      <c r="O947" s="3">
        <f t="shared" si="156"/>
        <v>0</v>
      </c>
      <c r="P947">
        <f t="shared" si="146"/>
        <v>0</v>
      </c>
      <c r="Q947">
        <f t="shared" si="147"/>
        <v>0</v>
      </c>
      <c r="S947">
        <f t="shared" si="148"/>
        <v>-37.723913043478262</v>
      </c>
      <c r="T947">
        <f t="shared" si="149"/>
        <v>0</v>
      </c>
      <c r="U947">
        <f t="shared" si="150"/>
        <v>-0.92391304347826086</v>
      </c>
      <c r="V947">
        <f t="shared" si="151"/>
        <v>-36.800000000000004</v>
      </c>
      <c r="W947">
        <f t="shared" si="152"/>
        <v>0</v>
      </c>
      <c r="X947">
        <f t="shared" si="153"/>
        <v>0</v>
      </c>
      <c r="Y947">
        <f t="shared" si="154"/>
        <v>0</v>
      </c>
    </row>
    <row r="948" spans="1:25" x14ac:dyDescent="0.2">
      <c r="A948" t="s">
        <v>58</v>
      </c>
      <c r="B948" t="s">
        <v>909</v>
      </c>
      <c r="C948">
        <v>210</v>
      </c>
      <c r="D948" s="2">
        <v>0</v>
      </c>
      <c r="E948">
        <v>0</v>
      </c>
      <c r="F948">
        <v>0</v>
      </c>
      <c r="G948">
        <v>0</v>
      </c>
      <c r="H948">
        <v>0</v>
      </c>
      <c r="I948">
        <v>55</v>
      </c>
      <c r="J948">
        <v>59</v>
      </c>
      <c r="K948">
        <v>0</v>
      </c>
      <c r="L948">
        <v>58</v>
      </c>
      <c r="M948">
        <v>0</v>
      </c>
      <c r="N948">
        <v>268</v>
      </c>
      <c r="O948" s="3">
        <f t="shared" si="156"/>
        <v>0</v>
      </c>
      <c r="P948">
        <f t="shared" si="146"/>
        <v>0</v>
      </c>
      <c r="Q948">
        <f t="shared" si="147"/>
        <v>0</v>
      </c>
      <c r="S948">
        <f t="shared" si="148"/>
        <v>-23.797826086956523</v>
      </c>
      <c r="T948">
        <f t="shared" si="149"/>
        <v>0</v>
      </c>
      <c r="U948">
        <f t="shared" si="150"/>
        <v>-0.59782608695652173</v>
      </c>
      <c r="V948">
        <f t="shared" si="151"/>
        <v>-23.2</v>
      </c>
      <c r="W948">
        <f t="shared" si="152"/>
        <v>0</v>
      </c>
      <c r="X948">
        <f t="shared" si="153"/>
        <v>0</v>
      </c>
      <c r="Y948">
        <f t="shared" si="154"/>
        <v>0</v>
      </c>
    </row>
    <row r="949" spans="1:25" x14ac:dyDescent="0.2">
      <c r="A949" t="s">
        <v>58</v>
      </c>
      <c r="B949" t="s">
        <v>910</v>
      </c>
      <c r="C949">
        <v>420</v>
      </c>
      <c r="D949" s="2">
        <v>0</v>
      </c>
      <c r="E949">
        <v>0</v>
      </c>
      <c r="F949">
        <v>0</v>
      </c>
      <c r="G949">
        <v>0</v>
      </c>
      <c r="H949">
        <v>0</v>
      </c>
      <c r="I949">
        <v>140</v>
      </c>
      <c r="J949">
        <v>115</v>
      </c>
      <c r="K949">
        <v>0</v>
      </c>
      <c r="L949">
        <v>113</v>
      </c>
      <c r="M949">
        <v>0</v>
      </c>
      <c r="N949">
        <v>533</v>
      </c>
      <c r="O949" s="3">
        <f t="shared" si="156"/>
        <v>0</v>
      </c>
      <c r="P949">
        <f t="shared" si="146"/>
        <v>0</v>
      </c>
      <c r="Q949">
        <f t="shared" si="147"/>
        <v>0</v>
      </c>
      <c r="S949">
        <f t="shared" si="148"/>
        <v>-46.721739130434777</v>
      </c>
      <c r="T949">
        <f t="shared" si="149"/>
        <v>0</v>
      </c>
      <c r="U949">
        <f t="shared" si="150"/>
        <v>-1.5217391304347827</v>
      </c>
      <c r="V949">
        <f t="shared" si="151"/>
        <v>-45.199999999999996</v>
      </c>
      <c r="W949">
        <f t="shared" si="152"/>
        <v>0</v>
      </c>
      <c r="X949">
        <f t="shared" si="153"/>
        <v>0</v>
      </c>
      <c r="Y949">
        <f t="shared" si="154"/>
        <v>0</v>
      </c>
    </row>
    <row r="950" spans="1:25" x14ac:dyDescent="0.2">
      <c r="A950" t="s">
        <v>58</v>
      </c>
      <c r="B950" t="s">
        <v>911</v>
      </c>
      <c r="C950">
        <v>340</v>
      </c>
      <c r="D950" s="2">
        <v>0</v>
      </c>
      <c r="E950">
        <v>0</v>
      </c>
      <c r="F950">
        <v>0</v>
      </c>
      <c r="G950">
        <v>0</v>
      </c>
      <c r="H950">
        <v>0</v>
      </c>
      <c r="I950">
        <v>115</v>
      </c>
      <c r="J950">
        <v>92</v>
      </c>
      <c r="K950">
        <v>0</v>
      </c>
      <c r="L950">
        <v>90</v>
      </c>
      <c r="M950">
        <v>0</v>
      </c>
      <c r="N950">
        <v>430</v>
      </c>
      <c r="O950" s="3">
        <f t="shared" si="156"/>
        <v>0</v>
      </c>
      <c r="P950">
        <f t="shared" si="146"/>
        <v>0</v>
      </c>
      <c r="Q950">
        <f t="shared" si="147"/>
        <v>0</v>
      </c>
      <c r="S950">
        <f t="shared" si="148"/>
        <v>-37.250000000000007</v>
      </c>
      <c r="T950">
        <f t="shared" si="149"/>
        <v>0</v>
      </c>
      <c r="U950">
        <f t="shared" si="150"/>
        <v>-1.25</v>
      </c>
      <c r="V950">
        <f t="shared" si="151"/>
        <v>-36.000000000000007</v>
      </c>
      <c r="W950">
        <f t="shared" si="152"/>
        <v>0</v>
      </c>
      <c r="X950">
        <f t="shared" si="153"/>
        <v>0</v>
      </c>
      <c r="Y950">
        <f t="shared" si="154"/>
        <v>0</v>
      </c>
    </row>
    <row r="951" spans="1:25" x14ac:dyDescent="0.2">
      <c r="A951" t="s">
        <v>58</v>
      </c>
      <c r="B951" t="s">
        <v>912</v>
      </c>
      <c r="C951">
        <v>210</v>
      </c>
      <c r="D951" s="2">
        <v>0</v>
      </c>
      <c r="E951">
        <v>0</v>
      </c>
      <c r="F951">
        <v>0</v>
      </c>
      <c r="G951">
        <v>0</v>
      </c>
      <c r="H951">
        <v>0</v>
      </c>
      <c r="I951">
        <v>70</v>
      </c>
      <c r="J951">
        <v>58</v>
      </c>
      <c r="K951">
        <v>0</v>
      </c>
      <c r="L951">
        <v>56</v>
      </c>
      <c r="M951">
        <v>0</v>
      </c>
      <c r="N951">
        <v>266</v>
      </c>
      <c r="O951" s="3">
        <f t="shared" si="156"/>
        <v>0</v>
      </c>
      <c r="P951">
        <f t="shared" si="146"/>
        <v>0</v>
      </c>
      <c r="Q951">
        <f t="shared" si="147"/>
        <v>0</v>
      </c>
      <c r="S951">
        <f t="shared" si="148"/>
        <v>-23.160869565217393</v>
      </c>
      <c r="T951">
        <f t="shared" si="149"/>
        <v>0</v>
      </c>
      <c r="U951">
        <f t="shared" si="150"/>
        <v>-0.76086956521739135</v>
      </c>
      <c r="V951">
        <f t="shared" si="151"/>
        <v>-22.400000000000002</v>
      </c>
      <c r="W951">
        <f t="shared" si="152"/>
        <v>0</v>
      </c>
      <c r="X951">
        <f t="shared" si="153"/>
        <v>0</v>
      </c>
      <c r="Y951">
        <f t="shared" si="154"/>
        <v>0</v>
      </c>
    </row>
    <row r="952" spans="1:25" x14ac:dyDescent="0.2">
      <c r="A952" t="s">
        <v>58</v>
      </c>
      <c r="B952" t="s">
        <v>913</v>
      </c>
      <c r="C952">
        <v>110</v>
      </c>
      <c r="D952" s="2">
        <v>0</v>
      </c>
      <c r="E952">
        <v>0</v>
      </c>
      <c r="F952">
        <v>0</v>
      </c>
      <c r="G952">
        <v>0</v>
      </c>
      <c r="H952">
        <v>0</v>
      </c>
      <c r="I952">
        <v>55</v>
      </c>
      <c r="J952">
        <v>29</v>
      </c>
      <c r="K952">
        <v>0</v>
      </c>
      <c r="L952">
        <v>29</v>
      </c>
      <c r="M952">
        <v>0</v>
      </c>
      <c r="N952">
        <v>139</v>
      </c>
      <c r="O952" s="3">
        <f t="shared" si="156"/>
        <v>0</v>
      </c>
      <c r="P952">
        <f t="shared" si="146"/>
        <v>0</v>
      </c>
      <c r="Q952">
        <f t="shared" si="147"/>
        <v>0</v>
      </c>
      <c r="S952">
        <f t="shared" si="148"/>
        <v>-12.197826086956521</v>
      </c>
      <c r="T952">
        <f t="shared" si="149"/>
        <v>0</v>
      </c>
      <c r="U952">
        <f t="shared" si="150"/>
        <v>-0.59782608695652173</v>
      </c>
      <c r="V952">
        <f t="shared" si="151"/>
        <v>-11.6</v>
      </c>
      <c r="W952">
        <f t="shared" si="152"/>
        <v>0</v>
      </c>
      <c r="X952">
        <f t="shared" si="153"/>
        <v>0</v>
      </c>
      <c r="Y952">
        <f t="shared" si="154"/>
        <v>0</v>
      </c>
    </row>
    <row r="953" spans="1:25" x14ac:dyDescent="0.2">
      <c r="A953" t="s">
        <v>58</v>
      </c>
      <c r="B953" t="s">
        <v>914</v>
      </c>
      <c r="C953">
        <v>90</v>
      </c>
      <c r="D953" s="2">
        <v>0</v>
      </c>
      <c r="E953">
        <v>0</v>
      </c>
      <c r="F953">
        <v>0</v>
      </c>
      <c r="G953">
        <v>0</v>
      </c>
      <c r="H953">
        <v>0</v>
      </c>
      <c r="I953">
        <v>40</v>
      </c>
      <c r="J953">
        <v>22</v>
      </c>
      <c r="K953">
        <v>0</v>
      </c>
      <c r="L953">
        <v>22</v>
      </c>
      <c r="M953">
        <v>0</v>
      </c>
      <c r="N953">
        <v>112</v>
      </c>
      <c r="O953" s="3">
        <f t="shared" si="156"/>
        <v>0</v>
      </c>
      <c r="P953">
        <f t="shared" si="146"/>
        <v>0</v>
      </c>
      <c r="Q953">
        <f t="shared" si="147"/>
        <v>0</v>
      </c>
      <c r="S953">
        <f t="shared" si="148"/>
        <v>-9.234782608695653</v>
      </c>
      <c r="T953">
        <f t="shared" si="149"/>
        <v>0</v>
      </c>
      <c r="U953">
        <f t="shared" si="150"/>
        <v>-0.43478260869565216</v>
      </c>
      <c r="V953">
        <f t="shared" si="151"/>
        <v>-8.8000000000000007</v>
      </c>
      <c r="W953">
        <f t="shared" si="152"/>
        <v>0</v>
      </c>
      <c r="X953">
        <f t="shared" si="153"/>
        <v>0</v>
      </c>
      <c r="Y953">
        <f t="shared" si="154"/>
        <v>0</v>
      </c>
    </row>
    <row r="954" spans="1:25" x14ac:dyDescent="0.2">
      <c r="A954" t="s">
        <v>58</v>
      </c>
      <c r="B954" t="s">
        <v>915</v>
      </c>
      <c r="C954">
        <v>60</v>
      </c>
      <c r="D954" s="2">
        <v>0</v>
      </c>
      <c r="E954">
        <v>0</v>
      </c>
      <c r="F954">
        <v>0</v>
      </c>
      <c r="G954">
        <v>0</v>
      </c>
      <c r="H954">
        <v>0</v>
      </c>
      <c r="I954">
        <v>25</v>
      </c>
      <c r="J954">
        <v>14</v>
      </c>
      <c r="K954">
        <v>0</v>
      </c>
      <c r="L954">
        <v>14</v>
      </c>
      <c r="M954">
        <v>0</v>
      </c>
      <c r="N954">
        <v>74</v>
      </c>
      <c r="O954" s="3">
        <f t="shared" si="156"/>
        <v>0</v>
      </c>
      <c r="P954">
        <f t="shared" si="146"/>
        <v>0</v>
      </c>
      <c r="Q954">
        <f t="shared" si="147"/>
        <v>0</v>
      </c>
      <c r="S954">
        <f t="shared" si="148"/>
        <v>-5.8717391304347828</v>
      </c>
      <c r="T954">
        <f t="shared" si="149"/>
        <v>0</v>
      </c>
      <c r="U954">
        <f t="shared" si="150"/>
        <v>-0.27173913043478259</v>
      </c>
      <c r="V954">
        <f t="shared" si="151"/>
        <v>-5.6000000000000005</v>
      </c>
      <c r="W954">
        <f t="shared" si="152"/>
        <v>0</v>
      </c>
      <c r="X954">
        <f t="shared" si="153"/>
        <v>0</v>
      </c>
      <c r="Y954">
        <f t="shared" si="154"/>
        <v>0</v>
      </c>
    </row>
    <row r="955" spans="1:25" x14ac:dyDescent="0.2">
      <c r="A955" t="s">
        <v>58</v>
      </c>
      <c r="B955" t="s">
        <v>916</v>
      </c>
      <c r="C955">
        <v>0</v>
      </c>
      <c r="D955" s="2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f t="shared" si="146"/>
        <v>0</v>
      </c>
      <c r="Q955">
        <f t="shared" si="147"/>
        <v>0</v>
      </c>
      <c r="S955">
        <f t="shared" si="148"/>
        <v>0</v>
      </c>
      <c r="T955">
        <f t="shared" si="149"/>
        <v>0</v>
      </c>
      <c r="U955">
        <f t="shared" si="150"/>
        <v>0</v>
      </c>
      <c r="V955">
        <f t="shared" si="151"/>
        <v>0</v>
      </c>
      <c r="W955">
        <f t="shared" si="152"/>
        <v>0</v>
      </c>
      <c r="X955">
        <f t="shared" si="153"/>
        <v>0</v>
      </c>
      <c r="Y955">
        <f t="shared" si="154"/>
        <v>0</v>
      </c>
    </row>
    <row r="956" spans="1:25" x14ac:dyDescent="0.2">
      <c r="A956" t="s">
        <v>58</v>
      </c>
      <c r="B956" t="s">
        <v>917</v>
      </c>
      <c r="C956">
        <v>460</v>
      </c>
      <c r="D956" s="2">
        <v>0</v>
      </c>
      <c r="E956">
        <v>0</v>
      </c>
      <c r="F956">
        <v>0</v>
      </c>
      <c r="G956">
        <v>0</v>
      </c>
      <c r="H956">
        <v>0</v>
      </c>
      <c r="I956">
        <v>55</v>
      </c>
      <c r="J956">
        <v>117</v>
      </c>
      <c r="K956">
        <v>0</v>
      </c>
      <c r="L956">
        <v>111</v>
      </c>
      <c r="M956">
        <v>0</v>
      </c>
      <c r="N956">
        <v>571</v>
      </c>
      <c r="O956" s="3">
        <f t="shared" ref="O956:O979" si="157">M956/C956*100</f>
        <v>0</v>
      </c>
      <c r="P956">
        <f t="shared" si="146"/>
        <v>0</v>
      </c>
      <c r="Q956">
        <f t="shared" si="147"/>
        <v>0</v>
      </c>
      <c r="S956">
        <f t="shared" si="148"/>
        <v>-44.997826086956529</v>
      </c>
      <c r="T956">
        <f t="shared" si="149"/>
        <v>0</v>
      </c>
      <c r="U956">
        <f t="shared" si="150"/>
        <v>-0.59782608695652173</v>
      </c>
      <c r="V956">
        <f t="shared" si="151"/>
        <v>-44.400000000000006</v>
      </c>
      <c r="W956">
        <f t="shared" si="152"/>
        <v>0</v>
      </c>
      <c r="X956">
        <f t="shared" si="153"/>
        <v>0</v>
      </c>
      <c r="Y956">
        <f t="shared" si="154"/>
        <v>0</v>
      </c>
    </row>
    <row r="957" spans="1:25" x14ac:dyDescent="0.2">
      <c r="A957" t="s">
        <v>58</v>
      </c>
      <c r="B957" t="s">
        <v>918</v>
      </c>
      <c r="C957">
        <v>380</v>
      </c>
      <c r="D957" s="2">
        <v>0</v>
      </c>
      <c r="E957">
        <v>0</v>
      </c>
      <c r="F957">
        <v>0</v>
      </c>
      <c r="G957">
        <v>0</v>
      </c>
      <c r="H957">
        <v>0</v>
      </c>
      <c r="I957">
        <v>45</v>
      </c>
      <c r="J957">
        <v>98</v>
      </c>
      <c r="K957">
        <v>0</v>
      </c>
      <c r="L957">
        <v>93</v>
      </c>
      <c r="M957">
        <v>0</v>
      </c>
      <c r="N957">
        <v>473</v>
      </c>
      <c r="O957" s="3">
        <f t="shared" si="157"/>
        <v>0</v>
      </c>
      <c r="P957">
        <f t="shared" si="146"/>
        <v>0</v>
      </c>
      <c r="Q957">
        <f t="shared" si="147"/>
        <v>0</v>
      </c>
      <c r="S957">
        <f t="shared" si="148"/>
        <v>-37.689130434782612</v>
      </c>
      <c r="T957">
        <f t="shared" si="149"/>
        <v>0</v>
      </c>
      <c r="U957">
        <f t="shared" si="150"/>
        <v>-0.48913043478260876</v>
      </c>
      <c r="V957">
        <f t="shared" si="151"/>
        <v>-37.200000000000003</v>
      </c>
      <c r="W957">
        <f t="shared" si="152"/>
        <v>0</v>
      </c>
      <c r="X957">
        <f t="shared" si="153"/>
        <v>0</v>
      </c>
      <c r="Y957">
        <f t="shared" si="154"/>
        <v>0</v>
      </c>
    </row>
    <row r="958" spans="1:25" x14ac:dyDescent="0.2">
      <c r="A958" t="s">
        <v>58</v>
      </c>
      <c r="B958" t="s">
        <v>919</v>
      </c>
      <c r="C958">
        <v>230</v>
      </c>
      <c r="D958" s="2">
        <v>0</v>
      </c>
      <c r="E958">
        <v>0</v>
      </c>
      <c r="F958">
        <v>0</v>
      </c>
      <c r="G958">
        <v>0</v>
      </c>
      <c r="H958">
        <v>0</v>
      </c>
      <c r="I958">
        <v>30</v>
      </c>
      <c r="J958">
        <v>59</v>
      </c>
      <c r="K958">
        <v>0</v>
      </c>
      <c r="L958">
        <v>56</v>
      </c>
      <c r="M958">
        <v>0</v>
      </c>
      <c r="N958">
        <v>286</v>
      </c>
      <c r="O958" s="3">
        <f t="shared" si="157"/>
        <v>0</v>
      </c>
      <c r="P958">
        <f t="shared" si="146"/>
        <v>0</v>
      </c>
      <c r="Q958">
        <f t="shared" si="147"/>
        <v>0</v>
      </c>
      <c r="S958">
        <f t="shared" si="148"/>
        <v>-22.72608695652174</v>
      </c>
      <c r="T958">
        <f t="shared" si="149"/>
        <v>0</v>
      </c>
      <c r="U958">
        <f t="shared" si="150"/>
        <v>-0.32608695652173914</v>
      </c>
      <c r="V958">
        <f t="shared" si="151"/>
        <v>-22.400000000000002</v>
      </c>
      <c r="W958">
        <f t="shared" si="152"/>
        <v>0</v>
      </c>
      <c r="X958">
        <f t="shared" si="153"/>
        <v>0</v>
      </c>
      <c r="Y958">
        <f t="shared" si="154"/>
        <v>0</v>
      </c>
    </row>
    <row r="959" spans="1:25" x14ac:dyDescent="0.2">
      <c r="A959" t="s">
        <v>58</v>
      </c>
      <c r="B959" t="s">
        <v>920</v>
      </c>
      <c r="C959">
        <v>15</v>
      </c>
      <c r="D959" s="2">
        <v>0</v>
      </c>
      <c r="E959">
        <v>0</v>
      </c>
      <c r="F959">
        <v>0</v>
      </c>
      <c r="G959">
        <v>0</v>
      </c>
      <c r="H959">
        <v>0</v>
      </c>
      <c r="I959">
        <v>10</v>
      </c>
      <c r="J959">
        <v>2</v>
      </c>
      <c r="K959">
        <v>0</v>
      </c>
      <c r="L959">
        <v>0</v>
      </c>
      <c r="M959">
        <v>0</v>
      </c>
      <c r="N959">
        <v>15</v>
      </c>
      <c r="O959" s="3">
        <f t="shared" si="157"/>
        <v>0</v>
      </c>
      <c r="P959">
        <f t="shared" si="146"/>
        <v>0</v>
      </c>
      <c r="Q959">
        <f t="shared" si="147"/>
        <v>0</v>
      </c>
      <c r="S959">
        <f t="shared" si="148"/>
        <v>-0.10869565217391304</v>
      </c>
      <c r="T959">
        <f t="shared" si="149"/>
        <v>0</v>
      </c>
      <c r="U959">
        <f t="shared" si="150"/>
        <v>-0.10869565217391304</v>
      </c>
      <c r="V959">
        <f t="shared" si="151"/>
        <v>0</v>
      </c>
      <c r="W959">
        <f t="shared" si="152"/>
        <v>0</v>
      </c>
      <c r="X959">
        <f t="shared" si="153"/>
        <v>0</v>
      </c>
      <c r="Y959">
        <f t="shared" si="154"/>
        <v>0</v>
      </c>
    </row>
    <row r="960" spans="1:25" x14ac:dyDescent="0.2">
      <c r="A960" t="s">
        <v>58</v>
      </c>
      <c r="B960" t="s">
        <v>921</v>
      </c>
      <c r="C960">
        <v>10</v>
      </c>
      <c r="D960" s="2">
        <v>0</v>
      </c>
      <c r="E960">
        <v>0</v>
      </c>
      <c r="F960">
        <v>0</v>
      </c>
      <c r="G960">
        <v>0</v>
      </c>
      <c r="H960">
        <v>0</v>
      </c>
      <c r="I960">
        <v>10</v>
      </c>
      <c r="J960">
        <v>1</v>
      </c>
      <c r="K960">
        <v>0</v>
      </c>
      <c r="L960">
        <v>0</v>
      </c>
      <c r="M960">
        <v>0</v>
      </c>
      <c r="N960">
        <v>10</v>
      </c>
      <c r="O960" s="3">
        <f t="shared" si="157"/>
        <v>0</v>
      </c>
      <c r="P960">
        <f t="shared" si="146"/>
        <v>0</v>
      </c>
      <c r="Q960">
        <f t="shared" si="147"/>
        <v>0</v>
      </c>
      <c r="S960">
        <f t="shared" si="148"/>
        <v>-0.10869565217391304</v>
      </c>
      <c r="T960">
        <f t="shared" si="149"/>
        <v>0</v>
      </c>
      <c r="U960">
        <f t="shared" si="150"/>
        <v>-0.10869565217391304</v>
      </c>
      <c r="V960">
        <f t="shared" si="151"/>
        <v>0</v>
      </c>
      <c r="W960">
        <f t="shared" si="152"/>
        <v>0</v>
      </c>
      <c r="X960">
        <f t="shared" si="153"/>
        <v>0</v>
      </c>
      <c r="Y960">
        <f t="shared" si="154"/>
        <v>0</v>
      </c>
    </row>
    <row r="961" spans="1:25" x14ac:dyDescent="0.2">
      <c r="A961" t="s">
        <v>58</v>
      </c>
      <c r="B961" t="s">
        <v>922</v>
      </c>
      <c r="C961">
        <v>5</v>
      </c>
      <c r="D961" s="2">
        <v>0</v>
      </c>
      <c r="E961">
        <v>0</v>
      </c>
      <c r="F961">
        <v>0</v>
      </c>
      <c r="G961">
        <v>0</v>
      </c>
      <c r="H961">
        <v>0</v>
      </c>
      <c r="I961">
        <v>5</v>
      </c>
      <c r="J961">
        <v>1</v>
      </c>
      <c r="K961">
        <v>0</v>
      </c>
      <c r="L961">
        <v>0</v>
      </c>
      <c r="M961">
        <v>0</v>
      </c>
      <c r="N961">
        <v>5</v>
      </c>
      <c r="O961" s="3">
        <f t="shared" si="157"/>
        <v>0</v>
      </c>
      <c r="P961">
        <f t="shared" si="146"/>
        <v>0</v>
      </c>
      <c r="Q961">
        <f t="shared" si="147"/>
        <v>0</v>
      </c>
      <c r="S961">
        <f t="shared" si="148"/>
        <v>-5.434782608695652E-2</v>
      </c>
      <c r="T961">
        <f t="shared" si="149"/>
        <v>0</v>
      </c>
      <c r="U961">
        <f t="shared" si="150"/>
        <v>-5.434782608695652E-2</v>
      </c>
      <c r="V961">
        <f t="shared" si="151"/>
        <v>0</v>
      </c>
      <c r="W961">
        <f t="shared" si="152"/>
        <v>0</v>
      </c>
      <c r="X961">
        <f t="shared" si="153"/>
        <v>0</v>
      </c>
      <c r="Y961">
        <f t="shared" si="154"/>
        <v>0</v>
      </c>
    </row>
    <row r="962" spans="1:25" x14ac:dyDescent="0.2">
      <c r="A962" t="s">
        <v>58</v>
      </c>
      <c r="B962" t="s">
        <v>923</v>
      </c>
      <c r="C962">
        <v>320</v>
      </c>
      <c r="D962" s="2">
        <v>0</v>
      </c>
      <c r="E962">
        <v>0</v>
      </c>
      <c r="F962">
        <v>0</v>
      </c>
      <c r="G962">
        <v>0</v>
      </c>
      <c r="H962">
        <v>0</v>
      </c>
      <c r="I962">
        <v>60</v>
      </c>
      <c r="J962">
        <v>82</v>
      </c>
      <c r="K962">
        <v>0</v>
      </c>
      <c r="L962">
        <v>76</v>
      </c>
      <c r="M962">
        <v>0</v>
      </c>
      <c r="N962">
        <v>396</v>
      </c>
      <c r="O962" s="3">
        <f t="shared" si="157"/>
        <v>0</v>
      </c>
      <c r="P962">
        <f t="shared" si="146"/>
        <v>0</v>
      </c>
      <c r="Q962">
        <f t="shared" si="147"/>
        <v>0</v>
      </c>
      <c r="S962">
        <f t="shared" si="148"/>
        <v>-31.052173913043482</v>
      </c>
      <c r="T962">
        <f t="shared" si="149"/>
        <v>0</v>
      </c>
      <c r="U962">
        <f t="shared" si="150"/>
        <v>-0.65217391304347827</v>
      </c>
      <c r="V962">
        <f t="shared" si="151"/>
        <v>-30.400000000000006</v>
      </c>
      <c r="W962">
        <f t="shared" si="152"/>
        <v>0</v>
      </c>
      <c r="X962">
        <f t="shared" si="153"/>
        <v>0</v>
      </c>
      <c r="Y962">
        <f t="shared" si="154"/>
        <v>0</v>
      </c>
    </row>
    <row r="963" spans="1:25" x14ac:dyDescent="0.2">
      <c r="A963" t="s">
        <v>58</v>
      </c>
      <c r="B963" t="s">
        <v>924</v>
      </c>
      <c r="C963">
        <v>300</v>
      </c>
      <c r="D963" s="2">
        <v>0</v>
      </c>
      <c r="E963">
        <v>0</v>
      </c>
      <c r="F963">
        <v>0</v>
      </c>
      <c r="G963">
        <v>0</v>
      </c>
      <c r="H963">
        <v>0</v>
      </c>
      <c r="I963">
        <v>50</v>
      </c>
      <c r="J963">
        <v>76</v>
      </c>
      <c r="K963">
        <v>0</v>
      </c>
      <c r="L963">
        <v>70</v>
      </c>
      <c r="M963">
        <v>0</v>
      </c>
      <c r="N963">
        <v>370</v>
      </c>
      <c r="O963" s="3">
        <f t="shared" si="157"/>
        <v>0</v>
      </c>
      <c r="P963">
        <f t="shared" si="146"/>
        <v>0</v>
      </c>
      <c r="Q963">
        <f t="shared" si="147"/>
        <v>0</v>
      </c>
      <c r="S963">
        <f t="shared" si="148"/>
        <v>-28.543478260869563</v>
      </c>
      <c r="T963">
        <f t="shared" si="149"/>
        <v>0</v>
      </c>
      <c r="U963">
        <f t="shared" si="150"/>
        <v>-0.54347826086956519</v>
      </c>
      <c r="V963">
        <f t="shared" si="151"/>
        <v>-27.999999999999996</v>
      </c>
      <c r="W963">
        <f t="shared" si="152"/>
        <v>0</v>
      </c>
      <c r="X963">
        <f t="shared" si="153"/>
        <v>0</v>
      </c>
      <c r="Y963">
        <f t="shared" si="154"/>
        <v>0</v>
      </c>
    </row>
    <row r="964" spans="1:25" x14ac:dyDescent="0.2">
      <c r="A964" t="s">
        <v>58</v>
      </c>
      <c r="B964" t="s">
        <v>925</v>
      </c>
      <c r="C964">
        <v>170</v>
      </c>
      <c r="D964" s="2">
        <v>0</v>
      </c>
      <c r="E964">
        <v>0</v>
      </c>
      <c r="F964">
        <v>0</v>
      </c>
      <c r="G964">
        <v>0</v>
      </c>
      <c r="H964">
        <v>0</v>
      </c>
      <c r="I964">
        <v>30</v>
      </c>
      <c r="J964">
        <v>44</v>
      </c>
      <c r="K964">
        <v>0</v>
      </c>
      <c r="L964">
        <v>40</v>
      </c>
      <c r="M964">
        <v>0</v>
      </c>
      <c r="N964">
        <v>210</v>
      </c>
      <c r="O964" s="3">
        <f t="shared" si="157"/>
        <v>0</v>
      </c>
      <c r="P964">
        <f t="shared" ref="P964:P979" si="158">IF(I964&gt;2300*0.2,1,0)</f>
        <v>0</v>
      </c>
      <c r="Q964">
        <f t="shared" ref="Q964:Q979" si="159">IF(H964&gt;300,1,0)</f>
        <v>0</v>
      </c>
      <c r="S964">
        <f t="shared" ref="S964:S1027" si="160">T964+U964+V964+W964+X964+Y964</f>
        <v>-16.326086956521742</v>
      </c>
      <c r="T964">
        <f t="shared" ref="T964:T979" si="161">$T$1*F964</f>
        <v>0</v>
      </c>
      <c r="U964">
        <f t="shared" ref="U964:U979" si="162">($U$1*(I964/2300))*100</f>
        <v>-0.32608695652173914</v>
      </c>
      <c r="V964">
        <f t="shared" ref="V964:V979" si="163">((L964/50)*$V$1)*100</f>
        <v>-16.000000000000004</v>
      </c>
      <c r="W964">
        <f t="shared" ref="W964:W979" si="164">(G964/100)*$W$1</f>
        <v>0</v>
      </c>
      <c r="X964">
        <f t="shared" ref="X964:X979" si="165">($X$1*(M964/50))*100</f>
        <v>0</v>
      </c>
      <c r="Y964">
        <f t="shared" ref="Y964:Y979" si="166">($Y$1*(K964/28))*100</f>
        <v>0</v>
      </c>
    </row>
    <row r="965" spans="1:25" x14ac:dyDescent="0.2">
      <c r="A965" t="s">
        <v>58</v>
      </c>
      <c r="B965" t="s">
        <v>926</v>
      </c>
      <c r="C965">
        <v>200</v>
      </c>
      <c r="D965" s="2">
        <v>0</v>
      </c>
      <c r="E965">
        <v>0</v>
      </c>
      <c r="F965">
        <v>0</v>
      </c>
      <c r="G965">
        <v>0</v>
      </c>
      <c r="H965">
        <v>0</v>
      </c>
      <c r="I965">
        <v>90</v>
      </c>
      <c r="J965">
        <v>53</v>
      </c>
      <c r="K965">
        <v>0</v>
      </c>
      <c r="L965">
        <v>53</v>
      </c>
      <c r="M965">
        <v>0</v>
      </c>
      <c r="N965">
        <v>253</v>
      </c>
      <c r="O965" s="3">
        <f t="shared" si="157"/>
        <v>0</v>
      </c>
      <c r="P965">
        <f t="shared" si="158"/>
        <v>0</v>
      </c>
      <c r="Q965">
        <f t="shared" si="159"/>
        <v>0</v>
      </c>
      <c r="S965">
        <f t="shared" si="160"/>
        <v>-22.178260869565221</v>
      </c>
      <c r="T965">
        <f t="shared" si="161"/>
        <v>0</v>
      </c>
      <c r="U965">
        <f t="shared" si="162"/>
        <v>-0.97826086956521752</v>
      </c>
      <c r="V965">
        <f t="shared" si="163"/>
        <v>-21.200000000000003</v>
      </c>
      <c r="W965">
        <f t="shared" si="164"/>
        <v>0</v>
      </c>
      <c r="X965">
        <f t="shared" si="165"/>
        <v>0</v>
      </c>
      <c r="Y965">
        <f t="shared" si="166"/>
        <v>0</v>
      </c>
    </row>
    <row r="966" spans="1:25" x14ac:dyDescent="0.2">
      <c r="A966" t="s">
        <v>58</v>
      </c>
      <c r="B966" t="s">
        <v>927</v>
      </c>
      <c r="C966">
        <v>390</v>
      </c>
      <c r="D966" s="2">
        <v>0</v>
      </c>
      <c r="E966">
        <v>0</v>
      </c>
      <c r="F966">
        <v>0</v>
      </c>
      <c r="G966">
        <v>0</v>
      </c>
      <c r="H966">
        <v>0</v>
      </c>
      <c r="I966">
        <v>180</v>
      </c>
      <c r="J966">
        <v>105</v>
      </c>
      <c r="K966">
        <v>0</v>
      </c>
      <c r="L966">
        <v>105</v>
      </c>
      <c r="M966">
        <v>0</v>
      </c>
      <c r="N966">
        <v>495</v>
      </c>
      <c r="O966" s="3">
        <f t="shared" si="157"/>
        <v>0</v>
      </c>
      <c r="P966">
        <f t="shared" si="158"/>
        <v>0</v>
      </c>
      <c r="Q966">
        <f t="shared" si="159"/>
        <v>0</v>
      </c>
      <c r="S966">
        <f t="shared" si="160"/>
        <v>-43.956521739130444</v>
      </c>
      <c r="T966">
        <f t="shared" si="161"/>
        <v>0</v>
      </c>
      <c r="U966">
        <f t="shared" si="162"/>
        <v>-1.956521739130435</v>
      </c>
      <c r="V966">
        <f t="shared" si="163"/>
        <v>-42.000000000000007</v>
      </c>
      <c r="W966">
        <f t="shared" si="164"/>
        <v>0</v>
      </c>
      <c r="X966">
        <f t="shared" si="165"/>
        <v>0</v>
      </c>
      <c r="Y966">
        <f t="shared" si="166"/>
        <v>0</v>
      </c>
    </row>
    <row r="967" spans="1:25" x14ac:dyDescent="0.2">
      <c r="A967" t="s">
        <v>58</v>
      </c>
      <c r="B967" t="s">
        <v>928</v>
      </c>
      <c r="C967">
        <v>310</v>
      </c>
      <c r="D967" s="2">
        <v>0</v>
      </c>
      <c r="E967">
        <v>0</v>
      </c>
      <c r="F967">
        <v>0</v>
      </c>
      <c r="G967">
        <v>0</v>
      </c>
      <c r="H967">
        <v>0</v>
      </c>
      <c r="I967">
        <v>140</v>
      </c>
      <c r="J967">
        <v>84</v>
      </c>
      <c r="K967">
        <v>0</v>
      </c>
      <c r="L967">
        <v>84</v>
      </c>
      <c r="M967">
        <v>0</v>
      </c>
      <c r="N967">
        <v>394</v>
      </c>
      <c r="O967" s="3">
        <f t="shared" si="157"/>
        <v>0</v>
      </c>
      <c r="P967">
        <f t="shared" si="158"/>
        <v>0</v>
      </c>
      <c r="Q967">
        <f t="shared" si="159"/>
        <v>0</v>
      </c>
      <c r="S967">
        <f t="shared" si="160"/>
        <v>-35.121739130434783</v>
      </c>
      <c r="T967">
        <f t="shared" si="161"/>
        <v>0</v>
      </c>
      <c r="U967">
        <f t="shared" si="162"/>
        <v>-1.5217391304347827</v>
      </c>
      <c r="V967">
        <f t="shared" si="163"/>
        <v>-33.6</v>
      </c>
      <c r="W967">
        <f t="shared" si="164"/>
        <v>0</v>
      </c>
      <c r="X967">
        <f t="shared" si="165"/>
        <v>0</v>
      </c>
      <c r="Y967">
        <f t="shared" si="166"/>
        <v>0</v>
      </c>
    </row>
    <row r="968" spans="1:25" x14ac:dyDescent="0.2">
      <c r="A968" t="s">
        <v>58</v>
      </c>
      <c r="B968" t="s">
        <v>929</v>
      </c>
      <c r="C968">
        <v>480</v>
      </c>
      <c r="D968" s="2">
        <v>0</v>
      </c>
      <c r="E968">
        <v>0</v>
      </c>
      <c r="F968">
        <v>0</v>
      </c>
      <c r="G968">
        <v>0</v>
      </c>
      <c r="H968">
        <v>0</v>
      </c>
      <c r="I968">
        <v>55</v>
      </c>
      <c r="J968">
        <v>121</v>
      </c>
      <c r="K968">
        <v>0</v>
      </c>
      <c r="L968">
        <v>114</v>
      </c>
      <c r="M968">
        <v>0</v>
      </c>
      <c r="N968">
        <v>594</v>
      </c>
      <c r="O968" s="3">
        <f t="shared" si="157"/>
        <v>0</v>
      </c>
      <c r="P968">
        <f t="shared" si="158"/>
        <v>0</v>
      </c>
      <c r="Q968">
        <f t="shared" si="159"/>
        <v>0</v>
      </c>
      <c r="S968">
        <f t="shared" si="160"/>
        <v>-46.197826086956518</v>
      </c>
      <c r="T968">
        <f t="shared" si="161"/>
        <v>0</v>
      </c>
      <c r="U968">
        <f t="shared" si="162"/>
        <v>-0.59782608695652173</v>
      </c>
      <c r="V968">
        <f t="shared" si="163"/>
        <v>-45.599999999999994</v>
      </c>
      <c r="W968">
        <f t="shared" si="164"/>
        <v>0</v>
      </c>
      <c r="X968">
        <f t="shared" si="165"/>
        <v>0</v>
      </c>
      <c r="Y968">
        <f t="shared" si="166"/>
        <v>0</v>
      </c>
    </row>
    <row r="969" spans="1:25" x14ac:dyDescent="0.2">
      <c r="A969" t="s">
        <v>58</v>
      </c>
      <c r="B969" t="s">
        <v>930</v>
      </c>
      <c r="C969">
        <v>380</v>
      </c>
      <c r="D969" s="2">
        <v>0</v>
      </c>
      <c r="E969">
        <v>0</v>
      </c>
      <c r="F969">
        <v>0</v>
      </c>
      <c r="G969">
        <v>0</v>
      </c>
      <c r="H969">
        <v>0</v>
      </c>
      <c r="I969">
        <v>45</v>
      </c>
      <c r="J969">
        <v>98</v>
      </c>
      <c r="K969">
        <v>0</v>
      </c>
      <c r="L969">
        <v>92</v>
      </c>
      <c r="M969">
        <v>0</v>
      </c>
      <c r="N969">
        <v>472</v>
      </c>
      <c r="O969" s="3">
        <f t="shared" si="157"/>
        <v>0</v>
      </c>
      <c r="P969">
        <f t="shared" si="158"/>
        <v>0</v>
      </c>
      <c r="Q969">
        <f t="shared" si="159"/>
        <v>0</v>
      </c>
      <c r="S969">
        <f t="shared" si="160"/>
        <v>-37.289130434782614</v>
      </c>
      <c r="T969">
        <f t="shared" si="161"/>
        <v>0</v>
      </c>
      <c r="U969">
        <f t="shared" si="162"/>
        <v>-0.48913043478260876</v>
      </c>
      <c r="V969">
        <f t="shared" si="163"/>
        <v>-36.800000000000004</v>
      </c>
      <c r="W969">
        <f t="shared" si="164"/>
        <v>0</v>
      </c>
      <c r="X969">
        <f t="shared" si="165"/>
        <v>0</v>
      </c>
      <c r="Y969">
        <f t="shared" si="166"/>
        <v>0</v>
      </c>
    </row>
    <row r="970" spans="1:25" x14ac:dyDescent="0.2">
      <c r="A970" t="s">
        <v>58</v>
      </c>
      <c r="B970" t="s">
        <v>931</v>
      </c>
      <c r="C970">
        <v>230</v>
      </c>
      <c r="D970" s="2">
        <v>0</v>
      </c>
      <c r="E970">
        <v>0</v>
      </c>
      <c r="F970">
        <v>0</v>
      </c>
      <c r="G970">
        <v>0</v>
      </c>
      <c r="H970">
        <v>0</v>
      </c>
      <c r="I970">
        <v>30</v>
      </c>
      <c r="J970">
        <v>58</v>
      </c>
      <c r="K970">
        <v>0</v>
      </c>
      <c r="L970">
        <v>54</v>
      </c>
      <c r="M970">
        <v>0</v>
      </c>
      <c r="N970">
        <v>284</v>
      </c>
      <c r="O970" s="3">
        <f t="shared" si="157"/>
        <v>0</v>
      </c>
      <c r="P970">
        <f t="shared" si="158"/>
        <v>0</v>
      </c>
      <c r="Q970">
        <f t="shared" si="159"/>
        <v>0</v>
      </c>
      <c r="S970">
        <f t="shared" si="160"/>
        <v>-21.92608695652174</v>
      </c>
      <c r="T970">
        <f t="shared" si="161"/>
        <v>0</v>
      </c>
      <c r="U970">
        <f t="shared" si="162"/>
        <v>-0.32608695652173914</v>
      </c>
      <c r="V970">
        <f t="shared" si="163"/>
        <v>-21.6</v>
      </c>
      <c r="W970">
        <f t="shared" si="164"/>
        <v>0</v>
      </c>
      <c r="X970">
        <f t="shared" si="165"/>
        <v>0</v>
      </c>
      <c r="Y970">
        <f t="shared" si="166"/>
        <v>0</v>
      </c>
    </row>
    <row r="971" spans="1:25" x14ac:dyDescent="0.2">
      <c r="A971" t="s">
        <v>58</v>
      </c>
      <c r="B971" t="s">
        <v>932</v>
      </c>
      <c r="C971">
        <v>270</v>
      </c>
      <c r="D971" s="2">
        <v>0</v>
      </c>
      <c r="E971">
        <v>0</v>
      </c>
      <c r="F971">
        <v>0</v>
      </c>
      <c r="G971">
        <v>0</v>
      </c>
      <c r="H971">
        <v>0</v>
      </c>
      <c r="I971">
        <v>15</v>
      </c>
      <c r="J971">
        <v>69</v>
      </c>
      <c r="K971">
        <v>0</v>
      </c>
      <c r="L971">
        <v>67</v>
      </c>
      <c r="M971">
        <v>0</v>
      </c>
      <c r="N971">
        <v>337</v>
      </c>
      <c r="O971" s="3">
        <f t="shared" si="157"/>
        <v>0</v>
      </c>
      <c r="P971">
        <f t="shared" si="158"/>
        <v>0</v>
      </c>
      <c r="Q971">
        <f t="shared" si="159"/>
        <v>0</v>
      </c>
      <c r="S971">
        <f t="shared" si="160"/>
        <v>-26.963043478260872</v>
      </c>
      <c r="T971">
        <f t="shared" si="161"/>
        <v>0</v>
      </c>
      <c r="U971">
        <f t="shared" si="162"/>
        <v>-0.16304347826086957</v>
      </c>
      <c r="V971">
        <f t="shared" si="163"/>
        <v>-26.8</v>
      </c>
      <c r="W971">
        <f t="shared" si="164"/>
        <v>0</v>
      </c>
      <c r="X971">
        <f t="shared" si="165"/>
        <v>0</v>
      </c>
      <c r="Y971">
        <f t="shared" si="166"/>
        <v>0</v>
      </c>
    </row>
    <row r="972" spans="1:25" x14ac:dyDescent="0.2">
      <c r="A972" t="s">
        <v>58</v>
      </c>
      <c r="B972" t="s">
        <v>933</v>
      </c>
      <c r="C972">
        <v>240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15</v>
      </c>
      <c r="J972">
        <v>60</v>
      </c>
      <c r="K972">
        <v>0</v>
      </c>
      <c r="L972">
        <v>59</v>
      </c>
      <c r="M972">
        <v>0</v>
      </c>
      <c r="N972">
        <v>299</v>
      </c>
      <c r="O972" s="3">
        <f t="shared" si="157"/>
        <v>0</v>
      </c>
      <c r="P972">
        <f t="shared" si="158"/>
        <v>0</v>
      </c>
      <c r="Q972">
        <f t="shared" si="159"/>
        <v>0</v>
      </c>
      <c r="S972">
        <f t="shared" si="160"/>
        <v>-23.763043478260869</v>
      </c>
      <c r="T972">
        <f t="shared" si="161"/>
        <v>0</v>
      </c>
      <c r="U972">
        <f t="shared" si="162"/>
        <v>-0.16304347826086957</v>
      </c>
      <c r="V972">
        <f t="shared" si="163"/>
        <v>-23.599999999999998</v>
      </c>
      <c r="W972">
        <f t="shared" si="164"/>
        <v>0</v>
      </c>
      <c r="X972">
        <f t="shared" si="165"/>
        <v>0</v>
      </c>
      <c r="Y972">
        <f t="shared" si="166"/>
        <v>0</v>
      </c>
    </row>
    <row r="973" spans="1:25" x14ac:dyDescent="0.2">
      <c r="A973" t="s">
        <v>58</v>
      </c>
      <c r="B973" t="s">
        <v>934</v>
      </c>
      <c r="C973">
        <v>140</v>
      </c>
      <c r="D973" s="2">
        <v>0</v>
      </c>
      <c r="E973">
        <v>0</v>
      </c>
      <c r="F973">
        <v>0</v>
      </c>
      <c r="G973">
        <v>0</v>
      </c>
      <c r="H973">
        <v>0</v>
      </c>
      <c r="I973">
        <v>10</v>
      </c>
      <c r="J973">
        <v>36</v>
      </c>
      <c r="K973">
        <v>0</v>
      </c>
      <c r="L973">
        <v>35</v>
      </c>
      <c r="M973">
        <v>0</v>
      </c>
      <c r="N973">
        <v>175</v>
      </c>
      <c r="O973" s="3">
        <f t="shared" si="157"/>
        <v>0</v>
      </c>
      <c r="P973">
        <f t="shared" si="158"/>
        <v>0</v>
      </c>
      <c r="Q973">
        <f t="shared" si="159"/>
        <v>0</v>
      </c>
      <c r="S973">
        <f t="shared" si="160"/>
        <v>-14.10869565217391</v>
      </c>
      <c r="T973">
        <f t="shared" si="161"/>
        <v>0</v>
      </c>
      <c r="U973">
        <f t="shared" si="162"/>
        <v>-0.10869565217391304</v>
      </c>
      <c r="V973">
        <f t="shared" si="163"/>
        <v>-13.999999999999998</v>
      </c>
      <c r="W973">
        <f t="shared" si="164"/>
        <v>0</v>
      </c>
      <c r="X973">
        <f t="shared" si="165"/>
        <v>0</v>
      </c>
      <c r="Y973">
        <f t="shared" si="166"/>
        <v>0</v>
      </c>
    </row>
    <row r="974" spans="1:25" x14ac:dyDescent="0.2">
      <c r="A974" t="s">
        <v>58</v>
      </c>
      <c r="B974" t="s">
        <v>935</v>
      </c>
      <c r="C974">
        <v>90</v>
      </c>
      <c r="D974" s="2">
        <v>0</v>
      </c>
      <c r="E974">
        <v>0</v>
      </c>
      <c r="F974">
        <v>0</v>
      </c>
      <c r="G974">
        <v>0</v>
      </c>
      <c r="H974">
        <v>0</v>
      </c>
      <c r="I974">
        <v>20</v>
      </c>
      <c r="J974">
        <v>22</v>
      </c>
      <c r="K974">
        <v>0</v>
      </c>
      <c r="L974">
        <v>20</v>
      </c>
      <c r="M974">
        <v>0</v>
      </c>
      <c r="N974">
        <v>110</v>
      </c>
      <c r="O974" s="3">
        <f t="shared" si="157"/>
        <v>0</v>
      </c>
      <c r="P974">
        <f t="shared" si="158"/>
        <v>0</v>
      </c>
      <c r="Q974">
        <f t="shared" si="159"/>
        <v>0</v>
      </c>
      <c r="S974">
        <f t="shared" si="160"/>
        <v>-8.2173913043478279</v>
      </c>
      <c r="T974">
        <f t="shared" si="161"/>
        <v>0</v>
      </c>
      <c r="U974">
        <f t="shared" si="162"/>
        <v>-0.21739130434782608</v>
      </c>
      <c r="V974">
        <f t="shared" si="163"/>
        <v>-8.0000000000000018</v>
      </c>
      <c r="W974">
        <f t="shared" si="164"/>
        <v>0</v>
      </c>
      <c r="X974">
        <f t="shared" si="165"/>
        <v>0</v>
      </c>
      <c r="Y974">
        <f t="shared" si="166"/>
        <v>0</v>
      </c>
    </row>
    <row r="975" spans="1:25" x14ac:dyDescent="0.2">
      <c r="A975" t="s">
        <v>58</v>
      </c>
      <c r="B975" t="s">
        <v>936</v>
      </c>
      <c r="C975">
        <v>60</v>
      </c>
      <c r="D975" s="2">
        <v>0</v>
      </c>
      <c r="E975">
        <v>0</v>
      </c>
      <c r="F975">
        <v>0</v>
      </c>
      <c r="G975">
        <v>0</v>
      </c>
      <c r="H975">
        <v>0</v>
      </c>
      <c r="I975">
        <v>15</v>
      </c>
      <c r="J975">
        <v>16</v>
      </c>
      <c r="K975">
        <v>0</v>
      </c>
      <c r="L975">
        <v>14</v>
      </c>
      <c r="M975">
        <v>0</v>
      </c>
      <c r="N975">
        <v>74</v>
      </c>
      <c r="O975" s="3">
        <f t="shared" si="157"/>
        <v>0</v>
      </c>
      <c r="P975">
        <f t="shared" si="158"/>
        <v>0</v>
      </c>
      <c r="Q975">
        <f t="shared" si="159"/>
        <v>0</v>
      </c>
      <c r="S975">
        <f t="shared" si="160"/>
        <v>-5.7630434782608697</v>
      </c>
      <c r="T975">
        <f t="shared" si="161"/>
        <v>0</v>
      </c>
      <c r="U975">
        <f t="shared" si="162"/>
        <v>-0.16304347826086957</v>
      </c>
      <c r="V975">
        <f t="shared" si="163"/>
        <v>-5.6000000000000005</v>
      </c>
      <c r="W975">
        <f t="shared" si="164"/>
        <v>0</v>
      </c>
      <c r="X975">
        <f t="shared" si="165"/>
        <v>0</v>
      </c>
      <c r="Y975">
        <f t="shared" si="166"/>
        <v>0</v>
      </c>
    </row>
    <row r="976" spans="1:25" x14ac:dyDescent="0.2">
      <c r="A976" t="s">
        <v>58</v>
      </c>
      <c r="B976" t="s">
        <v>937</v>
      </c>
      <c r="C976">
        <v>45</v>
      </c>
      <c r="D976" s="2">
        <v>0</v>
      </c>
      <c r="E976">
        <v>0</v>
      </c>
      <c r="F976">
        <v>0</v>
      </c>
      <c r="G976">
        <v>0</v>
      </c>
      <c r="H976">
        <v>0</v>
      </c>
      <c r="I976">
        <v>10</v>
      </c>
      <c r="J976">
        <v>11</v>
      </c>
      <c r="K976">
        <v>0</v>
      </c>
      <c r="L976">
        <v>10</v>
      </c>
      <c r="M976">
        <v>0</v>
      </c>
      <c r="N976">
        <v>55</v>
      </c>
      <c r="O976" s="3">
        <f t="shared" si="157"/>
        <v>0</v>
      </c>
      <c r="P976">
        <f t="shared" si="158"/>
        <v>0</v>
      </c>
      <c r="Q976">
        <f t="shared" si="159"/>
        <v>0</v>
      </c>
      <c r="S976">
        <f t="shared" si="160"/>
        <v>-4.108695652173914</v>
      </c>
      <c r="T976">
        <f t="shared" si="161"/>
        <v>0</v>
      </c>
      <c r="U976">
        <f t="shared" si="162"/>
        <v>-0.10869565217391304</v>
      </c>
      <c r="V976">
        <f t="shared" si="163"/>
        <v>-4.0000000000000009</v>
      </c>
      <c r="W976">
        <f t="shared" si="164"/>
        <v>0</v>
      </c>
      <c r="X976">
        <f t="shared" si="165"/>
        <v>0</v>
      </c>
      <c r="Y976">
        <f t="shared" si="166"/>
        <v>0</v>
      </c>
    </row>
    <row r="977" spans="1:25" x14ac:dyDescent="0.2">
      <c r="A977" t="s">
        <v>58</v>
      </c>
      <c r="B977" t="s">
        <v>938</v>
      </c>
      <c r="C977">
        <v>300</v>
      </c>
      <c r="D977" s="2">
        <v>0</v>
      </c>
      <c r="E977">
        <v>0</v>
      </c>
      <c r="F977">
        <v>0</v>
      </c>
      <c r="G977">
        <v>0</v>
      </c>
      <c r="H977">
        <v>0</v>
      </c>
      <c r="I977">
        <v>25</v>
      </c>
      <c r="J977">
        <v>77</v>
      </c>
      <c r="K977">
        <v>0</v>
      </c>
      <c r="L977">
        <v>75</v>
      </c>
      <c r="M977">
        <v>0</v>
      </c>
      <c r="N977">
        <v>375</v>
      </c>
      <c r="O977" s="3">
        <f t="shared" si="157"/>
        <v>0</v>
      </c>
      <c r="P977">
        <f t="shared" si="158"/>
        <v>0</v>
      </c>
      <c r="Q977">
        <f t="shared" si="159"/>
        <v>0</v>
      </c>
      <c r="S977">
        <f t="shared" si="160"/>
        <v>-30.271739130434785</v>
      </c>
      <c r="T977">
        <f t="shared" si="161"/>
        <v>0</v>
      </c>
      <c r="U977">
        <f t="shared" si="162"/>
        <v>-0.27173913043478259</v>
      </c>
      <c r="V977">
        <f t="shared" si="163"/>
        <v>-30.000000000000004</v>
      </c>
      <c r="W977">
        <f t="shared" si="164"/>
        <v>0</v>
      </c>
      <c r="X977">
        <f t="shared" si="165"/>
        <v>0</v>
      </c>
      <c r="Y977">
        <f t="shared" si="166"/>
        <v>0</v>
      </c>
    </row>
    <row r="978" spans="1:25" x14ac:dyDescent="0.2">
      <c r="A978" t="s">
        <v>58</v>
      </c>
      <c r="B978" t="s">
        <v>939</v>
      </c>
      <c r="C978">
        <v>220</v>
      </c>
      <c r="D978" s="2">
        <v>0</v>
      </c>
      <c r="E978">
        <v>0</v>
      </c>
      <c r="F978">
        <v>0</v>
      </c>
      <c r="G978">
        <v>0</v>
      </c>
      <c r="H978">
        <v>0</v>
      </c>
      <c r="I978">
        <v>20</v>
      </c>
      <c r="J978">
        <v>58</v>
      </c>
      <c r="K978">
        <v>0</v>
      </c>
      <c r="L978">
        <v>56</v>
      </c>
      <c r="M978">
        <v>0</v>
      </c>
      <c r="N978">
        <v>276</v>
      </c>
      <c r="O978" s="3">
        <f t="shared" si="157"/>
        <v>0</v>
      </c>
      <c r="P978">
        <f t="shared" si="158"/>
        <v>0</v>
      </c>
      <c r="Q978">
        <f t="shared" si="159"/>
        <v>0</v>
      </c>
      <c r="S978">
        <f t="shared" si="160"/>
        <v>-22.617391304347827</v>
      </c>
      <c r="T978">
        <f t="shared" si="161"/>
        <v>0</v>
      </c>
      <c r="U978">
        <f t="shared" si="162"/>
        <v>-0.21739130434782608</v>
      </c>
      <c r="V978">
        <f t="shared" si="163"/>
        <v>-22.400000000000002</v>
      </c>
      <c r="W978">
        <f t="shared" si="164"/>
        <v>0</v>
      </c>
      <c r="X978">
        <f t="shared" si="165"/>
        <v>0</v>
      </c>
      <c r="Y978">
        <f t="shared" si="166"/>
        <v>0</v>
      </c>
    </row>
    <row r="979" spans="1:25" x14ac:dyDescent="0.2">
      <c r="A979" t="s">
        <v>58</v>
      </c>
      <c r="B979" t="s">
        <v>940</v>
      </c>
      <c r="C979">
        <v>160</v>
      </c>
      <c r="D979" s="2">
        <v>0</v>
      </c>
      <c r="E979">
        <v>0</v>
      </c>
      <c r="F979">
        <v>0</v>
      </c>
      <c r="G979">
        <v>0</v>
      </c>
      <c r="H979">
        <v>0</v>
      </c>
      <c r="I979">
        <v>10</v>
      </c>
      <c r="J979">
        <v>41</v>
      </c>
      <c r="K979">
        <v>0</v>
      </c>
      <c r="L979">
        <v>40</v>
      </c>
      <c r="M979">
        <v>0</v>
      </c>
      <c r="N979">
        <v>200</v>
      </c>
      <c r="O979" s="3">
        <f t="shared" si="157"/>
        <v>0</v>
      </c>
      <c r="P979">
        <f t="shared" si="158"/>
        <v>0</v>
      </c>
      <c r="Q979">
        <f t="shared" si="159"/>
        <v>0</v>
      </c>
      <c r="S979">
        <f t="shared" si="160"/>
        <v>-16.108695652173918</v>
      </c>
      <c r="T979">
        <f t="shared" si="161"/>
        <v>0</v>
      </c>
      <c r="U979">
        <f t="shared" si="162"/>
        <v>-0.10869565217391304</v>
      </c>
      <c r="V979">
        <f t="shared" si="163"/>
        <v>-16.000000000000004</v>
      </c>
      <c r="W979">
        <f t="shared" si="164"/>
        <v>0</v>
      </c>
      <c r="X979">
        <f t="shared" si="165"/>
        <v>0</v>
      </c>
      <c r="Y979">
        <f t="shared" si="166"/>
        <v>0</v>
      </c>
    </row>
  </sheetData>
  <autoFilter ref="S3:Y3" xr:uid="{C22FDA47-13B9-4E9D-8309-75196964EF1A}">
    <sortState xmlns:xlrd2="http://schemas.microsoft.com/office/spreadsheetml/2017/richdata2" ref="S4:Y979">
      <sortCondition descending="1" ref="S3"/>
    </sortState>
  </autoFilter>
  <sortState xmlns:xlrd2="http://schemas.microsoft.com/office/spreadsheetml/2017/richdata2" ref="S4:Y979">
    <sortCondition descending="1" ref="S4:S97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C004-5105-4BE0-9A46-4D21664D8BC8}">
  <dimension ref="B2:AA982"/>
  <sheetViews>
    <sheetView workbookViewId="0">
      <selection activeCell="C165" sqref="C165"/>
    </sheetView>
  </sheetViews>
  <sheetFormatPr baseColWidth="10" defaultColWidth="8.83203125" defaultRowHeight="16" x14ac:dyDescent="0.2"/>
  <cols>
    <col min="4" max="4" width="59.6640625" bestFit="1" customWidth="1"/>
  </cols>
  <sheetData>
    <row r="2" spans="2:27" x14ac:dyDescent="0.2">
      <c r="B2" s="8" t="s">
        <v>1134</v>
      </c>
    </row>
    <row r="3" spans="2:27" x14ac:dyDescent="0.2">
      <c r="B3" s="9" t="s">
        <v>1135</v>
      </c>
    </row>
    <row r="4" spans="2:27" x14ac:dyDescent="0.2">
      <c r="B4" s="9"/>
    </row>
    <row r="6" spans="2:27" ht="68" x14ac:dyDescent="0.2">
      <c r="C6" t="s">
        <v>0</v>
      </c>
      <c r="D6" t="s">
        <v>1</v>
      </c>
      <c r="E6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t="s">
        <v>14</v>
      </c>
      <c r="R6" t="s">
        <v>1123</v>
      </c>
      <c r="S6" t="s">
        <v>1124</v>
      </c>
      <c r="T6" t="s">
        <v>1136</v>
      </c>
      <c r="U6" t="s">
        <v>1137</v>
      </c>
      <c r="V6" t="s">
        <v>1126</v>
      </c>
      <c r="W6" t="s">
        <v>1127</v>
      </c>
      <c r="X6" t="s">
        <v>1128</v>
      </c>
      <c r="Y6" t="s">
        <v>1129</v>
      </c>
      <c r="Z6" t="s">
        <v>1130</v>
      </c>
      <c r="AA6" t="s">
        <v>1131</v>
      </c>
    </row>
    <row r="7" spans="2:27" x14ac:dyDescent="0.2">
      <c r="C7" t="s">
        <v>51</v>
      </c>
      <c r="D7" t="s">
        <v>52</v>
      </c>
      <c r="E7">
        <v>90</v>
      </c>
      <c r="F7">
        <v>0</v>
      </c>
      <c r="G7">
        <v>0</v>
      </c>
      <c r="H7">
        <v>0</v>
      </c>
      <c r="I7">
        <v>0</v>
      </c>
      <c r="J7">
        <v>5</v>
      </c>
      <c r="K7">
        <v>125</v>
      </c>
      <c r="L7">
        <v>13</v>
      </c>
      <c r="M7">
        <v>0</v>
      </c>
      <c r="N7">
        <v>12</v>
      </c>
      <c r="O7">
        <v>9</v>
      </c>
      <c r="P7">
        <v>93</v>
      </c>
      <c r="Q7" s="3">
        <v>10</v>
      </c>
      <c r="R7">
        <v>0</v>
      </c>
      <c r="S7">
        <v>0</v>
      </c>
      <c r="U7">
        <v>-4.3586956521739104</v>
      </c>
      <c r="V7">
        <v>0</v>
      </c>
      <c r="W7">
        <v>-1.35869565217391</v>
      </c>
      <c r="X7">
        <v>-4.8</v>
      </c>
      <c r="Y7">
        <v>0</v>
      </c>
      <c r="Z7">
        <v>1.8</v>
      </c>
      <c r="AA7">
        <v>0</v>
      </c>
    </row>
    <row r="8" spans="2:27" x14ac:dyDescent="0.2">
      <c r="C8" t="s">
        <v>51</v>
      </c>
      <c r="D8" t="s">
        <v>99</v>
      </c>
      <c r="E8">
        <v>60</v>
      </c>
      <c r="F8">
        <v>35</v>
      </c>
      <c r="G8">
        <v>4</v>
      </c>
      <c r="H8">
        <v>2.5</v>
      </c>
      <c r="I8">
        <v>0</v>
      </c>
      <c r="J8">
        <v>10</v>
      </c>
      <c r="K8">
        <v>95</v>
      </c>
      <c r="L8">
        <v>3</v>
      </c>
      <c r="M8">
        <v>1</v>
      </c>
      <c r="N8">
        <v>2</v>
      </c>
      <c r="O8">
        <v>4</v>
      </c>
      <c r="P8">
        <v>61</v>
      </c>
      <c r="Q8" s="3">
        <v>6.6666666666666696</v>
      </c>
      <c r="R8">
        <v>0</v>
      </c>
      <c r="S8">
        <v>0</v>
      </c>
      <c r="U8">
        <v>-1.30046583850932</v>
      </c>
      <c r="V8">
        <v>-0.625</v>
      </c>
      <c r="W8">
        <v>-1.0326086956521701</v>
      </c>
      <c r="X8">
        <v>-0.8</v>
      </c>
      <c r="Y8">
        <v>0</v>
      </c>
      <c r="Z8">
        <v>0.8</v>
      </c>
      <c r="AA8">
        <v>0.35714285714285698</v>
      </c>
    </row>
    <row r="9" spans="2:27" x14ac:dyDescent="0.2">
      <c r="C9" t="s">
        <v>51</v>
      </c>
      <c r="D9" t="s">
        <v>110</v>
      </c>
      <c r="E9">
        <v>900</v>
      </c>
      <c r="F9">
        <v>480</v>
      </c>
      <c r="G9">
        <v>54</v>
      </c>
      <c r="H9">
        <v>25</v>
      </c>
      <c r="I9">
        <v>3</v>
      </c>
      <c r="J9">
        <v>210</v>
      </c>
      <c r="K9">
        <v>1740</v>
      </c>
      <c r="L9">
        <v>50</v>
      </c>
      <c r="M9">
        <v>2</v>
      </c>
      <c r="N9">
        <v>11</v>
      </c>
      <c r="O9">
        <v>56</v>
      </c>
      <c r="P9">
        <v>880</v>
      </c>
      <c r="Q9" s="3">
        <v>6.2222222222222197</v>
      </c>
      <c r="R9">
        <v>1</v>
      </c>
      <c r="S9">
        <v>0</v>
      </c>
      <c r="U9">
        <v>-17.651757763975102</v>
      </c>
      <c r="V9">
        <v>-6.25</v>
      </c>
      <c r="W9">
        <v>-18.913043478260899</v>
      </c>
      <c r="X9">
        <v>-4.4000000000000004</v>
      </c>
      <c r="Y9">
        <v>-3.0000000000000001E-3</v>
      </c>
      <c r="Z9">
        <v>11.2</v>
      </c>
      <c r="AA9">
        <v>0.71428571428571397</v>
      </c>
    </row>
    <row r="10" spans="2:27" x14ac:dyDescent="0.2">
      <c r="C10" t="s">
        <v>51</v>
      </c>
      <c r="D10" t="s">
        <v>117</v>
      </c>
      <c r="E10">
        <v>350</v>
      </c>
      <c r="F10">
        <v>160</v>
      </c>
      <c r="G10">
        <v>18</v>
      </c>
      <c r="H10">
        <v>7</v>
      </c>
      <c r="I10">
        <v>1</v>
      </c>
      <c r="J10">
        <v>70</v>
      </c>
      <c r="K10">
        <v>410</v>
      </c>
      <c r="L10">
        <v>26</v>
      </c>
      <c r="M10">
        <v>1</v>
      </c>
      <c r="N10">
        <v>6</v>
      </c>
      <c r="O10">
        <v>21</v>
      </c>
      <c r="P10">
        <v>342</v>
      </c>
      <c r="Q10" s="3">
        <v>6</v>
      </c>
      <c r="R10">
        <v>0</v>
      </c>
      <c r="S10">
        <v>0</v>
      </c>
      <c r="U10">
        <v>-4.0503788819875801</v>
      </c>
      <c r="V10">
        <v>-1.75</v>
      </c>
      <c r="W10">
        <v>-4.4565217391304301</v>
      </c>
      <c r="X10">
        <v>-2.4</v>
      </c>
      <c r="Y10">
        <v>-1E-3</v>
      </c>
      <c r="Z10">
        <v>4.2</v>
      </c>
      <c r="AA10">
        <v>0.35714285714285698</v>
      </c>
    </row>
    <row r="11" spans="2:27" x14ac:dyDescent="0.2">
      <c r="C11" t="s">
        <v>51</v>
      </c>
      <c r="D11" t="s">
        <v>118</v>
      </c>
      <c r="E11">
        <v>420</v>
      </c>
      <c r="F11">
        <v>210</v>
      </c>
      <c r="G11">
        <v>24</v>
      </c>
      <c r="H11">
        <v>10</v>
      </c>
      <c r="I11">
        <v>1.5</v>
      </c>
      <c r="J11">
        <v>90</v>
      </c>
      <c r="K11">
        <v>740</v>
      </c>
      <c r="L11">
        <v>27</v>
      </c>
      <c r="M11">
        <v>1</v>
      </c>
      <c r="N11">
        <v>7</v>
      </c>
      <c r="O11">
        <v>25</v>
      </c>
      <c r="P11">
        <v>412</v>
      </c>
      <c r="Q11" s="3">
        <v>5.9523809523809499</v>
      </c>
      <c r="R11">
        <v>1</v>
      </c>
      <c r="S11">
        <v>0</v>
      </c>
      <c r="U11">
        <v>-7.9878354037267103</v>
      </c>
      <c r="V11">
        <v>-2.5</v>
      </c>
      <c r="W11">
        <v>-8.0434782608695592</v>
      </c>
      <c r="X11">
        <v>-2.8</v>
      </c>
      <c r="Y11">
        <v>-1.5E-3</v>
      </c>
      <c r="Z11">
        <v>5</v>
      </c>
      <c r="AA11">
        <v>0.35714285714285698</v>
      </c>
    </row>
    <row r="12" spans="2:27" x14ac:dyDescent="0.2">
      <c r="C12" t="s">
        <v>51</v>
      </c>
      <c r="D12" t="s">
        <v>119</v>
      </c>
      <c r="E12">
        <v>1130</v>
      </c>
      <c r="F12">
        <v>680</v>
      </c>
      <c r="G12">
        <v>75</v>
      </c>
      <c r="H12">
        <v>28</v>
      </c>
      <c r="I12">
        <v>4</v>
      </c>
      <c r="J12">
        <v>255</v>
      </c>
      <c r="K12">
        <v>1120</v>
      </c>
      <c r="L12">
        <v>49</v>
      </c>
      <c r="M12">
        <v>2</v>
      </c>
      <c r="N12">
        <v>11</v>
      </c>
      <c r="O12">
        <v>67</v>
      </c>
      <c r="P12">
        <v>1102</v>
      </c>
      <c r="Q12" s="3">
        <v>5.9292035398230096</v>
      </c>
      <c r="R12">
        <v>1</v>
      </c>
      <c r="S12">
        <v>0</v>
      </c>
      <c r="U12">
        <v>-9.4636273291925495</v>
      </c>
      <c r="V12">
        <v>-7</v>
      </c>
      <c r="W12">
        <v>-12.173913043478301</v>
      </c>
      <c r="X12">
        <v>-4.4000000000000004</v>
      </c>
      <c r="Y12">
        <v>-4.0000000000000001E-3</v>
      </c>
      <c r="Z12">
        <v>13.4</v>
      </c>
      <c r="AA12">
        <v>0.71428571428571397</v>
      </c>
    </row>
    <row r="13" spans="2:27" x14ac:dyDescent="0.2">
      <c r="C13" t="s">
        <v>51</v>
      </c>
      <c r="D13" t="s">
        <v>120</v>
      </c>
      <c r="E13">
        <v>390</v>
      </c>
      <c r="F13">
        <v>190</v>
      </c>
      <c r="G13">
        <v>21</v>
      </c>
      <c r="H13">
        <v>9</v>
      </c>
      <c r="I13">
        <v>1.5</v>
      </c>
      <c r="J13">
        <v>85</v>
      </c>
      <c r="K13">
        <v>590</v>
      </c>
      <c r="L13">
        <v>27</v>
      </c>
      <c r="M13">
        <v>1</v>
      </c>
      <c r="N13">
        <v>7</v>
      </c>
      <c r="O13">
        <v>23</v>
      </c>
      <c r="P13">
        <v>383</v>
      </c>
      <c r="Q13" s="3">
        <v>5.8974358974358996</v>
      </c>
      <c r="R13">
        <v>1</v>
      </c>
      <c r="S13">
        <v>0</v>
      </c>
      <c r="U13">
        <v>-6.50740062111801</v>
      </c>
      <c r="V13">
        <v>-2.25</v>
      </c>
      <c r="W13">
        <v>-6.4130434782608701</v>
      </c>
      <c r="X13">
        <v>-2.8</v>
      </c>
      <c r="Y13">
        <v>-1.5E-3</v>
      </c>
      <c r="Z13">
        <v>4.5999999999999996</v>
      </c>
      <c r="AA13">
        <v>0.35714285714285698</v>
      </c>
    </row>
    <row r="14" spans="2:27" x14ac:dyDescent="0.2">
      <c r="C14" t="s">
        <v>51</v>
      </c>
      <c r="D14" t="s">
        <v>126</v>
      </c>
      <c r="E14">
        <v>1220</v>
      </c>
      <c r="F14">
        <v>740</v>
      </c>
      <c r="G14">
        <v>82</v>
      </c>
      <c r="H14">
        <v>32</v>
      </c>
      <c r="I14">
        <v>4.5</v>
      </c>
      <c r="J14">
        <v>280</v>
      </c>
      <c r="K14">
        <v>1470</v>
      </c>
      <c r="L14">
        <v>50</v>
      </c>
      <c r="M14">
        <v>2</v>
      </c>
      <c r="N14">
        <v>11</v>
      </c>
      <c r="O14">
        <v>71</v>
      </c>
      <c r="P14">
        <v>1192</v>
      </c>
      <c r="Q14" s="3">
        <v>5.8196721311475397</v>
      </c>
      <c r="R14">
        <v>1</v>
      </c>
      <c r="S14">
        <v>0</v>
      </c>
      <c r="U14">
        <v>-13.468475155279499</v>
      </c>
      <c r="V14">
        <v>-8</v>
      </c>
      <c r="W14">
        <v>-15.978260869565201</v>
      </c>
      <c r="X14">
        <v>-4.4000000000000004</v>
      </c>
      <c r="Y14">
        <v>-4.4999999999999997E-3</v>
      </c>
      <c r="Z14">
        <v>14.2</v>
      </c>
      <c r="AA14">
        <v>0.71428571428571397</v>
      </c>
    </row>
    <row r="15" spans="2:27" x14ac:dyDescent="0.2">
      <c r="C15" t="s">
        <v>51</v>
      </c>
      <c r="D15" t="s">
        <v>127</v>
      </c>
      <c r="E15">
        <v>1050</v>
      </c>
      <c r="F15">
        <v>610</v>
      </c>
      <c r="G15">
        <v>68</v>
      </c>
      <c r="H15">
        <v>28</v>
      </c>
      <c r="I15">
        <v>3.5</v>
      </c>
      <c r="J15">
        <v>235</v>
      </c>
      <c r="K15">
        <v>1870</v>
      </c>
      <c r="L15">
        <v>49</v>
      </c>
      <c r="M15">
        <v>1</v>
      </c>
      <c r="N15">
        <v>11</v>
      </c>
      <c r="O15">
        <v>61</v>
      </c>
      <c r="P15">
        <v>1028</v>
      </c>
      <c r="Q15" s="3">
        <v>5.8095238095238102</v>
      </c>
      <c r="R15">
        <v>1</v>
      </c>
      <c r="S15">
        <v>0</v>
      </c>
      <c r="U15">
        <v>-19.1724440993789</v>
      </c>
      <c r="V15">
        <v>-7</v>
      </c>
      <c r="W15">
        <v>-20.326086956521699</v>
      </c>
      <c r="X15">
        <v>-4.4000000000000004</v>
      </c>
      <c r="Y15">
        <v>-3.5000000000000001E-3</v>
      </c>
      <c r="Z15">
        <v>12.2</v>
      </c>
      <c r="AA15">
        <v>0.35714285714285698</v>
      </c>
    </row>
    <row r="16" spans="2:27" x14ac:dyDescent="0.2">
      <c r="C16" t="s">
        <v>51</v>
      </c>
      <c r="D16" t="s">
        <v>132</v>
      </c>
      <c r="E16">
        <v>540</v>
      </c>
      <c r="F16">
        <v>300</v>
      </c>
      <c r="G16">
        <v>33</v>
      </c>
      <c r="H16">
        <v>10</v>
      </c>
      <c r="I16">
        <v>0</v>
      </c>
      <c r="J16">
        <v>95</v>
      </c>
      <c r="K16">
        <v>1380</v>
      </c>
      <c r="L16">
        <v>31</v>
      </c>
      <c r="M16">
        <v>3</v>
      </c>
      <c r="N16">
        <v>5</v>
      </c>
      <c r="O16">
        <v>31</v>
      </c>
      <c r="P16">
        <v>524</v>
      </c>
      <c r="Q16" s="3">
        <v>5.7407407407407396</v>
      </c>
      <c r="R16">
        <v>1</v>
      </c>
      <c r="S16">
        <v>0</v>
      </c>
      <c r="U16">
        <v>-12.228571428571399</v>
      </c>
      <c r="V16">
        <v>-2.5</v>
      </c>
      <c r="W16">
        <v>-15</v>
      </c>
      <c r="X16">
        <v>-2</v>
      </c>
      <c r="Y16">
        <v>0</v>
      </c>
      <c r="Z16">
        <v>6.2</v>
      </c>
      <c r="AA16">
        <v>1.0714285714285701</v>
      </c>
    </row>
    <row r="17" spans="3:27" x14ac:dyDescent="0.2">
      <c r="C17" t="s">
        <v>51</v>
      </c>
      <c r="D17" t="s">
        <v>139</v>
      </c>
      <c r="E17">
        <v>440</v>
      </c>
      <c r="F17">
        <v>220</v>
      </c>
      <c r="G17">
        <v>25</v>
      </c>
      <c r="H17">
        <v>7</v>
      </c>
      <c r="I17">
        <v>0</v>
      </c>
      <c r="J17">
        <v>75</v>
      </c>
      <c r="K17">
        <v>930</v>
      </c>
      <c r="L17">
        <v>31</v>
      </c>
      <c r="M17">
        <v>3</v>
      </c>
      <c r="N17">
        <v>4</v>
      </c>
      <c r="O17">
        <v>25</v>
      </c>
      <c r="P17">
        <v>426</v>
      </c>
      <c r="Q17" s="3">
        <v>5.6818181818181799</v>
      </c>
      <c r="R17">
        <v>1</v>
      </c>
      <c r="S17">
        <v>0</v>
      </c>
      <c r="U17">
        <v>-7.3872670807453398</v>
      </c>
      <c r="V17">
        <v>-1.75</v>
      </c>
      <c r="W17">
        <v>-10.1086956521739</v>
      </c>
      <c r="X17">
        <v>-1.6</v>
      </c>
      <c r="Y17">
        <v>0</v>
      </c>
      <c r="Z17">
        <v>5</v>
      </c>
      <c r="AA17">
        <v>1.0714285714285701</v>
      </c>
    </row>
    <row r="18" spans="3:27" x14ac:dyDescent="0.2">
      <c r="C18" t="s">
        <v>51</v>
      </c>
      <c r="D18" t="s">
        <v>151</v>
      </c>
      <c r="E18">
        <v>580</v>
      </c>
      <c r="F18">
        <v>260</v>
      </c>
      <c r="G18">
        <v>29</v>
      </c>
      <c r="H18">
        <v>13</v>
      </c>
      <c r="I18">
        <v>1.5</v>
      </c>
      <c r="J18">
        <v>105</v>
      </c>
      <c r="K18">
        <v>1310</v>
      </c>
      <c r="L18">
        <v>49</v>
      </c>
      <c r="M18">
        <v>2</v>
      </c>
      <c r="N18">
        <v>10</v>
      </c>
      <c r="O18">
        <v>32</v>
      </c>
      <c r="P18">
        <v>571</v>
      </c>
      <c r="Q18" s="3">
        <v>5.5172413793103496</v>
      </c>
      <c r="R18">
        <v>1</v>
      </c>
      <c r="S18">
        <v>0</v>
      </c>
      <c r="U18">
        <v>-14.376344720496901</v>
      </c>
      <c r="V18">
        <v>-3.25</v>
      </c>
      <c r="W18">
        <v>-14.2391304347826</v>
      </c>
      <c r="X18">
        <v>-4</v>
      </c>
      <c r="Y18">
        <v>-1.5E-3</v>
      </c>
      <c r="Z18">
        <v>6.4</v>
      </c>
      <c r="AA18">
        <v>0.71428571428571397</v>
      </c>
    </row>
    <row r="19" spans="3:27" x14ac:dyDescent="0.2">
      <c r="C19" t="s">
        <v>51</v>
      </c>
      <c r="D19" t="s">
        <v>154</v>
      </c>
      <c r="E19">
        <v>240</v>
      </c>
      <c r="F19">
        <v>90</v>
      </c>
      <c r="G19">
        <v>10</v>
      </c>
      <c r="H19">
        <v>3.5</v>
      </c>
      <c r="I19">
        <v>0.5</v>
      </c>
      <c r="J19">
        <v>35</v>
      </c>
      <c r="K19">
        <v>380</v>
      </c>
      <c r="L19">
        <v>26</v>
      </c>
      <c r="M19">
        <v>1</v>
      </c>
      <c r="N19">
        <v>6</v>
      </c>
      <c r="O19">
        <v>13</v>
      </c>
      <c r="P19">
        <v>237</v>
      </c>
      <c r="Q19" s="3">
        <v>5.4166666666666696</v>
      </c>
      <c r="R19">
        <v>0</v>
      </c>
      <c r="S19">
        <v>0</v>
      </c>
      <c r="U19">
        <v>-4.4487919254658399</v>
      </c>
      <c r="V19">
        <v>-0.875</v>
      </c>
      <c r="W19">
        <v>-4.1304347826086998</v>
      </c>
      <c r="X19">
        <v>-2.4</v>
      </c>
      <c r="Y19">
        <v>-5.0000000000000001E-4</v>
      </c>
      <c r="Z19">
        <v>2.6</v>
      </c>
      <c r="AA19">
        <v>0.35714285714285698</v>
      </c>
    </row>
    <row r="20" spans="3:27" x14ac:dyDescent="0.2">
      <c r="C20" t="s">
        <v>51</v>
      </c>
      <c r="D20" t="s">
        <v>161</v>
      </c>
      <c r="E20">
        <v>1190</v>
      </c>
      <c r="F20">
        <v>750</v>
      </c>
      <c r="G20">
        <v>84</v>
      </c>
      <c r="H20">
        <v>33</v>
      </c>
      <c r="I20">
        <v>3.5</v>
      </c>
      <c r="J20">
        <v>235</v>
      </c>
      <c r="K20">
        <v>1930</v>
      </c>
      <c r="L20">
        <v>50</v>
      </c>
      <c r="M20">
        <v>2</v>
      </c>
      <c r="N20">
        <v>11</v>
      </c>
      <c r="O20">
        <v>64</v>
      </c>
      <c r="P20">
        <v>1170</v>
      </c>
      <c r="Q20" s="3">
        <v>5.3781512605042003</v>
      </c>
      <c r="R20">
        <v>1</v>
      </c>
      <c r="S20">
        <v>0</v>
      </c>
      <c r="U20">
        <v>-20.1174751552795</v>
      </c>
      <c r="V20">
        <v>-8.25</v>
      </c>
      <c r="W20">
        <v>-20.978260869565201</v>
      </c>
      <c r="X20">
        <v>-4.4000000000000004</v>
      </c>
      <c r="Y20">
        <v>-3.5000000000000001E-3</v>
      </c>
      <c r="Z20">
        <v>12.8</v>
      </c>
      <c r="AA20">
        <v>0.71428571428571397</v>
      </c>
    </row>
    <row r="21" spans="3:27" x14ac:dyDescent="0.2">
      <c r="C21" t="s">
        <v>51</v>
      </c>
      <c r="D21" t="s">
        <v>162</v>
      </c>
      <c r="E21">
        <v>280</v>
      </c>
      <c r="F21">
        <v>120</v>
      </c>
      <c r="G21">
        <v>13</v>
      </c>
      <c r="H21">
        <v>6</v>
      </c>
      <c r="I21">
        <v>0.5</v>
      </c>
      <c r="J21">
        <v>45</v>
      </c>
      <c r="K21">
        <v>560</v>
      </c>
      <c r="L21">
        <v>27</v>
      </c>
      <c r="M21">
        <v>1</v>
      </c>
      <c r="N21">
        <v>7</v>
      </c>
      <c r="O21">
        <v>15</v>
      </c>
      <c r="P21">
        <v>278</v>
      </c>
      <c r="Q21" s="3">
        <v>5.3571428571428603</v>
      </c>
      <c r="R21">
        <v>1</v>
      </c>
      <c r="S21">
        <v>0</v>
      </c>
      <c r="U21">
        <v>-7.0303136645962798</v>
      </c>
      <c r="V21">
        <v>-1.5</v>
      </c>
      <c r="W21">
        <v>-6.0869565217391299</v>
      </c>
      <c r="X21">
        <v>-2.8</v>
      </c>
      <c r="Y21">
        <v>-5.0000000000000001E-4</v>
      </c>
      <c r="Z21">
        <v>3</v>
      </c>
      <c r="AA21">
        <v>0.35714285714285698</v>
      </c>
    </row>
    <row r="22" spans="3:27" x14ac:dyDescent="0.2">
      <c r="C22" t="s">
        <v>51</v>
      </c>
      <c r="D22" t="s">
        <v>168</v>
      </c>
      <c r="E22">
        <v>900</v>
      </c>
      <c r="F22">
        <v>520</v>
      </c>
      <c r="G22">
        <v>58</v>
      </c>
      <c r="H22">
        <v>20</v>
      </c>
      <c r="I22">
        <v>3</v>
      </c>
      <c r="J22">
        <v>175</v>
      </c>
      <c r="K22">
        <v>1050</v>
      </c>
      <c r="L22">
        <v>49</v>
      </c>
      <c r="M22">
        <v>2</v>
      </c>
      <c r="N22">
        <v>11</v>
      </c>
      <c r="O22">
        <v>48</v>
      </c>
      <c r="P22">
        <v>883</v>
      </c>
      <c r="Q22" s="3">
        <v>5.3333333333333304</v>
      </c>
      <c r="R22">
        <v>1</v>
      </c>
      <c r="S22">
        <v>0</v>
      </c>
      <c r="U22">
        <v>-10.501757763975201</v>
      </c>
      <c r="V22">
        <v>-5</v>
      </c>
      <c r="W22">
        <v>-11.413043478260899</v>
      </c>
      <c r="X22">
        <v>-4.4000000000000004</v>
      </c>
      <c r="Y22">
        <v>-3.0000000000000001E-3</v>
      </c>
      <c r="Z22">
        <v>9.6</v>
      </c>
      <c r="AA22">
        <v>0.71428571428571397</v>
      </c>
    </row>
    <row r="23" spans="3:27" x14ac:dyDescent="0.2">
      <c r="C23" t="s">
        <v>51</v>
      </c>
      <c r="D23" t="s">
        <v>170</v>
      </c>
      <c r="E23">
        <v>320</v>
      </c>
      <c r="F23">
        <v>140</v>
      </c>
      <c r="G23">
        <v>16</v>
      </c>
      <c r="H23">
        <v>7</v>
      </c>
      <c r="I23">
        <v>0.5</v>
      </c>
      <c r="J23">
        <v>55</v>
      </c>
      <c r="K23">
        <v>710</v>
      </c>
      <c r="L23">
        <v>27</v>
      </c>
      <c r="M23">
        <v>1</v>
      </c>
      <c r="N23">
        <v>7</v>
      </c>
      <c r="O23">
        <v>17</v>
      </c>
      <c r="P23">
        <v>317</v>
      </c>
      <c r="Q23" s="3">
        <v>5.3125</v>
      </c>
      <c r="R23">
        <v>1</v>
      </c>
      <c r="S23">
        <v>0</v>
      </c>
      <c r="U23">
        <v>-8.5107484472049695</v>
      </c>
      <c r="V23">
        <v>-1.75</v>
      </c>
      <c r="W23">
        <v>-7.7173913043478297</v>
      </c>
      <c r="X23">
        <v>-2.8</v>
      </c>
      <c r="Y23">
        <v>-5.0000000000000001E-4</v>
      </c>
      <c r="Z23">
        <v>3.4</v>
      </c>
      <c r="AA23">
        <v>0.35714285714285698</v>
      </c>
    </row>
    <row r="24" spans="3:27" x14ac:dyDescent="0.2">
      <c r="C24" t="s">
        <v>51</v>
      </c>
      <c r="D24" t="s">
        <v>171</v>
      </c>
      <c r="E24">
        <v>980</v>
      </c>
      <c r="F24">
        <v>580</v>
      </c>
      <c r="G24">
        <v>64</v>
      </c>
      <c r="H24">
        <v>24</v>
      </c>
      <c r="I24">
        <v>3</v>
      </c>
      <c r="J24">
        <v>195</v>
      </c>
      <c r="K24">
        <v>1410</v>
      </c>
      <c r="L24">
        <v>50</v>
      </c>
      <c r="M24">
        <v>2</v>
      </c>
      <c r="N24">
        <v>11</v>
      </c>
      <c r="O24">
        <v>52</v>
      </c>
      <c r="P24">
        <v>963</v>
      </c>
      <c r="Q24" s="3">
        <v>5.3061224489795897</v>
      </c>
      <c r="R24">
        <v>1</v>
      </c>
      <c r="S24">
        <v>0</v>
      </c>
      <c r="U24">
        <v>-14.614801242236</v>
      </c>
      <c r="V24">
        <v>-6</v>
      </c>
      <c r="W24">
        <v>-15.326086956521699</v>
      </c>
      <c r="X24">
        <v>-4.4000000000000004</v>
      </c>
      <c r="Y24">
        <v>-3.0000000000000001E-3</v>
      </c>
      <c r="Z24">
        <v>10.4</v>
      </c>
      <c r="AA24">
        <v>0.71428571428571397</v>
      </c>
    </row>
    <row r="25" spans="3:27" x14ac:dyDescent="0.2">
      <c r="C25" t="s">
        <v>51</v>
      </c>
      <c r="D25" t="s">
        <v>172</v>
      </c>
      <c r="E25">
        <v>1150</v>
      </c>
      <c r="F25">
        <v>710</v>
      </c>
      <c r="G25">
        <v>79</v>
      </c>
      <c r="H25">
        <v>31</v>
      </c>
      <c r="I25">
        <v>3.5</v>
      </c>
      <c r="J25">
        <v>240</v>
      </c>
      <c r="K25">
        <v>2150</v>
      </c>
      <c r="L25">
        <v>49</v>
      </c>
      <c r="M25">
        <v>2</v>
      </c>
      <c r="N25">
        <v>10</v>
      </c>
      <c r="O25">
        <v>61</v>
      </c>
      <c r="P25">
        <v>1130</v>
      </c>
      <c r="Q25" s="3">
        <v>5.3043478260869596</v>
      </c>
      <c r="R25">
        <v>1</v>
      </c>
      <c r="S25">
        <v>0</v>
      </c>
      <c r="U25">
        <v>-22.2087795031056</v>
      </c>
      <c r="V25">
        <v>-7.75</v>
      </c>
      <c r="W25">
        <v>-23.369565217391301</v>
      </c>
      <c r="X25">
        <v>-4</v>
      </c>
      <c r="Y25">
        <v>-3.5000000000000001E-3</v>
      </c>
      <c r="Z25">
        <v>12.2</v>
      </c>
      <c r="AA25">
        <v>0.71428571428571397</v>
      </c>
    </row>
    <row r="26" spans="3:27" x14ac:dyDescent="0.2">
      <c r="C26" t="s">
        <v>51</v>
      </c>
      <c r="D26" t="s">
        <v>205</v>
      </c>
      <c r="E26">
        <v>700</v>
      </c>
      <c r="F26">
        <v>380</v>
      </c>
      <c r="G26">
        <v>42</v>
      </c>
      <c r="H26">
        <v>16</v>
      </c>
      <c r="I26">
        <v>2</v>
      </c>
      <c r="J26">
        <v>125</v>
      </c>
      <c r="K26">
        <v>1360</v>
      </c>
      <c r="L26">
        <v>48</v>
      </c>
      <c r="M26">
        <v>1</v>
      </c>
      <c r="N26">
        <v>10</v>
      </c>
      <c r="O26">
        <v>35</v>
      </c>
      <c r="P26">
        <v>691</v>
      </c>
      <c r="Q26" s="3">
        <v>5</v>
      </c>
      <c r="R26">
        <v>1</v>
      </c>
      <c r="S26">
        <v>0</v>
      </c>
      <c r="U26">
        <v>-15.427465838509301</v>
      </c>
      <c r="V26">
        <v>-4</v>
      </c>
      <c r="W26">
        <v>-14.7826086956522</v>
      </c>
      <c r="X26">
        <v>-4</v>
      </c>
      <c r="Y26">
        <v>-2E-3</v>
      </c>
      <c r="Z26">
        <v>7</v>
      </c>
      <c r="AA26">
        <v>0.35714285714285698</v>
      </c>
    </row>
    <row r="27" spans="3:27" x14ac:dyDescent="0.2">
      <c r="C27" t="s">
        <v>51</v>
      </c>
      <c r="D27" t="s">
        <v>206</v>
      </c>
      <c r="E27">
        <v>160</v>
      </c>
      <c r="F27">
        <v>25</v>
      </c>
      <c r="G27">
        <v>2.5</v>
      </c>
      <c r="H27">
        <v>1.5</v>
      </c>
      <c r="I27">
        <v>0</v>
      </c>
      <c r="J27">
        <v>15</v>
      </c>
      <c r="K27">
        <v>150</v>
      </c>
      <c r="L27">
        <v>26</v>
      </c>
      <c r="M27">
        <v>0</v>
      </c>
      <c r="N27">
        <v>25</v>
      </c>
      <c r="O27">
        <v>8</v>
      </c>
      <c r="P27">
        <v>179</v>
      </c>
      <c r="Q27" s="3">
        <v>5</v>
      </c>
      <c r="R27">
        <v>0</v>
      </c>
      <c r="S27">
        <v>0</v>
      </c>
      <c r="U27">
        <v>-10.405434782608699</v>
      </c>
      <c r="V27">
        <v>-0.375</v>
      </c>
      <c r="W27">
        <v>-1.6304347826087</v>
      </c>
      <c r="X27">
        <v>-10</v>
      </c>
      <c r="Y27">
        <v>0</v>
      </c>
      <c r="Z27">
        <v>1.6</v>
      </c>
      <c r="AA27">
        <v>0</v>
      </c>
    </row>
    <row r="28" spans="3:27" x14ac:dyDescent="0.2">
      <c r="C28" t="s">
        <v>51</v>
      </c>
      <c r="D28" t="s">
        <v>207</v>
      </c>
      <c r="E28">
        <v>40</v>
      </c>
      <c r="F28">
        <v>30</v>
      </c>
      <c r="G28">
        <v>3.5</v>
      </c>
      <c r="H28">
        <v>2</v>
      </c>
      <c r="I28">
        <v>0</v>
      </c>
      <c r="J28">
        <v>10</v>
      </c>
      <c r="K28">
        <v>180</v>
      </c>
      <c r="L28">
        <v>1</v>
      </c>
      <c r="M28">
        <v>0</v>
      </c>
      <c r="N28">
        <v>0</v>
      </c>
      <c r="O28">
        <v>2</v>
      </c>
      <c r="P28">
        <v>40</v>
      </c>
      <c r="Q28" s="3">
        <v>5</v>
      </c>
      <c r="R28">
        <v>0</v>
      </c>
      <c r="S28">
        <v>0</v>
      </c>
      <c r="U28">
        <v>-2.05652173913044</v>
      </c>
      <c r="V28">
        <v>-0.5</v>
      </c>
      <c r="W28">
        <v>-1.9565217391304399</v>
      </c>
      <c r="X28">
        <v>0</v>
      </c>
      <c r="Y28">
        <v>0</v>
      </c>
      <c r="Z28">
        <v>0.4</v>
      </c>
      <c r="AA28">
        <v>0</v>
      </c>
    </row>
    <row r="29" spans="3:27" x14ac:dyDescent="0.2">
      <c r="C29" t="s">
        <v>51</v>
      </c>
      <c r="D29" t="s">
        <v>241</v>
      </c>
      <c r="E29">
        <v>170</v>
      </c>
      <c r="F29">
        <v>100</v>
      </c>
      <c r="G29">
        <v>11</v>
      </c>
      <c r="H29">
        <v>1.5</v>
      </c>
      <c r="I29">
        <v>0</v>
      </c>
      <c r="J29">
        <v>25</v>
      </c>
      <c r="K29">
        <v>310</v>
      </c>
      <c r="L29">
        <v>11</v>
      </c>
      <c r="M29">
        <v>1</v>
      </c>
      <c r="N29">
        <v>0</v>
      </c>
      <c r="O29">
        <v>8</v>
      </c>
      <c r="P29">
        <v>164</v>
      </c>
      <c r="Q29" s="3">
        <v>4.7058823529411802</v>
      </c>
      <c r="R29">
        <v>0</v>
      </c>
      <c r="S29">
        <v>0</v>
      </c>
      <c r="U29">
        <v>-1.78742236024845</v>
      </c>
      <c r="V29">
        <v>-0.375</v>
      </c>
      <c r="W29">
        <v>-3.3695652173913002</v>
      </c>
      <c r="X29">
        <v>0</v>
      </c>
      <c r="Y29">
        <v>0</v>
      </c>
      <c r="Z29">
        <v>1.6</v>
      </c>
      <c r="AA29">
        <v>0.35714285714285698</v>
      </c>
    </row>
    <row r="30" spans="3:27" x14ac:dyDescent="0.2">
      <c r="C30" t="s">
        <v>51</v>
      </c>
      <c r="D30" t="s">
        <v>257</v>
      </c>
      <c r="E30">
        <v>580</v>
      </c>
      <c r="F30">
        <v>340</v>
      </c>
      <c r="G30">
        <v>38</v>
      </c>
      <c r="H30">
        <v>16</v>
      </c>
      <c r="I30">
        <v>0.5</v>
      </c>
      <c r="J30">
        <v>220</v>
      </c>
      <c r="K30">
        <v>1530</v>
      </c>
      <c r="L30">
        <v>31</v>
      </c>
      <c r="M30">
        <v>1</v>
      </c>
      <c r="N30">
        <v>5</v>
      </c>
      <c r="O30">
        <v>27</v>
      </c>
      <c r="P30">
        <v>574</v>
      </c>
      <c r="Q30" s="3">
        <v>4.6551724137930997</v>
      </c>
      <c r="R30">
        <v>1</v>
      </c>
      <c r="S30">
        <v>0</v>
      </c>
      <c r="U30">
        <v>-16.873791925465799</v>
      </c>
      <c r="V30">
        <v>-4</v>
      </c>
      <c r="W30">
        <v>-16.630434782608699</v>
      </c>
      <c r="X30">
        <v>-2</v>
      </c>
      <c r="Y30">
        <v>-5.0000000000000001E-4</v>
      </c>
      <c r="Z30">
        <v>5.4</v>
      </c>
      <c r="AA30">
        <v>0.35714285714285698</v>
      </c>
    </row>
    <row r="31" spans="3:27" x14ac:dyDescent="0.2">
      <c r="C31" t="s">
        <v>51</v>
      </c>
      <c r="D31" t="s">
        <v>258</v>
      </c>
      <c r="E31">
        <v>430</v>
      </c>
      <c r="F31">
        <v>240</v>
      </c>
      <c r="G31">
        <v>27</v>
      </c>
      <c r="H31">
        <v>4.5</v>
      </c>
      <c r="I31">
        <v>0</v>
      </c>
      <c r="J31">
        <v>55</v>
      </c>
      <c r="K31">
        <v>780</v>
      </c>
      <c r="L31">
        <v>27</v>
      </c>
      <c r="M31">
        <v>2</v>
      </c>
      <c r="N31">
        <v>0</v>
      </c>
      <c r="O31">
        <v>20</v>
      </c>
      <c r="P31">
        <v>415</v>
      </c>
      <c r="Q31" s="3">
        <v>4.6511627906976702</v>
      </c>
      <c r="R31">
        <v>1</v>
      </c>
      <c r="S31">
        <v>0</v>
      </c>
      <c r="U31">
        <v>-4.8889751552794998</v>
      </c>
      <c r="V31">
        <v>-1.125</v>
      </c>
      <c r="W31">
        <v>-8.4782608695652204</v>
      </c>
      <c r="X31">
        <v>0</v>
      </c>
      <c r="Y31">
        <v>0</v>
      </c>
      <c r="Z31">
        <v>4</v>
      </c>
      <c r="AA31">
        <v>0.71428571428571397</v>
      </c>
    </row>
    <row r="32" spans="3:27" x14ac:dyDescent="0.2">
      <c r="C32" t="s">
        <v>51</v>
      </c>
      <c r="D32" t="s">
        <v>260</v>
      </c>
      <c r="E32">
        <v>280</v>
      </c>
      <c r="F32">
        <v>150</v>
      </c>
      <c r="G32">
        <v>17</v>
      </c>
      <c r="H32">
        <v>2.5</v>
      </c>
      <c r="I32">
        <v>0</v>
      </c>
      <c r="J32">
        <v>35</v>
      </c>
      <c r="K32">
        <v>850</v>
      </c>
      <c r="L32">
        <v>20</v>
      </c>
      <c r="M32">
        <v>1</v>
      </c>
      <c r="N32">
        <v>1</v>
      </c>
      <c r="O32">
        <v>13</v>
      </c>
      <c r="P32">
        <v>271</v>
      </c>
      <c r="Q32" s="3">
        <v>4.6428571428571397</v>
      </c>
      <c r="R32">
        <v>1</v>
      </c>
      <c r="S32">
        <v>0</v>
      </c>
      <c r="U32">
        <v>-7.3069875776397497</v>
      </c>
      <c r="V32">
        <v>-0.625</v>
      </c>
      <c r="W32">
        <v>-9.2391304347826093</v>
      </c>
      <c r="X32">
        <v>-0.4</v>
      </c>
      <c r="Y32">
        <v>0</v>
      </c>
      <c r="Z32">
        <v>2.6</v>
      </c>
      <c r="AA32">
        <v>0.35714285714285698</v>
      </c>
    </row>
    <row r="33" spans="3:27" x14ac:dyDescent="0.2">
      <c r="C33" t="s">
        <v>51</v>
      </c>
      <c r="D33" t="s">
        <v>265</v>
      </c>
      <c r="E33">
        <v>260</v>
      </c>
      <c r="F33">
        <v>150</v>
      </c>
      <c r="G33">
        <v>16</v>
      </c>
      <c r="H33">
        <v>2.5</v>
      </c>
      <c r="I33">
        <v>0</v>
      </c>
      <c r="J33">
        <v>35</v>
      </c>
      <c r="K33">
        <v>470</v>
      </c>
      <c r="L33">
        <v>16</v>
      </c>
      <c r="M33">
        <v>1</v>
      </c>
      <c r="N33">
        <v>0</v>
      </c>
      <c r="O33">
        <v>12</v>
      </c>
      <c r="P33">
        <v>251</v>
      </c>
      <c r="Q33" s="3">
        <v>4.6153846153846203</v>
      </c>
      <c r="R33">
        <v>1</v>
      </c>
      <c r="S33">
        <v>0</v>
      </c>
      <c r="U33">
        <v>-2.97655279503106</v>
      </c>
      <c r="V33">
        <v>-0.625</v>
      </c>
      <c r="W33">
        <v>-5.1086956521739104</v>
      </c>
      <c r="X33">
        <v>0</v>
      </c>
      <c r="Y33">
        <v>0</v>
      </c>
      <c r="Z33">
        <v>2.4</v>
      </c>
      <c r="AA33">
        <v>0.35714285714285698</v>
      </c>
    </row>
    <row r="34" spans="3:27" x14ac:dyDescent="0.2">
      <c r="C34" t="s">
        <v>51</v>
      </c>
      <c r="D34" t="s">
        <v>270</v>
      </c>
      <c r="E34">
        <v>630</v>
      </c>
      <c r="F34">
        <v>330</v>
      </c>
      <c r="G34">
        <v>37</v>
      </c>
      <c r="H34">
        <v>14</v>
      </c>
      <c r="I34">
        <v>1.5</v>
      </c>
      <c r="J34">
        <v>100</v>
      </c>
      <c r="K34">
        <v>1050</v>
      </c>
      <c r="L34">
        <v>45</v>
      </c>
      <c r="M34">
        <v>2</v>
      </c>
      <c r="N34">
        <v>9</v>
      </c>
      <c r="O34">
        <v>29</v>
      </c>
      <c r="P34">
        <v>624</v>
      </c>
      <c r="Q34" s="3">
        <v>4.6031746031746001</v>
      </c>
      <c r="R34">
        <v>1</v>
      </c>
      <c r="S34">
        <v>0</v>
      </c>
      <c r="U34">
        <v>-12.000257763975201</v>
      </c>
      <c r="V34">
        <v>-3.5</v>
      </c>
      <c r="W34">
        <v>-11.413043478260899</v>
      </c>
      <c r="X34">
        <v>-3.6</v>
      </c>
      <c r="Y34">
        <v>-1.5E-3</v>
      </c>
      <c r="Z34">
        <v>5.8</v>
      </c>
      <c r="AA34">
        <v>0.71428571428571397</v>
      </c>
    </row>
    <row r="35" spans="3:27" x14ac:dyDescent="0.2">
      <c r="C35" t="s">
        <v>51</v>
      </c>
      <c r="D35" t="s">
        <v>271</v>
      </c>
      <c r="E35">
        <v>370</v>
      </c>
      <c r="F35">
        <v>170</v>
      </c>
      <c r="G35">
        <v>19</v>
      </c>
      <c r="H35">
        <v>8</v>
      </c>
      <c r="I35">
        <v>0</v>
      </c>
      <c r="J35">
        <v>175</v>
      </c>
      <c r="K35">
        <v>1030</v>
      </c>
      <c r="L35">
        <v>30</v>
      </c>
      <c r="M35">
        <v>1</v>
      </c>
      <c r="N35">
        <v>5</v>
      </c>
      <c r="O35">
        <v>17</v>
      </c>
      <c r="P35">
        <v>366</v>
      </c>
      <c r="Q35" s="3">
        <v>4.5945945945945903</v>
      </c>
      <c r="R35">
        <v>1</v>
      </c>
      <c r="S35">
        <v>0</v>
      </c>
      <c r="U35">
        <v>-11.438509316770199</v>
      </c>
      <c r="V35">
        <v>-2</v>
      </c>
      <c r="W35">
        <v>-11.195652173913</v>
      </c>
      <c r="X35">
        <v>-2</v>
      </c>
      <c r="Y35">
        <v>0</v>
      </c>
      <c r="Z35">
        <v>3.4</v>
      </c>
      <c r="AA35">
        <v>0.35714285714285698</v>
      </c>
    </row>
    <row r="36" spans="3:27" x14ac:dyDescent="0.2">
      <c r="C36" t="s">
        <v>51</v>
      </c>
      <c r="D36" t="s">
        <v>273</v>
      </c>
      <c r="E36">
        <v>610</v>
      </c>
      <c r="F36">
        <v>360</v>
      </c>
      <c r="G36">
        <v>40</v>
      </c>
      <c r="H36">
        <v>17</v>
      </c>
      <c r="I36">
        <v>0.5</v>
      </c>
      <c r="J36">
        <v>225</v>
      </c>
      <c r="K36">
        <v>1680</v>
      </c>
      <c r="L36">
        <v>31</v>
      </c>
      <c r="M36">
        <v>1</v>
      </c>
      <c r="N36">
        <v>5</v>
      </c>
      <c r="O36">
        <v>28</v>
      </c>
      <c r="P36">
        <v>604</v>
      </c>
      <c r="Q36" s="3">
        <v>4.5901639344262302</v>
      </c>
      <c r="R36">
        <v>1</v>
      </c>
      <c r="S36">
        <v>0</v>
      </c>
      <c r="U36">
        <v>-18.554226708074498</v>
      </c>
      <c r="V36">
        <v>-4.25</v>
      </c>
      <c r="W36">
        <v>-18.260869565217401</v>
      </c>
      <c r="X36">
        <v>-2</v>
      </c>
      <c r="Y36">
        <v>-5.0000000000000001E-4</v>
      </c>
      <c r="Z36">
        <v>5.6</v>
      </c>
      <c r="AA36">
        <v>0.35714285714285698</v>
      </c>
    </row>
    <row r="37" spans="3:27" x14ac:dyDescent="0.2">
      <c r="C37" t="s">
        <v>51</v>
      </c>
      <c r="D37" t="s">
        <v>281</v>
      </c>
      <c r="E37">
        <v>860</v>
      </c>
      <c r="F37">
        <v>490</v>
      </c>
      <c r="G37">
        <v>54</v>
      </c>
      <c r="H37">
        <v>9</v>
      </c>
      <c r="I37">
        <v>0</v>
      </c>
      <c r="J37">
        <v>115</v>
      </c>
      <c r="K37">
        <v>1570</v>
      </c>
      <c r="L37">
        <v>53</v>
      </c>
      <c r="M37">
        <v>3</v>
      </c>
      <c r="N37">
        <v>1</v>
      </c>
      <c r="O37">
        <v>39</v>
      </c>
      <c r="P37">
        <v>831</v>
      </c>
      <c r="Q37" s="3">
        <v>4.53488372093023</v>
      </c>
      <c r="R37">
        <v>1</v>
      </c>
      <c r="S37">
        <v>0</v>
      </c>
      <c r="U37">
        <v>-10.843788819875799</v>
      </c>
      <c r="V37">
        <v>-2.25</v>
      </c>
      <c r="W37">
        <v>-17.065217391304301</v>
      </c>
      <c r="X37">
        <v>-0.4</v>
      </c>
      <c r="Y37">
        <v>0</v>
      </c>
      <c r="Z37">
        <v>7.8</v>
      </c>
      <c r="AA37">
        <v>1.0714285714285701</v>
      </c>
    </row>
    <row r="38" spans="3:27" x14ac:dyDescent="0.2">
      <c r="C38" t="s">
        <v>51</v>
      </c>
      <c r="D38" t="s">
        <v>297</v>
      </c>
      <c r="E38">
        <v>790</v>
      </c>
      <c r="F38">
        <v>460</v>
      </c>
      <c r="G38">
        <v>51</v>
      </c>
      <c r="H38">
        <v>17</v>
      </c>
      <c r="I38">
        <v>2</v>
      </c>
      <c r="J38">
        <v>125</v>
      </c>
      <c r="K38">
        <v>1560</v>
      </c>
      <c r="L38">
        <v>50</v>
      </c>
      <c r="M38">
        <v>2</v>
      </c>
      <c r="N38">
        <v>11</v>
      </c>
      <c r="O38">
        <v>35</v>
      </c>
      <c r="P38">
        <v>783</v>
      </c>
      <c r="Q38" s="3">
        <v>4.43037974683544</v>
      </c>
      <c r="R38">
        <v>1</v>
      </c>
      <c r="S38">
        <v>0</v>
      </c>
      <c r="U38">
        <v>-17.894236024844702</v>
      </c>
      <c r="V38">
        <v>-4.25</v>
      </c>
      <c r="W38">
        <v>-16.956521739130402</v>
      </c>
      <c r="X38">
        <v>-4.4000000000000004</v>
      </c>
      <c r="Y38">
        <v>-2E-3</v>
      </c>
      <c r="Z38">
        <v>7</v>
      </c>
      <c r="AA38">
        <v>0.71428571428571397</v>
      </c>
    </row>
    <row r="39" spans="3:27" x14ac:dyDescent="0.2">
      <c r="C39" t="s">
        <v>51</v>
      </c>
      <c r="D39" t="s">
        <v>304</v>
      </c>
      <c r="E39">
        <v>640</v>
      </c>
      <c r="F39">
        <v>400</v>
      </c>
      <c r="G39">
        <v>45</v>
      </c>
      <c r="H39">
        <v>20</v>
      </c>
      <c r="I39">
        <v>0</v>
      </c>
      <c r="J39">
        <v>225</v>
      </c>
      <c r="K39">
        <v>2190</v>
      </c>
      <c r="L39">
        <v>31</v>
      </c>
      <c r="M39">
        <v>1</v>
      </c>
      <c r="N39">
        <v>4</v>
      </c>
      <c r="O39">
        <v>28</v>
      </c>
      <c r="P39">
        <v>636</v>
      </c>
      <c r="Q39" s="3">
        <v>4.375</v>
      </c>
      <c r="R39">
        <v>1</v>
      </c>
      <c r="S39">
        <v>0</v>
      </c>
      <c r="U39">
        <v>-24.447204968944099</v>
      </c>
      <c r="V39">
        <v>-5</v>
      </c>
      <c r="W39">
        <v>-23.804347826087</v>
      </c>
      <c r="X39">
        <v>-1.6</v>
      </c>
      <c r="Y39">
        <v>0</v>
      </c>
      <c r="Z39">
        <v>5.6</v>
      </c>
      <c r="AA39">
        <v>0.35714285714285698</v>
      </c>
    </row>
    <row r="40" spans="3:27" x14ac:dyDescent="0.2">
      <c r="C40" t="s">
        <v>51</v>
      </c>
      <c r="D40" t="s">
        <v>316</v>
      </c>
      <c r="E40">
        <v>740</v>
      </c>
      <c r="F40">
        <v>420</v>
      </c>
      <c r="G40">
        <v>46</v>
      </c>
      <c r="H40">
        <v>16</v>
      </c>
      <c r="I40">
        <v>2</v>
      </c>
      <c r="J40">
        <v>115</v>
      </c>
      <c r="K40">
        <v>1340</v>
      </c>
      <c r="L40">
        <v>50</v>
      </c>
      <c r="M40">
        <v>2</v>
      </c>
      <c r="N40">
        <v>11</v>
      </c>
      <c r="O40">
        <v>32</v>
      </c>
      <c r="P40">
        <v>735</v>
      </c>
      <c r="Q40" s="3">
        <v>4.3243243243243201</v>
      </c>
      <c r="R40">
        <v>1</v>
      </c>
      <c r="S40">
        <v>0</v>
      </c>
      <c r="U40">
        <v>-15.852931677018599</v>
      </c>
      <c r="V40">
        <v>-4</v>
      </c>
      <c r="W40">
        <v>-14.5652173913043</v>
      </c>
      <c r="X40">
        <v>-4.4000000000000004</v>
      </c>
      <c r="Y40">
        <v>-2E-3</v>
      </c>
      <c r="Z40">
        <v>6.4</v>
      </c>
      <c r="AA40">
        <v>0.71428571428571397</v>
      </c>
    </row>
    <row r="41" spans="3:27" x14ac:dyDescent="0.2">
      <c r="C41" t="s">
        <v>51</v>
      </c>
      <c r="D41" t="s">
        <v>328</v>
      </c>
      <c r="E41">
        <v>400</v>
      </c>
      <c r="F41">
        <v>210</v>
      </c>
      <c r="G41">
        <v>24</v>
      </c>
      <c r="H41">
        <v>12</v>
      </c>
      <c r="I41">
        <v>0</v>
      </c>
      <c r="J41">
        <v>175</v>
      </c>
      <c r="K41">
        <v>1550</v>
      </c>
      <c r="L41">
        <v>29</v>
      </c>
      <c r="M41">
        <v>1</v>
      </c>
      <c r="N41">
        <v>3</v>
      </c>
      <c r="O41">
        <v>17</v>
      </c>
      <c r="P41">
        <v>398</v>
      </c>
      <c r="Q41" s="3">
        <v>4.25</v>
      </c>
      <c r="R41">
        <v>1</v>
      </c>
      <c r="S41">
        <v>0</v>
      </c>
      <c r="U41">
        <v>-17.290683229813698</v>
      </c>
      <c r="V41">
        <v>-3</v>
      </c>
      <c r="W41">
        <v>-16.847826086956498</v>
      </c>
      <c r="X41">
        <v>-1.2</v>
      </c>
      <c r="Y41">
        <v>0</v>
      </c>
      <c r="Z41">
        <v>3.4</v>
      </c>
      <c r="AA41">
        <v>0.35714285714285698</v>
      </c>
    </row>
    <row r="42" spans="3:27" x14ac:dyDescent="0.2">
      <c r="C42" t="s">
        <v>51</v>
      </c>
      <c r="D42" t="s">
        <v>331</v>
      </c>
      <c r="E42">
        <v>660</v>
      </c>
      <c r="F42">
        <v>360</v>
      </c>
      <c r="G42">
        <v>40</v>
      </c>
      <c r="H42">
        <v>12</v>
      </c>
      <c r="I42">
        <v>1.5</v>
      </c>
      <c r="J42">
        <v>90</v>
      </c>
      <c r="K42">
        <v>980</v>
      </c>
      <c r="L42">
        <v>49</v>
      </c>
      <c r="M42">
        <v>2</v>
      </c>
      <c r="N42">
        <v>11</v>
      </c>
      <c r="O42">
        <v>28</v>
      </c>
      <c r="P42">
        <v>655</v>
      </c>
      <c r="Q42" s="3">
        <v>4.2424242424242404</v>
      </c>
      <c r="R42">
        <v>1</v>
      </c>
      <c r="S42">
        <v>0</v>
      </c>
      <c r="U42">
        <v>-11.739388198757799</v>
      </c>
      <c r="V42">
        <v>-3</v>
      </c>
      <c r="W42">
        <v>-10.6521739130435</v>
      </c>
      <c r="X42">
        <v>-4.4000000000000004</v>
      </c>
      <c r="Y42">
        <v>-1.5E-3</v>
      </c>
      <c r="Z42">
        <v>5.6</v>
      </c>
      <c r="AA42">
        <v>0.71428571428571397</v>
      </c>
    </row>
    <row r="43" spans="3:27" x14ac:dyDescent="0.2">
      <c r="C43" t="s">
        <v>51</v>
      </c>
      <c r="D43" t="s">
        <v>332</v>
      </c>
      <c r="E43">
        <v>660</v>
      </c>
      <c r="F43">
        <v>360</v>
      </c>
      <c r="G43">
        <v>40</v>
      </c>
      <c r="H43">
        <v>7</v>
      </c>
      <c r="I43">
        <v>0</v>
      </c>
      <c r="J43">
        <v>75</v>
      </c>
      <c r="K43">
        <v>1170</v>
      </c>
      <c r="L43">
        <v>48</v>
      </c>
      <c r="M43">
        <v>2</v>
      </c>
      <c r="N43">
        <v>5</v>
      </c>
      <c r="O43">
        <v>28</v>
      </c>
      <c r="P43">
        <v>644</v>
      </c>
      <c r="Q43" s="3">
        <v>4.2424242424242404</v>
      </c>
      <c r="R43">
        <v>1</v>
      </c>
      <c r="S43">
        <v>0</v>
      </c>
      <c r="U43">
        <v>-10.153105590062101</v>
      </c>
      <c r="V43">
        <v>-1.75</v>
      </c>
      <c r="W43">
        <v>-12.7173913043478</v>
      </c>
      <c r="X43">
        <v>-2</v>
      </c>
      <c r="Y43">
        <v>0</v>
      </c>
      <c r="Z43">
        <v>5.6</v>
      </c>
      <c r="AA43">
        <v>0.71428571428571397</v>
      </c>
    </row>
    <row r="44" spans="3:27" x14ac:dyDescent="0.2">
      <c r="C44" t="s">
        <v>51</v>
      </c>
      <c r="D44" t="s">
        <v>341</v>
      </c>
      <c r="E44">
        <v>310</v>
      </c>
      <c r="F44">
        <v>160</v>
      </c>
      <c r="G44">
        <v>18</v>
      </c>
      <c r="H44">
        <v>5</v>
      </c>
      <c r="I44">
        <v>0.5</v>
      </c>
      <c r="J44">
        <v>40</v>
      </c>
      <c r="K44">
        <v>390</v>
      </c>
      <c r="L44">
        <v>27</v>
      </c>
      <c r="M44">
        <v>1</v>
      </c>
      <c r="N44">
        <v>7</v>
      </c>
      <c r="O44">
        <v>13</v>
      </c>
      <c r="P44">
        <v>309</v>
      </c>
      <c r="Q44" s="3">
        <v>4.1935483870967696</v>
      </c>
      <c r="R44">
        <v>0</v>
      </c>
      <c r="S44">
        <v>0</v>
      </c>
      <c r="U44">
        <v>-5.3324875776397498</v>
      </c>
      <c r="V44">
        <v>-1.25</v>
      </c>
      <c r="W44">
        <v>-4.2391304347826102</v>
      </c>
      <c r="X44">
        <v>-2.8</v>
      </c>
      <c r="Y44">
        <v>-5.0000000000000001E-4</v>
      </c>
      <c r="Z44">
        <v>2.6</v>
      </c>
      <c r="AA44">
        <v>0.35714285714285698</v>
      </c>
    </row>
    <row r="45" spans="3:27" x14ac:dyDescent="0.2">
      <c r="C45" t="s">
        <v>51</v>
      </c>
      <c r="D45" t="s">
        <v>353</v>
      </c>
      <c r="E45">
        <v>780</v>
      </c>
      <c r="F45">
        <v>380</v>
      </c>
      <c r="G45">
        <v>42</v>
      </c>
      <c r="H45">
        <v>15</v>
      </c>
      <c r="I45">
        <v>0</v>
      </c>
      <c r="J45">
        <v>355</v>
      </c>
      <c r="K45">
        <v>1960</v>
      </c>
      <c r="L45">
        <v>68</v>
      </c>
      <c r="M45">
        <v>3</v>
      </c>
      <c r="N45">
        <v>4</v>
      </c>
      <c r="O45">
        <v>32</v>
      </c>
      <c r="P45">
        <v>767</v>
      </c>
      <c r="Q45" s="3">
        <v>4.1025641025641004</v>
      </c>
      <c r="R45">
        <v>1</v>
      </c>
      <c r="S45">
        <v>1</v>
      </c>
      <c r="U45">
        <v>-19.182919254658401</v>
      </c>
      <c r="V45">
        <v>-3.75</v>
      </c>
      <c r="W45">
        <v>-21.304347826087</v>
      </c>
      <c r="X45">
        <v>-1.6</v>
      </c>
      <c r="Y45">
        <v>0</v>
      </c>
      <c r="Z45">
        <v>6.4</v>
      </c>
      <c r="AA45">
        <v>1.0714285714285701</v>
      </c>
    </row>
    <row r="46" spans="3:27" x14ac:dyDescent="0.2">
      <c r="C46" t="s">
        <v>51</v>
      </c>
      <c r="D46" t="s">
        <v>360</v>
      </c>
      <c r="E46">
        <v>710</v>
      </c>
      <c r="F46">
        <v>470</v>
      </c>
      <c r="G46">
        <v>52</v>
      </c>
      <c r="H46">
        <v>20</v>
      </c>
      <c r="I46">
        <v>0.5</v>
      </c>
      <c r="J46">
        <v>240</v>
      </c>
      <c r="K46">
        <v>1420</v>
      </c>
      <c r="L46">
        <v>31</v>
      </c>
      <c r="M46">
        <v>1</v>
      </c>
      <c r="N46">
        <v>5</v>
      </c>
      <c r="O46">
        <v>29</v>
      </c>
      <c r="P46">
        <v>706</v>
      </c>
      <c r="Q46" s="3">
        <v>4.0845070422535201</v>
      </c>
      <c r="R46">
        <v>1</v>
      </c>
      <c r="S46">
        <v>0</v>
      </c>
      <c r="U46">
        <v>-16.2781397515528</v>
      </c>
      <c r="V46">
        <v>-5</v>
      </c>
      <c r="W46">
        <v>-15.4347826086957</v>
      </c>
      <c r="X46">
        <v>-2</v>
      </c>
      <c r="Y46">
        <v>-5.0000000000000001E-4</v>
      </c>
      <c r="Z46">
        <v>5.8</v>
      </c>
      <c r="AA46">
        <v>0.35714285714285698</v>
      </c>
    </row>
    <row r="47" spans="3:27" x14ac:dyDescent="0.2">
      <c r="C47" t="s">
        <v>51</v>
      </c>
      <c r="D47" t="s">
        <v>365</v>
      </c>
      <c r="E47">
        <v>370</v>
      </c>
      <c r="F47">
        <v>210</v>
      </c>
      <c r="G47">
        <v>23</v>
      </c>
      <c r="H47">
        <v>8</v>
      </c>
      <c r="I47">
        <v>0</v>
      </c>
      <c r="J47">
        <v>150</v>
      </c>
      <c r="K47">
        <v>930</v>
      </c>
      <c r="L47">
        <v>27</v>
      </c>
      <c r="M47">
        <v>3</v>
      </c>
      <c r="N47">
        <v>2</v>
      </c>
      <c r="O47">
        <v>15</v>
      </c>
      <c r="P47">
        <v>365</v>
      </c>
      <c r="Q47" s="3">
        <v>4.0540540540540499</v>
      </c>
      <c r="R47">
        <v>1</v>
      </c>
      <c r="S47">
        <v>0</v>
      </c>
      <c r="U47">
        <v>-8.83726708074534</v>
      </c>
      <c r="V47">
        <v>-2</v>
      </c>
      <c r="W47">
        <v>-10.1086956521739</v>
      </c>
      <c r="X47">
        <v>-0.8</v>
      </c>
      <c r="Y47">
        <v>0</v>
      </c>
      <c r="Z47">
        <v>3</v>
      </c>
      <c r="AA47">
        <v>1.0714285714285701</v>
      </c>
    </row>
    <row r="48" spans="3:27" x14ac:dyDescent="0.2">
      <c r="C48" t="s">
        <v>51</v>
      </c>
      <c r="D48" t="s">
        <v>387</v>
      </c>
      <c r="E48">
        <v>630</v>
      </c>
      <c r="F48">
        <v>310</v>
      </c>
      <c r="G48">
        <v>34</v>
      </c>
      <c r="H48">
        <v>11</v>
      </c>
      <c r="I48">
        <v>0</v>
      </c>
      <c r="J48">
        <v>10</v>
      </c>
      <c r="K48">
        <v>1080</v>
      </c>
      <c r="L48">
        <v>58</v>
      </c>
      <c r="M48">
        <v>4</v>
      </c>
      <c r="N48">
        <v>12</v>
      </c>
      <c r="O48">
        <v>25</v>
      </c>
      <c r="P48">
        <v>628</v>
      </c>
      <c r="Q48" s="3">
        <v>3.9682539682539701</v>
      </c>
      <c r="R48">
        <v>1</v>
      </c>
      <c r="S48">
        <v>0</v>
      </c>
      <c r="U48">
        <v>-12.860559006211201</v>
      </c>
      <c r="V48">
        <v>-2.75</v>
      </c>
      <c r="W48">
        <v>-11.7391304347826</v>
      </c>
      <c r="X48">
        <v>-4.8</v>
      </c>
      <c r="Y48">
        <v>0</v>
      </c>
      <c r="Z48">
        <v>5</v>
      </c>
      <c r="AA48">
        <v>1.4285714285714299</v>
      </c>
    </row>
    <row r="49" spans="3:27" x14ac:dyDescent="0.2">
      <c r="C49" t="s">
        <v>51</v>
      </c>
      <c r="D49" t="s">
        <v>388</v>
      </c>
      <c r="E49">
        <v>580</v>
      </c>
      <c r="F49">
        <v>340</v>
      </c>
      <c r="G49">
        <v>40</v>
      </c>
      <c r="H49">
        <v>16</v>
      </c>
      <c r="I49">
        <v>0.5</v>
      </c>
      <c r="J49">
        <v>215</v>
      </c>
      <c r="K49">
        <v>1260</v>
      </c>
      <c r="L49">
        <v>31</v>
      </c>
      <c r="M49">
        <v>1</v>
      </c>
      <c r="N49">
        <v>5</v>
      </c>
      <c r="O49">
        <v>23</v>
      </c>
      <c r="P49">
        <v>578</v>
      </c>
      <c r="Q49" s="3">
        <v>3.9655172413793101</v>
      </c>
      <c r="R49">
        <v>1</v>
      </c>
      <c r="S49">
        <v>0</v>
      </c>
      <c r="U49">
        <v>-14.739009316770201</v>
      </c>
      <c r="V49">
        <v>-4</v>
      </c>
      <c r="W49">
        <v>-13.695652173913</v>
      </c>
      <c r="X49">
        <v>-2</v>
      </c>
      <c r="Y49">
        <v>-5.0000000000000001E-4</v>
      </c>
      <c r="Z49">
        <v>4.5999999999999996</v>
      </c>
      <c r="AA49">
        <v>0.35714285714285698</v>
      </c>
    </row>
    <row r="50" spans="3:27" x14ac:dyDescent="0.2">
      <c r="C50" t="s">
        <v>51</v>
      </c>
      <c r="D50" t="s">
        <v>401</v>
      </c>
      <c r="E50">
        <v>210</v>
      </c>
      <c r="F50">
        <v>130</v>
      </c>
      <c r="G50">
        <v>15</v>
      </c>
      <c r="H50">
        <v>3</v>
      </c>
      <c r="I50">
        <v>0</v>
      </c>
      <c r="J50">
        <v>20</v>
      </c>
      <c r="K50">
        <v>570</v>
      </c>
      <c r="L50">
        <v>11</v>
      </c>
      <c r="M50">
        <v>2</v>
      </c>
      <c r="N50">
        <v>0</v>
      </c>
      <c r="O50">
        <v>8</v>
      </c>
      <c r="P50">
        <v>205</v>
      </c>
      <c r="Q50" s="3">
        <v>3.8095238095238102</v>
      </c>
      <c r="R50">
        <v>1</v>
      </c>
      <c r="S50">
        <v>0</v>
      </c>
      <c r="U50">
        <v>-4.6313664596273298</v>
      </c>
      <c r="V50">
        <v>-0.75</v>
      </c>
      <c r="W50">
        <v>-6.1956521739130404</v>
      </c>
      <c r="X50">
        <v>0</v>
      </c>
      <c r="Y50">
        <v>0</v>
      </c>
      <c r="Z50">
        <v>1.6</v>
      </c>
      <c r="AA50">
        <v>0.71428571428571397</v>
      </c>
    </row>
    <row r="51" spans="3:27" x14ac:dyDescent="0.2">
      <c r="C51" t="s">
        <v>51</v>
      </c>
      <c r="D51" t="s">
        <v>402</v>
      </c>
      <c r="E51">
        <v>1050</v>
      </c>
      <c r="F51">
        <v>670</v>
      </c>
      <c r="G51">
        <v>74</v>
      </c>
      <c r="H51">
        <v>15</v>
      </c>
      <c r="I51">
        <v>0</v>
      </c>
      <c r="J51">
        <v>110</v>
      </c>
      <c r="K51">
        <v>2840</v>
      </c>
      <c r="L51">
        <v>56</v>
      </c>
      <c r="M51">
        <v>9</v>
      </c>
      <c r="N51">
        <v>1</v>
      </c>
      <c r="O51">
        <v>40</v>
      </c>
      <c r="P51">
        <v>1026</v>
      </c>
      <c r="Q51" s="3">
        <v>3.8095238095238102</v>
      </c>
      <c r="R51">
        <v>1</v>
      </c>
      <c r="S51">
        <v>0</v>
      </c>
      <c r="U51">
        <v>-23.805279503105599</v>
      </c>
      <c r="V51">
        <v>-3.75</v>
      </c>
      <c r="W51">
        <v>-30.869565217391301</v>
      </c>
      <c r="X51">
        <v>-0.4</v>
      </c>
      <c r="Y51">
        <v>0</v>
      </c>
      <c r="Z51">
        <v>8</v>
      </c>
      <c r="AA51">
        <v>3.21428571428571</v>
      </c>
    </row>
    <row r="52" spans="3:27" x14ac:dyDescent="0.2">
      <c r="C52" t="s">
        <v>51</v>
      </c>
      <c r="D52" t="s">
        <v>404</v>
      </c>
      <c r="E52">
        <v>500</v>
      </c>
      <c r="F52">
        <v>300</v>
      </c>
      <c r="G52">
        <v>33</v>
      </c>
      <c r="H52">
        <v>13</v>
      </c>
      <c r="I52">
        <v>0</v>
      </c>
      <c r="J52">
        <v>195</v>
      </c>
      <c r="K52">
        <v>930</v>
      </c>
      <c r="L52">
        <v>30</v>
      </c>
      <c r="M52">
        <v>1</v>
      </c>
      <c r="N52">
        <v>4</v>
      </c>
      <c r="O52">
        <v>19</v>
      </c>
      <c r="P52">
        <v>498</v>
      </c>
      <c r="Q52" s="3">
        <v>3.8</v>
      </c>
      <c r="R52">
        <v>1</v>
      </c>
      <c r="S52">
        <v>0</v>
      </c>
      <c r="U52">
        <v>-10.8015527950311</v>
      </c>
      <c r="V52">
        <v>-3.25</v>
      </c>
      <c r="W52">
        <v>-10.1086956521739</v>
      </c>
      <c r="X52">
        <v>-1.6</v>
      </c>
      <c r="Y52">
        <v>0</v>
      </c>
      <c r="Z52">
        <v>3.8</v>
      </c>
      <c r="AA52">
        <v>0.35714285714285698</v>
      </c>
    </row>
    <row r="53" spans="3:27" x14ac:dyDescent="0.2">
      <c r="C53" t="s">
        <v>51</v>
      </c>
      <c r="D53" t="s">
        <v>408</v>
      </c>
      <c r="E53">
        <v>370</v>
      </c>
      <c r="F53">
        <v>190</v>
      </c>
      <c r="G53">
        <v>21</v>
      </c>
      <c r="H53">
        <v>9</v>
      </c>
      <c r="I53">
        <v>0</v>
      </c>
      <c r="J53">
        <v>170</v>
      </c>
      <c r="K53">
        <v>760</v>
      </c>
      <c r="L53">
        <v>30</v>
      </c>
      <c r="M53">
        <v>1</v>
      </c>
      <c r="N53">
        <v>4</v>
      </c>
      <c r="O53">
        <v>14</v>
      </c>
      <c r="P53">
        <v>369</v>
      </c>
      <c r="Q53" s="3">
        <v>3.7837837837837802</v>
      </c>
      <c r="R53">
        <v>1</v>
      </c>
      <c r="S53">
        <v>0</v>
      </c>
      <c r="U53">
        <v>-8.9537267080745302</v>
      </c>
      <c r="V53">
        <v>-2.25</v>
      </c>
      <c r="W53">
        <v>-8.2608695652173907</v>
      </c>
      <c r="X53">
        <v>-1.6</v>
      </c>
      <c r="Y53">
        <v>0</v>
      </c>
      <c r="Z53">
        <v>2.8</v>
      </c>
      <c r="AA53">
        <v>0.35714285714285698</v>
      </c>
    </row>
    <row r="54" spans="3:27" x14ac:dyDescent="0.2">
      <c r="C54" t="s">
        <v>51</v>
      </c>
      <c r="D54" t="s">
        <v>409</v>
      </c>
      <c r="E54">
        <v>530</v>
      </c>
      <c r="F54">
        <v>330</v>
      </c>
      <c r="G54">
        <v>37</v>
      </c>
      <c r="H54">
        <v>7</v>
      </c>
      <c r="I54">
        <v>0</v>
      </c>
      <c r="J54">
        <v>55</v>
      </c>
      <c r="K54">
        <v>1420</v>
      </c>
      <c r="L54">
        <v>28</v>
      </c>
      <c r="M54">
        <v>4</v>
      </c>
      <c r="N54">
        <v>1</v>
      </c>
      <c r="O54">
        <v>20</v>
      </c>
      <c r="P54">
        <v>518</v>
      </c>
      <c r="Q54" s="3">
        <v>3.7735849056603801</v>
      </c>
      <c r="R54">
        <v>1</v>
      </c>
      <c r="S54">
        <v>0</v>
      </c>
      <c r="U54">
        <v>-12.156211180124201</v>
      </c>
      <c r="V54">
        <v>-1.75</v>
      </c>
      <c r="W54">
        <v>-15.4347826086957</v>
      </c>
      <c r="X54">
        <v>-0.4</v>
      </c>
      <c r="Y54">
        <v>0</v>
      </c>
      <c r="Z54">
        <v>4</v>
      </c>
      <c r="AA54">
        <v>1.4285714285714299</v>
      </c>
    </row>
    <row r="55" spans="3:27" x14ac:dyDescent="0.2">
      <c r="C55" t="s">
        <v>51</v>
      </c>
      <c r="D55" t="s">
        <v>412</v>
      </c>
      <c r="E55">
        <v>800</v>
      </c>
      <c r="F55">
        <v>460</v>
      </c>
      <c r="G55">
        <v>52</v>
      </c>
      <c r="H55">
        <v>13</v>
      </c>
      <c r="I55">
        <v>1</v>
      </c>
      <c r="J55">
        <v>95</v>
      </c>
      <c r="K55">
        <v>1650</v>
      </c>
      <c r="L55">
        <v>55</v>
      </c>
      <c r="M55">
        <v>2</v>
      </c>
      <c r="N55">
        <v>8</v>
      </c>
      <c r="O55">
        <v>30</v>
      </c>
      <c r="P55">
        <v>791</v>
      </c>
      <c r="Q55" s="3">
        <v>3.75</v>
      </c>
      <c r="R55">
        <v>1</v>
      </c>
      <c r="S55">
        <v>0</v>
      </c>
      <c r="U55">
        <v>-17.671496894409898</v>
      </c>
      <c r="V55">
        <v>-3.25</v>
      </c>
      <c r="W55">
        <v>-17.934782608695699</v>
      </c>
      <c r="X55">
        <v>-3.2</v>
      </c>
      <c r="Y55">
        <v>-1E-3</v>
      </c>
      <c r="Z55">
        <v>6</v>
      </c>
      <c r="AA55">
        <v>0.71428571428571397</v>
      </c>
    </row>
    <row r="56" spans="3:27" x14ac:dyDescent="0.2">
      <c r="C56" t="s">
        <v>51</v>
      </c>
      <c r="D56" t="s">
        <v>413</v>
      </c>
      <c r="E56">
        <v>320</v>
      </c>
      <c r="F56">
        <v>200</v>
      </c>
      <c r="G56">
        <v>22</v>
      </c>
      <c r="H56">
        <v>4.5</v>
      </c>
      <c r="I56">
        <v>0</v>
      </c>
      <c r="J56">
        <v>35</v>
      </c>
      <c r="K56">
        <v>850</v>
      </c>
      <c r="L56">
        <v>17</v>
      </c>
      <c r="M56">
        <v>3</v>
      </c>
      <c r="N56">
        <v>0</v>
      </c>
      <c r="O56">
        <v>12</v>
      </c>
      <c r="P56">
        <v>313</v>
      </c>
      <c r="Q56" s="3">
        <v>3.75</v>
      </c>
      <c r="R56">
        <v>1</v>
      </c>
      <c r="S56">
        <v>0</v>
      </c>
      <c r="U56">
        <v>-6.8927018633540396</v>
      </c>
      <c r="V56">
        <v>-1.125</v>
      </c>
      <c r="W56">
        <v>-9.2391304347826093</v>
      </c>
      <c r="X56">
        <v>0</v>
      </c>
      <c r="Y56">
        <v>0</v>
      </c>
      <c r="Z56">
        <v>2.4</v>
      </c>
      <c r="AA56">
        <v>1.0714285714285701</v>
      </c>
    </row>
    <row r="57" spans="3:27" x14ac:dyDescent="0.2">
      <c r="C57" t="s">
        <v>51</v>
      </c>
      <c r="D57" t="s">
        <v>423</v>
      </c>
      <c r="E57">
        <v>300</v>
      </c>
      <c r="F57">
        <v>140</v>
      </c>
      <c r="G57">
        <v>16</v>
      </c>
      <c r="H57">
        <v>3</v>
      </c>
      <c r="I57">
        <v>0</v>
      </c>
      <c r="J57">
        <v>0</v>
      </c>
      <c r="K57">
        <v>290</v>
      </c>
      <c r="L57">
        <v>33</v>
      </c>
      <c r="M57">
        <v>4</v>
      </c>
      <c r="N57">
        <v>11</v>
      </c>
      <c r="O57">
        <v>11</v>
      </c>
      <c r="P57">
        <v>303</v>
      </c>
      <c r="Q57" s="3">
        <v>3.6666666666666701</v>
      </c>
      <c r="R57">
        <v>0</v>
      </c>
      <c r="S57">
        <v>0</v>
      </c>
      <c r="U57">
        <v>-4.6736024844720498</v>
      </c>
      <c r="V57">
        <v>-0.75</v>
      </c>
      <c r="W57">
        <v>-3.1521739130434798</v>
      </c>
      <c r="X57">
        <v>-4.4000000000000004</v>
      </c>
      <c r="Y57">
        <v>0</v>
      </c>
      <c r="Z57">
        <v>2.2000000000000002</v>
      </c>
      <c r="AA57">
        <v>1.4285714285714299</v>
      </c>
    </row>
    <row r="58" spans="3:27" x14ac:dyDescent="0.2">
      <c r="C58" t="s">
        <v>51</v>
      </c>
      <c r="D58" t="s">
        <v>429</v>
      </c>
      <c r="E58">
        <v>530</v>
      </c>
      <c r="F58">
        <v>340</v>
      </c>
      <c r="G58">
        <v>38</v>
      </c>
      <c r="H58">
        <v>17</v>
      </c>
      <c r="I58">
        <v>0</v>
      </c>
      <c r="J58">
        <v>195</v>
      </c>
      <c r="K58">
        <v>1440</v>
      </c>
      <c r="L58">
        <v>29</v>
      </c>
      <c r="M58">
        <v>1</v>
      </c>
      <c r="N58">
        <v>3</v>
      </c>
      <c r="O58">
        <v>19</v>
      </c>
      <c r="P58">
        <v>531</v>
      </c>
      <c r="Q58" s="3">
        <v>3.5849056603773599</v>
      </c>
      <c r="R58">
        <v>1</v>
      </c>
      <c r="S58">
        <v>0</v>
      </c>
      <c r="U58">
        <v>-16.9450310559006</v>
      </c>
      <c r="V58">
        <v>-4.25</v>
      </c>
      <c r="W58">
        <v>-15.6521739130435</v>
      </c>
      <c r="X58">
        <v>-1.2</v>
      </c>
      <c r="Y58">
        <v>0</v>
      </c>
      <c r="Z58">
        <v>3.8</v>
      </c>
      <c r="AA58">
        <v>0.35714285714285698</v>
      </c>
    </row>
    <row r="59" spans="3:27" x14ac:dyDescent="0.2">
      <c r="C59" t="s">
        <v>51</v>
      </c>
      <c r="D59" t="s">
        <v>433</v>
      </c>
      <c r="E59">
        <v>700</v>
      </c>
      <c r="F59">
        <v>370</v>
      </c>
      <c r="G59">
        <v>42</v>
      </c>
      <c r="H59">
        <v>7</v>
      </c>
      <c r="I59">
        <v>0</v>
      </c>
      <c r="J59">
        <v>65</v>
      </c>
      <c r="K59">
        <v>1140</v>
      </c>
      <c r="L59">
        <v>57</v>
      </c>
      <c r="M59">
        <v>3</v>
      </c>
      <c r="N59">
        <v>8</v>
      </c>
      <c r="O59">
        <v>25</v>
      </c>
      <c r="P59">
        <v>690</v>
      </c>
      <c r="Q59" s="3">
        <v>3.5714285714285698</v>
      </c>
      <c r="R59">
        <v>1</v>
      </c>
      <c r="S59">
        <v>0</v>
      </c>
      <c r="U59">
        <v>-11.2698757763975</v>
      </c>
      <c r="V59">
        <v>-1.75</v>
      </c>
      <c r="W59">
        <v>-12.3913043478261</v>
      </c>
      <c r="X59">
        <v>-3.2</v>
      </c>
      <c r="Y59">
        <v>0</v>
      </c>
      <c r="Z59">
        <v>5</v>
      </c>
      <c r="AA59">
        <v>1.0714285714285701</v>
      </c>
    </row>
    <row r="60" spans="3:27" x14ac:dyDescent="0.2">
      <c r="C60" t="s">
        <v>51</v>
      </c>
      <c r="D60" t="s">
        <v>437</v>
      </c>
      <c r="E60">
        <v>790</v>
      </c>
      <c r="F60">
        <v>440</v>
      </c>
      <c r="G60">
        <v>49</v>
      </c>
      <c r="H60">
        <v>10</v>
      </c>
      <c r="I60">
        <v>0.5</v>
      </c>
      <c r="J60">
        <v>80</v>
      </c>
      <c r="K60">
        <v>1630</v>
      </c>
      <c r="L60">
        <v>60</v>
      </c>
      <c r="M60">
        <v>2</v>
      </c>
      <c r="N60">
        <v>13</v>
      </c>
      <c r="O60">
        <v>28</v>
      </c>
      <c r="P60">
        <v>785</v>
      </c>
      <c r="Q60" s="3">
        <v>3.5443037974683498</v>
      </c>
      <c r="R60">
        <v>1</v>
      </c>
      <c r="S60">
        <v>0</v>
      </c>
      <c r="U60">
        <v>-19.103605590062099</v>
      </c>
      <c r="V60">
        <v>-2.5</v>
      </c>
      <c r="W60">
        <v>-17.7173913043478</v>
      </c>
      <c r="X60">
        <v>-5.2</v>
      </c>
      <c r="Y60">
        <v>-5.0000000000000001E-4</v>
      </c>
      <c r="Z60">
        <v>5.6</v>
      </c>
      <c r="AA60">
        <v>0.71428571428571397</v>
      </c>
    </row>
    <row r="61" spans="3:27" x14ac:dyDescent="0.2">
      <c r="C61" t="s">
        <v>51</v>
      </c>
      <c r="D61" t="s">
        <v>439</v>
      </c>
      <c r="E61">
        <v>340</v>
      </c>
      <c r="F61">
        <v>170</v>
      </c>
      <c r="G61">
        <v>18</v>
      </c>
      <c r="H61">
        <v>8</v>
      </c>
      <c r="I61">
        <v>0</v>
      </c>
      <c r="J61">
        <v>160</v>
      </c>
      <c r="K61">
        <v>610</v>
      </c>
      <c r="L61">
        <v>29</v>
      </c>
      <c r="M61">
        <v>1</v>
      </c>
      <c r="N61">
        <v>4</v>
      </c>
      <c r="O61">
        <v>12</v>
      </c>
      <c r="P61">
        <v>340</v>
      </c>
      <c r="Q61" s="3">
        <v>3.52941176470588</v>
      </c>
      <c r="R61">
        <v>1</v>
      </c>
      <c r="S61">
        <v>0</v>
      </c>
      <c r="U61">
        <v>-7.4732919254658396</v>
      </c>
      <c r="V61">
        <v>-2</v>
      </c>
      <c r="W61">
        <v>-6.6304347826086998</v>
      </c>
      <c r="X61">
        <v>-1.6</v>
      </c>
      <c r="Y61">
        <v>0</v>
      </c>
      <c r="Z61">
        <v>2.4</v>
      </c>
      <c r="AA61">
        <v>0.35714285714285698</v>
      </c>
    </row>
    <row r="62" spans="3:27" x14ac:dyDescent="0.2">
      <c r="C62" t="s">
        <v>51</v>
      </c>
      <c r="D62" t="s">
        <v>333</v>
      </c>
      <c r="E62">
        <v>670</v>
      </c>
      <c r="F62">
        <v>370</v>
      </c>
      <c r="G62">
        <v>41</v>
      </c>
      <c r="H62">
        <v>7</v>
      </c>
      <c r="I62">
        <v>0</v>
      </c>
      <c r="J62">
        <v>60</v>
      </c>
      <c r="K62">
        <v>1080</v>
      </c>
      <c r="L62">
        <v>54</v>
      </c>
      <c r="M62">
        <v>2</v>
      </c>
      <c r="N62">
        <v>8</v>
      </c>
      <c r="O62">
        <v>23</v>
      </c>
      <c r="P62">
        <v>662</v>
      </c>
      <c r="Q62" s="3">
        <v>3.4328358208955199</v>
      </c>
      <c r="R62">
        <v>1</v>
      </c>
      <c r="S62">
        <v>0</v>
      </c>
      <c r="U62">
        <v>-11.374844720496901</v>
      </c>
      <c r="V62">
        <v>-1.75</v>
      </c>
      <c r="W62">
        <v>-11.7391304347826</v>
      </c>
      <c r="X62">
        <v>-3.2</v>
      </c>
      <c r="Y62">
        <v>0</v>
      </c>
      <c r="Z62">
        <v>4.5999999999999996</v>
      </c>
      <c r="AA62">
        <v>0.71428571428571397</v>
      </c>
    </row>
    <row r="63" spans="3:27" x14ac:dyDescent="0.2">
      <c r="C63" t="s">
        <v>51</v>
      </c>
      <c r="D63" t="s">
        <v>461</v>
      </c>
      <c r="E63">
        <v>400</v>
      </c>
      <c r="F63">
        <v>230</v>
      </c>
      <c r="G63">
        <v>26</v>
      </c>
      <c r="H63">
        <v>13</v>
      </c>
      <c r="I63">
        <v>0</v>
      </c>
      <c r="J63">
        <v>170</v>
      </c>
      <c r="K63">
        <v>1270</v>
      </c>
      <c r="L63">
        <v>29</v>
      </c>
      <c r="M63">
        <v>1</v>
      </c>
      <c r="N63">
        <v>3</v>
      </c>
      <c r="O63">
        <v>13</v>
      </c>
      <c r="P63">
        <v>403</v>
      </c>
      <c r="Q63" s="3">
        <v>3.25</v>
      </c>
      <c r="R63">
        <v>1</v>
      </c>
      <c r="S63">
        <v>0</v>
      </c>
      <c r="U63">
        <v>-15.297204968944101</v>
      </c>
      <c r="V63">
        <v>-3.25</v>
      </c>
      <c r="W63">
        <v>-13.804347826087</v>
      </c>
      <c r="X63">
        <v>-1.2</v>
      </c>
      <c r="Y63">
        <v>0</v>
      </c>
      <c r="Z63">
        <v>2.6</v>
      </c>
      <c r="AA63">
        <v>0.35714285714285698</v>
      </c>
    </row>
    <row r="64" spans="3:27" x14ac:dyDescent="0.2">
      <c r="C64" t="s">
        <v>51</v>
      </c>
      <c r="D64" t="s">
        <v>474</v>
      </c>
      <c r="E64">
        <v>510</v>
      </c>
      <c r="F64">
        <v>250</v>
      </c>
      <c r="G64">
        <v>28</v>
      </c>
      <c r="H64">
        <v>4.5</v>
      </c>
      <c r="I64">
        <v>0</v>
      </c>
      <c r="J64">
        <v>30</v>
      </c>
      <c r="K64">
        <v>1180</v>
      </c>
      <c r="L64">
        <v>51</v>
      </c>
      <c r="M64">
        <v>2</v>
      </c>
      <c r="N64">
        <v>7</v>
      </c>
      <c r="O64">
        <v>16</v>
      </c>
      <c r="P64">
        <v>506</v>
      </c>
      <c r="Q64" s="3">
        <v>3.1372549019607798</v>
      </c>
      <c r="R64">
        <v>1</v>
      </c>
      <c r="S64">
        <v>0</v>
      </c>
      <c r="U64">
        <v>-12.836801242236</v>
      </c>
      <c r="V64">
        <v>-1.125</v>
      </c>
      <c r="W64">
        <v>-12.826086956521699</v>
      </c>
      <c r="X64">
        <v>-2.8</v>
      </c>
      <c r="Y64">
        <v>0</v>
      </c>
      <c r="Z64">
        <v>3.2</v>
      </c>
      <c r="AA64">
        <v>0.71428571428571397</v>
      </c>
    </row>
    <row r="65" spans="3:27" x14ac:dyDescent="0.2">
      <c r="C65" t="s">
        <v>51</v>
      </c>
      <c r="D65" t="s">
        <v>479</v>
      </c>
      <c r="E65">
        <v>390</v>
      </c>
      <c r="F65">
        <v>190</v>
      </c>
      <c r="G65">
        <v>21</v>
      </c>
      <c r="H65">
        <v>3.5</v>
      </c>
      <c r="I65">
        <v>0</v>
      </c>
      <c r="J65">
        <v>30</v>
      </c>
      <c r="K65">
        <v>740</v>
      </c>
      <c r="L65">
        <v>37</v>
      </c>
      <c r="M65">
        <v>2</v>
      </c>
      <c r="N65">
        <v>6</v>
      </c>
      <c r="O65">
        <v>12</v>
      </c>
      <c r="P65">
        <v>388</v>
      </c>
      <c r="Q65" s="3">
        <v>3.0769230769230802</v>
      </c>
      <c r="R65">
        <v>1</v>
      </c>
      <c r="S65">
        <v>0</v>
      </c>
      <c r="U65">
        <v>-8.2041925465838492</v>
      </c>
      <c r="V65">
        <v>-0.875</v>
      </c>
      <c r="W65">
        <v>-8.0434782608695592</v>
      </c>
      <c r="X65">
        <v>-2.4</v>
      </c>
      <c r="Y65">
        <v>0</v>
      </c>
      <c r="Z65">
        <v>2.4</v>
      </c>
      <c r="AA65">
        <v>0.71428571428571397</v>
      </c>
    </row>
    <row r="66" spans="3:27" x14ac:dyDescent="0.2">
      <c r="C66" t="s">
        <v>51</v>
      </c>
      <c r="D66" t="s">
        <v>498</v>
      </c>
      <c r="E66">
        <v>170</v>
      </c>
      <c r="F66">
        <v>80</v>
      </c>
      <c r="G66">
        <v>9</v>
      </c>
      <c r="H66">
        <v>3</v>
      </c>
      <c r="I66">
        <v>0</v>
      </c>
      <c r="J66">
        <v>10</v>
      </c>
      <c r="K66">
        <v>410</v>
      </c>
      <c r="L66">
        <v>19</v>
      </c>
      <c r="M66">
        <v>2</v>
      </c>
      <c r="N66">
        <v>1</v>
      </c>
      <c r="O66">
        <v>5</v>
      </c>
      <c r="P66">
        <v>169</v>
      </c>
      <c r="Q66" s="3">
        <v>2.9411764705882399</v>
      </c>
      <c r="R66">
        <v>0</v>
      </c>
      <c r="S66">
        <v>0</v>
      </c>
      <c r="U66">
        <v>-3.8922360248447201</v>
      </c>
      <c r="V66">
        <v>-0.75</v>
      </c>
      <c r="W66">
        <v>-4.4565217391304301</v>
      </c>
      <c r="X66">
        <v>-0.4</v>
      </c>
      <c r="Y66">
        <v>0</v>
      </c>
      <c r="Z66">
        <v>1</v>
      </c>
      <c r="AA66">
        <v>0.71428571428571397</v>
      </c>
    </row>
    <row r="67" spans="3:27" x14ac:dyDescent="0.2">
      <c r="C67" t="s">
        <v>51</v>
      </c>
      <c r="D67" t="s">
        <v>499</v>
      </c>
      <c r="E67">
        <v>170</v>
      </c>
      <c r="F67">
        <v>40</v>
      </c>
      <c r="G67">
        <v>4.5</v>
      </c>
      <c r="H67">
        <v>3</v>
      </c>
      <c r="I67">
        <v>0</v>
      </c>
      <c r="J67">
        <v>20</v>
      </c>
      <c r="K67">
        <v>150</v>
      </c>
      <c r="L67">
        <v>28</v>
      </c>
      <c r="M67">
        <v>0</v>
      </c>
      <c r="N67">
        <v>24</v>
      </c>
      <c r="O67">
        <v>5</v>
      </c>
      <c r="P67">
        <v>192</v>
      </c>
      <c r="Q67" s="3">
        <v>2.9411764705882399</v>
      </c>
      <c r="R67">
        <v>0</v>
      </c>
      <c r="S67">
        <v>0</v>
      </c>
      <c r="U67">
        <v>-10.9804347826087</v>
      </c>
      <c r="V67">
        <v>-0.75</v>
      </c>
      <c r="W67">
        <v>-1.6304347826087</v>
      </c>
      <c r="X67">
        <v>-9.6</v>
      </c>
      <c r="Y67">
        <v>0</v>
      </c>
      <c r="Z67">
        <v>1</v>
      </c>
      <c r="AA67">
        <v>0</v>
      </c>
    </row>
    <row r="68" spans="3:27" x14ac:dyDescent="0.2">
      <c r="C68" t="s">
        <v>51</v>
      </c>
      <c r="D68" t="s">
        <v>509</v>
      </c>
      <c r="E68">
        <v>420</v>
      </c>
      <c r="F68">
        <v>250</v>
      </c>
      <c r="G68">
        <v>28</v>
      </c>
      <c r="H68">
        <v>6</v>
      </c>
      <c r="I68">
        <v>0</v>
      </c>
      <c r="J68">
        <v>35</v>
      </c>
      <c r="K68">
        <v>1050</v>
      </c>
      <c r="L68">
        <v>28</v>
      </c>
      <c r="M68">
        <v>1</v>
      </c>
      <c r="N68">
        <v>2</v>
      </c>
      <c r="O68">
        <v>12</v>
      </c>
      <c r="P68">
        <v>416</v>
      </c>
      <c r="Q68" s="3">
        <v>2.8571428571428599</v>
      </c>
      <c r="R68">
        <v>1</v>
      </c>
      <c r="S68">
        <v>0</v>
      </c>
      <c r="U68">
        <v>-10.955900621117999</v>
      </c>
      <c r="V68">
        <v>-1.5</v>
      </c>
      <c r="W68">
        <v>-11.413043478260899</v>
      </c>
      <c r="X68">
        <v>-0.8</v>
      </c>
      <c r="Y68">
        <v>0</v>
      </c>
      <c r="Z68">
        <v>2.4</v>
      </c>
      <c r="AA68">
        <v>0.35714285714285698</v>
      </c>
    </row>
    <row r="69" spans="3:27" x14ac:dyDescent="0.2">
      <c r="C69" t="s">
        <v>51</v>
      </c>
      <c r="D69" t="s">
        <v>524</v>
      </c>
      <c r="E69">
        <v>900</v>
      </c>
      <c r="F69">
        <v>420</v>
      </c>
      <c r="G69">
        <v>46</v>
      </c>
      <c r="H69">
        <v>12</v>
      </c>
      <c r="I69">
        <v>0</v>
      </c>
      <c r="J69">
        <v>380</v>
      </c>
      <c r="K69">
        <v>1760</v>
      </c>
      <c r="L69">
        <v>95</v>
      </c>
      <c r="M69">
        <v>5</v>
      </c>
      <c r="N69">
        <v>31</v>
      </c>
      <c r="O69">
        <v>25</v>
      </c>
      <c r="P69">
        <v>918</v>
      </c>
      <c r="Q69" s="3">
        <v>2.7777777777777799</v>
      </c>
      <c r="R69">
        <v>1</v>
      </c>
      <c r="S69">
        <v>1</v>
      </c>
      <c r="U69">
        <v>-27.744720496894399</v>
      </c>
      <c r="V69">
        <v>-3</v>
      </c>
      <c r="W69">
        <v>-19.130434782608699</v>
      </c>
      <c r="X69">
        <v>-12.4</v>
      </c>
      <c r="Y69">
        <v>0</v>
      </c>
      <c r="Z69">
        <v>5</v>
      </c>
      <c r="AA69">
        <v>1.78571428571429</v>
      </c>
    </row>
    <row r="70" spans="3:27" x14ac:dyDescent="0.2">
      <c r="C70" t="s">
        <v>51</v>
      </c>
      <c r="D70" t="s">
        <v>535</v>
      </c>
      <c r="E70">
        <v>450</v>
      </c>
      <c r="F70">
        <v>270</v>
      </c>
      <c r="G70">
        <v>30</v>
      </c>
      <c r="H70">
        <v>5</v>
      </c>
      <c r="I70">
        <v>0</v>
      </c>
      <c r="J70">
        <v>30</v>
      </c>
      <c r="K70">
        <v>780</v>
      </c>
      <c r="L70">
        <v>34</v>
      </c>
      <c r="M70">
        <v>2</v>
      </c>
      <c r="N70">
        <v>5</v>
      </c>
      <c r="O70">
        <v>12</v>
      </c>
      <c r="P70">
        <v>448</v>
      </c>
      <c r="Q70" s="3">
        <v>2.6666666666666701</v>
      </c>
      <c r="R70">
        <v>1</v>
      </c>
      <c r="S70">
        <v>0</v>
      </c>
      <c r="U70">
        <v>-8.6139751552794994</v>
      </c>
      <c r="V70">
        <v>-1.25</v>
      </c>
      <c r="W70">
        <v>-8.4782608695652204</v>
      </c>
      <c r="X70">
        <v>-2</v>
      </c>
      <c r="Y70">
        <v>0</v>
      </c>
      <c r="Z70">
        <v>2.4</v>
      </c>
      <c r="AA70">
        <v>0.71428571428571397</v>
      </c>
    </row>
    <row r="71" spans="3:27" x14ac:dyDescent="0.2">
      <c r="C71" t="s">
        <v>51</v>
      </c>
      <c r="D71" t="s">
        <v>543</v>
      </c>
      <c r="E71">
        <v>190</v>
      </c>
      <c r="F71">
        <v>40</v>
      </c>
      <c r="G71">
        <v>4.5</v>
      </c>
      <c r="H71">
        <v>3</v>
      </c>
      <c r="I71">
        <v>0</v>
      </c>
      <c r="J71">
        <v>20</v>
      </c>
      <c r="K71">
        <v>150</v>
      </c>
      <c r="L71">
        <v>32</v>
      </c>
      <c r="M71">
        <v>0</v>
      </c>
      <c r="N71">
        <v>24</v>
      </c>
      <c r="O71">
        <v>5</v>
      </c>
      <c r="P71">
        <v>212</v>
      </c>
      <c r="Q71" s="3">
        <v>2.6315789473684199</v>
      </c>
      <c r="R71">
        <v>0</v>
      </c>
      <c r="S71">
        <v>0</v>
      </c>
      <c r="U71">
        <v>-10.9804347826087</v>
      </c>
      <c r="V71">
        <v>-0.75</v>
      </c>
      <c r="W71">
        <v>-1.6304347826087</v>
      </c>
      <c r="X71">
        <v>-9.6</v>
      </c>
      <c r="Y71">
        <v>0</v>
      </c>
      <c r="Z71">
        <v>1</v>
      </c>
      <c r="AA71">
        <v>0</v>
      </c>
    </row>
    <row r="72" spans="3:27" x14ac:dyDescent="0.2">
      <c r="C72" t="s">
        <v>51</v>
      </c>
      <c r="D72" t="s">
        <v>552</v>
      </c>
      <c r="E72">
        <v>930</v>
      </c>
      <c r="F72">
        <v>390</v>
      </c>
      <c r="G72">
        <v>44</v>
      </c>
      <c r="H72">
        <v>11</v>
      </c>
      <c r="I72">
        <v>0</v>
      </c>
      <c r="J72">
        <v>390</v>
      </c>
      <c r="K72">
        <v>2230</v>
      </c>
      <c r="L72">
        <v>110</v>
      </c>
      <c r="M72">
        <v>4</v>
      </c>
      <c r="N72">
        <v>40</v>
      </c>
      <c r="O72">
        <v>24</v>
      </c>
      <c r="P72">
        <v>957</v>
      </c>
      <c r="Q72" s="3">
        <v>2.5806451612903198</v>
      </c>
      <c r="R72">
        <v>1</v>
      </c>
      <c r="S72">
        <v>1</v>
      </c>
      <c r="U72">
        <v>-36.760559006211203</v>
      </c>
      <c r="V72">
        <v>-2.75</v>
      </c>
      <c r="W72">
        <v>-24.239130434782599</v>
      </c>
      <c r="X72">
        <v>-16</v>
      </c>
      <c r="Y72">
        <v>0</v>
      </c>
      <c r="Z72">
        <v>4.8</v>
      </c>
      <c r="AA72">
        <v>1.4285714285714299</v>
      </c>
    </row>
    <row r="73" spans="3:27" x14ac:dyDescent="0.2">
      <c r="C73" t="s">
        <v>51</v>
      </c>
      <c r="D73" t="s">
        <v>569</v>
      </c>
      <c r="E73">
        <v>580</v>
      </c>
      <c r="F73">
        <v>140</v>
      </c>
      <c r="G73">
        <v>15</v>
      </c>
      <c r="H73">
        <v>10</v>
      </c>
      <c r="I73">
        <v>0</v>
      </c>
      <c r="J73">
        <v>60</v>
      </c>
      <c r="K73">
        <v>420</v>
      </c>
      <c r="L73">
        <v>98</v>
      </c>
      <c r="M73">
        <v>0</v>
      </c>
      <c r="N73">
        <v>85</v>
      </c>
      <c r="O73">
        <v>14</v>
      </c>
      <c r="P73">
        <v>661</v>
      </c>
      <c r="Q73" s="3">
        <v>2.4137931034482798</v>
      </c>
      <c r="R73">
        <v>0</v>
      </c>
      <c r="S73">
        <v>0</v>
      </c>
      <c r="U73">
        <v>-38.265217391304297</v>
      </c>
      <c r="V73">
        <v>-2.5</v>
      </c>
      <c r="W73">
        <v>-4.5652173913043503</v>
      </c>
      <c r="X73">
        <v>-34</v>
      </c>
      <c r="Y73">
        <v>0</v>
      </c>
      <c r="Z73">
        <v>2.8</v>
      </c>
      <c r="AA73">
        <v>0</v>
      </c>
    </row>
    <row r="74" spans="3:27" x14ac:dyDescent="0.2">
      <c r="C74" t="s">
        <v>51</v>
      </c>
      <c r="D74" t="s">
        <v>576</v>
      </c>
      <c r="E74">
        <v>170</v>
      </c>
      <c r="F74">
        <v>30</v>
      </c>
      <c r="G74">
        <v>3</v>
      </c>
      <c r="H74">
        <v>1.5</v>
      </c>
      <c r="I74">
        <v>0</v>
      </c>
      <c r="J74">
        <v>5</v>
      </c>
      <c r="K74">
        <v>260</v>
      </c>
      <c r="L74">
        <v>32</v>
      </c>
      <c r="M74">
        <v>3</v>
      </c>
      <c r="N74">
        <v>12</v>
      </c>
      <c r="O74">
        <v>4</v>
      </c>
      <c r="P74">
        <v>180</v>
      </c>
      <c r="Q74" s="3">
        <v>2.3529411764705901</v>
      </c>
      <c r="R74">
        <v>0</v>
      </c>
      <c r="S74">
        <v>0</v>
      </c>
      <c r="U74">
        <v>-6.1296583850931698</v>
      </c>
      <c r="V74">
        <v>-0.375</v>
      </c>
      <c r="W74">
        <v>-2.8260869565217401</v>
      </c>
      <c r="X74">
        <v>-4.8</v>
      </c>
      <c r="Y74">
        <v>0</v>
      </c>
      <c r="Z74">
        <v>0.8</v>
      </c>
      <c r="AA74">
        <v>1.0714285714285701</v>
      </c>
    </row>
    <row r="75" spans="3:27" x14ac:dyDescent="0.2">
      <c r="C75" t="s">
        <v>51</v>
      </c>
      <c r="D75" t="s">
        <v>577</v>
      </c>
      <c r="E75">
        <v>510</v>
      </c>
      <c r="F75">
        <v>110</v>
      </c>
      <c r="G75">
        <v>13</v>
      </c>
      <c r="H75">
        <v>8</v>
      </c>
      <c r="I75">
        <v>0</v>
      </c>
      <c r="J75">
        <v>50</v>
      </c>
      <c r="K75">
        <v>350</v>
      </c>
      <c r="L75">
        <v>87</v>
      </c>
      <c r="M75">
        <v>1</v>
      </c>
      <c r="N75">
        <v>71</v>
      </c>
      <c r="O75">
        <v>12</v>
      </c>
      <c r="P75">
        <v>577</v>
      </c>
      <c r="Q75" s="3">
        <v>2.3529411764705901</v>
      </c>
      <c r="R75">
        <v>0</v>
      </c>
      <c r="S75">
        <v>0</v>
      </c>
      <c r="U75">
        <v>-31.447204968944099</v>
      </c>
      <c r="V75">
        <v>-2</v>
      </c>
      <c r="W75">
        <v>-3.8043478260869601</v>
      </c>
      <c r="X75">
        <v>-28.4</v>
      </c>
      <c r="Y75">
        <v>0</v>
      </c>
      <c r="Z75">
        <v>2.4</v>
      </c>
      <c r="AA75">
        <v>0.35714285714285698</v>
      </c>
    </row>
    <row r="76" spans="3:27" x14ac:dyDescent="0.2">
      <c r="C76" t="s">
        <v>51</v>
      </c>
      <c r="D76" t="s">
        <v>581</v>
      </c>
      <c r="E76">
        <v>300</v>
      </c>
      <c r="F76">
        <v>80</v>
      </c>
      <c r="G76">
        <v>8</v>
      </c>
      <c r="H76">
        <v>5</v>
      </c>
      <c r="I76">
        <v>0</v>
      </c>
      <c r="J76">
        <v>30</v>
      </c>
      <c r="K76">
        <v>200</v>
      </c>
      <c r="L76">
        <v>50</v>
      </c>
      <c r="M76">
        <v>1</v>
      </c>
      <c r="N76">
        <v>41</v>
      </c>
      <c r="O76">
        <v>7</v>
      </c>
      <c r="P76">
        <v>339</v>
      </c>
      <c r="Q76" s="3">
        <v>2.3333333333333299</v>
      </c>
      <c r="R76">
        <v>0</v>
      </c>
      <c r="S76">
        <v>0</v>
      </c>
      <c r="U76">
        <v>-18.0667701863354</v>
      </c>
      <c r="V76">
        <v>-1.25</v>
      </c>
      <c r="W76">
        <v>-2.1739130434782599</v>
      </c>
      <c r="X76">
        <v>-16.399999999999999</v>
      </c>
      <c r="Y76">
        <v>0</v>
      </c>
      <c r="Z76">
        <v>1.4</v>
      </c>
      <c r="AA76">
        <v>0.35714285714285698</v>
      </c>
    </row>
    <row r="77" spans="3:27" x14ac:dyDescent="0.2">
      <c r="C77" t="s">
        <v>51</v>
      </c>
      <c r="D77" t="s">
        <v>582</v>
      </c>
      <c r="E77">
        <v>300</v>
      </c>
      <c r="F77">
        <v>80</v>
      </c>
      <c r="G77">
        <v>8</v>
      </c>
      <c r="H77">
        <v>5</v>
      </c>
      <c r="I77">
        <v>0</v>
      </c>
      <c r="J77">
        <v>35</v>
      </c>
      <c r="K77">
        <v>210</v>
      </c>
      <c r="L77">
        <v>50</v>
      </c>
      <c r="M77">
        <v>0</v>
      </c>
      <c r="N77">
        <v>41</v>
      </c>
      <c r="O77">
        <v>7</v>
      </c>
      <c r="P77">
        <v>339</v>
      </c>
      <c r="Q77" s="3">
        <v>2.3333333333333299</v>
      </c>
      <c r="R77">
        <v>0</v>
      </c>
      <c r="S77">
        <v>0</v>
      </c>
      <c r="U77">
        <v>-18.5326086956522</v>
      </c>
      <c r="V77">
        <v>-1.25</v>
      </c>
      <c r="W77">
        <v>-2.2826086956521698</v>
      </c>
      <c r="X77">
        <v>-16.399999999999999</v>
      </c>
      <c r="Y77">
        <v>0</v>
      </c>
      <c r="Z77">
        <v>1.4</v>
      </c>
      <c r="AA77">
        <v>0</v>
      </c>
    </row>
    <row r="78" spans="3:27" x14ac:dyDescent="0.2">
      <c r="C78" t="s">
        <v>51</v>
      </c>
      <c r="D78" t="s">
        <v>588</v>
      </c>
      <c r="E78">
        <v>740</v>
      </c>
      <c r="F78">
        <v>190</v>
      </c>
      <c r="G78">
        <v>22</v>
      </c>
      <c r="H78">
        <v>13</v>
      </c>
      <c r="I78">
        <v>0.5</v>
      </c>
      <c r="J78">
        <v>70</v>
      </c>
      <c r="K78">
        <v>680</v>
      </c>
      <c r="L78">
        <v>121</v>
      </c>
      <c r="M78">
        <v>1</v>
      </c>
      <c r="N78">
        <v>101</v>
      </c>
      <c r="O78">
        <v>17</v>
      </c>
      <c r="P78">
        <v>837</v>
      </c>
      <c r="Q78" s="3">
        <v>2.2972972972973</v>
      </c>
      <c r="R78">
        <v>1</v>
      </c>
      <c r="S78">
        <v>0</v>
      </c>
      <c r="U78">
        <v>-47.284661490683199</v>
      </c>
      <c r="V78">
        <v>-3.25</v>
      </c>
      <c r="W78">
        <v>-7.3913043478260896</v>
      </c>
      <c r="X78">
        <v>-40.4</v>
      </c>
      <c r="Y78">
        <v>-5.0000000000000001E-4</v>
      </c>
      <c r="Z78">
        <v>3.4</v>
      </c>
      <c r="AA78">
        <v>0.35714285714285698</v>
      </c>
    </row>
    <row r="79" spans="3:27" x14ac:dyDescent="0.2">
      <c r="C79" t="s">
        <v>51</v>
      </c>
      <c r="D79" t="s">
        <v>589</v>
      </c>
      <c r="E79">
        <v>610</v>
      </c>
      <c r="F79">
        <v>140</v>
      </c>
      <c r="G79">
        <v>16</v>
      </c>
      <c r="H79">
        <v>10</v>
      </c>
      <c r="I79">
        <v>0</v>
      </c>
      <c r="J79">
        <v>60</v>
      </c>
      <c r="K79">
        <v>500</v>
      </c>
      <c r="L79">
        <v>103</v>
      </c>
      <c r="M79">
        <v>1</v>
      </c>
      <c r="N79">
        <v>88</v>
      </c>
      <c r="O79">
        <v>14</v>
      </c>
      <c r="P79">
        <v>694</v>
      </c>
      <c r="Q79" s="3">
        <v>2.2950819672131102</v>
      </c>
      <c r="R79">
        <v>1</v>
      </c>
      <c r="S79">
        <v>0</v>
      </c>
      <c r="U79">
        <v>-39.9776397515528</v>
      </c>
      <c r="V79">
        <v>-2.5</v>
      </c>
      <c r="W79">
        <v>-5.4347826086956497</v>
      </c>
      <c r="X79">
        <v>-35.200000000000003</v>
      </c>
      <c r="Y79">
        <v>0</v>
      </c>
      <c r="Z79">
        <v>2.8</v>
      </c>
      <c r="AA79">
        <v>0.35714285714285698</v>
      </c>
    </row>
    <row r="80" spans="3:27" x14ac:dyDescent="0.2">
      <c r="C80" t="s">
        <v>51</v>
      </c>
      <c r="D80" t="s">
        <v>596</v>
      </c>
      <c r="E80">
        <v>400</v>
      </c>
      <c r="F80">
        <v>90</v>
      </c>
      <c r="G80">
        <v>10</v>
      </c>
      <c r="H80">
        <v>7</v>
      </c>
      <c r="I80">
        <v>0</v>
      </c>
      <c r="J80">
        <v>40</v>
      </c>
      <c r="K80">
        <v>270</v>
      </c>
      <c r="L80">
        <v>68</v>
      </c>
      <c r="M80">
        <v>1</v>
      </c>
      <c r="N80">
        <v>58</v>
      </c>
      <c r="O80">
        <v>9</v>
      </c>
      <c r="P80">
        <v>456</v>
      </c>
      <c r="Q80" s="3">
        <v>2.25</v>
      </c>
      <c r="R80">
        <v>0</v>
      </c>
      <c r="S80">
        <v>0</v>
      </c>
      <c r="U80">
        <v>-25.7276397515528</v>
      </c>
      <c r="V80">
        <v>-1.75</v>
      </c>
      <c r="W80">
        <v>-2.9347826086956501</v>
      </c>
      <c r="X80">
        <v>-23.2</v>
      </c>
      <c r="Y80">
        <v>0</v>
      </c>
      <c r="Z80">
        <v>1.8</v>
      </c>
      <c r="AA80">
        <v>0.35714285714285698</v>
      </c>
    </row>
    <row r="81" spans="3:27" x14ac:dyDescent="0.2">
      <c r="C81" t="s">
        <v>51</v>
      </c>
      <c r="D81" t="s">
        <v>597</v>
      </c>
      <c r="E81">
        <v>400</v>
      </c>
      <c r="F81">
        <v>90</v>
      </c>
      <c r="G81">
        <v>10</v>
      </c>
      <c r="H81">
        <v>7</v>
      </c>
      <c r="I81">
        <v>0</v>
      </c>
      <c r="J81">
        <v>40</v>
      </c>
      <c r="K81">
        <v>280</v>
      </c>
      <c r="L81">
        <v>68</v>
      </c>
      <c r="M81">
        <v>0</v>
      </c>
      <c r="N81">
        <v>56</v>
      </c>
      <c r="O81">
        <v>9</v>
      </c>
      <c r="P81">
        <v>454</v>
      </c>
      <c r="Q81" s="3">
        <v>2.25</v>
      </c>
      <c r="R81">
        <v>0</v>
      </c>
      <c r="S81">
        <v>0</v>
      </c>
      <c r="U81">
        <v>-25.3934782608696</v>
      </c>
      <c r="V81">
        <v>-1.75</v>
      </c>
      <c r="W81">
        <v>-3.0434782608695699</v>
      </c>
      <c r="X81">
        <v>-22.4</v>
      </c>
      <c r="Y81">
        <v>0</v>
      </c>
      <c r="Z81">
        <v>1.8</v>
      </c>
      <c r="AA81">
        <v>0</v>
      </c>
    </row>
    <row r="82" spans="3:27" x14ac:dyDescent="0.2">
      <c r="C82" t="s">
        <v>51</v>
      </c>
      <c r="D82" t="s">
        <v>604</v>
      </c>
      <c r="E82">
        <v>720</v>
      </c>
      <c r="F82">
        <v>180</v>
      </c>
      <c r="G82">
        <v>20</v>
      </c>
      <c r="H82">
        <v>12</v>
      </c>
      <c r="I82">
        <v>0.5</v>
      </c>
      <c r="J82">
        <v>65</v>
      </c>
      <c r="K82">
        <v>540</v>
      </c>
      <c r="L82">
        <v>118</v>
      </c>
      <c r="M82">
        <v>1</v>
      </c>
      <c r="N82">
        <v>98</v>
      </c>
      <c r="O82">
        <v>16</v>
      </c>
      <c r="P82">
        <v>814</v>
      </c>
      <c r="Q82" s="3">
        <v>2.2222222222222201</v>
      </c>
      <c r="R82">
        <v>1</v>
      </c>
      <c r="S82">
        <v>0</v>
      </c>
      <c r="U82">
        <v>-44.512922360248503</v>
      </c>
      <c r="V82">
        <v>-3</v>
      </c>
      <c r="W82">
        <v>-5.8695652173913002</v>
      </c>
      <c r="X82">
        <v>-39.200000000000003</v>
      </c>
      <c r="Y82">
        <v>-5.0000000000000001E-4</v>
      </c>
      <c r="Z82">
        <v>3.2</v>
      </c>
      <c r="AA82">
        <v>0.35714285714285698</v>
      </c>
    </row>
    <row r="83" spans="3:27" x14ac:dyDescent="0.2">
      <c r="C83" t="s">
        <v>51</v>
      </c>
      <c r="D83" t="s">
        <v>606</v>
      </c>
      <c r="E83">
        <v>500</v>
      </c>
      <c r="F83">
        <v>110</v>
      </c>
      <c r="G83">
        <v>12</v>
      </c>
      <c r="H83">
        <v>8</v>
      </c>
      <c r="I83">
        <v>0</v>
      </c>
      <c r="J83">
        <v>50</v>
      </c>
      <c r="K83">
        <v>350</v>
      </c>
      <c r="L83">
        <v>86</v>
      </c>
      <c r="M83">
        <v>0</v>
      </c>
      <c r="N83">
        <v>71</v>
      </c>
      <c r="O83">
        <v>11</v>
      </c>
      <c r="P83">
        <v>568</v>
      </c>
      <c r="Q83" s="3">
        <v>2.2000000000000002</v>
      </c>
      <c r="R83">
        <v>0</v>
      </c>
      <c r="S83">
        <v>0</v>
      </c>
      <c r="U83">
        <v>-32.004347826086999</v>
      </c>
      <c r="V83">
        <v>-2</v>
      </c>
      <c r="W83">
        <v>-3.8043478260869601</v>
      </c>
      <c r="X83">
        <v>-28.4</v>
      </c>
      <c r="Y83">
        <v>0</v>
      </c>
      <c r="Z83">
        <v>2.2000000000000002</v>
      </c>
      <c r="AA83">
        <v>0</v>
      </c>
    </row>
    <row r="84" spans="3:27" x14ac:dyDescent="0.2">
      <c r="C84" t="s">
        <v>51</v>
      </c>
      <c r="D84" t="s">
        <v>607</v>
      </c>
      <c r="E84">
        <v>640</v>
      </c>
      <c r="F84">
        <v>140</v>
      </c>
      <c r="G84">
        <v>15</v>
      </c>
      <c r="H84">
        <v>10</v>
      </c>
      <c r="I84">
        <v>0</v>
      </c>
      <c r="J84">
        <v>60</v>
      </c>
      <c r="K84">
        <v>440</v>
      </c>
      <c r="L84">
        <v>113</v>
      </c>
      <c r="M84">
        <v>0</v>
      </c>
      <c r="N84">
        <v>99</v>
      </c>
      <c r="O84">
        <v>14</v>
      </c>
      <c r="P84">
        <v>735</v>
      </c>
      <c r="Q84" s="3">
        <v>2.1875</v>
      </c>
      <c r="R84">
        <v>0</v>
      </c>
      <c r="S84">
        <v>0</v>
      </c>
      <c r="U84">
        <v>-44.082608695652198</v>
      </c>
      <c r="V84">
        <v>-2.5</v>
      </c>
      <c r="W84">
        <v>-4.7826086956521703</v>
      </c>
      <c r="X84">
        <v>-39.6</v>
      </c>
      <c r="Y84">
        <v>0</v>
      </c>
      <c r="Z84">
        <v>2.8</v>
      </c>
      <c r="AA84">
        <v>0</v>
      </c>
    </row>
    <row r="85" spans="3:27" x14ac:dyDescent="0.2">
      <c r="C85" t="s">
        <v>51</v>
      </c>
      <c r="D85" t="s">
        <v>621</v>
      </c>
      <c r="E85">
        <v>240</v>
      </c>
      <c r="F85">
        <v>50</v>
      </c>
      <c r="G85">
        <v>5</v>
      </c>
      <c r="H85">
        <v>3.5</v>
      </c>
      <c r="I85">
        <v>0</v>
      </c>
      <c r="J85">
        <v>20</v>
      </c>
      <c r="K85">
        <v>210</v>
      </c>
      <c r="L85">
        <v>42</v>
      </c>
      <c r="M85">
        <v>0</v>
      </c>
      <c r="N85">
        <v>33</v>
      </c>
      <c r="O85">
        <v>5</v>
      </c>
      <c r="P85">
        <v>272</v>
      </c>
      <c r="Q85" s="3">
        <v>2.0833333333333299</v>
      </c>
      <c r="R85">
        <v>0</v>
      </c>
      <c r="S85">
        <v>0</v>
      </c>
      <c r="U85">
        <v>-15.3576086956522</v>
      </c>
      <c r="V85">
        <v>-0.875</v>
      </c>
      <c r="W85">
        <v>-2.2826086956521698</v>
      </c>
      <c r="X85">
        <v>-13.2</v>
      </c>
      <c r="Y85">
        <v>0</v>
      </c>
      <c r="Z85">
        <v>1</v>
      </c>
      <c r="AA85">
        <v>0</v>
      </c>
    </row>
    <row r="86" spans="3:27" x14ac:dyDescent="0.2">
      <c r="C86" t="s">
        <v>51</v>
      </c>
      <c r="D86" t="s">
        <v>628</v>
      </c>
      <c r="E86">
        <v>610</v>
      </c>
      <c r="F86">
        <v>280</v>
      </c>
      <c r="G86">
        <v>31</v>
      </c>
      <c r="H86">
        <v>9</v>
      </c>
      <c r="I86">
        <v>0</v>
      </c>
      <c r="J86">
        <v>80</v>
      </c>
      <c r="K86">
        <v>1010</v>
      </c>
      <c r="L86">
        <v>72</v>
      </c>
      <c r="M86">
        <v>1</v>
      </c>
      <c r="N86">
        <v>30</v>
      </c>
      <c r="O86">
        <v>12</v>
      </c>
      <c r="P86">
        <v>637</v>
      </c>
      <c r="Q86" s="3">
        <v>1.9672131147541001</v>
      </c>
      <c r="R86">
        <v>1</v>
      </c>
      <c r="S86">
        <v>0</v>
      </c>
      <c r="U86">
        <v>-22.471118012422401</v>
      </c>
      <c r="V86">
        <v>-2.25</v>
      </c>
      <c r="W86">
        <v>-10.978260869565201</v>
      </c>
      <c r="X86">
        <v>-12</v>
      </c>
      <c r="Y86">
        <v>0</v>
      </c>
      <c r="Z86">
        <v>2.4</v>
      </c>
      <c r="AA86">
        <v>0.35714285714285698</v>
      </c>
    </row>
    <row r="87" spans="3:27" x14ac:dyDescent="0.2">
      <c r="C87" t="s">
        <v>51</v>
      </c>
      <c r="D87" t="s">
        <v>632</v>
      </c>
      <c r="E87">
        <v>260</v>
      </c>
      <c r="F87">
        <v>45</v>
      </c>
      <c r="G87">
        <v>5</v>
      </c>
      <c r="H87">
        <v>3</v>
      </c>
      <c r="I87">
        <v>0</v>
      </c>
      <c r="J87">
        <v>20</v>
      </c>
      <c r="K87">
        <v>160</v>
      </c>
      <c r="L87">
        <v>49</v>
      </c>
      <c r="M87">
        <v>1</v>
      </c>
      <c r="N87">
        <v>43</v>
      </c>
      <c r="O87">
        <v>5</v>
      </c>
      <c r="P87">
        <v>301</v>
      </c>
      <c r="Q87" s="3">
        <v>1.92307692307692</v>
      </c>
      <c r="R87">
        <v>0</v>
      </c>
      <c r="S87">
        <v>0</v>
      </c>
      <c r="U87">
        <v>-18.331987577639801</v>
      </c>
      <c r="V87">
        <v>-0.75</v>
      </c>
      <c r="W87">
        <v>-1.73913043478261</v>
      </c>
      <c r="X87">
        <v>-17.2</v>
      </c>
      <c r="Y87">
        <v>0</v>
      </c>
      <c r="Z87">
        <v>1</v>
      </c>
      <c r="AA87">
        <v>0.35714285714285698</v>
      </c>
    </row>
    <row r="88" spans="3:27" x14ac:dyDescent="0.2">
      <c r="C88" t="s">
        <v>51</v>
      </c>
      <c r="D88" t="s">
        <v>643</v>
      </c>
      <c r="E88">
        <v>350</v>
      </c>
      <c r="F88">
        <v>170</v>
      </c>
      <c r="G88">
        <v>18</v>
      </c>
      <c r="H88">
        <v>8</v>
      </c>
      <c r="I88">
        <v>0</v>
      </c>
      <c r="J88">
        <v>35</v>
      </c>
      <c r="K88">
        <v>310</v>
      </c>
      <c r="L88">
        <v>41</v>
      </c>
      <c r="M88">
        <v>1</v>
      </c>
      <c r="N88">
        <v>25</v>
      </c>
      <c r="O88">
        <v>6</v>
      </c>
      <c r="P88">
        <v>377</v>
      </c>
      <c r="Q88" s="3">
        <v>1.71428571428571</v>
      </c>
      <c r="R88">
        <v>0</v>
      </c>
      <c r="S88">
        <v>0</v>
      </c>
      <c r="U88">
        <v>-13.8124223602484</v>
      </c>
      <c r="V88">
        <v>-2</v>
      </c>
      <c r="W88">
        <v>-3.3695652173913002</v>
      </c>
      <c r="X88">
        <v>-10</v>
      </c>
      <c r="Y88">
        <v>0</v>
      </c>
      <c r="Z88">
        <v>1.2</v>
      </c>
      <c r="AA88">
        <v>0.35714285714285698</v>
      </c>
    </row>
    <row r="89" spans="3:27" x14ac:dyDescent="0.2">
      <c r="C89" t="s">
        <v>51</v>
      </c>
      <c r="D89" t="s">
        <v>648</v>
      </c>
      <c r="E89">
        <v>60</v>
      </c>
      <c r="F89">
        <v>20</v>
      </c>
      <c r="G89">
        <v>2.5</v>
      </c>
      <c r="H89">
        <v>0</v>
      </c>
      <c r="I89">
        <v>0</v>
      </c>
      <c r="J89">
        <v>10</v>
      </c>
      <c r="K89">
        <v>180</v>
      </c>
      <c r="L89">
        <v>9</v>
      </c>
      <c r="M89">
        <v>0</v>
      </c>
      <c r="N89">
        <v>1</v>
      </c>
      <c r="O89">
        <v>1</v>
      </c>
      <c r="P89">
        <v>60</v>
      </c>
      <c r="Q89" s="3">
        <v>1.6666666666666701</v>
      </c>
      <c r="R89">
        <v>0</v>
      </c>
      <c r="S89">
        <v>0</v>
      </c>
      <c r="U89">
        <v>-2.1565217391304299</v>
      </c>
      <c r="V89">
        <v>0</v>
      </c>
      <c r="W89">
        <v>-1.9565217391304399</v>
      </c>
      <c r="X89">
        <v>-0.4</v>
      </c>
      <c r="Y89">
        <v>0</v>
      </c>
      <c r="Z89">
        <v>0.2</v>
      </c>
      <c r="AA89">
        <v>0</v>
      </c>
    </row>
    <row r="90" spans="3:27" x14ac:dyDescent="0.2">
      <c r="C90" t="s">
        <v>51</v>
      </c>
      <c r="D90" t="s">
        <v>663</v>
      </c>
      <c r="E90">
        <v>140</v>
      </c>
      <c r="F90">
        <v>0</v>
      </c>
      <c r="G90">
        <v>0</v>
      </c>
      <c r="H90">
        <v>0</v>
      </c>
      <c r="I90">
        <v>0</v>
      </c>
      <c r="J90">
        <v>0</v>
      </c>
      <c r="K90">
        <v>20</v>
      </c>
      <c r="L90">
        <v>33</v>
      </c>
      <c r="M90">
        <v>0</v>
      </c>
      <c r="N90">
        <v>30</v>
      </c>
      <c r="O90">
        <v>2</v>
      </c>
      <c r="P90">
        <v>168</v>
      </c>
      <c r="Q90" s="3">
        <v>1.4285714285714299</v>
      </c>
      <c r="R90">
        <v>0</v>
      </c>
      <c r="S90">
        <v>0</v>
      </c>
      <c r="U90">
        <v>-11.817391304347799</v>
      </c>
      <c r="V90">
        <v>0</v>
      </c>
      <c r="W90">
        <v>-0.217391304347826</v>
      </c>
      <c r="X90">
        <v>-12</v>
      </c>
      <c r="Y90">
        <v>0</v>
      </c>
      <c r="Z90">
        <v>0.4</v>
      </c>
      <c r="AA90">
        <v>0</v>
      </c>
    </row>
    <row r="91" spans="3:27" x14ac:dyDescent="0.2">
      <c r="C91" t="s">
        <v>51</v>
      </c>
      <c r="D91" t="s">
        <v>676</v>
      </c>
      <c r="E91">
        <v>380</v>
      </c>
      <c r="F91">
        <v>160</v>
      </c>
      <c r="G91">
        <v>18</v>
      </c>
      <c r="H91">
        <v>3</v>
      </c>
      <c r="I91">
        <v>0</v>
      </c>
      <c r="J91">
        <v>0</v>
      </c>
      <c r="K91">
        <v>430</v>
      </c>
      <c r="L91">
        <v>49</v>
      </c>
      <c r="M91">
        <v>2</v>
      </c>
      <c r="N91">
        <v>13</v>
      </c>
      <c r="O91">
        <v>5</v>
      </c>
      <c r="P91">
        <v>391</v>
      </c>
      <c r="Q91" s="3">
        <v>1.31578947368421</v>
      </c>
      <c r="R91">
        <v>0</v>
      </c>
      <c r="S91">
        <v>0</v>
      </c>
      <c r="U91">
        <v>-8.9096273291925492</v>
      </c>
      <c r="V91">
        <v>-0.75</v>
      </c>
      <c r="W91">
        <v>-4.6739130434782599</v>
      </c>
      <c r="X91">
        <v>-5.2</v>
      </c>
      <c r="Y91">
        <v>0</v>
      </c>
      <c r="Z91">
        <v>1</v>
      </c>
      <c r="AA91">
        <v>0.71428571428571397</v>
      </c>
    </row>
    <row r="92" spans="3:27" x14ac:dyDescent="0.2">
      <c r="C92" t="s">
        <v>51</v>
      </c>
      <c r="D92" t="s">
        <v>679</v>
      </c>
      <c r="E92">
        <v>230</v>
      </c>
      <c r="F92">
        <v>100</v>
      </c>
      <c r="G92">
        <v>11</v>
      </c>
      <c r="H92">
        <v>2</v>
      </c>
      <c r="I92">
        <v>0</v>
      </c>
      <c r="J92">
        <v>0</v>
      </c>
      <c r="K92">
        <v>260</v>
      </c>
      <c r="L92">
        <v>29</v>
      </c>
      <c r="M92">
        <v>1</v>
      </c>
      <c r="N92">
        <v>8</v>
      </c>
      <c r="O92">
        <v>3</v>
      </c>
      <c r="P92">
        <v>237</v>
      </c>
      <c r="Q92" s="3">
        <v>1.3043478260869601</v>
      </c>
      <c r="R92">
        <v>0</v>
      </c>
      <c r="S92">
        <v>0</v>
      </c>
      <c r="U92">
        <v>-5.5689440993788804</v>
      </c>
      <c r="V92">
        <v>-0.5</v>
      </c>
      <c r="W92">
        <v>-2.8260869565217401</v>
      </c>
      <c r="X92">
        <v>-3.2</v>
      </c>
      <c r="Y92">
        <v>0</v>
      </c>
      <c r="Z92">
        <v>0.6</v>
      </c>
      <c r="AA92">
        <v>0.35714285714285698</v>
      </c>
    </row>
    <row r="93" spans="3:27" x14ac:dyDescent="0.2">
      <c r="C93" t="s">
        <v>51</v>
      </c>
      <c r="D93" t="s">
        <v>682</v>
      </c>
      <c r="E93">
        <v>310</v>
      </c>
      <c r="F93">
        <v>10</v>
      </c>
      <c r="G93">
        <v>1</v>
      </c>
      <c r="H93">
        <v>0</v>
      </c>
      <c r="I93">
        <v>0</v>
      </c>
      <c r="J93">
        <v>0</v>
      </c>
      <c r="K93">
        <v>55</v>
      </c>
      <c r="L93">
        <v>71</v>
      </c>
      <c r="M93">
        <v>3</v>
      </c>
      <c r="N93">
        <v>50</v>
      </c>
      <c r="O93">
        <v>4</v>
      </c>
      <c r="P93">
        <v>356</v>
      </c>
      <c r="Q93" s="3">
        <v>1.2903225806451599</v>
      </c>
      <c r="R93">
        <v>0</v>
      </c>
      <c r="S93">
        <v>0</v>
      </c>
      <c r="U93">
        <v>-18.7263975155279</v>
      </c>
      <c r="V93">
        <v>0</v>
      </c>
      <c r="W93">
        <v>-0.59782608695652195</v>
      </c>
      <c r="X93">
        <v>-20</v>
      </c>
      <c r="Y93">
        <v>0</v>
      </c>
      <c r="Z93">
        <v>0.8</v>
      </c>
      <c r="AA93">
        <v>1.0714285714285701</v>
      </c>
    </row>
    <row r="94" spans="3:27" x14ac:dyDescent="0.2">
      <c r="C94" t="s">
        <v>51</v>
      </c>
      <c r="D94" t="s">
        <v>685</v>
      </c>
      <c r="E94">
        <v>320</v>
      </c>
      <c r="F94">
        <v>120</v>
      </c>
      <c r="G94">
        <v>13</v>
      </c>
      <c r="H94">
        <v>2</v>
      </c>
      <c r="I94">
        <v>0</v>
      </c>
      <c r="J94">
        <v>0</v>
      </c>
      <c r="K94">
        <v>300</v>
      </c>
      <c r="L94">
        <v>49</v>
      </c>
      <c r="M94">
        <v>5</v>
      </c>
      <c r="N94">
        <v>1</v>
      </c>
      <c r="O94">
        <v>4</v>
      </c>
      <c r="P94">
        <v>319</v>
      </c>
      <c r="Q94" s="3">
        <v>1.25</v>
      </c>
      <c r="R94">
        <v>0</v>
      </c>
      <c r="S94">
        <v>0</v>
      </c>
      <c r="U94">
        <v>-1.5751552795031101</v>
      </c>
      <c r="V94">
        <v>-0.5</v>
      </c>
      <c r="W94">
        <v>-3.2608695652173898</v>
      </c>
      <c r="X94">
        <v>-0.4</v>
      </c>
      <c r="Y94">
        <v>0</v>
      </c>
      <c r="Z94">
        <v>0.8</v>
      </c>
      <c r="AA94">
        <v>1.78571428571429</v>
      </c>
    </row>
    <row r="95" spans="3:27" x14ac:dyDescent="0.2">
      <c r="C95" t="s">
        <v>51</v>
      </c>
      <c r="D95" t="s">
        <v>686</v>
      </c>
      <c r="E95">
        <v>160</v>
      </c>
      <c r="F95">
        <v>70</v>
      </c>
      <c r="G95">
        <v>8</v>
      </c>
      <c r="H95">
        <v>4</v>
      </c>
      <c r="I95">
        <v>0</v>
      </c>
      <c r="J95">
        <v>10</v>
      </c>
      <c r="K95">
        <v>125</v>
      </c>
      <c r="L95">
        <v>24</v>
      </c>
      <c r="M95">
        <v>1</v>
      </c>
      <c r="N95">
        <v>15</v>
      </c>
      <c r="O95">
        <v>2</v>
      </c>
      <c r="P95">
        <v>177</v>
      </c>
      <c r="Q95" s="3">
        <v>1.25</v>
      </c>
      <c r="R95">
        <v>0</v>
      </c>
      <c r="S95">
        <v>0</v>
      </c>
      <c r="U95">
        <v>-7.6015527950310604</v>
      </c>
      <c r="V95">
        <v>-1</v>
      </c>
      <c r="W95">
        <v>-1.35869565217391</v>
      </c>
      <c r="X95">
        <v>-6</v>
      </c>
      <c r="Y95">
        <v>0</v>
      </c>
      <c r="Z95">
        <v>0.4</v>
      </c>
      <c r="AA95">
        <v>0.35714285714285698</v>
      </c>
    </row>
    <row r="96" spans="3:27" x14ac:dyDescent="0.2">
      <c r="C96" t="s">
        <v>51</v>
      </c>
      <c r="D96" t="s">
        <v>698</v>
      </c>
      <c r="E96">
        <v>430</v>
      </c>
      <c r="F96">
        <v>160</v>
      </c>
      <c r="G96">
        <v>18</v>
      </c>
      <c r="H96">
        <v>2.5</v>
      </c>
      <c r="I96">
        <v>0</v>
      </c>
      <c r="J96">
        <v>0</v>
      </c>
      <c r="K96">
        <v>410</v>
      </c>
      <c r="L96">
        <v>66</v>
      </c>
      <c r="M96">
        <v>7</v>
      </c>
      <c r="N96">
        <v>2</v>
      </c>
      <c r="O96">
        <v>5</v>
      </c>
      <c r="P96">
        <v>430</v>
      </c>
      <c r="Q96" s="3">
        <v>1.16279069767442</v>
      </c>
      <c r="R96">
        <v>0</v>
      </c>
      <c r="S96">
        <v>0</v>
      </c>
      <c r="U96">
        <v>-2.38152173913043</v>
      </c>
      <c r="V96">
        <v>-0.625</v>
      </c>
      <c r="W96">
        <v>-4.4565217391304301</v>
      </c>
      <c r="X96">
        <v>-0.8</v>
      </c>
      <c r="Y96">
        <v>0</v>
      </c>
      <c r="Z96">
        <v>1</v>
      </c>
      <c r="AA96">
        <v>2.5</v>
      </c>
    </row>
    <row r="97" spans="3:27" x14ac:dyDescent="0.2">
      <c r="C97" t="s">
        <v>51</v>
      </c>
      <c r="D97" t="s">
        <v>700</v>
      </c>
      <c r="E97">
        <v>180</v>
      </c>
      <c r="F97">
        <v>70</v>
      </c>
      <c r="G97">
        <v>8</v>
      </c>
      <c r="H97">
        <v>4</v>
      </c>
      <c r="I97">
        <v>0</v>
      </c>
      <c r="J97">
        <v>25</v>
      </c>
      <c r="K97">
        <v>40</v>
      </c>
      <c r="L97">
        <v>27</v>
      </c>
      <c r="M97">
        <v>1</v>
      </c>
      <c r="N97">
        <v>25</v>
      </c>
      <c r="O97">
        <v>2</v>
      </c>
      <c r="P97">
        <v>207</v>
      </c>
      <c r="Q97" s="3">
        <v>1.1111111111111101</v>
      </c>
      <c r="R97">
        <v>0</v>
      </c>
      <c r="S97">
        <v>0</v>
      </c>
      <c r="U97">
        <v>-10.6776397515528</v>
      </c>
      <c r="V97">
        <v>-1</v>
      </c>
      <c r="W97">
        <v>-0.434782608695652</v>
      </c>
      <c r="X97">
        <v>-10</v>
      </c>
      <c r="Y97">
        <v>0</v>
      </c>
      <c r="Z97">
        <v>0.4</v>
      </c>
      <c r="AA97">
        <v>0.35714285714285698</v>
      </c>
    </row>
    <row r="98" spans="3:27" x14ac:dyDescent="0.2">
      <c r="C98" t="s">
        <v>51</v>
      </c>
      <c r="D98" t="s">
        <v>702</v>
      </c>
      <c r="E98">
        <v>370</v>
      </c>
      <c r="F98">
        <v>180</v>
      </c>
      <c r="G98">
        <v>20</v>
      </c>
      <c r="H98">
        <v>13</v>
      </c>
      <c r="I98">
        <v>0</v>
      </c>
      <c r="J98">
        <v>10</v>
      </c>
      <c r="K98">
        <v>330</v>
      </c>
      <c r="L98">
        <v>45</v>
      </c>
      <c r="M98">
        <v>1</v>
      </c>
      <c r="N98">
        <v>30</v>
      </c>
      <c r="O98">
        <v>4</v>
      </c>
      <c r="P98">
        <v>409</v>
      </c>
      <c r="Q98" s="3">
        <v>1.08108108108108</v>
      </c>
      <c r="R98">
        <v>0</v>
      </c>
      <c r="S98">
        <v>0</v>
      </c>
      <c r="U98">
        <v>-17.679813664596299</v>
      </c>
      <c r="V98">
        <v>-3.25</v>
      </c>
      <c r="W98">
        <v>-3.5869565217391299</v>
      </c>
      <c r="X98">
        <v>-12</v>
      </c>
      <c r="Y98">
        <v>0</v>
      </c>
      <c r="Z98">
        <v>0.8</v>
      </c>
      <c r="AA98">
        <v>0.35714285714285698</v>
      </c>
    </row>
    <row r="99" spans="3:27" x14ac:dyDescent="0.2">
      <c r="C99" t="s">
        <v>51</v>
      </c>
      <c r="D99" t="s">
        <v>708</v>
      </c>
      <c r="E99">
        <v>380</v>
      </c>
      <c r="F99">
        <v>140</v>
      </c>
      <c r="G99">
        <v>16</v>
      </c>
      <c r="H99">
        <v>2</v>
      </c>
      <c r="I99">
        <v>0</v>
      </c>
      <c r="J99">
        <v>0</v>
      </c>
      <c r="K99">
        <v>360</v>
      </c>
      <c r="L99">
        <v>58</v>
      </c>
      <c r="M99">
        <v>6</v>
      </c>
      <c r="N99">
        <v>1</v>
      </c>
      <c r="O99">
        <v>4</v>
      </c>
      <c r="P99">
        <v>379</v>
      </c>
      <c r="Q99" s="3">
        <v>1.0526315789473699</v>
      </c>
      <c r="R99">
        <v>0</v>
      </c>
      <c r="S99">
        <v>0</v>
      </c>
      <c r="U99">
        <v>-1.87018633540373</v>
      </c>
      <c r="V99">
        <v>-0.5</v>
      </c>
      <c r="W99">
        <v>-3.9130434782608701</v>
      </c>
      <c r="X99">
        <v>-0.4</v>
      </c>
      <c r="Y99">
        <v>0</v>
      </c>
      <c r="Z99">
        <v>0.8</v>
      </c>
      <c r="AA99">
        <v>2.1428571428571401</v>
      </c>
    </row>
    <row r="100" spans="3:27" x14ac:dyDescent="0.2">
      <c r="C100" t="s">
        <v>51</v>
      </c>
      <c r="D100" t="s">
        <v>711</v>
      </c>
      <c r="E100">
        <v>500</v>
      </c>
      <c r="F100">
        <v>230</v>
      </c>
      <c r="G100">
        <v>25</v>
      </c>
      <c r="H100">
        <v>4.5</v>
      </c>
      <c r="I100">
        <v>0</v>
      </c>
      <c r="J100">
        <v>0</v>
      </c>
      <c r="K100">
        <v>1310</v>
      </c>
      <c r="L100">
        <v>64</v>
      </c>
      <c r="M100">
        <v>5</v>
      </c>
      <c r="N100">
        <v>7</v>
      </c>
      <c r="O100">
        <v>5</v>
      </c>
      <c r="P100">
        <v>507</v>
      </c>
      <c r="Q100" s="3">
        <v>1</v>
      </c>
      <c r="R100">
        <v>1</v>
      </c>
      <c r="S100">
        <v>0</v>
      </c>
      <c r="U100">
        <v>-15.3784161490683</v>
      </c>
      <c r="V100">
        <v>-1.125</v>
      </c>
      <c r="W100">
        <v>-14.2391304347826</v>
      </c>
      <c r="X100">
        <v>-2.8</v>
      </c>
      <c r="Y100">
        <v>0</v>
      </c>
      <c r="Z100">
        <v>1</v>
      </c>
      <c r="AA100">
        <v>1.78571428571429</v>
      </c>
    </row>
    <row r="101" spans="3:27" x14ac:dyDescent="0.2">
      <c r="C101" t="s">
        <v>51</v>
      </c>
      <c r="D101" t="s">
        <v>712</v>
      </c>
      <c r="E101">
        <v>200</v>
      </c>
      <c r="F101">
        <v>90</v>
      </c>
      <c r="G101">
        <v>10</v>
      </c>
      <c r="H101">
        <v>5</v>
      </c>
      <c r="I101">
        <v>0</v>
      </c>
      <c r="J101">
        <v>30</v>
      </c>
      <c r="K101">
        <v>40</v>
      </c>
      <c r="L101">
        <v>27</v>
      </c>
      <c r="M101">
        <v>0</v>
      </c>
      <c r="N101">
        <v>27</v>
      </c>
      <c r="O101">
        <v>2</v>
      </c>
      <c r="P101">
        <v>230</v>
      </c>
      <c r="Q101" s="3">
        <v>1</v>
      </c>
      <c r="R101">
        <v>0</v>
      </c>
      <c r="S101">
        <v>0</v>
      </c>
      <c r="U101">
        <v>-12.084782608695701</v>
      </c>
      <c r="V101">
        <v>-1.25</v>
      </c>
      <c r="W101">
        <v>-0.434782608695652</v>
      </c>
      <c r="X101">
        <v>-10.8</v>
      </c>
      <c r="Y101">
        <v>0</v>
      </c>
      <c r="Z101">
        <v>0.4</v>
      </c>
      <c r="AA101">
        <v>0</v>
      </c>
    </row>
    <row r="102" spans="3:27" x14ac:dyDescent="0.2">
      <c r="C102" t="s">
        <v>51</v>
      </c>
      <c r="D102" t="s">
        <v>713</v>
      </c>
      <c r="E102">
        <v>300</v>
      </c>
      <c r="F102">
        <v>120</v>
      </c>
      <c r="G102">
        <v>13</v>
      </c>
      <c r="H102">
        <v>7</v>
      </c>
      <c r="I102">
        <v>0</v>
      </c>
      <c r="J102">
        <v>40</v>
      </c>
      <c r="K102">
        <v>70</v>
      </c>
      <c r="L102">
        <v>45</v>
      </c>
      <c r="M102">
        <v>2</v>
      </c>
      <c r="N102">
        <v>41</v>
      </c>
      <c r="O102">
        <v>3</v>
      </c>
      <c r="P102">
        <v>345</v>
      </c>
      <c r="Q102" s="3">
        <v>1</v>
      </c>
      <c r="R102">
        <v>0</v>
      </c>
      <c r="S102">
        <v>0</v>
      </c>
      <c r="U102">
        <v>-17.596583850931701</v>
      </c>
      <c r="V102">
        <v>-1.75</v>
      </c>
      <c r="W102">
        <v>-0.76086956521739102</v>
      </c>
      <c r="X102">
        <v>-16.399999999999999</v>
      </c>
      <c r="Y102">
        <v>0</v>
      </c>
      <c r="Z102">
        <v>0.6</v>
      </c>
      <c r="AA102">
        <v>0.71428571428571397</v>
      </c>
    </row>
    <row r="103" spans="3:27" x14ac:dyDescent="0.2">
      <c r="C103" t="s">
        <v>51</v>
      </c>
      <c r="D103" t="s">
        <v>716</v>
      </c>
      <c r="E103">
        <v>410</v>
      </c>
      <c r="F103">
        <v>190</v>
      </c>
      <c r="G103">
        <v>21</v>
      </c>
      <c r="H103">
        <v>3.5</v>
      </c>
      <c r="I103">
        <v>0</v>
      </c>
      <c r="J103">
        <v>0</v>
      </c>
      <c r="K103">
        <v>1080</v>
      </c>
      <c r="L103">
        <v>53</v>
      </c>
      <c r="M103">
        <v>4</v>
      </c>
      <c r="N103">
        <v>5</v>
      </c>
      <c r="O103">
        <v>4</v>
      </c>
      <c r="P103">
        <v>415</v>
      </c>
      <c r="Q103" s="3">
        <v>0.97560975609756095</v>
      </c>
      <c r="R103">
        <v>1</v>
      </c>
      <c r="S103">
        <v>0</v>
      </c>
      <c r="U103">
        <v>-12.385559006211199</v>
      </c>
      <c r="V103">
        <v>-0.875</v>
      </c>
      <c r="W103">
        <v>-11.7391304347826</v>
      </c>
      <c r="X103">
        <v>-2</v>
      </c>
      <c r="Y103">
        <v>0</v>
      </c>
      <c r="Z103">
        <v>0.8</v>
      </c>
      <c r="AA103">
        <v>1.4285714285714299</v>
      </c>
    </row>
    <row r="104" spans="3:27" x14ac:dyDescent="0.2">
      <c r="C104" t="s">
        <v>51</v>
      </c>
      <c r="D104" t="s">
        <v>717</v>
      </c>
      <c r="E104">
        <v>310</v>
      </c>
      <c r="F104">
        <v>170</v>
      </c>
      <c r="G104">
        <v>19</v>
      </c>
      <c r="H104">
        <v>12</v>
      </c>
      <c r="I104">
        <v>0</v>
      </c>
      <c r="J104">
        <v>10</v>
      </c>
      <c r="K104">
        <v>220</v>
      </c>
      <c r="L104">
        <v>32</v>
      </c>
      <c r="M104">
        <v>1</v>
      </c>
      <c r="N104">
        <v>22</v>
      </c>
      <c r="O104">
        <v>3</v>
      </c>
      <c r="P104">
        <v>341</v>
      </c>
      <c r="Q104" s="3">
        <v>0.967741935483871</v>
      </c>
      <c r="R104">
        <v>0</v>
      </c>
      <c r="S104">
        <v>0</v>
      </c>
      <c r="U104">
        <v>-13.234161490683199</v>
      </c>
      <c r="V104">
        <v>-3</v>
      </c>
      <c r="W104">
        <v>-2.39130434782609</v>
      </c>
      <c r="X104">
        <v>-8.8000000000000007</v>
      </c>
      <c r="Y104">
        <v>0</v>
      </c>
      <c r="Z104">
        <v>0.6</v>
      </c>
      <c r="AA104">
        <v>0.35714285714285698</v>
      </c>
    </row>
    <row r="105" spans="3:27" x14ac:dyDescent="0.2">
      <c r="C105" t="s">
        <v>51</v>
      </c>
      <c r="D105" t="s">
        <v>725</v>
      </c>
      <c r="E105">
        <v>320</v>
      </c>
      <c r="F105">
        <v>150</v>
      </c>
      <c r="G105">
        <v>16</v>
      </c>
      <c r="H105">
        <v>3</v>
      </c>
      <c r="I105">
        <v>0</v>
      </c>
      <c r="J105">
        <v>0</v>
      </c>
      <c r="K105">
        <v>840</v>
      </c>
      <c r="L105">
        <v>41</v>
      </c>
      <c r="M105">
        <v>3</v>
      </c>
      <c r="N105">
        <v>4</v>
      </c>
      <c r="O105">
        <v>3</v>
      </c>
      <c r="P105">
        <v>324</v>
      </c>
      <c r="Q105" s="3">
        <v>0.9375</v>
      </c>
      <c r="R105">
        <v>1</v>
      </c>
      <c r="S105">
        <v>0</v>
      </c>
      <c r="U105">
        <v>-9.8090062111801206</v>
      </c>
      <c r="V105">
        <v>-0.75</v>
      </c>
      <c r="W105">
        <v>-9.1304347826087007</v>
      </c>
      <c r="X105">
        <v>-1.6</v>
      </c>
      <c r="Y105">
        <v>0</v>
      </c>
      <c r="Z105">
        <v>0.6</v>
      </c>
      <c r="AA105">
        <v>1.0714285714285701</v>
      </c>
    </row>
    <row r="106" spans="3:27" x14ac:dyDescent="0.2">
      <c r="C106" t="s">
        <v>51</v>
      </c>
      <c r="D106" t="s">
        <v>727</v>
      </c>
      <c r="E106">
        <v>220</v>
      </c>
      <c r="F106">
        <v>80</v>
      </c>
      <c r="G106">
        <v>9</v>
      </c>
      <c r="H106">
        <v>1.5</v>
      </c>
      <c r="I106">
        <v>0</v>
      </c>
      <c r="J106">
        <v>0</v>
      </c>
      <c r="K106">
        <v>210</v>
      </c>
      <c r="L106">
        <v>34</v>
      </c>
      <c r="M106">
        <v>3</v>
      </c>
      <c r="N106">
        <v>1</v>
      </c>
      <c r="O106">
        <v>2</v>
      </c>
      <c r="P106">
        <v>221</v>
      </c>
      <c r="Q106" s="3">
        <v>0.90909090909090895</v>
      </c>
      <c r="R106">
        <v>0</v>
      </c>
      <c r="S106">
        <v>0</v>
      </c>
      <c r="U106">
        <v>-1.5861801242236</v>
      </c>
      <c r="V106">
        <v>-0.375</v>
      </c>
      <c r="W106">
        <v>-2.2826086956521698</v>
      </c>
      <c r="X106">
        <v>-0.4</v>
      </c>
      <c r="Y106">
        <v>0</v>
      </c>
      <c r="Z106">
        <v>0.4</v>
      </c>
      <c r="AA106">
        <v>1.0714285714285701</v>
      </c>
    </row>
    <row r="107" spans="3:27" x14ac:dyDescent="0.2">
      <c r="C107" t="s">
        <v>51</v>
      </c>
      <c r="D107" t="s">
        <v>732</v>
      </c>
      <c r="E107">
        <v>340</v>
      </c>
      <c r="F107">
        <v>130</v>
      </c>
      <c r="G107">
        <v>14</v>
      </c>
      <c r="H107">
        <v>6</v>
      </c>
      <c r="I107">
        <v>0</v>
      </c>
      <c r="J107">
        <v>0</v>
      </c>
      <c r="K107">
        <v>310</v>
      </c>
      <c r="L107">
        <v>51</v>
      </c>
      <c r="M107">
        <v>1</v>
      </c>
      <c r="N107">
        <v>25</v>
      </c>
      <c r="O107">
        <v>3</v>
      </c>
      <c r="P107">
        <v>368</v>
      </c>
      <c r="Q107" s="3">
        <v>0.88235294117647101</v>
      </c>
      <c r="R107">
        <v>0</v>
      </c>
      <c r="S107">
        <v>0</v>
      </c>
      <c r="U107">
        <v>-13.912422360248399</v>
      </c>
      <c r="V107">
        <v>-1.5</v>
      </c>
      <c r="W107">
        <v>-3.3695652173913002</v>
      </c>
      <c r="X107">
        <v>-10</v>
      </c>
      <c r="Y107">
        <v>0</v>
      </c>
      <c r="Z107">
        <v>0.6</v>
      </c>
      <c r="AA107">
        <v>0.35714285714285698</v>
      </c>
    </row>
    <row r="108" spans="3:27" x14ac:dyDescent="0.2">
      <c r="C108" t="s">
        <v>51</v>
      </c>
      <c r="D108" t="s">
        <v>734</v>
      </c>
      <c r="E108">
        <v>240</v>
      </c>
      <c r="F108">
        <v>90</v>
      </c>
      <c r="G108">
        <v>10</v>
      </c>
      <c r="H108">
        <v>6</v>
      </c>
      <c r="I108">
        <v>0</v>
      </c>
      <c r="J108">
        <v>30</v>
      </c>
      <c r="K108">
        <v>55</v>
      </c>
      <c r="L108">
        <v>35</v>
      </c>
      <c r="M108">
        <v>1</v>
      </c>
      <c r="N108">
        <v>32</v>
      </c>
      <c r="O108">
        <v>2</v>
      </c>
      <c r="P108">
        <v>276</v>
      </c>
      <c r="Q108" s="3">
        <v>0.83333333333333304</v>
      </c>
      <c r="R108">
        <v>0</v>
      </c>
      <c r="S108">
        <v>0</v>
      </c>
      <c r="U108">
        <v>-14.1406832298137</v>
      </c>
      <c r="V108">
        <v>-1.5</v>
      </c>
      <c r="W108">
        <v>-0.59782608695652195</v>
      </c>
      <c r="X108">
        <v>-12.8</v>
      </c>
      <c r="Y108">
        <v>0</v>
      </c>
      <c r="Z108">
        <v>0.4</v>
      </c>
      <c r="AA108">
        <v>0.35714285714285698</v>
      </c>
    </row>
    <row r="109" spans="3:27" x14ac:dyDescent="0.2">
      <c r="C109" t="s">
        <v>51</v>
      </c>
      <c r="D109" t="s">
        <v>737</v>
      </c>
      <c r="E109">
        <v>250</v>
      </c>
      <c r="F109">
        <v>150</v>
      </c>
      <c r="G109">
        <v>16</v>
      </c>
      <c r="H109">
        <v>3.5</v>
      </c>
      <c r="I109">
        <v>0</v>
      </c>
      <c r="J109">
        <v>0</v>
      </c>
      <c r="K109">
        <v>580</v>
      </c>
      <c r="L109">
        <v>24</v>
      </c>
      <c r="M109">
        <v>3</v>
      </c>
      <c r="N109">
        <v>0</v>
      </c>
      <c r="O109">
        <v>2</v>
      </c>
      <c r="P109">
        <v>252</v>
      </c>
      <c r="Q109" s="3">
        <v>0.8</v>
      </c>
      <c r="R109">
        <v>1</v>
      </c>
      <c r="S109">
        <v>0</v>
      </c>
      <c r="U109">
        <v>-5.7079192546583801</v>
      </c>
      <c r="V109">
        <v>-0.875</v>
      </c>
      <c r="W109">
        <v>-6.3043478260869596</v>
      </c>
      <c r="X109">
        <v>0</v>
      </c>
      <c r="Y109">
        <v>0</v>
      </c>
      <c r="Z109">
        <v>0.4</v>
      </c>
      <c r="AA109">
        <v>1.0714285714285701</v>
      </c>
    </row>
    <row r="110" spans="3:27" x14ac:dyDescent="0.2">
      <c r="C110" t="s">
        <v>51</v>
      </c>
      <c r="D110" t="s">
        <v>738</v>
      </c>
      <c r="E110">
        <v>500</v>
      </c>
      <c r="F110">
        <v>290</v>
      </c>
      <c r="G110">
        <v>33</v>
      </c>
      <c r="H110">
        <v>7</v>
      </c>
      <c r="I110">
        <v>0</v>
      </c>
      <c r="J110">
        <v>0</v>
      </c>
      <c r="K110">
        <v>1140</v>
      </c>
      <c r="L110">
        <v>48</v>
      </c>
      <c r="M110">
        <v>7</v>
      </c>
      <c r="N110">
        <v>0</v>
      </c>
      <c r="O110">
        <v>4</v>
      </c>
      <c r="P110">
        <v>503</v>
      </c>
      <c r="Q110" s="3">
        <v>0.8</v>
      </c>
      <c r="R110">
        <v>1</v>
      </c>
      <c r="S110">
        <v>0</v>
      </c>
      <c r="U110">
        <v>-10.8413043478261</v>
      </c>
      <c r="V110">
        <v>-1.75</v>
      </c>
      <c r="W110">
        <v>-12.3913043478261</v>
      </c>
      <c r="X110">
        <v>0</v>
      </c>
      <c r="Y110">
        <v>0</v>
      </c>
      <c r="Z110">
        <v>0.8</v>
      </c>
      <c r="AA110">
        <v>2.5</v>
      </c>
    </row>
    <row r="111" spans="3:27" x14ac:dyDescent="0.2">
      <c r="C111" t="s">
        <v>51</v>
      </c>
      <c r="D111" t="s">
        <v>743</v>
      </c>
      <c r="E111">
        <v>260</v>
      </c>
      <c r="F111">
        <v>110</v>
      </c>
      <c r="G111">
        <v>13</v>
      </c>
      <c r="H111">
        <v>7</v>
      </c>
      <c r="I111">
        <v>0</v>
      </c>
      <c r="J111">
        <v>40</v>
      </c>
      <c r="K111">
        <v>50</v>
      </c>
      <c r="L111">
        <v>34</v>
      </c>
      <c r="M111">
        <v>0</v>
      </c>
      <c r="N111">
        <v>34</v>
      </c>
      <c r="O111">
        <v>2</v>
      </c>
      <c r="P111">
        <v>299</v>
      </c>
      <c r="Q111" s="3">
        <v>0.76923076923076905</v>
      </c>
      <c r="R111">
        <v>0</v>
      </c>
      <c r="S111">
        <v>0</v>
      </c>
      <c r="U111">
        <v>-15.493478260869599</v>
      </c>
      <c r="V111">
        <v>-1.75</v>
      </c>
      <c r="W111">
        <v>-0.54347826086956497</v>
      </c>
      <c r="X111">
        <v>-13.6</v>
      </c>
      <c r="Y111">
        <v>0</v>
      </c>
      <c r="Z111">
        <v>0.4</v>
      </c>
      <c r="AA111">
        <v>0</v>
      </c>
    </row>
    <row r="112" spans="3:27" x14ac:dyDescent="0.2">
      <c r="C112" t="s">
        <v>51</v>
      </c>
      <c r="D112" t="s">
        <v>745</v>
      </c>
      <c r="E112">
        <v>670</v>
      </c>
      <c r="F112">
        <v>390</v>
      </c>
      <c r="G112">
        <v>44</v>
      </c>
      <c r="H112">
        <v>9</v>
      </c>
      <c r="I112">
        <v>0</v>
      </c>
      <c r="J112">
        <v>0</v>
      </c>
      <c r="K112">
        <v>1530</v>
      </c>
      <c r="L112">
        <v>65</v>
      </c>
      <c r="M112">
        <v>9</v>
      </c>
      <c r="N112">
        <v>0</v>
      </c>
      <c r="O112">
        <v>5</v>
      </c>
      <c r="P112">
        <v>674</v>
      </c>
      <c r="Q112" s="3">
        <v>0.74626865671641796</v>
      </c>
      <c r="R112">
        <v>1</v>
      </c>
      <c r="S112">
        <v>0</v>
      </c>
      <c r="U112">
        <v>-14.666149068323</v>
      </c>
      <c r="V112">
        <v>-2.25</v>
      </c>
      <c r="W112">
        <v>-16.630434782608699</v>
      </c>
      <c r="X112">
        <v>0</v>
      </c>
      <c r="Y112">
        <v>0</v>
      </c>
      <c r="Z112">
        <v>1</v>
      </c>
      <c r="AA112">
        <v>3.21428571428571</v>
      </c>
    </row>
    <row r="113" spans="3:27" x14ac:dyDescent="0.2">
      <c r="C113" t="s">
        <v>51</v>
      </c>
      <c r="D113" t="s">
        <v>751</v>
      </c>
      <c r="E113">
        <v>140</v>
      </c>
      <c r="F113">
        <v>140</v>
      </c>
      <c r="G113">
        <v>15</v>
      </c>
      <c r="H113">
        <v>2.5</v>
      </c>
      <c r="I113">
        <v>0</v>
      </c>
      <c r="J113">
        <v>10</v>
      </c>
      <c r="K113">
        <v>85</v>
      </c>
      <c r="L113">
        <v>1</v>
      </c>
      <c r="M113">
        <v>0</v>
      </c>
      <c r="N113">
        <v>1</v>
      </c>
      <c r="O113">
        <v>1</v>
      </c>
      <c r="P113">
        <v>143</v>
      </c>
      <c r="Q113" s="3">
        <v>0.71428571428571397</v>
      </c>
      <c r="R113">
        <v>0</v>
      </c>
      <c r="S113">
        <v>0</v>
      </c>
      <c r="U113">
        <v>-1.74891304347826</v>
      </c>
      <c r="V113">
        <v>-0.625</v>
      </c>
      <c r="W113">
        <v>-0.92391304347826098</v>
      </c>
      <c r="X113">
        <v>-0.4</v>
      </c>
      <c r="Y113">
        <v>0</v>
      </c>
      <c r="Z113">
        <v>0.2</v>
      </c>
      <c r="AA113">
        <v>0</v>
      </c>
    </row>
    <row r="114" spans="3:27" x14ac:dyDescent="0.2">
      <c r="C114" t="s">
        <v>51</v>
      </c>
      <c r="D114" t="s">
        <v>755</v>
      </c>
      <c r="E114">
        <v>150</v>
      </c>
      <c r="F114">
        <v>70</v>
      </c>
      <c r="G114">
        <v>8</v>
      </c>
      <c r="H114">
        <v>1.5</v>
      </c>
      <c r="I114">
        <v>0</v>
      </c>
      <c r="J114">
        <v>0</v>
      </c>
      <c r="K114">
        <v>400</v>
      </c>
      <c r="L114">
        <v>19</v>
      </c>
      <c r="M114">
        <v>1</v>
      </c>
      <c r="N114">
        <v>2</v>
      </c>
      <c r="O114">
        <v>1</v>
      </c>
      <c r="P114">
        <v>153</v>
      </c>
      <c r="Q114" s="3">
        <v>0.66666666666666696</v>
      </c>
      <c r="R114">
        <v>0</v>
      </c>
      <c r="S114">
        <v>0</v>
      </c>
      <c r="U114">
        <v>-4.9656832298136599</v>
      </c>
      <c r="V114">
        <v>-0.375</v>
      </c>
      <c r="W114">
        <v>-4.3478260869565197</v>
      </c>
      <c r="X114">
        <v>-0.8</v>
      </c>
      <c r="Y114">
        <v>0</v>
      </c>
      <c r="Z114">
        <v>0.2</v>
      </c>
      <c r="AA114">
        <v>0.35714285714285698</v>
      </c>
    </row>
    <row r="115" spans="3:27" x14ac:dyDescent="0.2">
      <c r="C115" t="s">
        <v>51</v>
      </c>
      <c r="D115" t="s">
        <v>756</v>
      </c>
      <c r="E115">
        <v>150</v>
      </c>
      <c r="F115">
        <v>70</v>
      </c>
      <c r="G115">
        <v>8</v>
      </c>
      <c r="H115">
        <v>4</v>
      </c>
      <c r="I115">
        <v>0</v>
      </c>
      <c r="J115">
        <v>25</v>
      </c>
      <c r="K115">
        <v>30</v>
      </c>
      <c r="L115">
        <v>21</v>
      </c>
      <c r="M115">
        <v>0</v>
      </c>
      <c r="N115">
        <v>21</v>
      </c>
      <c r="O115">
        <v>1</v>
      </c>
      <c r="P115">
        <v>174</v>
      </c>
      <c r="Q115" s="3">
        <v>0.66666666666666696</v>
      </c>
      <c r="R115">
        <v>0</v>
      </c>
      <c r="S115">
        <v>0</v>
      </c>
      <c r="U115">
        <v>-9.5260869565217394</v>
      </c>
      <c r="V115">
        <v>-1</v>
      </c>
      <c r="W115">
        <v>-0.32608695652173902</v>
      </c>
      <c r="X115">
        <v>-8.4</v>
      </c>
      <c r="Y115">
        <v>0</v>
      </c>
      <c r="Z115">
        <v>0.2</v>
      </c>
      <c r="AA115">
        <v>0</v>
      </c>
    </row>
    <row r="116" spans="3:27" x14ac:dyDescent="0.2">
      <c r="C116" t="s">
        <v>51</v>
      </c>
      <c r="D116" t="s">
        <v>768</v>
      </c>
      <c r="E116">
        <v>260</v>
      </c>
      <c r="F116">
        <v>250</v>
      </c>
      <c r="G116">
        <v>28</v>
      </c>
      <c r="H116">
        <v>4</v>
      </c>
      <c r="I116">
        <v>0</v>
      </c>
      <c r="J116">
        <v>10</v>
      </c>
      <c r="K116">
        <v>240</v>
      </c>
      <c r="L116">
        <v>2</v>
      </c>
      <c r="M116">
        <v>0</v>
      </c>
      <c r="N116">
        <v>2</v>
      </c>
      <c r="O116">
        <v>1</v>
      </c>
      <c r="P116">
        <v>265</v>
      </c>
      <c r="Q116" s="3">
        <v>0.38461538461538503</v>
      </c>
      <c r="R116">
        <v>0</v>
      </c>
      <c r="S116">
        <v>0</v>
      </c>
      <c r="U116">
        <v>-4.2086956521739101</v>
      </c>
      <c r="V116">
        <v>-1</v>
      </c>
      <c r="W116">
        <v>-2.60869565217391</v>
      </c>
      <c r="X116">
        <v>-0.8</v>
      </c>
      <c r="Y116">
        <v>0</v>
      </c>
      <c r="Z116">
        <v>0.2</v>
      </c>
      <c r="AA116">
        <v>0</v>
      </c>
    </row>
    <row r="117" spans="3:27" x14ac:dyDescent="0.2">
      <c r="C117" t="s">
        <v>51</v>
      </c>
      <c r="D117" t="s">
        <v>819</v>
      </c>
      <c r="E117">
        <v>160</v>
      </c>
      <c r="F117">
        <v>150</v>
      </c>
      <c r="G117">
        <v>17</v>
      </c>
      <c r="H117">
        <v>2.5</v>
      </c>
      <c r="I117">
        <v>0</v>
      </c>
      <c r="J117">
        <v>0</v>
      </c>
      <c r="K117">
        <v>380</v>
      </c>
      <c r="L117">
        <v>4</v>
      </c>
      <c r="M117">
        <v>0</v>
      </c>
      <c r="N117">
        <v>3</v>
      </c>
      <c r="O117">
        <v>0</v>
      </c>
      <c r="P117">
        <v>166</v>
      </c>
      <c r="Q117" s="3">
        <v>0</v>
      </c>
      <c r="R117">
        <v>0</v>
      </c>
      <c r="S117">
        <v>0</v>
      </c>
      <c r="U117">
        <v>-5.9554347826087</v>
      </c>
      <c r="V117">
        <v>-0.625</v>
      </c>
      <c r="W117">
        <v>-4.1304347826086998</v>
      </c>
      <c r="X117">
        <v>-1.2</v>
      </c>
      <c r="Y117">
        <v>0</v>
      </c>
      <c r="Z117">
        <v>0</v>
      </c>
      <c r="AA117">
        <v>0</v>
      </c>
    </row>
    <row r="118" spans="3:27" x14ac:dyDescent="0.2">
      <c r="C118" t="s">
        <v>51</v>
      </c>
      <c r="D118" t="s">
        <v>820</v>
      </c>
      <c r="E118">
        <v>120</v>
      </c>
      <c r="F118">
        <v>70</v>
      </c>
      <c r="G118">
        <v>8</v>
      </c>
      <c r="H118">
        <v>1</v>
      </c>
      <c r="I118">
        <v>0</v>
      </c>
      <c r="J118">
        <v>0</v>
      </c>
      <c r="K118">
        <v>220</v>
      </c>
      <c r="L118">
        <v>14</v>
      </c>
      <c r="M118">
        <v>0</v>
      </c>
      <c r="N118">
        <v>11</v>
      </c>
      <c r="O118">
        <v>0</v>
      </c>
      <c r="P118">
        <v>132</v>
      </c>
      <c r="Q118" s="3">
        <v>0</v>
      </c>
      <c r="R118">
        <v>0</v>
      </c>
      <c r="S118">
        <v>0</v>
      </c>
      <c r="U118">
        <v>-7.0413043478260899</v>
      </c>
      <c r="V118">
        <v>-0.25</v>
      </c>
      <c r="W118">
        <v>-2.39130434782609</v>
      </c>
      <c r="X118">
        <v>-4.4000000000000004</v>
      </c>
      <c r="Y118">
        <v>0</v>
      </c>
      <c r="Z118">
        <v>0</v>
      </c>
      <c r="AA118">
        <v>0</v>
      </c>
    </row>
    <row r="119" spans="3:27" x14ac:dyDescent="0.2">
      <c r="C119" t="s">
        <v>51</v>
      </c>
      <c r="D119" t="s">
        <v>821</v>
      </c>
      <c r="E119">
        <v>50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1</v>
      </c>
      <c r="N119">
        <v>11</v>
      </c>
      <c r="O119">
        <v>0</v>
      </c>
      <c r="P119">
        <v>61</v>
      </c>
      <c r="Q119" s="3">
        <v>0</v>
      </c>
      <c r="R119">
        <v>0</v>
      </c>
      <c r="S119">
        <v>0</v>
      </c>
      <c r="U119">
        <v>-4.04285714285714</v>
      </c>
      <c r="V119">
        <v>0</v>
      </c>
      <c r="W119">
        <v>0</v>
      </c>
      <c r="X119">
        <v>-4.4000000000000004</v>
      </c>
      <c r="Y119">
        <v>0</v>
      </c>
      <c r="Z119">
        <v>0</v>
      </c>
      <c r="AA119">
        <v>0.35714285714285698</v>
      </c>
    </row>
    <row r="120" spans="3:27" x14ac:dyDescent="0.2">
      <c r="C120" t="s">
        <v>51</v>
      </c>
      <c r="D120" t="s">
        <v>822</v>
      </c>
      <c r="E120">
        <v>80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25</v>
      </c>
      <c r="L120">
        <v>20</v>
      </c>
      <c r="M120">
        <v>0</v>
      </c>
      <c r="N120">
        <v>20</v>
      </c>
      <c r="O120">
        <v>0</v>
      </c>
      <c r="P120">
        <v>100</v>
      </c>
      <c r="Q120" s="3">
        <v>0</v>
      </c>
      <c r="R120">
        <v>0</v>
      </c>
      <c r="S120">
        <v>0</v>
      </c>
      <c r="U120">
        <v>-8.2717391304347796</v>
      </c>
      <c r="V120">
        <v>0</v>
      </c>
      <c r="W120">
        <v>-0.27173913043478298</v>
      </c>
      <c r="X120">
        <v>-8</v>
      </c>
      <c r="Y120">
        <v>0</v>
      </c>
      <c r="Z120">
        <v>0</v>
      </c>
      <c r="AA120">
        <v>0</v>
      </c>
    </row>
    <row r="121" spans="3:27" x14ac:dyDescent="0.2">
      <c r="C121" t="s">
        <v>51</v>
      </c>
      <c r="D121" t="s">
        <v>823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125</v>
      </c>
      <c r="L121">
        <v>3</v>
      </c>
      <c r="M121">
        <v>0</v>
      </c>
      <c r="N121">
        <v>2</v>
      </c>
      <c r="O121">
        <v>0</v>
      </c>
      <c r="P121">
        <v>12</v>
      </c>
      <c r="Q121" s="3">
        <v>0</v>
      </c>
      <c r="R121">
        <v>0</v>
      </c>
      <c r="S121">
        <v>0</v>
      </c>
      <c r="U121">
        <v>-2.1586956521739098</v>
      </c>
      <c r="V121">
        <v>0</v>
      </c>
      <c r="W121">
        <v>-1.35869565217391</v>
      </c>
      <c r="X121">
        <v>-0.8</v>
      </c>
      <c r="Y121">
        <v>0</v>
      </c>
      <c r="Z121">
        <v>0</v>
      </c>
      <c r="AA121">
        <v>0</v>
      </c>
    </row>
    <row r="122" spans="3:27" x14ac:dyDescent="0.2">
      <c r="C122" t="s">
        <v>51</v>
      </c>
      <c r="D122" t="s">
        <v>824</v>
      </c>
      <c r="E122">
        <v>80</v>
      </c>
      <c r="F122">
        <v>80</v>
      </c>
      <c r="G122">
        <v>9</v>
      </c>
      <c r="H122">
        <v>0.5</v>
      </c>
      <c r="I122">
        <v>0</v>
      </c>
      <c r="J122">
        <v>10</v>
      </c>
      <c r="K122">
        <v>75</v>
      </c>
      <c r="L122">
        <v>1</v>
      </c>
      <c r="M122">
        <v>0</v>
      </c>
      <c r="N122">
        <v>0</v>
      </c>
      <c r="O122">
        <v>0</v>
      </c>
      <c r="P122">
        <v>81</v>
      </c>
      <c r="Q122" s="3">
        <v>0</v>
      </c>
      <c r="R122">
        <v>0</v>
      </c>
      <c r="S122">
        <v>0</v>
      </c>
      <c r="U122">
        <v>-0.940217391304348</v>
      </c>
      <c r="V122">
        <v>-0.125</v>
      </c>
      <c r="W122">
        <v>-0.815217391304348</v>
      </c>
      <c r="X122">
        <v>0</v>
      </c>
      <c r="Y122">
        <v>0</v>
      </c>
      <c r="Z122">
        <v>0</v>
      </c>
      <c r="AA122">
        <v>0</v>
      </c>
    </row>
    <row r="123" spans="3:27" x14ac:dyDescent="0.2">
      <c r="C123" t="s">
        <v>51</v>
      </c>
      <c r="D123" t="s">
        <v>825</v>
      </c>
      <c r="E123">
        <v>30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0</v>
      </c>
      <c r="N123">
        <v>6</v>
      </c>
      <c r="O123">
        <v>0</v>
      </c>
      <c r="P123">
        <v>36</v>
      </c>
      <c r="Q123" s="3">
        <v>0</v>
      </c>
      <c r="R123">
        <v>0</v>
      </c>
      <c r="S123">
        <v>0</v>
      </c>
      <c r="U123">
        <v>-2.4</v>
      </c>
      <c r="V123">
        <v>0</v>
      </c>
      <c r="W123">
        <v>0</v>
      </c>
      <c r="X123">
        <v>-2.4</v>
      </c>
      <c r="Y123">
        <v>0</v>
      </c>
      <c r="Z123">
        <v>0</v>
      </c>
      <c r="AA123">
        <v>0</v>
      </c>
    </row>
    <row r="124" spans="3:27" x14ac:dyDescent="0.2">
      <c r="C124" t="s">
        <v>51</v>
      </c>
      <c r="D124" t="s">
        <v>826</v>
      </c>
      <c r="E124">
        <v>120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15</v>
      </c>
      <c r="L124">
        <v>30</v>
      </c>
      <c r="M124">
        <v>0</v>
      </c>
      <c r="N124">
        <v>18</v>
      </c>
      <c r="O124">
        <v>0</v>
      </c>
      <c r="P124">
        <v>138</v>
      </c>
      <c r="Q124" s="3">
        <v>0</v>
      </c>
      <c r="R124">
        <v>0</v>
      </c>
      <c r="S124">
        <v>0</v>
      </c>
      <c r="U124">
        <v>-7.3630434782608702</v>
      </c>
      <c r="V124">
        <v>0</v>
      </c>
      <c r="W124">
        <v>-0.16304347826087001</v>
      </c>
      <c r="X124">
        <v>-7.2</v>
      </c>
      <c r="Y124">
        <v>0</v>
      </c>
      <c r="Z124">
        <v>0</v>
      </c>
      <c r="AA124">
        <v>0</v>
      </c>
    </row>
    <row r="125" spans="3:27" x14ac:dyDescent="0.2">
      <c r="C125" t="s">
        <v>51</v>
      </c>
      <c r="D125" t="s">
        <v>827</v>
      </c>
      <c r="E125">
        <v>40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310</v>
      </c>
      <c r="L125">
        <v>11</v>
      </c>
      <c r="M125">
        <v>0</v>
      </c>
      <c r="N125">
        <v>10</v>
      </c>
      <c r="O125">
        <v>0</v>
      </c>
      <c r="P125">
        <v>50</v>
      </c>
      <c r="Q125" s="3">
        <v>0</v>
      </c>
      <c r="R125">
        <v>0</v>
      </c>
      <c r="S125">
        <v>0</v>
      </c>
      <c r="U125">
        <v>-7.3695652173913002</v>
      </c>
      <c r="V125">
        <v>0</v>
      </c>
      <c r="W125">
        <v>-3.3695652173913002</v>
      </c>
      <c r="X125">
        <v>-4</v>
      </c>
      <c r="Y125">
        <v>0</v>
      </c>
      <c r="Z125">
        <v>0</v>
      </c>
      <c r="AA125">
        <v>0</v>
      </c>
    </row>
    <row r="126" spans="3:27" x14ac:dyDescent="0.2">
      <c r="C126" t="s">
        <v>51</v>
      </c>
      <c r="D126" t="s">
        <v>828</v>
      </c>
      <c r="E126">
        <v>80</v>
      </c>
      <c r="F126">
        <v>70</v>
      </c>
      <c r="G126">
        <v>8</v>
      </c>
      <c r="H126">
        <v>1.5</v>
      </c>
      <c r="I126">
        <v>0</v>
      </c>
      <c r="J126">
        <v>5</v>
      </c>
      <c r="K126">
        <v>360</v>
      </c>
      <c r="L126">
        <v>2</v>
      </c>
      <c r="M126">
        <v>0</v>
      </c>
      <c r="N126">
        <v>1</v>
      </c>
      <c r="O126">
        <v>0</v>
      </c>
      <c r="P126">
        <v>83</v>
      </c>
      <c r="Q126" s="3">
        <v>0</v>
      </c>
      <c r="R126">
        <v>0</v>
      </c>
      <c r="S126">
        <v>0</v>
      </c>
      <c r="U126">
        <v>-4.6880434782608704</v>
      </c>
      <c r="V126">
        <v>-0.375</v>
      </c>
      <c r="W126">
        <v>-3.9130434782608701</v>
      </c>
      <c r="X126">
        <v>-0.4</v>
      </c>
      <c r="Y126">
        <v>0</v>
      </c>
      <c r="Z126">
        <v>0</v>
      </c>
      <c r="AA126">
        <v>0</v>
      </c>
    </row>
    <row r="127" spans="3:27" x14ac:dyDescent="0.2">
      <c r="C127" t="s">
        <v>51</v>
      </c>
      <c r="D127" t="s">
        <v>829</v>
      </c>
      <c r="E127">
        <v>150</v>
      </c>
      <c r="F127">
        <v>140</v>
      </c>
      <c r="G127">
        <v>15</v>
      </c>
      <c r="H127">
        <v>2.5</v>
      </c>
      <c r="I127">
        <v>0</v>
      </c>
      <c r="J127">
        <v>20</v>
      </c>
      <c r="K127">
        <v>240</v>
      </c>
      <c r="L127">
        <v>3</v>
      </c>
      <c r="M127">
        <v>0</v>
      </c>
      <c r="N127">
        <v>0</v>
      </c>
      <c r="O127">
        <v>0</v>
      </c>
      <c r="P127">
        <v>153</v>
      </c>
      <c r="Q127" s="3">
        <v>0</v>
      </c>
      <c r="R127">
        <v>0</v>
      </c>
      <c r="S127">
        <v>0</v>
      </c>
      <c r="U127">
        <v>-3.23369565217391</v>
      </c>
      <c r="V127">
        <v>-0.625</v>
      </c>
      <c r="W127">
        <v>-2.60869565217391</v>
      </c>
      <c r="X127">
        <v>0</v>
      </c>
      <c r="Y127">
        <v>0</v>
      </c>
      <c r="Z127">
        <v>0</v>
      </c>
      <c r="AA127">
        <v>0</v>
      </c>
    </row>
    <row r="128" spans="3:27" x14ac:dyDescent="0.2">
      <c r="C128" t="s">
        <v>51</v>
      </c>
      <c r="D128" t="s">
        <v>830</v>
      </c>
      <c r="E128">
        <v>90</v>
      </c>
      <c r="F128">
        <v>60</v>
      </c>
      <c r="G128">
        <v>6</v>
      </c>
      <c r="H128">
        <v>1</v>
      </c>
      <c r="I128">
        <v>0</v>
      </c>
      <c r="J128">
        <v>10</v>
      </c>
      <c r="K128">
        <v>180</v>
      </c>
      <c r="L128">
        <v>8</v>
      </c>
      <c r="M128">
        <v>0</v>
      </c>
      <c r="N128">
        <v>7</v>
      </c>
      <c r="O128">
        <v>0</v>
      </c>
      <c r="P128">
        <v>98</v>
      </c>
      <c r="Q128" s="3">
        <v>0</v>
      </c>
      <c r="R128">
        <v>0</v>
      </c>
      <c r="S128">
        <v>0</v>
      </c>
      <c r="U128">
        <v>-5.0065217391304397</v>
      </c>
      <c r="V128">
        <v>-0.25</v>
      </c>
      <c r="W128">
        <v>-1.9565217391304399</v>
      </c>
      <c r="X128">
        <v>-2.8</v>
      </c>
      <c r="Y128">
        <v>0</v>
      </c>
      <c r="Z128">
        <v>0</v>
      </c>
      <c r="AA128">
        <v>0</v>
      </c>
    </row>
    <row r="129" spans="3:27" x14ac:dyDescent="0.2">
      <c r="C129" t="s">
        <v>51</v>
      </c>
      <c r="D129" t="s">
        <v>831</v>
      </c>
      <c r="E129">
        <v>210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50</v>
      </c>
      <c r="L129">
        <v>58</v>
      </c>
      <c r="M129">
        <v>0</v>
      </c>
      <c r="N129">
        <v>58</v>
      </c>
      <c r="O129">
        <v>0</v>
      </c>
      <c r="P129">
        <v>268</v>
      </c>
      <c r="Q129" s="3">
        <v>0</v>
      </c>
      <c r="R129">
        <v>0</v>
      </c>
      <c r="S129">
        <v>0</v>
      </c>
      <c r="U129">
        <v>-23.743478260869601</v>
      </c>
      <c r="V129">
        <v>0</v>
      </c>
      <c r="W129">
        <v>-0.54347826086956497</v>
      </c>
      <c r="X129">
        <v>-23.2</v>
      </c>
      <c r="Y129">
        <v>0</v>
      </c>
      <c r="Z129">
        <v>0</v>
      </c>
      <c r="AA129">
        <v>0</v>
      </c>
    </row>
    <row r="130" spans="3:27" x14ac:dyDescent="0.2">
      <c r="C130" t="s">
        <v>51</v>
      </c>
      <c r="D130" t="s">
        <v>832</v>
      </c>
      <c r="E130">
        <v>270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60</v>
      </c>
      <c r="L130">
        <v>73</v>
      </c>
      <c r="M130">
        <v>0</v>
      </c>
      <c r="N130">
        <v>73</v>
      </c>
      <c r="O130">
        <v>0</v>
      </c>
      <c r="P130">
        <v>343</v>
      </c>
      <c r="Q130" s="3">
        <v>0</v>
      </c>
      <c r="R130">
        <v>0</v>
      </c>
      <c r="S130">
        <v>0</v>
      </c>
      <c r="U130">
        <v>-29.852173913043501</v>
      </c>
      <c r="V130">
        <v>0</v>
      </c>
      <c r="W130">
        <v>-0.65217391304347805</v>
      </c>
      <c r="X130">
        <v>-29.2</v>
      </c>
      <c r="Y130">
        <v>0</v>
      </c>
      <c r="Z130">
        <v>0</v>
      </c>
      <c r="AA130">
        <v>0</v>
      </c>
    </row>
    <row r="131" spans="3:27" x14ac:dyDescent="0.2">
      <c r="C131" t="s">
        <v>51</v>
      </c>
      <c r="D131" t="s">
        <v>833</v>
      </c>
      <c r="E131">
        <v>290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85</v>
      </c>
      <c r="L131">
        <v>105</v>
      </c>
      <c r="M131">
        <v>0</v>
      </c>
      <c r="N131">
        <v>105</v>
      </c>
      <c r="O131">
        <v>0</v>
      </c>
      <c r="P131">
        <v>395</v>
      </c>
      <c r="Q131" s="3">
        <v>0</v>
      </c>
      <c r="R131">
        <v>0</v>
      </c>
      <c r="S131">
        <v>0</v>
      </c>
      <c r="U131">
        <v>-42.923913043478301</v>
      </c>
      <c r="V131">
        <v>0</v>
      </c>
      <c r="W131">
        <v>-0.92391304347826098</v>
      </c>
      <c r="X131">
        <v>-42</v>
      </c>
      <c r="Y131">
        <v>0</v>
      </c>
      <c r="Z131">
        <v>0</v>
      </c>
      <c r="AA131">
        <v>0</v>
      </c>
    </row>
    <row r="132" spans="3:27" x14ac:dyDescent="0.2">
      <c r="C132" t="s">
        <v>51</v>
      </c>
      <c r="D132" t="s">
        <v>834</v>
      </c>
      <c r="E132">
        <v>510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115</v>
      </c>
      <c r="L132">
        <v>138</v>
      </c>
      <c r="M132">
        <v>0</v>
      </c>
      <c r="N132">
        <v>138</v>
      </c>
      <c r="O132">
        <v>0</v>
      </c>
      <c r="P132">
        <v>648</v>
      </c>
      <c r="Q132" s="3">
        <v>0</v>
      </c>
      <c r="R132">
        <v>0</v>
      </c>
      <c r="S132">
        <v>0</v>
      </c>
      <c r="U132">
        <v>-56.45</v>
      </c>
      <c r="V132">
        <v>0</v>
      </c>
      <c r="W132">
        <v>-1.25</v>
      </c>
      <c r="X132">
        <v>-55.2</v>
      </c>
      <c r="Y132">
        <v>0</v>
      </c>
      <c r="Z132">
        <v>0</v>
      </c>
      <c r="AA132">
        <v>0</v>
      </c>
    </row>
    <row r="133" spans="3:27" x14ac:dyDescent="0.2">
      <c r="C133" t="s">
        <v>51</v>
      </c>
      <c r="D133" t="s">
        <v>839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95</v>
      </c>
      <c r="L133">
        <v>56</v>
      </c>
      <c r="M133">
        <v>0</v>
      </c>
      <c r="N133">
        <v>56</v>
      </c>
      <c r="O133">
        <v>0</v>
      </c>
      <c r="P133">
        <v>266</v>
      </c>
      <c r="Q133" s="3">
        <v>0</v>
      </c>
      <c r="R133">
        <v>0</v>
      </c>
      <c r="S133">
        <v>0</v>
      </c>
      <c r="U133">
        <v>-23.432608695652199</v>
      </c>
      <c r="V133">
        <v>0</v>
      </c>
      <c r="W133">
        <v>-1.0326086956521701</v>
      </c>
      <c r="X133">
        <v>-22.4</v>
      </c>
      <c r="Y133">
        <v>0</v>
      </c>
      <c r="Z133">
        <v>0</v>
      </c>
      <c r="AA133">
        <v>0</v>
      </c>
    </row>
    <row r="134" spans="3:27" x14ac:dyDescent="0.2">
      <c r="C134" t="s">
        <v>51</v>
      </c>
      <c r="D134" t="s">
        <v>840</v>
      </c>
      <c r="E134">
        <v>260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120</v>
      </c>
      <c r="L134">
        <v>70</v>
      </c>
      <c r="M134">
        <v>0</v>
      </c>
      <c r="N134">
        <v>70</v>
      </c>
      <c r="O134">
        <v>0</v>
      </c>
      <c r="P134">
        <v>330</v>
      </c>
      <c r="Q134" s="3">
        <v>0</v>
      </c>
      <c r="R134">
        <v>0</v>
      </c>
      <c r="S134">
        <v>0</v>
      </c>
      <c r="U134">
        <v>-29.304347826087</v>
      </c>
      <c r="V134">
        <v>0</v>
      </c>
      <c r="W134">
        <v>-1.3043478260869601</v>
      </c>
      <c r="X134">
        <v>-28</v>
      </c>
      <c r="Y134">
        <v>0</v>
      </c>
      <c r="Z134">
        <v>0</v>
      </c>
      <c r="AA134">
        <v>0</v>
      </c>
    </row>
    <row r="135" spans="3:27" x14ac:dyDescent="0.2">
      <c r="C135" t="s">
        <v>51</v>
      </c>
      <c r="D135" t="s">
        <v>841</v>
      </c>
      <c r="E135">
        <v>380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170</v>
      </c>
      <c r="L135">
        <v>102</v>
      </c>
      <c r="M135">
        <v>0</v>
      </c>
      <c r="N135">
        <v>102</v>
      </c>
      <c r="O135">
        <v>0</v>
      </c>
      <c r="P135">
        <v>482</v>
      </c>
      <c r="Q135" s="3">
        <v>0</v>
      </c>
      <c r="R135">
        <v>0</v>
      </c>
      <c r="S135">
        <v>0</v>
      </c>
      <c r="U135">
        <v>-42.647826086956499</v>
      </c>
      <c r="V135">
        <v>0</v>
      </c>
      <c r="W135">
        <v>-1.84782608695652</v>
      </c>
      <c r="X135">
        <v>-40.799999999999997</v>
      </c>
      <c r="Y135">
        <v>0</v>
      </c>
      <c r="Z135">
        <v>0</v>
      </c>
      <c r="AA135">
        <v>0</v>
      </c>
    </row>
    <row r="136" spans="3:27" x14ac:dyDescent="0.2">
      <c r="C136" t="s">
        <v>51</v>
      </c>
      <c r="D136" t="s">
        <v>842</v>
      </c>
      <c r="E136">
        <v>500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230</v>
      </c>
      <c r="L136">
        <v>133</v>
      </c>
      <c r="M136">
        <v>0</v>
      </c>
      <c r="N136">
        <v>133</v>
      </c>
      <c r="O136">
        <v>0</v>
      </c>
      <c r="P136">
        <v>633</v>
      </c>
      <c r="Q136" s="3">
        <v>0</v>
      </c>
      <c r="R136">
        <v>0</v>
      </c>
      <c r="S136">
        <v>0</v>
      </c>
      <c r="U136">
        <v>-55.7</v>
      </c>
      <c r="V136">
        <v>0</v>
      </c>
      <c r="W136">
        <v>-2.5</v>
      </c>
      <c r="X136">
        <v>-53.2</v>
      </c>
      <c r="Y136">
        <v>0</v>
      </c>
      <c r="Z136">
        <v>0</v>
      </c>
      <c r="AA136">
        <v>0</v>
      </c>
    </row>
    <row r="137" spans="3:27" x14ac:dyDescent="0.2">
      <c r="C137" t="s">
        <v>51</v>
      </c>
      <c r="D137" t="s">
        <v>843</v>
      </c>
      <c r="E137">
        <v>190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60</v>
      </c>
      <c r="L137">
        <v>52</v>
      </c>
      <c r="M137">
        <v>0</v>
      </c>
      <c r="N137">
        <v>51</v>
      </c>
      <c r="O137">
        <v>0</v>
      </c>
      <c r="P137">
        <v>241</v>
      </c>
      <c r="Q137" s="3">
        <v>0</v>
      </c>
      <c r="R137">
        <v>0</v>
      </c>
      <c r="S137">
        <v>0</v>
      </c>
      <c r="U137">
        <v>-21.0521739130435</v>
      </c>
      <c r="V137">
        <v>0</v>
      </c>
      <c r="W137">
        <v>-0.65217391304347805</v>
      </c>
      <c r="X137">
        <v>-20.399999999999999</v>
      </c>
      <c r="Y137">
        <v>0</v>
      </c>
      <c r="Z137">
        <v>0</v>
      </c>
      <c r="AA137">
        <v>0</v>
      </c>
    </row>
    <row r="138" spans="3:27" x14ac:dyDescent="0.2">
      <c r="C138" t="s">
        <v>51</v>
      </c>
      <c r="D138" t="s">
        <v>844</v>
      </c>
      <c r="E138">
        <v>240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75</v>
      </c>
      <c r="L138">
        <v>65</v>
      </c>
      <c r="M138">
        <v>0</v>
      </c>
      <c r="N138">
        <v>64</v>
      </c>
      <c r="O138">
        <v>0</v>
      </c>
      <c r="P138">
        <v>304</v>
      </c>
      <c r="Q138" s="3">
        <v>0</v>
      </c>
      <c r="R138">
        <v>0</v>
      </c>
      <c r="S138">
        <v>0</v>
      </c>
      <c r="U138">
        <v>-26.415217391304299</v>
      </c>
      <c r="V138">
        <v>0</v>
      </c>
      <c r="W138">
        <v>-0.815217391304348</v>
      </c>
      <c r="X138">
        <v>-25.6</v>
      </c>
      <c r="Y138">
        <v>0</v>
      </c>
      <c r="Z138">
        <v>0</v>
      </c>
      <c r="AA138">
        <v>0</v>
      </c>
    </row>
    <row r="139" spans="3:27" x14ac:dyDescent="0.2">
      <c r="C139" t="s">
        <v>51</v>
      </c>
      <c r="D139" t="s">
        <v>845</v>
      </c>
      <c r="E139">
        <v>350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105</v>
      </c>
      <c r="L139">
        <v>94</v>
      </c>
      <c r="M139">
        <v>0</v>
      </c>
      <c r="N139">
        <v>93</v>
      </c>
      <c r="O139">
        <v>0</v>
      </c>
      <c r="P139">
        <v>443</v>
      </c>
      <c r="Q139" s="3">
        <v>0</v>
      </c>
      <c r="R139">
        <v>0</v>
      </c>
      <c r="S139">
        <v>0</v>
      </c>
      <c r="U139">
        <v>-38.341304347826103</v>
      </c>
      <c r="V139">
        <v>0</v>
      </c>
      <c r="W139">
        <v>-1.14130434782609</v>
      </c>
      <c r="X139">
        <v>-37.200000000000003</v>
      </c>
      <c r="Y139">
        <v>0</v>
      </c>
      <c r="Z139">
        <v>0</v>
      </c>
      <c r="AA139">
        <v>0</v>
      </c>
    </row>
    <row r="140" spans="3:27" x14ac:dyDescent="0.2">
      <c r="C140" t="s">
        <v>51</v>
      </c>
      <c r="D140" t="s">
        <v>846</v>
      </c>
      <c r="E140">
        <v>450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140</v>
      </c>
      <c r="L140">
        <v>124</v>
      </c>
      <c r="M140">
        <v>0</v>
      </c>
      <c r="N140">
        <v>121</v>
      </c>
      <c r="O140">
        <v>0</v>
      </c>
      <c r="P140">
        <v>571</v>
      </c>
      <c r="Q140" s="3">
        <v>0</v>
      </c>
      <c r="R140">
        <v>0</v>
      </c>
      <c r="S140">
        <v>0</v>
      </c>
      <c r="U140">
        <v>-49.921739130434801</v>
      </c>
      <c r="V140">
        <v>0</v>
      </c>
      <c r="W140">
        <v>-1.52173913043478</v>
      </c>
      <c r="X140">
        <v>-48.4</v>
      </c>
      <c r="Y140">
        <v>0</v>
      </c>
      <c r="Z140">
        <v>0</v>
      </c>
      <c r="AA140">
        <v>0</v>
      </c>
    </row>
    <row r="141" spans="3:27" x14ac:dyDescent="0.2">
      <c r="C141" t="s">
        <v>51</v>
      </c>
      <c r="D141" t="s">
        <v>847</v>
      </c>
      <c r="E141">
        <v>240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100</v>
      </c>
      <c r="L141">
        <v>65</v>
      </c>
      <c r="M141">
        <v>0</v>
      </c>
      <c r="N141">
        <v>65</v>
      </c>
      <c r="O141">
        <v>0</v>
      </c>
      <c r="P141">
        <v>305</v>
      </c>
      <c r="Q141" s="3">
        <v>0</v>
      </c>
      <c r="R141">
        <v>0</v>
      </c>
      <c r="S141">
        <v>0</v>
      </c>
      <c r="U141">
        <v>-27.086956521739101</v>
      </c>
      <c r="V141">
        <v>0</v>
      </c>
      <c r="W141">
        <v>-1.0869565217391299</v>
      </c>
      <c r="X141">
        <v>-26</v>
      </c>
      <c r="Y141">
        <v>0</v>
      </c>
      <c r="Z141">
        <v>0</v>
      </c>
      <c r="AA141">
        <v>0</v>
      </c>
    </row>
    <row r="142" spans="3:27" x14ac:dyDescent="0.2">
      <c r="C142" t="s">
        <v>51</v>
      </c>
      <c r="D142" t="s">
        <v>848</v>
      </c>
      <c r="E142">
        <v>300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120</v>
      </c>
      <c r="L142">
        <v>81</v>
      </c>
      <c r="M142">
        <v>0</v>
      </c>
      <c r="N142">
        <v>81</v>
      </c>
      <c r="O142">
        <v>0</v>
      </c>
      <c r="P142">
        <v>381</v>
      </c>
      <c r="Q142" s="3">
        <v>0</v>
      </c>
      <c r="R142">
        <v>0</v>
      </c>
      <c r="S142">
        <v>0</v>
      </c>
      <c r="U142">
        <v>-33.704347826087002</v>
      </c>
      <c r="V142">
        <v>0</v>
      </c>
      <c r="W142">
        <v>-1.3043478260869601</v>
      </c>
      <c r="X142">
        <v>-32.4</v>
      </c>
      <c r="Y142">
        <v>0</v>
      </c>
      <c r="Z142">
        <v>0</v>
      </c>
      <c r="AA142">
        <v>0</v>
      </c>
    </row>
    <row r="143" spans="3:27" x14ac:dyDescent="0.2">
      <c r="C143" t="s">
        <v>51</v>
      </c>
      <c r="D143" t="s">
        <v>849</v>
      </c>
      <c r="E143">
        <v>350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180</v>
      </c>
      <c r="L143">
        <v>118</v>
      </c>
      <c r="M143">
        <v>0</v>
      </c>
      <c r="N143">
        <v>118</v>
      </c>
      <c r="O143">
        <v>0</v>
      </c>
      <c r="P143">
        <v>468</v>
      </c>
      <c r="Q143" s="3">
        <v>0</v>
      </c>
      <c r="R143">
        <v>0</v>
      </c>
      <c r="S143">
        <v>0</v>
      </c>
      <c r="U143">
        <v>-49.156521739130397</v>
      </c>
      <c r="V143">
        <v>0</v>
      </c>
      <c r="W143">
        <v>-1.9565217391304399</v>
      </c>
      <c r="X143">
        <v>-47.2</v>
      </c>
      <c r="Y143">
        <v>0</v>
      </c>
      <c r="Z143">
        <v>0</v>
      </c>
      <c r="AA143">
        <v>0</v>
      </c>
    </row>
    <row r="144" spans="3:27" x14ac:dyDescent="0.2">
      <c r="C144" t="s">
        <v>51</v>
      </c>
      <c r="D144" t="s">
        <v>850</v>
      </c>
      <c r="E144">
        <v>450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230</v>
      </c>
      <c r="L144">
        <v>155</v>
      </c>
      <c r="M144">
        <v>0</v>
      </c>
      <c r="N144">
        <v>155</v>
      </c>
      <c r="O144">
        <v>0</v>
      </c>
      <c r="P144">
        <v>605</v>
      </c>
      <c r="Q144" s="3">
        <v>0</v>
      </c>
      <c r="R144">
        <v>0</v>
      </c>
      <c r="S144">
        <v>0</v>
      </c>
      <c r="U144">
        <v>-64.5</v>
      </c>
      <c r="V144">
        <v>0</v>
      </c>
      <c r="W144">
        <v>-2.5</v>
      </c>
      <c r="X144">
        <v>-62</v>
      </c>
      <c r="Y144">
        <v>0</v>
      </c>
      <c r="Z144">
        <v>0</v>
      </c>
      <c r="AA144">
        <v>0</v>
      </c>
    </row>
    <row r="145" spans="3:27" x14ac:dyDescent="0.2">
      <c r="C145" t="s">
        <v>51</v>
      </c>
      <c r="D145" t="s">
        <v>851</v>
      </c>
      <c r="E145">
        <v>220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55</v>
      </c>
      <c r="L145">
        <v>61</v>
      </c>
      <c r="M145">
        <v>0</v>
      </c>
      <c r="N145">
        <v>61</v>
      </c>
      <c r="O145">
        <v>0</v>
      </c>
      <c r="P145">
        <v>281</v>
      </c>
      <c r="Q145" s="3">
        <v>0</v>
      </c>
      <c r="R145">
        <v>0</v>
      </c>
      <c r="S145">
        <v>0</v>
      </c>
      <c r="U145">
        <v>-24.997826086956501</v>
      </c>
      <c r="V145">
        <v>0</v>
      </c>
      <c r="W145">
        <v>-0.59782608695652195</v>
      </c>
      <c r="X145">
        <v>-24.4</v>
      </c>
      <c r="Y145">
        <v>0</v>
      </c>
      <c r="Z145">
        <v>0</v>
      </c>
      <c r="AA145">
        <v>0</v>
      </c>
    </row>
    <row r="146" spans="3:27" x14ac:dyDescent="0.2">
      <c r="C146" t="s">
        <v>51</v>
      </c>
      <c r="D146" t="s">
        <v>852</v>
      </c>
      <c r="E146">
        <v>280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70</v>
      </c>
      <c r="L146">
        <v>76</v>
      </c>
      <c r="M146">
        <v>0</v>
      </c>
      <c r="N146">
        <v>76</v>
      </c>
      <c r="O146">
        <v>0</v>
      </c>
      <c r="P146">
        <v>356</v>
      </c>
      <c r="Q146" s="3">
        <v>0</v>
      </c>
      <c r="R146">
        <v>0</v>
      </c>
      <c r="S146">
        <v>0</v>
      </c>
      <c r="U146">
        <v>-31.1608695652174</v>
      </c>
      <c r="V146">
        <v>0</v>
      </c>
      <c r="W146">
        <v>-0.76086956521739102</v>
      </c>
      <c r="X146">
        <v>-30.4</v>
      </c>
      <c r="Y146">
        <v>0</v>
      </c>
      <c r="Z146">
        <v>0</v>
      </c>
      <c r="AA146">
        <v>0</v>
      </c>
    </row>
    <row r="147" spans="3:27" x14ac:dyDescent="0.2">
      <c r="C147" t="s">
        <v>51</v>
      </c>
      <c r="D147" t="s">
        <v>853</v>
      </c>
      <c r="E147">
        <v>410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100</v>
      </c>
      <c r="L147">
        <v>110</v>
      </c>
      <c r="M147">
        <v>0</v>
      </c>
      <c r="N147">
        <v>110</v>
      </c>
      <c r="O147">
        <v>0</v>
      </c>
      <c r="P147">
        <v>520</v>
      </c>
      <c r="Q147" s="3">
        <v>0</v>
      </c>
      <c r="R147">
        <v>0</v>
      </c>
      <c r="S147">
        <v>0</v>
      </c>
      <c r="U147">
        <v>-45.086956521739097</v>
      </c>
      <c r="V147">
        <v>0</v>
      </c>
      <c r="W147">
        <v>-1.0869565217391299</v>
      </c>
      <c r="X147">
        <v>-44</v>
      </c>
      <c r="Y147">
        <v>0</v>
      </c>
      <c r="Z147">
        <v>0</v>
      </c>
      <c r="AA147">
        <v>0</v>
      </c>
    </row>
    <row r="148" spans="3:27" x14ac:dyDescent="0.2">
      <c r="C148" t="s">
        <v>51</v>
      </c>
      <c r="D148" t="s">
        <v>854</v>
      </c>
      <c r="E148">
        <v>450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130</v>
      </c>
      <c r="L148">
        <v>145</v>
      </c>
      <c r="M148">
        <v>0</v>
      </c>
      <c r="N148">
        <v>145</v>
      </c>
      <c r="O148">
        <v>0</v>
      </c>
      <c r="P148">
        <v>595</v>
      </c>
      <c r="Q148" s="3">
        <v>0</v>
      </c>
      <c r="R148">
        <v>0</v>
      </c>
      <c r="S148">
        <v>0</v>
      </c>
      <c r="U148">
        <v>-59.413043478260903</v>
      </c>
      <c r="V148">
        <v>0</v>
      </c>
      <c r="W148">
        <v>-1.4130434782608701</v>
      </c>
      <c r="X148">
        <v>-58</v>
      </c>
      <c r="Y148">
        <v>0</v>
      </c>
      <c r="Z148">
        <v>0</v>
      </c>
      <c r="AA148">
        <v>0</v>
      </c>
    </row>
    <row r="149" spans="3:27" x14ac:dyDescent="0.2">
      <c r="C149" t="s">
        <v>51</v>
      </c>
      <c r="D149" t="s">
        <v>855</v>
      </c>
      <c r="E149">
        <v>230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60</v>
      </c>
      <c r="L149">
        <v>62</v>
      </c>
      <c r="M149">
        <v>0</v>
      </c>
      <c r="N149">
        <v>61</v>
      </c>
      <c r="O149">
        <v>0</v>
      </c>
      <c r="P149">
        <v>291</v>
      </c>
      <c r="Q149" s="3">
        <v>0</v>
      </c>
      <c r="R149">
        <v>0</v>
      </c>
      <c r="S149">
        <v>0</v>
      </c>
      <c r="U149">
        <v>-25.0521739130435</v>
      </c>
      <c r="V149">
        <v>0</v>
      </c>
      <c r="W149">
        <v>-0.65217391304347805</v>
      </c>
      <c r="X149">
        <v>-24.4</v>
      </c>
      <c r="Y149">
        <v>0</v>
      </c>
      <c r="Z149">
        <v>0</v>
      </c>
      <c r="AA149">
        <v>0</v>
      </c>
    </row>
    <row r="150" spans="3:27" x14ac:dyDescent="0.2">
      <c r="C150" t="s">
        <v>51</v>
      </c>
      <c r="D150" t="s">
        <v>856</v>
      </c>
      <c r="E150">
        <v>280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70</v>
      </c>
      <c r="L150">
        <v>78</v>
      </c>
      <c r="M150">
        <v>0</v>
      </c>
      <c r="N150">
        <v>77</v>
      </c>
      <c r="O150">
        <v>0</v>
      </c>
      <c r="P150">
        <v>357</v>
      </c>
      <c r="Q150" s="3">
        <v>0</v>
      </c>
      <c r="R150">
        <v>0</v>
      </c>
      <c r="S150">
        <v>0</v>
      </c>
      <c r="U150">
        <v>-31.560869565217399</v>
      </c>
      <c r="V150">
        <v>0</v>
      </c>
      <c r="W150">
        <v>-0.76086956521739102</v>
      </c>
      <c r="X150">
        <v>-30.8</v>
      </c>
      <c r="Y150">
        <v>0</v>
      </c>
      <c r="Z150">
        <v>0</v>
      </c>
      <c r="AA150">
        <v>0</v>
      </c>
    </row>
    <row r="151" spans="3:27" x14ac:dyDescent="0.2">
      <c r="C151" t="s">
        <v>51</v>
      </c>
      <c r="D151" t="s">
        <v>857</v>
      </c>
      <c r="E151">
        <v>410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105</v>
      </c>
      <c r="L151">
        <v>113</v>
      </c>
      <c r="M151">
        <v>0</v>
      </c>
      <c r="N151">
        <v>111</v>
      </c>
      <c r="O151">
        <v>0</v>
      </c>
      <c r="P151">
        <v>521</v>
      </c>
      <c r="Q151" s="3">
        <v>0</v>
      </c>
      <c r="R151">
        <v>0</v>
      </c>
      <c r="S151">
        <v>0</v>
      </c>
      <c r="U151">
        <v>-45.541304347826099</v>
      </c>
      <c r="V151">
        <v>0</v>
      </c>
      <c r="W151">
        <v>-1.14130434782609</v>
      </c>
      <c r="X151">
        <v>-44.4</v>
      </c>
      <c r="Y151">
        <v>0</v>
      </c>
      <c r="Z151">
        <v>0</v>
      </c>
      <c r="AA151">
        <v>0</v>
      </c>
    </row>
    <row r="152" spans="3:27" x14ac:dyDescent="0.2">
      <c r="C152" t="s">
        <v>51</v>
      </c>
      <c r="D152" t="s">
        <v>858</v>
      </c>
      <c r="E152">
        <v>530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135</v>
      </c>
      <c r="L152">
        <v>148</v>
      </c>
      <c r="M152">
        <v>0</v>
      </c>
      <c r="N152">
        <v>146</v>
      </c>
      <c r="O152">
        <v>0</v>
      </c>
      <c r="P152">
        <v>676</v>
      </c>
      <c r="Q152" s="3">
        <v>0</v>
      </c>
      <c r="R152">
        <v>0</v>
      </c>
      <c r="S152">
        <v>0</v>
      </c>
      <c r="U152">
        <v>-59.867391304347798</v>
      </c>
      <c r="V152">
        <v>0</v>
      </c>
      <c r="W152">
        <v>-1.4673913043478299</v>
      </c>
      <c r="X152">
        <v>-58.4</v>
      </c>
      <c r="Y152">
        <v>0</v>
      </c>
      <c r="Z152">
        <v>0</v>
      </c>
      <c r="AA152">
        <v>0</v>
      </c>
    </row>
    <row r="153" spans="3:27" x14ac:dyDescent="0.2">
      <c r="C153" t="s">
        <v>51</v>
      </c>
      <c r="D153" t="s">
        <v>859</v>
      </c>
      <c r="E153">
        <v>220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75</v>
      </c>
      <c r="L153">
        <v>62</v>
      </c>
      <c r="M153">
        <v>0</v>
      </c>
      <c r="N153">
        <v>60</v>
      </c>
      <c r="O153">
        <v>0</v>
      </c>
      <c r="P153">
        <v>280</v>
      </c>
      <c r="Q153" s="3">
        <v>0</v>
      </c>
      <c r="R153">
        <v>0</v>
      </c>
      <c r="S153">
        <v>0</v>
      </c>
      <c r="U153">
        <v>-24.815217391304301</v>
      </c>
      <c r="V153">
        <v>0</v>
      </c>
      <c r="W153">
        <v>-0.815217391304348</v>
      </c>
      <c r="X153">
        <v>-24</v>
      </c>
      <c r="Y153">
        <v>0</v>
      </c>
      <c r="Z153">
        <v>0</v>
      </c>
      <c r="AA153">
        <v>0</v>
      </c>
    </row>
    <row r="154" spans="3:27" x14ac:dyDescent="0.2">
      <c r="C154" t="s">
        <v>51</v>
      </c>
      <c r="D154" t="s">
        <v>860</v>
      </c>
      <c r="E154">
        <v>280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95</v>
      </c>
      <c r="L154">
        <v>77</v>
      </c>
      <c r="M154">
        <v>0</v>
      </c>
      <c r="N154">
        <v>75</v>
      </c>
      <c r="O154">
        <v>0</v>
      </c>
      <c r="P154">
        <v>355</v>
      </c>
      <c r="Q154" s="3">
        <v>0</v>
      </c>
      <c r="R154">
        <v>0</v>
      </c>
      <c r="S154">
        <v>0</v>
      </c>
      <c r="U154">
        <v>-31.0326086956522</v>
      </c>
      <c r="V154">
        <v>0</v>
      </c>
      <c r="W154">
        <v>-1.0326086956521701</v>
      </c>
      <c r="X154">
        <v>-30</v>
      </c>
      <c r="Y154">
        <v>0</v>
      </c>
      <c r="Z154">
        <v>0</v>
      </c>
      <c r="AA154">
        <v>0</v>
      </c>
    </row>
    <row r="155" spans="3:27" x14ac:dyDescent="0.2">
      <c r="C155" t="s">
        <v>51</v>
      </c>
      <c r="D155" t="s">
        <v>861</v>
      </c>
      <c r="E155">
        <v>410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135</v>
      </c>
      <c r="L155">
        <v>111</v>
      </c>
      <c r="M155">
        <v>0</v>
      </c>
      <c r="N155">
        <v>109</v>
      </c>
      <c r="O155">
        <v>0</v>
      </c>
      <c r="P155">
        <v>519</v>
      </c>
      <c r="Q155" s="3">
        <v>0</v>
      </c>
      <c r="R155">
        <v>0</v>
      </c>
      <c r="S155">
        <v>0</v>
      </c>
      <c r="U155">
        <v>-45.067391304347801</v>
      </c>
      <c r="V155">
        <v>0</v>
      </c>
      <c r="W155">
        <v>-1.4673913043478299</v>
      </c>
      <c r="X155">
        <v>-43.6</v>
      </c>
      <c r="Y155">
        <v>0</v>
      </c>
      <c r="Z155">
        <v>0</v>
      </c>
      <c r="AA155">
        <v>0</v>
      </c>
    </row>
    <row r="156" spans="3:27" x14ac:dyDescent="0.2">
      <c r="C156" t="s">
        <v>51</v>
      </c>
      <c r="D156" t="s">
        <v>862</v>
      </c>
      <c r="E156">
        <v>450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180</v>
      </c>
      <c r="L156">
        <v>146</v>
      </c>
      <c r="M156">
        <v>0</v>
      </c>
      <c r="N156">
        <v>143</v>
      </c>
      <c r="O156">
        <v>0</v>
      </c>
      <c r="P156">
        <v>593</v>
      </c>
      <c r="Q156" s="3">
        <v>0</v>
      </c>
      <c r="R156">
        <v>0</v>
      </c>
      <c r="S156">
        <v>0</v>
      </c>
      <c r="U156">
        <v>-59.156521739130397</v>
      </c>
      <c r="V156">
        <v>0</v>
      </c>
      <c r="W156">
        <v>-1.9565217391304399</v>
      </c>
      <c r="X156">
        <v>-57.2</v>
      </c>
      <c r="Y156">
        <v>0</v>
      </c>
      <c r="Z156">
        <v>0</v>
      </c>
      <c r="AA156">
        <v>0</v>
      </c>
    </row>
    <row r="157" spans="3:27" x14ac:dyDescent="0.2">
      <c r="C157" t="s">
        <v>51</v>
      </c>
      <c r="D157" t="s">
        <v>863</v>
      </c>
      <c r="E157">
        <v>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60</v>
      </c>
      <c r="L157">
        <v>3</v>
      </c>
      <c r="M157">
        <v>0</v>
      </c>
      <c r="N157">
        <v>0</v>
      </c>
      <c r="O157">
        <v>0</v>
      </c>
      <c r="P157">
        <v>0</v>
      </c>
      <c r="Q157" s="3">
        <v>0</v>
      </c>
      <c r="R157">
        <v>0</v>
      </c>
      <c r="S157">
        <v>0</v>
      </c>
      <c r="U157">
        <v>-0.65217391304347805</v>
      </c>
      <c r="V157">
        <v>0</v>
      </c>
      <c r="W157">
        <v>-0.65217391304347805</v>
      </c>
      <c r="X157">
        <v>0</v>
      </c>
      <c r="Y157">
        <v>0</v>
      </c>
      <c r="Z157">
        <v>0</v>
      </c>
      <c r="AA157">
        <v>0</v>
      </c>
    </row>
    <row r="158" spans="3:27" x14ac:dyDescent="0.2">
      <c r="C158" t="s">
        <v>51</v>
      </c>
      <c r="D158" t="s">
        <v>864</v>
      </c>
      <c r="E158">
        <v>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70</v>
      </c>
      <c r="L158">
        <v>4</v>
      </c>
      <c r="M158">
        <v>0</v>
      </c>
      <c r="N158">
        <v>0</v>
      </c>
      <c r="O158">
        <v>0</v>
      </c>
      <c r="P158">
        <v>0</v>
      </c>
      <c r="Q158" s="3">
        <v>0</v>
      </c>
      <c r="R158">
        <v>0</v>
      </c>
      <c r="S158">
        <v>0</v>
      </c>
      <c r="U158">
        <v>-0.76086956521739102</v>
      </c>
      <c r="V158">
        <v>0</v>
      </c>
      <c r="W158">
        <v>-0.76086956521739102</v>
      </c>
      <c r="X158">
        <v>0</v>
      </c>
      <c r="Y158">
        <v>0</v>
      </c>
      <c r="Z158">
        <v>0</v>
      </c>
      <c r="AA158">
        <v>0</v>
      </c>
    </row>
    <row r="159" spans="3:27" x14ac:dyDescent="0.2">
      <c r="C159" t="s">
        <v>51</v>
      </c>
      <c r="D159" t="s">
        <v>865</v>
      </c>
      <c r="E159">
        <v>15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105</v>
      </c>
      <c r="L159">
        <v>5</v>
      </c>
      <c r="M159">
        <v>0</v>
      </c>
      <c r="N159">
        <v>0</v>
      </c>
      <c r="O159">
        <v>0</v>
      </c>
      <c r="P159">
        <v>0</v>
      </c>
      <c r="Q159" s="3">
        <v>0</v>
      </c>
      <c r="R159">
        <v>0</v>
      </c>
      <c r="S159">
        <v>0</v>
      </c>
      <c r="U159">
        <v>-1.14130434782609</v>
      </c>
      <c r="V159">
        <v>0</v>
      </c>
      <c r="W159">
        <v>-1.14130434782609</v>
      </c>
      <c r="X159">
        <v>0</v>
      </c>
      <c r="Y159">
        <v>0</v>
      </c>
      <c r="Z159">
        <v>0</v>
      </c>
      <c r="AA159">
        <v>0</v>
      </c>
    </row>
    <row r="160" spans="3:27" x14ac:dyDescent="0.2">
      <c r="C160" t="s">
        <v>51</v>
      </c>
      <c r="D160" t="s">
        <v>866</v>
      </c>
      <c r="E160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135</v>
      </c>
      <c r="L160">
        <v>7</v>
      </c>
      <c r="M160">
        <v>0</v>
      </c>
      <c r="N160">
        <v>0</v>
      </c>
      <c r="O160">
        <v>0</v>
      </c>
      <c r="P160">
        <v>0</v>
      </c>
      <c r="Q160" s="3">
        <v>0</v>
      </c>
      <c r="R160">
        <v>0</v>
      </c>
      <c r="S160">
        <v>0</v>
      </c>
      <c r="U160">
        <v>-1.4673913043478299</v>
      </c>
      <c r="V160">
        <v>0</v>
      </c>
      <c r="W160">
        <v>-1.4673913043478299</v>
      </c>
      <c r="X160">
        <v>0</v>
      </c>
      <c r="Y160">
        <v>0</v>
      </c>
      <c r="Z160">
        <v>0</v>
      </c>
      <c r="AA160">
        <v>0</v>
      </c>
    </row>
    <row r="161" spans="3:27" x14ac:dyDescent="0.2">
      <c r="C161" t="s">
        <v>51</v>
      </c>
      <c r="D161" t="s">
        <v>867</v>
      </c>
      <c r="E161">
        <v>120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35</v>
      </c>
      <c r="M161">
        <v>0</v>
      </c>
      <c r="N161">
        <v>35</v>
      </c>
      <c r="O161">
        <v>0</v>
      </c>
      <c r="P161">
        <v>155</v>
      </c>
      <c r="Q161" s="3">
        <v>0</v>
      </c>
      <c r="R161">
        <v>0</v>
      </c>
      <c r="S161">
        <v>0</v>
      </c>
      <c r="U161">
        <v>-14</v>
      </c>
      <c r="V161">
        <v>0</v>
      </c>
      <c r="W161">
        <v>0</v>
      </c>
      <c r="X161">
        <v>-14</v>
      </c>
      <c r="Y161">
        <v>0</v>
      </c>
      <c r="Z161">
        <v>0</v>
      </c>
      <c r="AA161">
        <v>0</v>
      </c>
    </row>
    <row r="162" spans="3:27" x14ac:dyDescent="0.2">
      <c r="C162" t="s">
        <v>51</v>
      </c>
      <c r="D162" t="s">
        <v>868</v>
      </c>
      <c r="E162">
        <v>160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49</v>
      </c>
      <c r="M162">
        <v>0</v>
      </c>
      <c r="N162">
        <v>49</v>
      </c>
      <c r="O162">
        <v>0</v>
      </c>
      <c r="P162">
        <v>209</v>
      </c>
      <c r="Q162" s="3">
        <v>0</v>
      </c>
      <c r="R162">
        <v>0</v>
      </c>
      <c r="S162">
        <v>0</v>
      </c>
      <c r="U162">
        <v>-19.600000000000001</v>
      </c>
      <c r="V162">
        <v>0</v>
      </c>
      <c r="W162">
        <v>0</v>
      </c>
      <c r="X162">
        <v>-19.600000000000001</v>
      </c>
      <c r="Y162">
        <v>0</v>
      </c>
      <c r="Z162">
        <v>0</v>
      </c>
      <c r="AA162">
        <v>0</v>
      </c>
    </row>
    <row r="163" spans="3:27" x14ac:dyDescent="0.2">
      <c r="C163" t="s">
        <v>51</v>
      </c>
      <c r="D163" t="s">
        <v>869</v>
      </c>
      <c r="E163">
        <v>240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71</v>
      </c>
      <c r="M163">
        <v>0</v>
      </c>
      <c r="N163">
        <v>71</v>
      </c>
      <c r="O163">
        <v>0</v>
      </c>
      <c r="P163">
        <v>311</v>
      </c>
      <c r="Q163" s="3">
        <v>0</v>
      </c>
      <c r="R163">
        <v>0</v>
      </c>
      <c r="S163">
        <v>0</v>
      </c>
      <c r="U163">
        <v>-28.4</v>
      </c>
      <c r="V163">
        <v>0</v>
      </c>
      <c r="W163">
        <v>0</v>
      </c>
      <c r="X163">
        <v>-28.4</v>
      </c>
      <c r="Y163">
        <v>0</v>
      </c>
      <c r="Z163">
        <v>0</v>
      </c>
      <c r="AA163">
        <v>0</v>
      </c>
    </row>
    <row r="164" spans="3:27" x14ac:dyDescent="0.2">
      <c r="C164" t="s">
        <v>51</v>
      </c>
      <c r="D164" t="s">
        <v>873</v>
      </c>
      <c r="E164">
        <v>80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25</v>
      </c>
      <c r="L164">
        <v>20</v>
      </c>
      <c r="M164">
        <v>0</v>
      </c>
      <c r="N164">
        <v>20</v>
      </c>
      <c r="O164">
        <v>0</v>
      </c>
      <c r="P164">
        <v>100</v>
      </c>
      <c r="Q164" s="3">
        <v>0</v>
      </c>
      <c r="R164">
        <v>0</v>
      </c>
      <c r="S164">
        <v>0</v>
      </c>
      <c r="U164">
        <v>-8.2717391304347796</v>
      </c>
      <c r="V164">
        <v>0</v>
      </c>
      <c r="W164">
        <v>-0.27173913043478298</v>
      </c>
      <c r="X164">
        <v>-8</v>
      </c>
      <c r="Y164">
        <v>0</v>
      </c>
      <c r="Z164">
        <v>0</v>
      </c>
      <c r="AA164">
        <v>0</v>
      </c>
    </row>
    <row r="165" spans="3:27" x14ac:dyDescent="0.2">
      <c r="C165" t="s">
        <v>51</v>
      </c>
      <c r="D165" t="s">
        <v>874</v>
      </c>
      <c r="E165">
        <v>130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50</v>
      </c>
      <c r="L165">
        <v>35</v>
      </c>
      <c r="M165">
        <v>0</v>
      </c>
      <c r="N165">
        <v>35</v>
      </c>
      <c r="O165">
        <v>0</v>
      </c>
      <c r="P165">
        <v>165</v>
      </c>
      <c r="Q165" s="3">
        <v>0</v>
      </c>
      <c r="R165">
        <v>0</v>
      </c>
      <c r="S165">
        <v>0</v>
      </c>
      <c r="U165">
        <v>-14.5434782608696</v>
      </c>
      <c r="V165">
        <v>0</v>
      </c>
      <c r="W165">
        <v>-0.54347826086956497</v>
      </c>
      <c r="X165">
        <v>-14</v>
      </c>
      <c r="Y165">
        <v>0</v>
      </c>
      <c r="Z165">
        <v>0</v>
      </c>
      <c r="AA165">
        <v>0</v>
      </c>
    </row>
    <row r="166" spans="3:27" x14ac:dyDescent="0.2">
      <c r="C166" t="s">
        <v>21</v>
      </c>
      <c r="D166" t="s">
        <v>22</v>
      </c>
      <c r="E166">
        <v>210</v>
      </c>
      <c r="F166">
        <v>0</v>
      </c>
      <c r="G166">
        <v>7</v>
      </c>
      <c r="H166">
        <v>2</v>
      </c>
      <c r="I166">
        <v>0</v>
      </c>
      <c r="J166">
        <v>130</v>
      </c>
      <c r="K166">
        <v>710</v>
      </c>
      <c r="L166">
        <v>0</v>
      </c>
      <c r="M166">
        <v>0</v>
      </c>
      <c r="N166">
        <v>0</v>
      </c>
      <c r="O166">
        <v>38</v>
      </c>
      <c r="P166">
        <v>174</v>
      </c>
      <c r="Q166" s="3">
        <v>18.095238095238098</v>
      </c>
      <c r="R166">
        <v>1</v>
      </c>
      <c r="S166">
        <v>0</v>
      </c>
      <c r="U166">
        <v>-0.61739130434782497</v>
      </c>
      <c r="V166">
        <v>-0.5</v>
      </c>
      <c r="W166">
        <v>-7.7173913043478297</v>
      </c>
      <c r="X166">
        <v>0</v>
      </c>
      <c r="Y166">
        <v>0</v>
      </c>
      <c r="Z166">
        <v>7.6</v>
      </c>
      <c r="AA166">
        <v>0</v>
      </c>
    </row>
    <row r="167" spans="3:27" x14ac:dyDescent="0.2">
      <c r="C167" t="s">
        <v>21</v>
      </c>
      <c r="D167" t="s">
        <v>23</v>
      </c>
      <c r="E167">
        <v>260</v>
      </c>
      <c r="F167">
        <v>0</v>
      </c>
      <c r="G167">
        <v>12</v>
      </c>
      <c r="H167">
        <v>3</v>
      </c>
      <c r="I167">
        <v>0</v>
      </c>
      <c r="J167">
        <v>130</v>
      </c>
      <c r="K167">
        <v>790</v>
      </c>
      <c r="L167">
        <v>1</v>
      </c>
      <c r="M167">
        <v>0</v>
      </c>
      <c r="N167">
        <v>0</v>
      </c>
      <c r="O167">
        <v>38</v>
      </c>
      <c r="P167">
        <v>225</v>
      </c>
      <c r="Q167" s="3">
        <v>14.615384615384601</v>
      </c>
      <c r="R167">
        <v>1</v>
      </c>
      <c r="S167">
        <v>0</v>
      </c>
      <c r="U167">
        <v>-1.7369565217391301</v>
      </c>
      <c r="V167">
        <v>-0.75</v>
      </c>
      <c r="W167">
        <v>-8.5869565217391308</v>
      </c>
      <c r="X167">
        <v>0</v>
      </c>
      <c r="Y167">
        <v>0</v>
      </c>
      <c r="Z167">
        <v>7.6</v>
      </c>
      <c r="AA167">
        <v>0</v>
      </c>
    </row>
    <row r="168" spans="3:27" x14ac:dyDescent="0.2">
      <c r="C168" t="s">
        <v>21</v>
      </c>
      <c r="D168" t="s">
        <v>24</v>
      </c>
      <c r="E168">
        <v>80</v>
      </c>
      <c r="F168">
        <v>0</v>
      </c>
      <c r="G168">
        <v>4</v>
      </c>
      <c r="H168">
        <v>1</v>
      </c>
      <c r="I168">
        <v>0</v>
      </c>
      <c r="J168">
        <v>55</v>
      </c>
      <c r="K168">
        <v>220</v>
      </c>
      <c r="L168">
        <v>0</v>
      </c>
      <c r="M168">
        <v>0</v>
      </c>
      <c r="N168">
        <v>0</v>
      </c>
      <c r="O168">
        <v>11</v>
      </c>
      <c r="P168">
        <v>70</v>
      </c>
      <c r="Q168" s="3">
        <v>13.75</v>
      </c>
      <c r="R168">
        <v>0</v>
      </c>
      <c r="S168">
        <v>0</v>
      </c>
      <c r="U168">
        <v>-0.44130434782608702</v>
      </c>
      <c r="V168">
        <v>-0.25</v>
      </c>
      <c r="W168">
        <v>-2.39130434782609</v>
      </c>
      <c r="X168">
        <v>0</v>
      </c>
      <c r="Y168">
        <v>0</v>
      </c>
      <c r="Z168">
        <v>2.2000000000000002</v>
      </c>
      <c r="AA168">
        <v>0</v>
      </c>
    </row>
    <row r="169" spans="3:27" x14ac:dyDescent="0.2">
      <c r="C169" t="s">
        <v>21</v>
      </c>
      <c r="D169" t="s">
        <v>27</v>
      </c>
      <c r="E169">
        <v>70</v>
      </c>
      <c r="F169">
        <v>0</v>
      </c>
      <c r="G169">
        <v>3</v>
      </c>
      <c r="H169">
        <v>1</v>
      </c>
      <c r="I169">
        <v>0</v>
      </c>
      <c r="J169">
        <v>45</v>
      </c>
      <c r="K169">
        <v>180</v>
      </c>
      <c r="L169">
        <v>0</v>
      </c>
      <c r="M169">
        <v>0</v>
      </c>
      <c r="N169">
        <v>0</v>
      </c>
      <c r="O169">
        <v>9</v>
      </c>
      <c r="P169">
        <v>62</v>
      </c>
      <c r="Q169" s="3">
        <v>12.8571428571429</v>
      </c>
      <c r="R169">
        <v>0</v>
      </c>
      <c r="S169">
        <v>0</v>
      </c>
      <c r="U169">
        <v>-0.40652173913043499</v>
      </c>
      <c r="V169">
        <v>-0.25</v>
      </c>
      <c r="W169">
        <v>-1.9565217391304399</v>
      </c>
      <c r="X169">
        <v>0</v>
      </c>
      <c r="Y169">
        <v>0</v>
      </c>
      <c r="Z169">
        <v>1.8</v>
      </c>
      <c r="AA169">
        <v>0</v>
      </c>
    </row>
    <row r="170" spans="3:27" x14ac:dyDescent="0.2">
      <c r="C170" t="s">
        <v>21</v>
      </c>
      <c r="D170" t="s">
        <v>29</v>
      </c>
      <c r="E170">
        <v>150</v>
      </c>
      <c r="F170">
        <v>0</v>
      </c>
      <c r="G170">
        <v>9</v>
      </c>
      <c r="H170">
        <v>3</v>
      </c>
      <c r="I170">
        <v>0</v>
      </c>
      <c r="J170">
        <v>90</v>
      </c>
      <c r="K170">
        <v>420</v>
      </c>
      <c r="L170">
        <v>0</v>
      </c>
      <c r="M170">
        <v>0</v>
      </c>
      <c r="N170">
        <v>0</v>
      </c>
      <c r="O170">
        <v>17</v>
      </c>
      <c r="P170">
        <v>136</v>
      </c>
      <c r="Q170" s="3">
        <v>11.3333333333333</v>
      </c>
      <c r="R170">
        <v>0</v>
      </c>
      <c r="S170">
        <v>0</v>
      </c>
      <c r="U170">
        <v>-1.91521739130435</v>
      </c>
      <c r="V170">
        <v>-0.75</v>
      </c>
      <c r="W170">
        <v>-4.5652173913043503</v>
      </c>
      <c r="X170">
        <v>0</v>
      </c>
      <c r="Y170">
        <v>0</v>
      </c>
      <c r="Z170">
        <v>3.4</v>
      </c>
      <c r="AA170">
        <v>0</v>
      </c>
    </row>
    <row r="171" spans="3:27" x14ac:dyDescent="0.2">
      <c r="C171" t="s">
        <v>21</v>
      </c>
      <c r="D171" t="s">
        <v>30</v>
      </c>
      <c r="E171">
        <v>100</v>
      </c>
      <c r="F171">
        <v>0</v>
      </c>
      <c r="G171">
        <v>6</v>
      </c>
      <c r="H171">
        <v>1.5</v>
      </c>
      <c r="I171">
        <v>0</v>
      </c>
      <c r="J171">
        <v>55</v>
      </c>
      <c r="K171">
        <v>260</v>
      </c>
      <c r="L171">
        <v>0</v>
      </c>
      <c r="M171">
        <v>0</v>
      </c>
      <c r="N171">
        <v>0</v>
      </c>
      <c r="O171">
        <v>11</v>
      </c>
      <c r="P171">
        <v>90.5</v>
      </c>
      <c r="Q171" s="3">
        <v>11</v>
      </c>
      <c r="R171">
        <v>0</v>
      </c>
      <c r="S171">
        <v>0</v>
      </c>
      <c r="U171">
        <v>-1.00108695652174</v>
      </c>
      <c r="V171">
        <v>-0.375</v>
      </c>
      <c r="W171">
        <v>-2.8260869565217401</v>
      </c>
      <c r="X171">
        <v>0</v>
      </c>
      <c r="Y171">
        <v>0</v>
      </c>
      <c r="Z171">
        <v>2.2000000000000002</v>
      </c>
      <c r="AA171">
        <v>0</v>
      </c>
    </row>
    <row r="172" spans="3:27" x14ac:dyDescent="0.2">
      <c r="C172" t="s">
        <v>21</v>
      </c>
      <c r="D172" t="s">
        <v>53</v>
      </c>
      <c r="E172">
        <v>390</v>
      </c>
      <c r="F172">
        <v>0</v>
      </c>
      <c r="G172">
        <v>21</v>
      </c>
      <c r="H172">
        <v>4</v>
      </c>
      <c r="I172">
        <v>0</v>
      </c>
      <c r="J172">
        <v>120</v>
      </c>
      <c r="K172">
        <v>1190</v>
      </c>
      <c r="L172">
        <v>11</v>
      </c>
      <c r="M172">
        <v>2</v>
      </c>
      <c r="N172">
        <v>0</v>
      </c>
      <c r="O172">
        <v>39</v>
      </c>
      <c r="P172">
        <v>355</v>
      </c>
      <c r="Q172" s="3">
        <v>10</v>
      </c>
      <c r="R172">
        <v>1</v>
      </c>
      <c r="S172">
        <v>0</v>
      </c>
      <c r="U172">
        <v>-5.4204968944099399</v>
      </c>
      <c r="V172">
        <v>-1</v>
      </c>
      <c r="W172">
        <v>-12.9347826086957</v>
      </c>
      <c r="X172">
        <v>0</v>
      </c>
      <c r="Y172">
        <v>0</v>
      </c>
      <c r="Z172">
        <v>7.8</v>
      </c>
      <c r="AA172">
        <v>0.71428571428571397</v>
      </c>
    </row>
    <row r="173" spans="3:27" x14ac:dyDescent="0.2">
      <c r="C173" t="s">
        <v>21</v>
      </c>
      <c r="D173" t="s">
        <v>54</v>
      </c>
      <c r="E173">
        <v>90</v>
      </c>
      <c r="F173">
        <v>0</v>
      </c>
      <c r="G173">
        <v>6</v>
      </c>
      <c r="H173">
        <v>1.5</v>
      </c>
      <c r="I173">
        <v>0</v>
      </c>
      <c r="J173">
        <v>45</v>
      </c>
      <c r="K173">
        <v>210</v>
      </c>
      <c r="L173">
        <v>1</v>
      </c>
      <c r="M173">
        <v>0</v>
      </c>
      <c r="N173">
        <v>0</v>
      </c>
      <c r="O173">
        <v>9</v>
      </c>
      <c r="P173">
        <v>82.5</v>
      </c>
      <c r="Q173" s="3">
        <v>10</v>
      </c>
      <c r="R173">
        <v>0</v>
      </c>
      <c r="S173">
        <v>0</v>
      </c>
      <c r="U173">
        <v>-0.85760869565217401</v>
      </c>
      <c r="V173">
        <v>-0.375</v>
      </c>
      <c r="W173">
        <v>-2.2826086956521698</v>
      </c>
      <c r="X173">
        <v>0</v>
      </c>
      <c r="Y173">
        <v>0</v>
      </c>
      <c r="Z173">
        <v>1.8</v>
      </c>
      <c r="AA173">
        <v>0</v>
      </c>
    </row>
    <row r="174" spans="3:27" x14ac:dyDescent="0.2">
      <c r="C174" t="s">
        <v>21</v>
      </c>
      <c r="D174" t="s">
        <v>55</v>
      </c>
      <c r="E174">
        <v>180</v>
      </c>
      <c r="F174">
        <v>0</v>
      </c>
      <c r="G174">
        <v>12</v>
      </c>
      <c r="H174">
        <v>3.5</v>
      </c>
      <c r="I174">
        <v>0</v>
      </c>
      <c r="J174">
        <v>90</v>
      </c>
      <c r="K174">
        <v>470</v>
      </c>
      <c r="L174">
        <v>0</v>
      </c>
      <c r="M174">
        <v>0</v>
      </c>
      <c r="N174">
        <v>0</v>
      </c>
      <c r="O174">
        <v>17</v>
      </c>
      <c r="P174">
        <v>166.5</v>
      </c>
      <c r="Q174" s="3">
        <v>9.4444444444444393</v>
      </c>
      <c r="R174">
        <v>1</v>
      </c>
      <c r="S174">
        <v>0</v>
      </c>
      <c r="U174">
        <v>-2.5836956521739101</v>
      </c>
      <c r="V174">
        <v>-0.875</v>
      </c>
      <c r="W174">
        <v>-5.1086956521739104</v>
      </c>
      <c r="X174">
        <v>0</v>
      </c>
      <c r="Y174">
        <v>0</v>
      </c>
      <c r="Z174">
        <v>3.4</v>
      </c>
      <c r="AA174">
        <v>0</v>
      </c>
    </row>
    <row r="175" spans="3:27" x14ac:dyDescent="0.2">
      <c r="C175" t="s">
        <v>21</v>
      </c>
      <c r="D175" t="s">
        <v>57</v>
      </c>
      <c r="E175">
        <v>130</v>
      </c>
      <c r="F175">
        <v>0</v>
      </c>
      <c r="G175">
        <v>8</v>
      </c>
      <c r="H175">
        <v>1.5</v>
      </c>
      <c r="I175">
        <v>0</v>
      </c>
      <c r="J175">
        <v>55</v>
      </c>
      <c r="K175">
        <v>430</v>
      </c>
      <c r="L175">
        <v>4</v>
      </c>
      <c r="M175">
        <v>1</v>
      </c>
      <c r="N175">
        <v>0</v>
      </c>
      <c r="O175">
        <v>12</v>
      </c>
      <c r="P175">
        <v>119.5</v>
      </c>
      <c r="Q175" s="3">
        <v>9.2307692307692299</v>
      </c>
      <c r="R175">
        <v>0</v>
      </c>
      <c r="S175">
        <v>0</v>
      </c>
      <c r="U175">
        <v>-2.2917701863354001</v>
      </c>
      <c r="V175">
        <v>-0.375</v>
      </c>
      <c r="W175">
        <v>-4.6739130434782599</v>
      </c>
      <c r="X175">
        <v>0</v>
      </c>
      <c r="Y175">
        <v>0</v>
      </c>
      <c r="Z175">
        <v>2.4</v>
      </c>
      <c r="AA175">
        <v>0.35714285714285698</v>
      </c>
    </row>
    <row r="176" spans="3:27" x14ac:dyDescent="0.2">
      <c r="C176" t="s">
        <v>21</v>
      </c>
      <c r="D176" t="s">
        <v>67</v>
      </c>
      <c r="E176">
        <v>350</v>
      </c>
      <c r="F176">
        <v>0</v>
      </c>
      <c r="G176">
        <v>20</v>
      </c>
      <c r="H176">
        <v>3.5</v>
      </c>
      <c r="I176">
        <v>0</v>
      </c>
      <c r="J176">
        <v>100</v>
      </c>
      <c r="K176">
        <v>1100</v>
      </c>
      <c r="L176">
        <v>11</v>
      </c>
      <c r="M176">
        <v>1</v>
      </c>
      <c r="N176">
        <v>0</v>
      </c>
      <c r="O176">
        <v>30</v>
      </c>
      <c r="P176">
        <v>323.5</v>
      </c>
      <c r="Q176" s="3">
        <v>8.5714285714285694</v>
      </c>
      <c r="R176">
        <v>1</v>
      </c>
      <c r="S176">
        <v>0</v>
      </c>
      <c r="U176">
        <v>-6.4743788819875796</v>
      </c>
      <c r="V176">
        <v>-0.875</v>
      </c>
      <c r="W176">
        <v>-11.9565217391304</v>
      </c>
      <c r="X176">
        <v>0</v>
      </c>
      <c r="Y176">
        <v>0</v>
      </c>
      <c r="Z176">
        <v>6</v>
      </c>
      <c r="AA176">
        <v>0.35714285714285698</v>
      </c>
    </row>
    <row r="177" spans="3:27" x14ac:dyDescent="0.2">
      <c r="C177" t="s">
        <v>21</v>
      </c>
      <c r="D177" t="s">
        <v>76</v>
      </c>
      <c r="E177">
        <v>90</v>
      </c>
      <c r="F177">
        <v>0</v>
      </c>
      <c r="G177">
        <v>2</v>
      </c>
      <c r="H177">
        <v>1.5</v>
      </c>
      <c r="I177">
        <v>0</v>
      </c>
      <c r="J177">
        <v>10</v>
      </c>
      <c r="K177">
        <v>105</v>
      </c>
      <c r="L177">
        <v>10</v>
      </c>
      <c r="M177">
        <v>0</v>
      </c>
      <c r="N177">
        <v>10</v>
      </c>
      <c r="O177">
        <v>7</v>
      </c>
      <c r="P177">
        <v>94.5</v>
      </c>
      <c r="Q177" s="3">
        <v>7.7777777777777803</v>
      </c>
      <c r="R177">
        <v>0</v>
      </c>
      <c r="S177">
        <v>0</v>
      </c>
      <c r="U177">
        <v>-4.1163043478260901</v>
      </c>
      <c r="V177">
        <v>-0.375</v>
      </c>
      <c r="W177">
        <v>-1.14130434782609</v>
      </c>
      <c r="X177">
        <v>-4</v>
      </c>
      <c r="Y177">
        <v>0</v>
      </c>
      <c r="Z177">
        <v>1.4</v>
      </c>
      <c r="AA177">
        <v>0</v>
      </c>
    </row>
    <row r="178" spans="3:27" x14ac:dyDescent="0.2">
      <c r="C178" t="s">
        <v>21</v>
      </c>
      <c r="D178" t="s">
        <v>77</v>
      </c>
      <c r="E178">
        <v>130</v>
      </c>
      <c r="F178">
        <v>0</v>
      </c>
      <c r="G178">
        <v>8</v>
      </c>
      <c r="H178">
        <v>2</v>
      </c>
      <c r="I178">
        <v>0</v>
      </c>
      <c r="J178">
        <v>55</v>
      </c>
      <c r="K178">
        <v>380</v>
      </c>
      <c r="L178">
        <v>3</v>
      </c>
      <c r="M178">
        <v>0</v>
      </c>
      <c r="N178">
        <v>0</v>
      </c>
      <c r="O178">
        <v>10</v>
      </c>
      <c r="P178">
        <v>122</v>
      </c>
      <c r="Q178" s="3">
        <v>7.6923076923076898</v>
      </c>
      <c r="R178">
        <v>0</v>
      </c>
      <c r="S178">
        <v>0</v>
      </c>
      <c r="U178">
        <v>-2.63043478260869</v>
      </c>
      <c r="V178">
        <v>-0.5</v>
      </c>
      <c r="W178">
        <v>-4.1304347826086998</v>
      </c>
      <c r="X178">
        <v>0</v>
      </c>
      <c r="Y178">
        <v>0</v>
      </c>
      <c r="Z178">
        <v>2</v>
      </c>
      <c r="AA178">
        <v>0</v>
      </c>
    </row>
    <row r="179" spans="3:27" x14ac:dyDescent="0.2">
      <c r="C179" t="s">
        <v>21</v>
      </c>
      <c r="D179" t="s">
        <v>81</v>
      </c>
      <c r="E179">
        <v>40</v>
      </c>
      <c r="F179">
        <v>0</v>
      </c>
      <c r="G179">
        <v>2</v>
      </c>
      <c r="H179">
        <v>1</v>
      </c>
      <c r="I179">
        <v>0</v>
      </c>
      <c r="J179">
        <v>5</v>
      </c>
      <c r="K179">
        <v>90</v>
      </c>
      <c r="L179">
        <v>2</v>
      </c>
      <c r="M179">
        <v>1</v>
      </c>
      <c r="N179">
        <v>1</v>
      </c>
      <c r="O179">
        <v>3</v>
      </c>
      <c r="P179">
        <v>39</v>
      </c>
      <c r="Q179" s="3">
        <v>7.5</v>
      </c>
      <c r="R179">
        <v>0</v>
      </c>
      <c r="S179">
        <v>0</v>
      </c>
      <c r="U179">
        <v>-0.67111801242236002</v>
      </c>
      <c r="V179">
        <v>-0.25</v>
      </c>
      <c r="W179">
        <v>-0.97826086956521796</v>
      </c>
      <c r="X179">
        <v>-0.4</v>
      </c>
      <c r="Y179">
        <v>0</v>
      </c>
      <c r="Z179">
        <v>0.6</v>
      </c>
      <c r="AA179">
        <v>0.35714285714285698</v>
      </c>
    </row>
    <row r="180" spans="3:27" x14ac:dyDescent="0.2">
      <c r="C180" t="s">
        <v>21</v>
      </c>
      <c r="D180" t="s">
        <v>86</v>
      </c>
      <c r="E180">
        <v>230</v>
      </c>
      <c r="F180">
        <v>0</v>
      </c>
      <c r="G180">
        <v>13</v>
      </c>
      <c r="H180">
        <v>2.5</v>
      </c>
      <c r="I180">
        <v>0</v>
      </c>
      <c r="J180">
        <v>285</v>
      </c>
      <c r="K180">
        <v>750</v>
      </c>
      <c r="L180">
        <v>12</v>
      </c>
      <c r="M180">
        <v>0</v>
      </c>
      <c r="N180">
        <v>0</v>
      </c>
      <c r="O180">
        <v>17</v>
      </c>
      <c r="P180">
        <v>215.5</v>
      </c>
      <c r="Q180" s="3">
        <v>7.3913043478260896</v>
      </c>
      <c r="R180">
        <v>1</v>
      </c>
      <c r="S180">
        <v>0</v>
      </c>
      <c r="U180">
        <v>-5.3771739130434799</v>
      </c>
      <c r="V180">
        <v>-0.625</v>
      </c>
      <c r="W180">
        <v>-8.1521739130434803</v>
      </c>
      <c r="X180">
        <v>0</v>
      </c>
      <c r="Y180">
        <v>0</v>
      </c>
      <c r="Z180">
        <v>3.4</v>
      </c>
      <c r="AA180">
        <v>0</v>
      </c>
    </row>
    <row r="181" spans="3:27" x14ac:dyDescent="0.2">
      <c r="C181" t="s">
        <v>21</v>
      </c>
      <c r="D181" t="s">
        <v>88</v>
      </c>
      <c r="E181">
        <v>260</v>
      </c>
      <c r="F181">
        <v>0</v>
      </c>
      <c r="G181">
        <v>14</v>
      </c>
      <c r="H181">
        <v>2</v>
      </c>
      <c r="I181">
        <v>0</v>
      </c>
      <c r="J181">
        <v>50</v>
      </c>
      <c r="K181">
        <v>610</v>
      </c>
      <c r="L181">
        <v>15</v>
      </c>
      <c r="M181">
        <v>0</v>
      </c>
      <c r="N181">
        <v>0</v>
      </c>
      <c r="O181">
        <v>19</v>
      </c>
      <c r="P181">
        <v>243</v>
      </c>
      <c r="Q181" s="3">
        <v>7.3076923076923102</v>
      </c>
      <c r="R181">
        <v>1</v>
      </c>
      <c r="S181">
        <v>0</v>
      </c>
      <c r="U181">
        <v>-3.3304347826087</v>
      </c>
      <c r="V181">
        <v>-0.5</v>
      </c>
      <c r="W181">
        <v>-6.6304347826086998</v>
      </c>
      <c r="X181">
        <v>0</v>
      </c>
      <c r="Y181">
        <v>0</v>
      </c>
      <c r="Z181">
        <v>3.8</v>
      </c>
      <c r="AA181">
        <v>0</v>
      </c>
    </row>
    <row r="182" spans="3:27" x14ac:dyDescent="0.2">
      <c r="C182" t="s">
        <v>21</v>
      </c>
      <c r="D182" t="s">
        <v>94</v>
      </c>
      <c r="E182">
        <v>130</v>
      </c>
      <c r="F182">
        <v>0</v>
      </c>
      <c r="G182">
        <v>8</v>
      </c>
      <c r="H182">
        <v>1.5</v>
      </c>
      <c r="I182">
        <v>0</v>
      </c>
      <c r="J182">
        <v>40</v>
      </c>
      <c r="K182">
        <v>420</v>
      </c>
      <c r="L182">
        <v>5</v>
      </c>
      <c r="M182">
        <v>1</v>
      </c>
      <c r="N182">
        <v>0</v>
      </c>
      <c r="O182">
        <v>9</v>
      </c>
      <c r="P182">
        <v>122.5</v>
      </c>
      <c r="Q182" s="3">
        <v>6.9230769230769198</v>
      </c>
      <c r="R182">
        <v>0</v>
      </c>
      <c r="S182">
        <v>0</v>
      </c>
      <c r="U182">
        <v>-2.7830745341614902</v>
      </c>
      <c r="V182">
        <v>-0.375</v>
      </c>
      <c r="W182">
        <v>-4.5652173913043503</v>
      </c>
      <c r="X182">
        <v>0</v>
      </c>
      <c r="Y182">
        <v>0</v>
      </c>
      <c r="Z182">
        <v>1.8</v>
      </c>
      <c r="AA182">
        <v>0.35714285714285698</v>
      </c>
    </row>
    <row r="183" spans="3:27" x14ac:dyDescent="0.2">
      <c r="C183" t="s">
        <v>21</v>
      </c>
      <c r="D183" t="s">
        <v>95</v>
      </c>
      <c r="E183">
        <v>350</v>
      </c>
      <c r="F183">
        <v>0</v>
      </c>
      <c r="G183">
        <v>3.5</v>
      </c>
      <c r="H183">
        <v>0.5</v>
      </c>
      <c r="I183">
        <v>0</v>
      </c>
      <c r="J183">
        <v>55</v>
      </c>
      <c r="K183">
        <v>1350</v>
      </c>
      <c r="L183">
        <v>55</v>
      </c>
      <c r="M183">
        <v>2</v>
      </c>
      <c r="N183">
        <v>22</v>
      </c>
      <c r="O183">
        <v>24</v>
      </c>
      <c r="P183">
        <v>348.5</v>
      </c>
      <c r="Q183" s="3">
        <v>6.8571428571428603</v>
      </c>
      <c r="R183">
        <v>1</v>
      </c>
      <c r="S183">
        <v>0</v>
      </c>
      <c r="U183">
        <v>-18.0846273291925</v>
      </c>
      <c r="V183">
        <v>-0.125</v>
      </c>
      <c r="W183">
        <v>-14.673913043478301</v>
      </c>
      <c r="X183">
        <v>-8.8000000000000007</v>
      </c>
      <c r="Y183">
        <v>0</v>
      </c>
      <c r="Z183">
        <v>4.8</v>
      </c>
      <c r="AA183">
        <v>0.71428571428571397</v>
      </c>
    </row>
    <row r="184" spans="3:27" x14ac:dyDescent="0.2">
      <c r="C184" t="s">
        <v>21</v>
      </c>
      <c r="D184" t="s">
        <v>97</v>
      </c>
      <c r="E184">
        <v>280</v>
      </c>
      <c r="F184">
        <v>0</v>
      </c>
      <c r="G184">
        <v>19</v>
      </c>
      <c r="H184">
        <v>4.5</v>
      </c>
      <c r="I184">
        <v>0</v>
      </c>
      <c r="J184">
        <v>100</v>
      </c>
      <c r="K184">
        <v>910</v>
      </c>
      <c r="L184">
        <v>8</v>
      </c>
      <c r="M184">
        <v>1</v>
      </c>
      <c r="N184">
        <v>0</v>
      </c>
      <c r="O184">
        <v>19</v>
      </c>
      <c r="P184">
        <v>265.5</v>
      </c>
      <c r="Q184" s="3">
        <v>6.78571428571429</v>
      </c>
      <c r="R184">
        <v>1</v>
      </c>
      <c r="S184">
        <v>0</v>
      </c>
      <c r="U184">
        <v>-6.8591614906832303</v>
      </c>
      <c r="V184">
        <v>-1.125</v>
      </c>
      <c r="W184">
        <v>-9.8913043478260896</v>
      </c>
      <c r="X184">
        <v>0</v>
      </c>
      <c r="Y184">
        <v>0</v>
      </c>
      <c r="Z184">
        <v>3.8</v>
      </c>
      <c r="AA184">
        <v>0.35714285714285698</v>
      </c>
    </row>
    <row r="185" spans="3:27" x14ac:dyDescent="0.2">
      <c r="C185" t="s">
        <v>21</v>
      </c>
      <c r="D185" t="s">
        <v>100</v>
      </c>
      <c r="E185">
        <v>330</v>
      </c>
      <c r="F185">
        <v>0</v>
      </c>
      <c r="G185">
        <v>23</v>
      </c>
      <c r="H185">
        <v>4.5</v>
      </c>
      <c r="I185">
        <v>0</v>
      </c>
      <c r="J185">
        <v>100</v>
      </c>
      <c r="K185">
        <v>700</v>
      </c>
      <c r="L185">
        <v>9</v>
      </c>
      <c r="M185">
        <v>0</v>
      </c>
      <c r="N185">
        <v>0</v>
      </c>
      <c r="O185">
        <v>22</v>
      </c>
      <c r="P185">
        <v>312.5</v>
      </c>
      <c r="Q185" s="3">
        <v>6.6666666666666696</v>
      </c>
      <c r="R185">
        <v>1</v>
      </c>
      <c r="S185">
        <v>0</v>
      </c>
      <c r="U185">
        <v>-4.3336956521739101</v>
      </c>
      <c r="V185">
        <v>-1.125</v>
      </c>
      <c r="W185">
        <v>-7.6086956521739104</v>
      </c>
      <c r="X185">
        <v>0</v>
      </c>
      <c r="Y185">
        <v>0</v>
      </c>
      <c r="Z185">
        <v>4.4000000000000004</v>
      </c>
      <c r="AA185">
        <v>0</v>
      </c>
    </row>
    <row r="186" spans="3:27" x14ac:dyDescent="0.2">
      <c r="C186" t="s">
        <v>21</v>
      </c>
      <c r="D186" t="s">
        <v>101</v>
      </c>
      <c r="E186">
        <v>15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3</v>
      </c>
      <c r="M186">
        <v>2</v>
      </c>
      <c r="N186">
        <v>2</v>
      </c>
      <c r="O186">
        <v>1</v>
      </c>
      <c r="P186">
        <v>16</v>
      </c>
      <c r="Q186" s="3">
        <v>6.6666666666666696</v>
      </c>
      <c r="R186">
        <v>0</v>
      </c>
      <c r="S186">
        <v>0</v>
      </c>
      <c r="U186">
        <v>5.5900621118011298E-3</v>
      </c>
      <c r="V186">
        <v>0</v>
      </c>
      <c r="W186">
        <v>-0.108695652173913</v>
      </c>
      <c r="X186">
        <v>-0.8</v>
      </c>
      <c r="Y186">
        <v>0</v>
      </c>
      <c r="Z186">
        <v>0.2</v>
      </c>
      <c r="AA186">
        <v>0.71428571428571397</v>
      </c>
    </row>
    <row r="187" spans="3:27" x14ac:dyDescent="0.2">
      <c r="C187" t="s">
        <v>21</v>
      </c>
      <c r="D187" t="s">
        <v>102</v>
      </c>
      <c r="E187">
        <v>300</v>
      </c>
      <c r="F187">
        <v>0</v>
      </c>
      <c r="G187">
        <v>16</v>
      </c>
      <c r="H187">
        <v>2</v>
      </c>
      <c r="I187">
        <v>0</v>
      </c>
      <c r="J187">
        <v>210</v>
      </c>
      <c r="K187">
        <v>770</v>
      </c>
      <c r="L187">
        <v>18</v>
      </c>
      <c r="M187">
        <v>0</v>
      </c>
      <c r="N187">
        <v>0</v>
      </c>
      <c r="O187">
        <v>20</v>
      </c>
      <c r="P187">
        <v>282</v>
      </c>
      <c r="Q187" s="3">
        <v>6.6666666666666696</v>
      </c>
      <c r="R187">
        <v>1</v>
      </c>
      <c r="S187">
        <v>0</v>
      </c>
      <c r="U187">
        <v>-4.8695652173913002</v>
      </c>
      <c r="V187">
        <v>-0.5</v>
      </c>
      <c r="W187">
        <v>-8.3695652173912993</v>
      </c>
      <c r="X187">
        <v>0</v>
      </c>
      <c r="Y187">
        <v>0</v>
      </c>
      <c r="Z187">
        <v>4</v>
      </c>
      <c r="AA187">
        <v>0</v>
      </c>
    </row>
    <row r="188" spans="3:27" x14ac:dyDescent="0.2">
      <c r="C188" t="s">
        <v>21</v>
      </c>
      <c r="D188" t="s">
        <v>103</v>
      </c>
      <c r="E188">
        <v>530</v>
      </c>
      <c r="F188">
        <v>0</v>
      </c>
      <c r="G188">
        <v>35</v>
      </c>
      <c r="H188">
        <v>6</v>
      </c>
      <c r="I188">
        <v>0</v>
      </c>
      <c r="J188">
        <v>105</v>
      </c>
      <c r="K188">
        <v>1150</v>
      </c>
      <c r="L188">
        <v>18</v>
      </c>
      <c r="M188">
        <v>0</v>
      </c>
      <c r="N188">
        <v>0</v>
      </c>
      <c r="O188">
        <v>35</v>
      </c>
      <c r="P188">
        <v>501</v>
      </c>
      <c r="Q188" s="3">
        <v>6.6037735849056602</v>
      </c>
      <c r="R188">
        <v>1</v>
      </c>
      <c r="S188">
        <v>0</v>
      </c>
      <c r="U188">
        <v>-7</v>
      </c>
      <c r="V188">
        <v>-1.5</v>
      </c>
      <c r="W188">
        <v>-12.5</v>
      </c>
      <c r="X188">
        <v>0</v>
      </c>
      <c r="Y188">
        <v>0</v>
      </c>
      <c r="Z188">
        <v>7</v>
      </c>
      <c r="AA188">
        <v>0</v>
      </c>
    </row>
    <row r="189" spans="3:27" x14ac:dyDescent="0.2">
      <c r="C189" t="s">
        <v>21</v>
      </c>
      <c r="D189" t="s">
        <v>109</v>
      </c>
      <c r="E189">
        <v>80</v>
      </c>
      <c r="F189">
        <v>0</v>
      </c>
      <c r="G189">
        <v>6</v>
      </c>
      <c r="H189">
        <v>1</v>
      </c>
      <c r="I189">
        <v>0</v>
      </c>
      <c r="J189">
        <v>20</v>
      </c>
      <c r="K189">
        <v>150</v>
      </c>
      <c r="L189">
        <v>3</v>
      </c>
      <c r="M189">
        <v>0</v>
      </c>
      <c r="N189">
        <v>0</v>
      </c>
      <c r="O189">
        <v>5</v>
      </c>
      <c r="P189">
        <v>76</v>
      </c>
      <c r="Q189" s="3">
        <v>6.25</v>
      </c>
      <c r="R189">
        <v>0</v>
      </c>
      <c r="S189">
        <v>0</v>
      </c>
      <c r="U189">
        <v>-0.88043478260869501</v>
      </c>
      <c r="V189">
        <v>-0.25</v>
      </c>
      <c r="W189">
        <v>-1.6304347826087</v>
      </c>
      <c r="X189">
        <v>0</v>
      </c>
      <c r="Y189">
        <v>0</v>
      </c>
      <c r="Z189">
        <v>1</v>
      </c>
      <c r="AA189">
        <v>0</v>
      </c>
    </row>
    <row r="190" spans="3:27" x14ac:dyDescent="0.2">
      <c r="C190" t="s">
        <v>21</v>
      </c>
      <c r="D190" t="s">
        <v>122</v>
      </c>
      <c r="E190">
        <v>170</v>
      </c>
      <c r="F190">
        <v>0</v>
      </c>
      <c r="G190">
        <v>12</v>
      </c>
      <c r="H190">
        <v>2</v>
      </c>
      <c r="I190">
        <v>0</v>
      </c>
      <c r="J190">
        <v>50</v>
      </c>
      <c r="K190">
        <v>390</v>
      </c>
      <c r="L190">
        <v>5</v>
      </c>
      <c r="M190">
        <v>0</v>
      </c>
      <c r="N190">
        <v>0</v>
      </c>
      <c r="O190">
        <v>10</v>
      </c>
      <c r="P190">
        <v>162</v>
      </c>
      <c r="Q190" s="3">
        <v>5.8823529411764701</v>
      </c>
      <c r="R190">
        <v>0</v>
      </c>
      <c r="S190">
        <v>0</v>
      </c>
      <c r="U190">
        <v>-2.7391304347826102</v>
      </c>
      <c r="V190">
        <v>-0.5</v>
      </c>
      <c r="W190">
        <v>-4.2391304347826102</v>
      </c>
      <c r="X190">
        <v>0</v>
      </c>
      <c r="Y190">
        <v>0</v>
      </c>
      <c r="Z190">
        <v>2</v>
      </c>
      <c r="AA190">
        <v>0</v>
      </c>
    </row>
    <row r="191" spans="3:27" x14ac:dyDescent="0.2">
      <c r="C191" t="s">
        <v>21</v>
      </c>
      <c r="D191" t="s">
        <v>123</v>
      </c>
      <c r="E191">
        <v>170</v>
      </c>
      <c r="F191">
        <v>0</v>
      </c>
      <c r="G191">
        <v>13</v>
      </c>
      <c r="H191">
        <v>2</v>
      </c>
      <c r="I191">
        <v>0</v>
      </c>
      <c r="J191">
        <v>45</v>
      </c>
      <c r="K191">
        <v>340</v>
      </c>
      <c r="L191">
        <v>5</v>
      </c>
      <c r="M191">
        <v>0</v>
      </c>
      <c r="N191">
        <v>0</v>
      </c>
      <c r="O191">
        <v>10</v>
      </c>
      <c r="P191">
        <v>162</v>
      </c>
      <c r="Q191" s="3">
        <v>5.8823529411764701</v>
      </c>
      <c r="R191">
        <v>0</v>
      </c>
      <c r="S191">
        <v>0</v>
      </c>
      <c r="U191">
        <v>-2.1956521739130399</v>
      </c>
      <c r="V191">
        <v>-0.5</v>
      </c>
      <c r="W191">
        <v>-3.6956521739130399</v>
      </c>
      <c r="X191">
        <v>0</v>
      </c>
      <c r="Y191">
        <v>0</v>
      </c>
      <c r="Z191">
        <v>2</v>
      </c>
      <c r="AA191">
        <v>0</v>
      </c>
    </row>
    <row r="192" spans="3:27" x14ac:dyDescent="0.2">
      <c r="C192" t="s">
        <v>21</v>
      </c>
      <c r="D192" t="s">
        <v>125</v>
      </c>
      <c r="E192">
        <v>120</v>
      </c>
      <c r="F192">
        <v>0</v>
      </c>
      <c r="G192">
        <v>8</v>
      </c>
      <c r="H192">
        <v>1.5</v>
      </c>
      <c r="I192">
        <v>0</v>
      </c>
      <c r="J192">
        <v>35</v>
      </c>
      <c r="K192">
        <v>350</v>
      </c>
      <c r="L192">
        <v>5</v>
      </c>
      <c r="M192">
        <v>0</v>
      </c>
      <c r="N192">
        <v>0</v>
      </c>
      <c r="O192">
        <v>7</v>
      </c>
      <c r="P192">
        <v>114.5</v>
      </c>
      <c r="Q192" s="3">
        <v>5.8333333333333304</v>
      </c>
      <c r="R192">
        <v>0</v>
      </c>
      <c r="S192">
        <v>0</v>
      </c>
      <c r="U192">
        <v>-2.7793478260869602</v>
      </c>
      <c r="V192">
        <v>-0.375</v>
      </c>
      <c r="W192">
        <v>-3.8043478260869601</v>
      </c>
      <c r="X192">
        <v>0</v>
      </c>
      <c r="Y192">
        <v>0</v>
      </c>
      <c r="Z192">
        <v>1.4</v>
      </c>
      <c r="AA192">
        <v>0</v>
      </c>
    </row>
    <row r="193" spans="3:27" x14ac:dyDescent="0.2">
      <c r="C193" t="s">
        <v>21</v>
      </c>
      <c r="D193" t="s">
        <v>128</v>
      </c>
      <c r="E193">
        <v>190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650</v>
      </c>
      <c r="L193">
        <v>34</v>
      </c>
      <c r="M193">
        <v>7</v>
      </c>
      <c r="N193">
        <v>15</v>
      </c>
      <c r="O193">
        <v>11</v>
      </c>
      <c r="P193">
        <v>194</v>
      </c>
      <c r="Q193" s="3">
        <v>5.7894736842105301</v>
      </c>
      <c r="R193">
        <v>1</v>
      </c>
      <c r="S193">
        <v>0</v>
      </c>
      <c r="U193">
        <v>-8.3652173913043502</v>
      </c>
      <c r="V193">
        <v>0</v>
      </c>
      <c r="W193">
        <v>-7.0652173913043503</v>
      </c>
      <c r="X193">
        <v>-6</v>
      </c>
      <c r="Y193">
        <v>0</v>
      </c>
      <c r="Z193">
        <v>2.2000000000000002</v>
      </c>
      <c r="AA193">
        <v>2.5</v>
      </c>
    </row>
    <row r="194" spans="3:27" x14ac:dyDescent="0.2">
      <c r="C194" t="s">
        <v>21</v>
      </c>
      <c r="D194" t="s">
        <v>23</v>
      </c>
      <c r="E194">
        <v>540</v>
      </c>
      <c r="F194">
        <v>0</v>
      </c>
      <c r="G194">
        <v>40</v>
      </c>
      <c r="H194">
        <v>7</v>
      </c>
      <c r="I194">
        <v>0</v>
      </c>
      <c r="J194">
        <v>100</v>
      </c>
      <c r="K194">
        <v>1390</v>
      </c>
      <c r="L194">
        <v>14</v>
      </c>
      <c r="M194">
        <v>2</v>
      </c>
      <c r="N194">
        <v>1</v>
      </c>
      <c r="O194">
        <v>31</v>
      </c>
      <c r="P194">
        <v>517</v>
      </c>
      <c r="Q194" s="3">
        <v>5.7407407407407396</v>
      </c>
      <c r="R194">
        <v>1</v>
      </c>
      <c r="S194">
        <v>0</v>
      </c>
      <c r="U194">
        <v>-10.3444099378882</v>
      </c>
      <c r="V194">
        <v>-1.75</v>
      </c>
      <c r="W194">
        <v>-15.1086956521739</v>
      </c>
      <c r="X194">
        <v>-0.4</v>
      </c>
      <c r="Y194">
        <v>0</v>
      </c>
      <c r="Z194">
        <v>6.2</v>
      </c>
      <c r="AA194">
        <v>0.71428571428571397</v>
      </c>
    </row>
    <row r="195" spans="3:27" x14ac:dyDescent="0.2">
      <c r="C195" t="s">
        <v>21</v>
      </c>
      <c r="D195" t="s">
        <v>141</v>
      </c>
      <c r="E195">
        <v>830</v>
      </c>
      <c r="F195">
        <v>0</v>
      </c>
      <c r="G195">
        <v>5</v>
      </c>
      <c r="H195">
        <v>1</v>
      </c>
      <c r="I195">
        <v>0</v>
      </c>
      <c r="J195">
        <v>0</v>
      </c>
      <c r="K195">
        <v>2810</v>
      </c>
      <c r="L195">
        <v>148</v>
      </c>
      <c r="M195">
        <v>31</v>
      </c>
      <c r="N195">
        <v>63</v>
      </c>
      <c r="O195">
        <v>47</v>
      </c>
      <c r="P195">
        <v>847</v>
      </c>
      <c r="Q195" s="3">
        <v>5.6626506024096397</v>
      </c>
      <c r="R195">
        <v>1</v>
      </c>
      <c r="S195">
        <v>0</v>
      </c>
      <c r="U195">
        <v>-35.522049689440998</v>
      </c>
      <c r="V195">
        <v>-0.25</v>
      </c>
      <c r="W195">
        <v>-30.543478260869598</v>
      </c>
      <c r="X195">
        <v>-25.2</v>
      </c>
      <c r="Y195">
        <v>0</v>
      </c>
      <c r="Z195">
        <v>9.4</v>
      </c>
      <c r="AA195">
        <v>11.0714285714286</v>
      </c>
    </row>
    <row r="196" spans="3:27" x14ac:dyDescent="0.2">
      <c r="C196" t="s">
        <v>21</v>
      </c>
      <c r="D196" t="s">
        <v>138</v>
      </c>
      <c r="E196">
        <v>620</v>
      </c>
      <c r="F196">
        <v>0</v>
      </c>
      <c r="G196">
        <v>33</v>
      </c>
      <c r="H196">
        <v>4</v>
      </c>
      <c r="I196">
        <v>0</v>
      </c>
      <c r="J196">
        <v>85</v>
      </c>
      <c r="K196">
        <v>2140</v>
      </c>
      <c r="L196">
        <v>49</v>
      </c>
      <c r="M196">
        <v>1</v>
      </c>
      <c r="N196">
        <v>6</v>
      </c>
      <c r="O196">
        <v>34</v>
      </c>
      <c r="P196">
        <v>596</v>
      </c>
      <c r="Q196" s="3">
        <v>5.4838709677419404</v>
      </c>
      <c r="R196">
        <v>1</v>
      </c>
      <c r="S196">
        <v>0</v>
      </c>
      <c r="U196">
        <v>-19.503726708074499</v>
      </c>
      <c r="V196">
        <v>-1</v>
      </c>
      <c r="W196">
        <v>-23.260869565217401</v>
      </c>
      <c r="X196">
        <v>-2.4</v>
      </c>
      <c r="Y196">
        <v>0</v>
      </c>
      <c r="Z196">
        <v>6.8</v>
      </c>
      <c r="AA196">
        <v>0.35714285714285698</v>
      </c>
    </row>
    <row r="197" spans="3:27" x14ac:dyDescent="0.2">
      <c r="C197" t="s">
        <v>21</v>
      </c>
      <c r="D197" t="s">
        <v>183</v>
      </c>
      <c r="E197">
        <v>650</v>
      </c>
      <c r="F197">
        <v>0</v>
      </c>
      <c r="G197">
        <v>35</v>
      </c>
      <c r="H197">
        <v>4.5</v>
      </c>
      <c r="I197">
        <v>0</v>
      </c>
      <c r="J197">
        <v>90</v>
      </c>
      <c r="K197">
        <v>1260</v>
      </c>
      <c r="L197">
        <v>49</v>
      </c>
      <c r="M197">
        <v>1</v>
      </c>
      <c r="N197">
        <v>6</v>
      </c>
      <c r="O197">
        <v>34</v>
      </c>
      <c r="P197">
        <v>626.5</v>
      </c>
      <c r="Q197" s="3">
        <v>5.2307692307692299</v>
      </c>
      <c r="R197">
        <v>1</v>
      </c>
      <c r="S197">
        <v>0</v>
      </c>
      <c r="U197">
        <v>-10.063509316770199</v>
      </c>
      <c r="V197">
        <v>-1.125</v>
      </c>
      <c r="W197">
        <v>-13.695652173913</v>
      </c>
      <c r="X197">
        <v>-2.4</v>
      </c>
      <c r="Y197">
        <v>0</v>
      </c>
      <c r="Z197">
        <v>6.8</v>
      </c>
      <c r="AA197">
        <v>0.35714285714285698</v>
      </c>
    </row>
    <row r="198" spans="3:27" x14ac:dyDescent="0.2">
      <c r="C198" t="s">
        <v>21</v>
      </c>
      <c r="D198" t="s">
        <v>191</v>
      </c>
      <c r="E198">
        <v>470</v>
      </c>
      <c r="F198">
        <v>0</v>
      </c>
      <c r="G198">
        <v>24</v>
      </c>
      <c r="H198">
        <v>3.5</v>
      </c>
      <c r="I198">
        <v>0</v>
      </c>
      <c r="J198">
        <v>60</v>
      </c>
      <c r="K198">
        <v>1170</v>
      </c>
      <c r="L198">
        <v>39</v>
      </c>
      <c r="M198">
        <v>0</v>
      </c>
      <c r="N198">
        <v>4</v>
      </c>
      <c r="O198">
        <v>24</v>
      </c>
      <c r="P198">
        <v>453.5</v>
      </c>
      <c r="Q198" s="3">
        <v>5.1063829787234001</v>
      </c>
      <c r="R198">
        <v>1</v>
      </c>
      <c r="S198">
        <v>0</v>
      </c>
      <c r="U198">
        <v>-10.3923913043478</v>
      </c>
      <c r="V198">
        <v>-0.875</v>
      </c>
      <c r="W198">
        <v>-12.7173913043478</v>
      </c>
      <c r="X198">
        <v>-1.6</v>
      </c>
      <c r="Y198">
        <v>0</v>
      </c>
      <c r="Z198">
        <v>4.8</v>
      </c>
      <c r="AA198">
        <v>0</v>
      </c>
    </row>
    <row r="199" spans="3:27" x14ac:dyDescent="0.2">
      <c r="C199" t="s">
        <v>21</v>
      </c>
      <c r="D199" t="s">
        <v>209</v>
      </c>
      <c r="E199">
        <v>100</v>
      </c>
      <c r="F199">
        <v>0</v>
      </c>
      <c r="G199">
        <v>7</v>
      </c>
      <c r="H199">
        <v>1.5</v>
      </c>
      <c r="I199">
        <v>0</v>
      </c>
      <c r="J199">
        <v>20</v>
      </c>
      <c r="K199">
        <v>310</v>
      </c>
      <c r="L199">
        <v>3</v>
      </c>
      <c r="M199">
        <v>0</v>
      </c>
      <c r="N199">
        <v>0</v>
      </c>
      <c r="O199">
        <v>5</v>
      </c>
      <c r="P199">
        <v>96.5</v>
      </c>
      <c r="Q199" s="3">
        <v>5</v>
      </c>
      <c r="R199">
        <v>0</v>
      </c>
      <c r="S199">
        <v>0</v>
      </c>
      <c r="U199">
        <v>-2.7445652173913002</v>
      </c>
      <c r="V199">
        <v>-0.375</v>
      </c>
      <c r="W199">
        <v>-3.3695652173913002</v>
      </c>
      <c r="X199">
        <v>0</v>
      </c>
      <c r="Y199">
        <v>0</v>
      </c>
      <c r="Z199">
        <v>1</v>
      </c>
      <c r="AA199">
        <v>0</v>
      </c>
    </row>
    <row r="200" spans="3:27" x14ac:dyDescent="0.2">
      <c r="C200" t="s">
        <v>21</v>
      </c>
      <c r="D200" t="s">
        <v>210</v>
      </c>
      <c r="E200">
        <v>100</v>
      </c>
      <c r="F200">
        <v>0</v>
      </c>
      <c r="G200">
        <v>6</v>
      </c>
      <c r="H200">
        <v>1</v>
      </c>
      <c r="I200">
        <v>0</v>
      </c>
      <c r="J200">
        <v>20</v>
      </c>
      <c r="K200">
        <v>210</v>
      </c>
      <c r="L200">
        <v>8</v>
      </c>
      <c r="M200">
        <v>0</v>
      </c>
      <c r="N200">
        <v>4</v>
      </c>
      <c r="O200">
        <v>5</v>
      </c>
      <c r="P200">
        <v>100</v>
      </c>
      <c r="Q200" s="3">
        <v>5</v>
      </c>
      <c r="R200">
        <v>0</v>
      </c>
      <c r="S200">
        <v>0</v>
      </c>
      <c r="U200">
        <v>-3.1326086956521699</v>
      </c>
      <c r="V200">
        <v>-0.25</v>
      </c>
      <c r="W200">
        <v>-2.2826086956521698</v>
      </c>
      <c r="X200">
        <v>-1.6</v>
      </c>
      <c r="Y200">
        <v>0</v>
      </c>
      <c r="Z200">
        <v>1</v>
      </c>
      <c r="AA200">
        <v>0</v>
      </c>
    </row>
    <row r="201" spans="3:27" x14ac:dyDescent="0.2">
      <c r="C201" t="s">
        <v>21</v>
      </c>
      <c r="D201" t="s">
        <v>211</v>
      </c>
      <c r="E201">
        <v>80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930</v>
      </c>
      <c r="L201">
        <v>15</v>
      </c>
      <c r="M201">
        <v>9</v>
      </c>
      <c r="N201">
        <v>3</v>
      </c>
      <c r="O201">
        <v>4</v>
      </c>
      <c r="P201">
        <v>79</v>
      </c>
      <c r="Q201" s="3">
        <v>5</v>
      </c>
      <c r="R201">
        <v>1</v>
      </c>
      <c r="S201">
        <v>0</v>
      </c>
      <c r="U201">
        <v>-7.2944099378881999</v>
      </c>
      <c r="V201">
        <v>0</v>
      </c>
      <c r="W201">
        <v>-10.1086956521739</v>
      </c>
      <c r="X201">
        <v>-1.2</v>
      </c>
      <c r="Y201">
        <v>0</v>
      </c>
      <c r="Z201">
        <v>0.8</v>
      </c>
      <c r="AA201">
        <v>3.21428571428571</v>
      </c>
    </row>
    <row r="202" spans="3:27" x14ac:dyDescent="0.2">
      <c r="C202" t="s">
        <v>21</v>
      </c>
      <c r="D202" t="s">
        <v>227</v>
      </c>
      <c r="E202">
        <v>270</v>
      </c>
      <c r="F202">
        <v>0</v>
      </c>
      <c r="G202">
        <v>20</v>
      </c>
      <c r="H202">
        <v>3.5</v>
      </c>
      <c r="I202">
        <v>0</v>
      </c>
      <c r="J202">
        <v>65</v>
      </c>
      <c r="K202">
        <v>720</v>
      </c>
      <c r="L202">
        <v>10</v>
      </c>
      <c r="M202">
        <v>1</v>
      </c>
      <c r="N202">
        <v>0</v>
      </c>
      <c r="O202">
        <v>13</v>
      </c>
      <c r="P202">
        <v>260.5</v>
      </c>
      <c r="Q202" s="3">
        <v>4.8148148148148104</v>
      </c>
      <c r="R202">
        <v>1</v>
      </c>
      <c r="S202">
        <v>0</v>
      </c>
      <c r="U202">
        <v>-5.7439440993788802</v>
      </c>
      <c r="V202">
        <v>-0.875</v>
      </c>
      <c r="W202">
        <v>-7.8260869565217401</v>
      </c>
      <c r="X202">
        <v>0</v>
      </c>
      <c r="Y202">
        <v>0</v>
      </c>
      <c r="Z202">
        <v>2.6</v>
      </c>
      <c r="AA202">
        <v>0.35714285714285698</v>
      </c>
    </row>
    <row r="203" spans="3:27" x14ac:dyDescent="0.2">
      <c r="C203" t="s">
        <v>21</v>
      </c>
      <c r="D203" t="s">
        <v>230</v>
      </c>
      <c r="E203">
        <v>500</v>
      </c>
      <c r="F203">
        <v>0</v>
      </c>
      <c r="G203">
        <v>27</v>
      </c>
      <c r="H203">
        <v>4</v>
      </c>
      <c r="I203">
        <v>0</v>
      </c>
      <c r="J203">
        <v>60</v>
      </c>
      <c r="K203">
        <v>1500</v>
      </c>
      <c r="L203">
        <v>39</v>
      </c>
      <c r="M203">
        <v>0</v>
      </c>
      <c r="N203">
        <v>4</v>
      </c>
      <c r="O203">
        <v>24</v>
      </c>
      <c r="P203">
        <v>484</v>
      </c>
      <c r="Q203" s="3">
        <v>4.8</v>
      </c>
      <c r="R203">
        <v>1</v>
      </c>
      <c r="S203">
        <v>0</v>
      </c>
      <c r="U203">
        <v>-14.104347826087</v>
      </c>
      <c r="V203">
        <v>-1</v>
      </c>
      <c r="W203">
        <v>-16.304347826087</v>
      </c>
      <c r="X203">
        <v>-1.6</v>
      </c>
      <c r="Y203">
        <v>0</v>
      </c>
      <c r="Z203">
        <v>4.8</v>
      </c>
      <c r="AA203">
        <v>0</v>
      </c>
    </row>
    <row r="204" spans="3:27" x14ac:dyDescent="0.2">
      <c r="C204" t="s">
        <v>21</v>
      </c>
      <c r="D204" t="s">
        <v>30</v>
      </c>
      <c r="E204">
        <v>190</v>
      </c>
      <c r="F204">
        <v>0</v>
      </c>
      <c r="G204">
        <v>14</v>
      </c>
      <c r="H204">
        <v>2.5</v>
      </c>
      <c r="I204">
        <v>0</v>
      </c>
      <c r="J204">
        <v>40</v>
      </c>
      <c r="K204">
        <v>510</v>
      </c>
      <c r="L204">
        <v>6</v>
      </c>
      <c r="M204">
        <v>1</v>
      </c>
      <c r="N204">
        <v>0</v>
      </c>
      <c r="O204">
        <v>9</v>
      </c>
      <c r="P204">
        <v>183.5</v>
      </c>
      <c r="Q204" s="3">
        <v>4.7368421052631602</v>
      </c>
      <c r="R204">
        <v>1</v>
      </c>
      <c r="S204">
        <v>0</v>
      </c>
      <c r="U204">
        <v>-4.0113354037267097</v>
      </c>
      <c r="V204">
        <v>-0.625</v>
      </c>
      <c r="W204">
        <v>-5.5434782608695699</v>
      </c>
      <c r="X204">
        <v>0</v>
      </c>
      <c r="Y204">
        <v>0</v>
      </c>
      <c r="Z204">
        <v>1.8</v>
      </c>
      <c r="AA204">
        <v>0.35714285714285698</v>
      </c>
    </row>
    <row r="205" spans="3:27" x14ac:dyDescent="0.2">
      <c r="C205" t="s">
        <v>21</v>
      </c>
      <c r="D205" t="s">
        <v>243</v>
      </c>
      <c r="E205">
        <v>510</v>
      </c>
      <c r="F205">
        <v>0</v>
      </c>
      <c r="G205">
        <v>25</v>
      </c>
      <c r="H205">
        <v>3.5</v>
      </c>
      <c r="I205">
        <v>0</v>
      </c>
      <c r="J205">
        <v>60</v>
      </c>
      <c r="K205">
        <v>1290</v>
      </c>
      <c r="L205">
        <v>48</v>
      </c>
      <c r="M205">
        <v>0</v>
      </c>
      <c r="N205">
        <v>12</v>
      </c>
      <c r="O205">
        <v>24</v>
      </c>
      <c r="P205">
        <v>501.5</v>
      </c>
      <c r="Q205" s="3">
        <v>4.7058823529411802</v>
      </c>
      <c r="R205">
        <v>1</v>
      </c>
      <c r="S205">
        <v>0</v>
      </c>
      <c r="U205">
        <v>-14.896739130434799</v>
      </c>
      <c r="V205">
        <v>-0.875</v>
      </c>
      <c r="W205">
        <v>-14.021739130434799</v>
      </c>
      <c r="X205">
        <v>-4.8</v>
      </c>
      <c r="Y205">
        <v>0</v>
      </c>
      <c r="Z205">
        <v>4.8</v>
      </c>
      <c r="AA205">
        <v>0</v>
      </c>
    </row>
    <row r="206" spans="3:27" x14ac:dyDescent="0.2">
      <c r="C206" t="s">
        <v>21</v>
      </c>
      <c r="D206" t="s">
        <v>252</v>
      </c>
      <c r="E206">
        <v>300</v>
      </c>
      <c r="F206">
        <v>0</v>
      </c>
      <c r="G206">
        <v>15</v>
      </c>
      <c r="H206">
        <v>2.5</v>
      </c>
      <c r="I206">
        <v>0</v>
      </c>
      <c r="J206">
        <v>30</v>
      </c>
      <c r="K206">
        <v>620</v>
      </c>
      <c r="L206">
        <v>27</v>
      </c>
      <c r="M206">
        <v>1</v>
      </c>
      <c r="N206">
        <v>3</v>
      </c>
      <c r="O206">
        <v>14</v>
      </c>
      <c r="P206">
        <v>291.5</v>
      </c>
      <c r="Q206" s="3">
        <v>4.6666666666666696</v>
      </c>
      <c r="R206">
        <v>1</v>
      </c>
      <c r="S206">
        <v>0</v>
      </c>
      <c r="U206">
        <v>-5.4069875776397502</v>
      </c>
      <c r="V206">
        <v>-0.625</v>
      </c>
      <c r="W206">
        <v>-6.7391304347826102</v>
      </c>
      <c r="X206">
        <v>-1.2</v>
      </c>
      <c r="Y206">
        <v>0</v>
      </c>
      <c r="Z206">
        <v>2.8</v>
      </c>
      <c r="AA206">
        <v>0.35714285714285698</v>
      </c>
    </row>
    <row r="207" spans="3:27" x14ac:dyDescent="0.2">
      <c r="C207" t="s">
        <v>21</v>
      </c>
      <c r="D207" t="s">
        <v>253</v>
      </c>
      <c r="E207">
        <v>150</v>
      </c>
      <c r="F207">
        <v>0</v>
      </c>
      <c r="G207">
        <v>2.5</v>
      </c>
      <c r="H207">
        <v>1.5</v>
      </c>
      <c r="I207">
        <v>0</v>
      </c>
      <c r="J207">
        <v>10</v>
      </c>
      <c r="K207">
        <v>170</v>
      </c>
      <c r="L207">
        <v>26</v>
      </c>
      <c r="M207">
        <v>0</v>
      </c>
      <c r="N207">
        <v>23</v>
      </c>
      <c r="O207">
        <v>7</v>
      </c>
      <c r="P207">
        <v>167.5</v>
      </c>
      <c r="Q207" s="3">
        <v>4.6666666666666696</v>
      </c>
      <c r="R207">
        <v>0</v>
      </c>
      <c r="S207">
        <v>0</v>
      </c>
      <c r="U207">
        <v>-10.022826086956499</v>
      </c>
      <c r="V207">
        <v>-0.375</v>
      </c>
      <c r="W207">
        <v>-1.84782608695652</v>
      </c>
      <c r="X207">
        <v>-9.1999999999999993</v>
      </c>
      <c r="Y207">
        <v>0</v>
      </c>
      <c r="Z207">
        <v>1.4</v>
      </c>
      <c r="AA207">
        <v>0</v>
      </c>
    </row>
    <row r="208" spans="3:27" x14ac:dyDescent="0.2">
      <c r="C208" t="s">
        <v>21</v>
      </c>
      <c r="D208" t="s">
        <v>276</v>
      </c>
      <c r="E208">
        <v>770</v>
      </c>
      <c r="F208">
        <v>0</v>
      </c>
      <c r="G208">
        <v>60</v>
      </c>
      <c r="H208">
        <v>10</v>
      </c>
      <c r="I208">
        <v>0</v>
      </c>
      <c r="J208">
        <v>105</v>
      </c>
      <c r="K208">
        <v>1530</v>
      </c>
      <c r="L208">
        <v>21</v>
      </c>
      <c r="M208">
        <v>1</v>
      </c>
      <c r="N208">
        <v>1</v>
      </c>
      <c r="O208">
        <v>35</v>
      </c>
      <c r="P208">
        <v>746</v>
      </c>
      <c r="Q208" s="3">
        <v>4.5454545454545503</v>
      </c>
      <c r="R208">
        <v>1</v>
      </c>
      <c r="S208">
        <v>0</v>
      </c>
      <c r="U208">
        <v>-12.173291925465801</v>
      </c>
      <c r="V208">
        <v>-2.5</v>
      </c>
      <c r="W208">
        <v>-16.630434782608699</v>
      </c>
      <c r="X208">
        <v>-0.4</v>
      </c>
      <c r="Y208">
        <v>0</v>
      </c>
      <c r="Z208">
        <v>7</v>
      </c>
      <c r="AA208">
        <v>0.35714285714285698</v>
      </c>
    </row>
    <row r="209" spans="3:27" x14ac:dyDescent="0.2">
      <c r="C209" t="s">
        <v>21</v>
      </c>
      <c r="D209" t="s">
        <v>88</v>
      </c>
      <c r="E209">
        <v>220</v>
      </c>
      <c r="F209">
        <v>0</v>
      </c>
      <c r="G209">
        <v>16</v>
      </c>
      <c r="H209">
        <v>2.5</v>
      </c>
      <c r="I209">
        <v>0</v>
      </c>
      <c r="J209">
        <v>25</v>
      </c>
      <c r="K209">
        <v>460</v>
      </c>
      <c r="L209">
        <v>9</v>
      </c>
      <c r="M209">
        <v>0</v>
      </c>
      <c r="N209">
        <v>0</v>
      </c>
      <c r="O209">
        <v>10</v>
      </c>
      <c r="P209">
        <v>212.5</v>
      </c>
      <c r="Q209" s="3">
        <v>4.5454545454545503</v>
      </c>
      <c r="R209">
        <v>0</v>
      </c>
      <c r="S209">
        <v>0</v>
      </c>
      <c r="U209">
        <v>-3.625</v>
      </c>
      <c r="V209">
        <v>-0.625</v>
      </c>
      <c r="W209">
        <v>-5</v>
      </c>
      <c r="X209">
        <v>0</v>
      </c>
      <c r="Y209">
        <v>0</v>
      </c>
      <c r="Z209">
        <v>2</v>
      </c>
      <c r="AA209">
        <v>0</v>
      </c>
    </row>
    <row r="210" spans="3:27" x14ac:dyDescent="0.2">
      <c r="C210" t="s">
        <v>21</v>
      </c>
      <c r="D210" t="s">
        <v>282</v>
      </c>
      <c r="E210">
        <v>310</v>
      </c>
      <c r="F210">
        <v>0</v>
      </c>
      <c r="G210">
        <v>17</v>
      </c>
      <c r="H210">
        <v>2.5</v>
      </c>
      <c r="I210">
        <v>0</v>
      </c>
      <c r="J210">
        <v>30</v>
      </c>
      <c r="K210">
        <v>790</v>
      </c>
      <c r="L210">
        <v>27</v>
      </c>
      <c r="M210">
        <v>1</v>
      </c>
      <c r="N210">
        <v>3</v>
      </c>
      <c r="O210">
        <v>14</v>
      </c>
      <c r="P210">
        <v>301.5</v>
      </c>
      <c r="Q210" s="3">
        <v>4.5161290322580596</v>
      </c>
      <c r="R210">
        <v>1</v>
      </c>
      <c r="S210">
        <v>0</v>
      </c>
      <c r="U210">
        <v>-7.25481366459627</v>
      </c>
      <c r="V210">
        <v>-0.625</v>
      </c>
      <c r="W210">
        <v>-8.5869565217391308</v>
      </c>
      <c r="X210">
        <v>-1.2</v>
      </c>
      <c r="Y210">
        <v>0</v>
      </c>
      <c r="Z210">
        <v>2.8</v>
      </c>
      <c r="AA210">
        <v>0.35714285714285698</v>
      </c>
    </row>
    <row r="211" spans="3:27" x14ac:dyDescent="0.2">
      <c r="C211" t="s">
        <v>21</v>
      </c>
      <c r="D211" t="s">
        <v>285</v>
      </c>
      <c r="E211">
        <v>290</v>
      </c>
      <c r="F211">
        <v>0</v>
      </c>
      <c r="G211">
        <v>19</v>
      </c>
      <c r="H211">
        <v>2.5</v>
      </c>
      <c r="I211">
        <v>0</v>
      </c>
      <c r="J211">
        <v>30</v>
      </c>
      <c r="K211">
        <v>870</v>
      </c>
      <c r="L211">
        <v>19</v>
      </c>
      <c r="M211">
        <v>1</v>
      </c>
      <c r="N211">
        <v>0</v>
      </c>
      <c r="O211">
        <v>13</v>
      </c>
      <c r="P211">
        <v>279.5</v>
      </c>
      <c r="Q211" s="3">
        <v>4.4827586206896504</v>
      </c>
      <c r="R211">
        <v>1</v>
      </c>
      <c r="S211">
        <v>0</v>
      </c>
      <c r="U211">
        <v>-7.12437888198758</v>
      </c>
      <c r="V211">
        <v>-0.625</v>
      </c>
      <c r="W211">
        <v>-9.4565217391304301</v>
      </c>
      <c r="X211">
        <v>0</v>
      </c>
      <c r="Y211">
        <v>0</v>
      </c>
      <c r="Z211">
        <v>2.6</v>
      </c>
      <c r="AA211">
        <v>0.35714285714285698</v>
      </c>
    </row>
    <row r="212" spans="3:27" x14ac:dyDescent="0.2">
      <c r="C212" t="s">
        <v>21</v>
      </c>
      <c r="D212" t="s">
        <v>54</v>
      </c>
      <c r="E212">
        <v>180</v>
      </c>
      <c r="F212">
        <v>0</v>
      </c>
      <c r="G212">
        <v>15</v>
      </c>
      <c r="H212">
        <v>2.5</v>
      </c>
      <c r="I212">
        <v>0</v>
      </c>
      <c r="J212">
        <v>35</v>
      </c>
      <c r="K212">
        <v>450</v>
      </c>
      <c r="L212">
        <v>5</v>
      </c>
      <c r="M212">
        <v>1</v>
      </c>
      <c r="N212">
        <v>0</v>
      </c>
      <c r="O212">
        <v>8</v>
      </c>
      <c r="P212">
        <v>174.5</v>
      </c>
      <c r="Q212" s="3">
        <v>4.4444444444444402</v>
      </c>
      <c r="R212">
        <v>0</v>
      </c>
      <c r="S212">
        <v>0</v>
      </c>
      <c r="U212">
        <v>-3.5591614906832301</v>
      </c>
      <c r="V212">
        <v>-0.625</v>
      </c>
      <c r="W212">
        <v>-4.8913043478260896</v>
      </c>
      <c r="X212">
        <v>0</v>
      </c>
      <c r="Y212">
        <v>0</v>
      </c>
      <c r="Z212">
        <v>1.6</v>
      </c>
      <c r="AA212">
        <v>0.35714285714285698</v>
      </c>
    </row>
    <row r="213" spans="3:27" x14ac:dyDescent="0.2">
      <c r="C213" t="s">
        <v>21</v>
      </c>
      <c r="D213" t="s">
        <v>289</v>
      </c>
      <c r="E213">
        <v>540</v>
      </c>
      <c r="F213">
        <v>0</v>
      </c>
      <c r="G213">
        <v>32</v>
      </c>
      <c r="H213">
        <v>4.5</v>
      </c>
      <c r="I213">
        <v>0</v>
      </c>
      <c r="J213">
        <v>60</v>
      </c>
      <c r="K213">
        <v>1290</v>
      </c>
      <c r="L213">
        <v>40</v>
      </c>
      <c r="M213">
        <v>0</v>
      </c>
      <c r="N213">
        <v>5</v>
      </c>
      <c r="O213">
        <v>24</v>
      </c>
      <c r="P213">
        <v>525.5</v>
      </c>
      <c r="Q213" s="3">
        <v>4.4444444444444402</v>
      </c>
      <c r="R213">
        <v>1</v>
      </c>
      <c r="S213">
        <v>0</v>
      </c>
      <c r="U213">
        <v>-12.3467391304348</v>
      </c>
      <c r="V213">
        <v>-1.125</v>
      </c>
      <c r="W213">
        <v>-14.021739130434799</v>
      </c>
      <c r="X213">
        <v>-2</v>
      </c>
      <c r="Y213">
        <v>0</v>
      </c>
      <c r="Z213">
        <v>4.8</v>
      </c>
      <c r="AA213">
        <v>0</v>
      </c>
    </row>
    <row r="214" spans="3:27" x14ac:dyDescent="0.2">
      <c r="C214" t="s">
        <v>21</v>
      </c>
      <c r="D214" t="s">
        <v>290</v>
      </c>
      <c r="E214">
        <v>630</v>
      </c>
      <c r="F214">
        <v>0</v>
      </c>
      <c r="G214">
        <v>34</v>
      </c>
      <c r="H214">
        <v>7</v>
      </c>
      <c r="I214">
        <v>0</v>
      </c>
      <c r="J214">
        <v>70</v>
      </c>
      <c r="K214">
        <v>1260</v>
      </c>
      <c r="L214">
        <v>53</v>
      </c>
      <c r="M214">
        <v>4</v>
      </c>
      <c r="N214">
        <v>3</v>
      </c>
      <c r="O214">
        <v>28</v>
      </c>
      <c r="P214">
        <v>612</v>
      </c>
      <c r="Q214" s="3">
        <v>4.4444444444444402</v>
      </c>
      <c r="R214">
        <v>1</v>
      </c>
      <c r="S214">
        <v>0</v>
      </c>
      <c r="U214">
        <v>-9.6170807453416103</v>
      </c>
      <c r="V214">
        <v>-1.75</v>
      </c>
      <c r="W214">
        <v>-13.695652173913</v>
      </c>
      <c r="X214">
        <v>-1.2</v>
      </c>
      <c r="Y214">
        <v>0</v>
      </c>
      <c r="Z214">
        <v>5.6</v>
      </c>
      <c r="AA214">
        <v>1.4285714285714299</v>
      </c>
    </row>
    <row r="215" spans="3:27" x14ac:dyDescent="0.2">
      <c r="C215" t="s">
        <v>21</v>
      </c>
      <c r="D215" t="s">
        <v>301</v>
      </c>
      <c r="E215">
        <v>250</v>
      </c>
      <c r="F215">
        <v>0</v>
      </c>
      <c r="G215">
        <v>21</v>
      </c>
      <c r="H215">
        <v>3.5</v>
      </c>
      <c r="I215">
        <v>0</v>
      </c>
      <c r="J215">
        <v>50</v>
      </c>
      <c r="K215">
        <v>530</v>
      </c>
      <c r="L215">
        <v>6</v>
      </c>
      <c r="M215">
        <v>1</v>
      </c>
      <c r="N215">
        <v>0</v>
      </c>
      <c r="O215">
        <v>11</v>
      </c>
      <c r="P215">
        <v>242.5</v>
      </c>
      <c r="Q215" s="3">
        <v>4.4000000000000004</v>
      </c>
      <c r="R215">
        <v>1</v>
      </c>
      <c r="S215">
        <v>0</v>
      </c>
      <c r="U215">
        <v>-4.0787267080745302</v>
      </c>
      <c r="V215">
        <v>-0.875</v>
      </c>
      <c r="W215">
        <v>-5.7608695652173898</v>
      </c>
      <c r="X215">
        <v>0</v>
      </c>
      <c r="Y215">
        <v>0</v>
      </c>
      <c r="Z215">
        <v>2.2000000000000002</v>
      </c>
      <c r="AA215">
        <v>0.35714285714285698</v>
      </c>
    </row>
    <row r="216" spans="3:27" x14ac:dyDescent="0.2">
      <c r="C216" t="s">
        <v>21</v>
      </c>
      <c r="D216" t="s">
        <v>302</v>
      </c>
      <c r="E216">
        <v>500</v>
      </c>
      <c r="F216">
        <v>0</v>
      </c>
      <c r="G216">
        <v>40</v>
      </c>
      <c r="H216">
        <v>7</v>
      </c>
      <c r="I216">
        <v>0</v>
      </c>
      <c r="J216">
        <v>100</v>
      </c>
      <c r="K216">
        <v>970</v>
      </c>
      <c r="L216">
        <v>11</v>
      </c>
      <c r="M216">
        <v>1</v>
      </c>
      <c r="N216">
        <v>1</v>
      </c>
      <c r="O216">
        <v>22</v>
      </c>
      <c r="P216">
        <v>486</v>
      </c>
      <c r="Q216" s="3">
        <v>4.4000000000000004</v>
      </c>
      <c r="R216">
        <v>1</v>
      </c>
      <c r="S216">
        <v>0</v>
      </c>
      <c r="U216">
        <v>-7.9363354037267104</v>
      </c>
      <c r="V216">
        <v>-1.75</v>
      </c>
      <c r="W216">
        <v>-10.5434782608696</v>
      </c>
      <c r="X216">
        <v>-0.4</v>
      </c>
      <c r="Y216">
        <v>0</v>
      </c>
      <c r="Z216">
        <v>4.4000000000000004</v>
      </c>
      <c r="AA216">
        <v>0.35714285714285698</v>
      </c>
    </row>
    <row r="217" spans="3:27" x14ac:dyDescent="0.2">
      <c r="C217" t="s">
        <v>21</v>
      </c>
      <c r="D217" t="s">
        <v>306</v>
      </c>
      <c r="E217">
        <v>320</v>
      </c>
      <c r="F217">
        <v>0</v>
      </c>
      <c r="G217">
        <v>15</v>
      </c>
      <c r="H217">
        <v>2.5</v>
      </c>
      <c r="I217">
        <v>0</v>
      </c>
      <c r="J217">
        <v>30</v>
      </c>
      <c r="K217">
        <v>680</v>
      </c>
      <c r="L217">
        <v>31</v>
      </c>
      <c r="M217">
        <v>1</v>
      </c>
      <c r="N217">
        <v>7</v>
      </c>
      <c r="O217">
        <v>14</v>
      </c>
      <c r="P217">
        <v>315.5</v>
      </c>
      <c r="Q217" s="3">
        <v>4.375</v>
      </c>
      <c r="R217">
        <v>1</v>
      </c>
      <c r="S217">
        <v>0</v>
      </c>
      <c r="U217">
        <v>-7.6591614906832302</v>
      </c>
      <c r="V217">
        <v>-0.625</v>
      </c>
      <c r="W217">
        <v>-7.3913043478260896</v>
      </c>
      <c r="X217">
        <v>-2.8</v>
      </c>
      <c r="Y217">
        <v>0</v>
      </c>
      <c r="Z217">
        <v>2.8</v>
      </c>
      <c r="AA217">
        <v>0.35714285714285698</v>
      </c>
    </row>
    <row r="218" spans="3:27" x14ac:dyDescent="0.2">
      <c r="C218" t="s">
        <v>21</v>
      </c>
      <c r="D218" t="s">
        <v>313</v>
      </c>
      <c r="E218">
        <v>620</v>
      </c>
      <c r="F218">
        <v>0</v>
      </c>
      <c r="G218">
        <v>39</v>
      </c>
      <c r="H218">
        <v>5</v>
      </c>
      <c r="I218">
        <v>0</v>
      </c>
      <c r="J218">
        <v>65</v>
      </c>
      <c r="K218">
        <v>1820</v>
      </c>
      <c r="L218">
        <v>39</v>
      </c>
      <c r="M218">
        <v>2</v>
      </c>
      <c r="N218">
        <v>0</v>
      </c>
      <c r="O218">
        <v>27</v>
      </c>
      <c r="P218">
        <v>598</v>
      </c>
      <c r="Q218" s="3">
        <v>4.3548387096774199</v>
      </c>
      <c r="R218">
        <v>1</v>
      </c>
      <c r="S218">
        <v>0</v>
      </c>
      <c r="U218">
        <v>-14.918322981366501</v>
      </c>
      <c r="V218">
        <v>-1.25</v>
      </c>
      <c r="W218">
        <v>-19.7826086956522</v>
      </c>
      <c r="X218">
        <v>0</v>
      </c>
      <c r="Y218">
        <v>0</v>
      </c>
      <c r="Z218">
        <v>5.4</v>
      </c>
      <c r="AA218">
        <v>0.71428571428571397</v>
      </c>
    </row>
    <row r="219" spans="3:27" x14ac:dyDescent="0.2">
      <c r="C219" t="s">
        <v>21</v>
      </c>
      <c r="D219" t="s">
        <v>350</v>
      </c>
      <c r="E219">
        <v>340</v>
      </c>
      <c r="F219">
        <v>0</v>
      </c>
      <c r="G219">
        <v>19</v>
      </c>
      <c r="H219">
        <v>3</v>
      </c>
      <c r="I219">
        <v>0</v>
      </c>
      <c r="J219">
        <v>30</v>
      </c>
      <c r="K219">
        <v>680</v>
      </c>
      <c r="L219">
        <v>27</v>
      </c>
      <c r="M219">
        <v>1</v>
      </c>
      <c r="N219">
        <v>3</v>
      </c>
      <c r="O219">
        <v>14</v>
      </c>
      <c r="P219">
        <v>332</v>
      </c>
      <c r="Q219" s="3">
        <v>4.1176470588235299</v>
      </c>
      <c r="R219">
        <v>1</v>
      </c>
      <c r="S219">
        <v>0</v>
      </c>
      <c r="U219">
        <v>-6.1841614906832296</v>
      </c>
      <c r="V219">
        <v>-0.75</v>
      </c>
      <c r="W219">
        <v>-7.3913043478260896</v>
      </c>
      <c r="X219">
        <v>-1.2</v>
      </c>
      <c r="Y219">
        <v>0</v>
      </c>
      <c r="Z219">
        <v>2.8</v>
      </c>
      <c r="AA219">
        <v>0.35714285714285698</v>
      </c>
    </row>
    <row r="220" spans="3:27" x14ac:dyDescent="0.2">
      <c r="C220" t="s">
        <v>21</v>
      </c>
      <c r="D220" t="s">
        <v>361</v>
      </c>
      <c r="E220">
        <v>270</v>
      </c>
      <c r="F220">
        <v>0</v>
      </c>
      <c r="G220">
        <v>14</v>
      </c>
      <c r="H220">
        <v>3.5</v>
      </c>
      <c r="I220">
        <v>0</v>
      </c>
      <c r="J220">
        <v>20</v>
      </c>
      <c r="K220">
        <v>850</v>
      </c>
      <c r="L220">
        <v>27</v>
      </c>
      <c r="M220">
        <v>2</v>
      </c>
      <c r="N220">
        <v>1</v>
      </c>
      <c r="O220">
        <v>11</v>
      </c>
      <c r="P220">
        <v>263.5</v>
      </c>
      <c r="Q220" s="3">
        <v>4.07407407407407</v>
      </c>
      <c r="R220">
        <v>1</v>
      </c>
      <c r="S220">
        <v>0</v>
      </c>
      <c r="U220">
        <v>-7.5998447204968897</v>
      </c>
      <c r="V220">
        <v>-0.875</v>
      </c>
      <c r="W220">
        <v>-9.2391304347826093</v>
      </c>
      <c r="X220">
        <v>-0.4</v>
      </c>
      <c r="Y220">
        <v>0</v>
      </c>
      <c r="Z220">
        <v>2.2000000000000002</v>
      </c>
      <c r="AA220">
        <v>0.71428571428571397</v>
      </c>
    </row>
    <row r="221" spans="3:27" x14ac:dyDescent="0.2">
      <c r="C221" t="s">
        <v>21</v>
      </c>
      <c r="D221" t="s">
        <v>374</v>
      </c>
      <c r="E221">
        <v>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300</v>
      </c>
      <c r="L221">
        <v>5</v>
      </c>
      <c r="M221">
        <v>3</v>
      </c>
      <c r="N221">
        <v>1</v>
      </c>
      <c r="O221">
        <v>1</v>
      </c>
      <c r="P221">
        <v>25</v>
      </c>
      <c r="Q221" s="3">
        <v>4</v>
      </c>
      <c r="R221">
        <v>0</v>
      </c>
      <c r="S221">
        <v>0</v>
      </c>
      <c r="U221">
        <v>-2.3894409937888201</v>
      </c>
      <c r="V221">
        <v>0</v>
      </c>
      <c r="W221">
        <v>-3.2608695652173898</v>
      </c>
      <c r="X221">
        <v>-0.4</v>
      </c>
      <c r="Y221">
        <v>0</v>
      </c>
      <c r="Z221">
        <v>0.2</v>
      </c>
      <c r="AA221">
        <v>1.0714285714285701</v>
      </c>
    </row>
    <row r="222" spans="3:27" x14ac:dyDescent="0.2">
      <c r="C222" t="s">
        <v>21</v>
      </c>
      <c r="D222" t="s">
        <v>400</v>
      </c>
      <c r="E222">
        <v>130</v>
      </c>
      <c r="F222">
        <v>0</v>
      </c>
      <c r="G222">
        <v>11</v>
      </c>
      <c r="H222">
        <v>2</v>
      </c>
      <c r="I222">
        <v>0</v>
      </c>
      <c r="J222">
        <v>20</v>
      </c>
      <c r="K222">
        <v>230</v>
      </c>
      <c r="L222">
        <v>4</v>
      </c>
      <c r="M222">
        <v>0</v>
      </c>
      <c r="N222">
        <v>0</v>
      </c>
      <c r="O222">
        <v>5</v>
      </c>
      <c r="P222">
        <v>127</v>
      </c>
      <c r="Q222" s="3">
        <v>3.8461538461538498</v>
      </c>
      <c r="R222">
        <v>0</v>
      </c>
      <c r="S222">
        <v>0</v>
      </c>
      <c r="U222">
        <v>-2</v>
      </c>
      <c r="V222">
        <v>-0.5</v>
      </c>
      <c r="W222">
        <v>-2.5</v>
      </c>
      <c r="X222">
        <v>0</v>
      </c>
      <c r="Y222">
        <v>0</v>
      </c>
      <c r="Z222">
        <v>1</v>
      </c>
      <c r="AA222">
        <v>0</v>
      </c>
    </row>
    <row r="223" spans="3:27" x14ac:dyDescent="0.2">
      <c r="C223" t="s">
        <v>21</v>
      </c>
      <c r="D223" t="s">
        <v>427</v>
      </c>
      <c r="E223">
        <v>720</v>
      </c>
      <c r="F223">
        <v>0</v>
      </c>
      <c r="G223">
        <v>41</v>
      </c>
      <c r="H223">
        <v>25</v>
      </c>
      <c r="I223">
        <v>0</v>
      </c>
      <c r="J223">
        <v>80</v>
      </c>
      <c r="K223">
        <v>1750</v>
      </c>
      <c r="L223">
        <v>60</v>
      </c>
      <c r="M223">
        <v>7</v>
      </c>
      <c r="N223">
        <v>5</v>
      </c>
      <c r="O223">
        <v>26</v>
      </c>
      <c r="P223">
        <v>724</v>
      </c>
      <c r="Q223" s="3">
        <v>3.6111111111111098</v>
      </c>
      <c r="R223">
        <v>1</v>
      </c>
      <c r="S223">
        <v>0</v>
      </c>
      <c r="U223">
        <v>-19.5717391304348</v>
      </c>
      <c r="V223">
        <v>-6.25</v>
      </c>
      <c r="W223">
        <v>-19.021739130434799</v>
      </c>
      <c r="X223">
        <v>-2</v>
      </c>
      <c r="Y223">
        <v>0</v>
      </c>
      <c r="Z223">
        <v>5.2</v>
      </c>
      <c r="AA223">
        <v>2.5</v>
      </c>
    </row>
    <row r="224" spans="3:27" x14ac:dyDescent="0.2">
      <c r="C224" t="s">
        <v>21</v>
      </c>
      <c r="D224" t="s">
        <v>428</v>
      </c>
      <c r="E224">
        <v>360</v>
      </c>
      <c r="F224">
        <v>0</v>
      </c>
      <c r="G224">
        <v>24</v>
      </c>
      <c r="H224">
        <v>7</v>
      </c>
      <c r="I224">
        <v>1</v>
      </c>
      <c r="J224">
        <v>35</v>
      </c>
      <c r="K224">
        <v>750</v>
      </c>
      <c r="L224">
        <v>22</v>
      </c>
      <c r="M224">
        <v>2</v>
      </c>
      <c r="N224">
        <v>0</v>
      </c>
      <c r="O224">
        <v>13</v>
      </c>
      <c r="P224">
        <v>354</v>
      </c>
      <c r="Q224" s="3">
        <v>3.6111111111111098</v>
      </c>
      <c r="R224">
        <v>1</v>
      </c>
      <c r="S224">
        <v>0</v>
      </c>
      <c r="U224">
        <v>-6.5888881987577603</v>
      </c>
      <c r="V224">
        <v>-1.75</v>
      </c>
      <c r="W224">
        <v>-8.1521739130434803</v>
      </c>
      <c r="X224">
        <v>0</v>
      </c>
      <c r="Y224">
        <v>-1E-3</v>
      </c>
      <c r="Z224">
        <v>2.6</v>
      </c>
      <c r="AA224">
        <v>0.71428571428571397</v>
      </c>
    </row>
    <row r="225" spans="3:27" x14ac:dyDescent="0.2">
      <c r="C225" t="s">
        <v>21</v>
      </c>
      <c r="D225" t="s">
        <v>434</v>
      </c>
      <c r="E225">
        <v>140</v>
      </c>
      <c r="F225">
        <v>0</v>
      </c>
      <c r="G225">
        <v>6</v>
      </c>
      <c r="H225">
        <v>1.5</v>
      </c>
      <c r="I225">
        <v>0</v>
      </c>
      <c r="J225">
        <v>0</v>
      </c>
      <c r="K225">
        <v>590</v>
      </c>
      <c r="L225">
        <v>17</v>
      </c>
      <c r="M225">
        <v>1</v>
      </c>
      <c r="N225">
        <v>2</v>
      </c>
      <c r="O225">
        <v>5</v>
      </c>
      <c r="P225">
        <v>138.5</v>
      </c>
      <c r="Q225" s="3">
        <v>3.5714285714285698</v>
      </c>
      <c r="R225">
        <v>1</v>
      </c>
      <c r="S225">
        <v>0</v>
      </c>
      <c r="U225">
        <v>-6.2309006211180096</v>
      </c>
      <c r="V225">
        <v>-0.375</v>
      </c>
      <c r="W225">
        <v>-6.4130434782608701</v>
      </c>
      <c r="X225">
        <v>-0.8</v>
      </c>
      <c r="Y225">
        <v>0</v>
      </c>
      <c r="Z225">
        <v>1</v>
      </c>
      <c r="AA225">
        <v>0.35714285714285698</v>
      </c>
    </row>
    <row r="226" spans="3:27" x14ac:dyDescent="0.2">
      <c r="C226" t="s">
        <v>21</v>
      </c>
      <c r="D226" t="s">
        <v>435</v>
      </c>
      <c r="E226">
        <v>280</v>
      </c>
      <c r="F226">
        <v>0</v>
      </c>
      <c r="G226">
        <v>2.5</v>
      </c>
      <c r="H226">
        <v>0</v>
      </c>
      <c r="I226">
        <v>0</v>
      </c>
      <c r="J226">
        <v>0</v>
      </c>
      <c r="K226">
        <v>10</v>
      </c>
      <c r="L226">
        <v>67</v>
      </c>
      <c r="M226">
        <v>7</v>
      </c>
      <c r="N226">
        <v>8</v>
      </c>
      <c r="O226">
        <v>10</v>
      </c>
      <c r="P226">
        <v>278</v>
      </c>
      <c r="Q226" s="3">
        <v>3.5714285714285698</v>
      </c>
      <c r="R226">
        <v>0</v>
      </c>
      <c r="S226">
        <v>0</v>
      </c>
      <c r="U226">
        <v>1.1913043478260901</v>
      </c>
      <c r="V226">
        <v>0</v>
      </c>
      <c r="W226">
        <v>-0.108695652173913</v>
      </c>
      <c r="X226">
        <v>-3.2</v>
      </c>
      <c r="Y226">
        <v>0</v>
      </c>
      <c r="Z226">
        <v>2</v>
      </c>
      <c r="AA226">
        <v>2.5</v>
      </c>
    </row>
    <row r="227" spans="3:27" x14ac:dyDescent="0.2">
      <c r="C227" t="s">
        <v>21</v>
      </c>
      <c r="D227" t="s">
        <v>440</v>
      </c>
      <c r="E227">
        <v>740</v>
      </c>
      <c r="F227">
        <v>0</v>
      </c>
      <c r="G227">
        <v>35</v>
      </c>
      <c r="H227">
        <v>6</v>
      </c>
      <c r="I227">
        <v>0</v>
      </c>
      <c r="J227">
        <v>45</v>
      </c>
      <c r="K227">
        <v>2350</v>
      </c>
      <c r="L227">
        <v>81</v>
      </c>
      <c r="M227">
        <v>6</v>
      </c>
      <c r="N227">
        <v>2</v>
      </c>
      <c r="O227">
        <v>26</v>
      </c>
      <c r="P227">
        <v>722</v>
      </c>
      <c r="Q227" s="3">
        <v>3.51351351351351</v>
      </c>
      <c r="R227">
        <v>1</v>
      </c>
      <c r="S227">
        <v>0</v>
      </c>
      <c r="U227">
        <v>-20.500621118012401</v>
      </c>
      <c r="V227">
        <v>-1.5</v>
      </c>
      <c r="W227">
        <v>-25.543478260869598</v>
      </c>
      <c r="X227">
        <v>-0.8</v>
      </c>
      <c r="Y227">
        <v>0</v>
      </c>
      <c r="Z227">
        <v>5.2</v>
      </c>
      <c r="AA227">
        <v>2.1428571428571401</v>
      </c>
    </row>
    <row r="228" spans="3:27" x14ac:dyDescent="0.2">
      <c r="C228" t="s">
        <v>21</v>
      </c>
      <c r="D228" t="s">
        <v>442</v>
      </c>
      <c r="E228">
        <v>290</v>
      </c>
      <c r="F228">
        <v>0</v>
      </c>
      <c r="G228">
        <v>25</v>
      </c>
      <c r="H228">
        <v>4</v>
      </c>
      <c r="I228">
        <v>0</v>
      </c>
      <c r="J228">
        <v>45</v>
      </c>
      <c r="K228">
        <v>520</v>
      </c>
      <c r="L228">
        <v>6</v>
      </c>
      <c r="M228">
        <v>1</v>
      </c>
      <c r="N228">
        <v>1</v>
      </c>
      <c r="O228">
        <v>10</v>
      </c>
      <c r="P228">
        <v>285</v>
      </c>
      <c r="Q228" s="3">
        <v>3.4482758620689702</v>
      </c>
      <c r="R228">
        <v>1</v>
      </c>
      <c r="S228">
        <v>0</v>
      </c>
      <c r="U228">
        <v>-4.6950310559006203</v>
      </c>
      <c r="V228">
        <v>-1</v>
      </c>
      <c r="W228">
        <v>-5.6521739130434803</v>
      </c>
      <c r="X228">
        <v>-0.4</v>
      </c>
      <c r="Y228">
        <v>0</v>
      </c>
      <c r="Z228">
        <v>2</v>
      </c>
      <c r="AA228">
        <v>0.35714285714285698</v>
      </c>
    </row>
    <row r="229" spans="3:27" x14ac:dyDescent="0.2">
      <c r="C229" t="s">
        <v>21</v>
      </c>
      <c r="D229" t="s">
        <v>55</v>
      </c>
      <c r="E229">
        <v>390</v>
      </c>
      <c r="F229">
        <v>0</v>
      </c>
      <c r="G229">
        <v>32</v>
      </c>
      <c r="H229">
        <v>6</v>
      </c>
      <c r="I229">
        <v>0</v>
      </c>
      <c r="J229">
        <v>65</v>
      </c>
      <c r="K229">
        <v>900</v>
      </c>
      <c r="L229">
        <v>12</v>
      </c>
      <c r="M229">
        <v>2</v>
      </c>
      <c r="N229">
        <v>1</v>
      </c>
      <c r="O229">
        <v>13</v>
      </c>
      <c r="P229">
        <v>384</v>
      </c>
      <c r="Q229" s="3">
        <v>3.3333333333333299</v>
      </c>
      <c r="R229">
        <v>1</v>
      </c>
      <c r="S229">
        <v>0</v>
      </c>
      <c r="U229">
        <v>-8.3683229813664592</v>
      </c>
      <c r="V229">
        <v>-1.5</v>
      </c>
      <c r="W229">
        <v>-9.7826086956521703</v>
      </c>
      <c r="X229">
        <v>-0.4</v>
      </c>
      <c r="Y229">
        <v>0</v>
      </c>
      <c r="Z229">
        <v>2.6</v>
      </c>
      <c r="AA229">
        <v>0.71428571428571397</v>
      </c>
    </row>
    <row r="230" spans="3:27" x14ac:dyDescent="0.2">
      <c r="C230" t="s">
        <v>21</v>
      </c>
      <c r="D230" t="s">
        <v>455</v>
      </c>
      <c r="E230">
        <v>540</v>
      </c>
      <c r="F230">
        <v>0</v>
      </c>
      <c r="G230">
        <v>23</v>
      </c>
      <c r="H230">
        <v>6</v>
      </c>
      <c r="I230">
        <v>0</v>
      </c>
      <c r="J230">
        <v>10</v>
      </c>
      <c r="K230">
        <v>2220</v>
      </c>
      <c r="L230">
        <v>66</v>
      </c>
      <c r="M230">
        <v>5</v>
      </c>
      <c r="N230">
        <v>8</v>
      </c>
      <c r="O230">
        <v>18</v>
      </c>
      <c r="P230">
        <v>536</v>
      </c>
      <c r="Q230" s="3">
        <v>3.3333333333333299</v>
      </c>
      <c r="R230">
        <v>1</v>
      </c>
      <c r="S230">
        <v>0</v>
      </c>
      <c r="U230">
        <v>-23.444720496894401</v>
      </c>
      <c r="V230">
        <v>-1.5</v>
      </c>
      <c r="W230">
        <v>-24.130434782608699</v>
      </c>
      <c r="X230">
        <v>-3.2</v>
      </c>
      <c r="Y230">
        <v>0</v>
      </c>
      <c r="Z230">
        <v>3.6</v>
      </c>
      <c r="AA230">
        <v>1.78571428571429</v>
      </c>
    </row>
    <row r="231" spans="3:27" x14ac:dyDescent="0.2">
      <c r="C231" t="s">
        <v>21</v>
      </c>
      <c r="D231" t="s">
        <v>456</v>
      </c>
      <c r="E231">
        <v>60</v>
      </c>
      <c r="F231">
        <v>0</v>
      </c>
      <c r="G231">
        <v>3</v>
      </c>
      <c r="H231">
        <v>0</v>
      </c>
      <c r="I231">
        <v>0</v>
      </c>
      <c r="J231">
        <v>0</v>
      </c>
      <c r="K231">
        <v>135</v>
      </c>
      <c r="L231">
        <v>8</v>
      </c>
      <c r="M231">
        <v>0</v>
      </c>
      <c r="N231">
        <v>0</v>
      </c>
      <c r="O231">
        <v>2</v>
      </c>
      <c r="P231">
        <v>58</v>
      </c>
      <c r="Q231" s="3">
        <v>3.3333333333333299</v>
      </c>
      <c r="R231">
        <v>0</v>
      </c>
      <c r="S231">
        <v>0</v>
      </c>
      <c r="U231">
        <v>-1.06739130434783</v>
      </c>
      <c r="V231">
        <v>0</v>
      </c>
      <c r="W231">
        <v>-1.4673913043478299</v>
      </c>
      <c r="X231">
        <v>0</v>
      </c>
      <c r="Y231">
        <v>0</v>
      </c>
      <c r="Z231">
        <v>0.4</v>
      </c>
      <c r="AA231">
        <v>0</v>
      </c>
    </row>
    <row r="232" spans="3:27" x14ac:dyDescent="0.2">
      <c r="C232" t="s">
        <v>21</v>
      </c>
      <c r="D232" t="s">
        <v>457</v>
      </c>
      <c r="E232">
        <v>390</v>
      </c>
      <c r="F232">
        <v>0</v>
      </c>
      <c r="G232">
        <v>26</v>
      </c>
      <c r="H232">
        <v>7</v>
      </c>
      <c r="I232">
        <v>1</v>
      </c>
      <c r="J232">
        <v>35</v>
      </c>
      <c r="K232">
        <v>910</v>
      </c>
      <c r="L232">
        <v>26</v>
      </c>
      <c r="M232">
        <v>2</v>
      </c>
      <c r="N232">
        <v>0</v>
      </c>
      <c r="O232">
        <v>13</v>
      </c>
      <c r="P232">
        <v>384</v>
      </c>
      <c r="Q232" s="3">
        <v>3.3333333333333299</v>
      </c>
      <c r="R232">
        <v>1</v>
      </c>
      <c r="S232">
        <v>0</v>
      </c>
      <c r="U232">
        <v>-8.3280186335403705</v>
      </c>
      <c r="V232">
        <v>-1.75</v>
      </c>
      <c r="W232">
        <v>-9.8913043478260896</v>
      </c>
      <c r="X232">
        <v>0</v>
      </c>
      <c r="Y232">
        <v>-1E-3</v>
      </c>
      <c r="Z232">
        <v>2.6</v>
      </c>
      <c r="AA232">
        <v>0.71428571428571397</v>
      </c>
    </row>
    <row r="233" spans="3:27" x14ac:dyDescent="0.2">
      <c r="C233" t="s">
        <v>21</v>
      </c>
      <c r="D233" t="s">
        <v>463</v>
      </c>
      <c r="E233">
        <v>280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15</v>
      </c>
      <c r="L233">
        <v>67</v>
      </c>
      <c r="M233">
        <v>8</v>
      </c>
      <c r="N233">
        <v>11</v>
      </c>
      <c r="O233">
        <v>9</v>
      </c>
      <c r="P233">
        <v>282</v>
      </c>
      <c r="Q233" s="3">
        <v>3.21428571428571</v>
      </c>
      <c r="R233">
        <v>0</v>
      </c>
      <c r="S233">
        <v>0</v>
      </c>
      <c r="U233">
        <v>9.4099378881987494E-2</v>
      </c>
      <c r="V233">
        <v>0</v>
      </c>
      <c r="W233">
        <v>-0.16304347826087001</v>
      </c>
      <c r="X233">
        <v>-4.4000000000000004</v>
      </c>
      <c r="Y233">
        <v>0</v>
      </c>
      <c r="Z233">
        <v>1.8</v>
      </c>
      <c r="AA233">
        <v>2.8571428571428599</v>
      </c>
    </row>
    <row r="234" spans="3:27" x14ac:dyDescent="0.2">
      <c r="C234" t="s">
        <v>21</v>
      </c>
      <c r="D234" t="s">
        <v>513</v>
      </c>
      <c r="E234">
        <v>70</v>
      </c>
      <c r="F234">
        <v>0</v>
      </c>
      <c r="G234">
        <v>0.5</v>
      </c>
      <c r="H234">
        <v>0</v>
      </c>
      <c r="I234">
        <v>0</v>
      </c>
      <c r="J234">
        <v>0</v>
      </c>
      <c r="K234">
        <v>0</v>
      </c>
      <c r="L234">
        <v>17</v>
      </c>
      <c r="M234">
        <v>2</v>
      </c>
      <c r="N234">
        <v>3</v>
      </c>
      <c r="O234">
        <v>2</v>
      </c>
      <c r="P234">
        <v>71</v>
      </c>
      <c r="Q234" s="3">
        <v>2.8571428571428599</v>
      </c>
      <c r="R234">
        <v>0</v>
      </c>
      <c r="S234">
        <v>0</v>
      </c>
      <c r="U234">
        <v>-8.5714285714285604E-2</v>
      </c>
      <c r="V234">
        <v>0</v>
      </c>
      <c r="W234">
        <v>0</v>
      </c>
      <c r="X234">
        <v>-1.2</v>
      </c>
      <c r="Y234">
        <v>0</v>
      </c>
      <c r="Z234">
        <v>0.4</v>
      </c>
      <c r="AA234">
        <v>0.71428571428571397</v>
      </c>
    </row>
    <row r="235" spans="3:27" x14ac:dyDescent="0.2">
      <c r="C235" t="s">
        <v>21</v>
      </c>
      <c r="D235" t="s">
        <v>514</v>
      </c>
      <c r="E235">
        <v>70</v>
      </c>
      <c r="F235">
        <v>0</v>
      </c>
      <c r="G235">
        <v>0.5</v>
      </c>
      <c r="H235">
        <v>0</v>
      </c>
      <c r="I235">
        <v>0</v>
      </c>
      <c r="J235">
        <v>0</v>
      </c>
      <c r="K235">
        <v>0</v>
      </c>
      <c r="L235">
        <v>16</v>
      </c>
      <c r="M235">
        <v>2</v>
      </c>
      <c r="N235">
        <v>2</v>
      </c>
      <c r="O235">
        <v>2</v>
      </c>
      <c r="P235">
        <v>70</v>
      </c>
      <c r="Q235" s="3">
        <v>2.8571428571428599</v>
      </c>
      <c r="R235">
        <v>0</v>
      </c>
      <c r="S235">
        <v>0</v>
      </c>
      <c r="U235">
        <v>0.314285714285714</v>
      </c>
      <c r="V235">
        <v>0</v>
      </c>
      <c r="W235">
        <v>0</v>
      </c>
      <c r="X235">
        <v>-0.8</v>
      </c>
      <c r="Y235">
        <v>0</v>
      </c>
      <c r="Z235">
        <v>0.4</v>
      </c>
      <c r="AA235">
        <v>0.71428571428571397</v>
      </c>
    </row>
    <row r="236" spans="3:27" x14ac:dyDescent="0.2">
      <c r="C236" t="s">
        <v>21</v>
      </c>
      <c r="D236" t="s">
        <v>515</v>
      </c>
      <c r="E236">
        <v>35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410</v>
      </c>
      <c r="L236">
        <v>8</v>
      </c>
      <c r="M236">
        <v>0</v>
      </c>
      <c r="N236">
        <v>2</v>
      </c>
      <c r="O236">
        <v>1</v>
      </c>
      <c r="P236">
        <v>36</v>
      </c>
      <c r="Q236" s="3">
        <v>2.8571428571428599</v>
      </c>
      <c r="R236">
        <v>0</v>
      </c>
      <c r="S236">
        <v>0</v>
      </c>
      <c r="U236">
        <v>-5.0565217391304298</v>
      </c>
      <c r="V236">
        <v>0</v>
      </c>
      <c r="W236">
        <v>-4.4565217391304301</v>
      </c>
      <c r="X236">
        <v>-0.8</v>
      </c>
      <c r="Y236">
        <v>0</v>
      </c>
      <c r="Z236">
        <v>0.2</v>
      </c>
      <c r="AA236">
        <v>0</v>
      </c>
    </row>
    <row r="237" spans="3:27" x14ac:dyDescent="0.2">
      <c r="C237" t="s">
        <v>21</v>
      </c>
      <c r="D237" t="s">
        <v>585</v>
      </c>
      <c r="E237">
        <v>130</v>
      </c>
      <c r="F237">
        <v>0</v>
      </c>
      <c r="G237">
        <v>4.5</v>
      </c>
      <c r="H237">
        <v>1</v>
      </c>
      <c r="I237">
        <v>0</v>
      </c>
      <c r="J237">
        <v>0</v>
      </c>
      <c r="K237">
        <v>520</v>
      </c>
      <c r="L237">
        <v>20</v>
      </c>
      <c r="M237">
        <v>1</v>
      </c>
      <c r="N237">
        <v>0</v>
      </c>
      <c r="O237">
        <v>3</v>
      </c>
      <c r="P237">
        <v>128</v>
      </c>
      <c r="Q237" s="3">
        <v>2.3076923076923102</v>
      </c>
      <c r="R237">
        <v>1</v>
      </c>
      <c r="S237">
        <v>0</v>
      </c>
      <c r="U237">
        <v>-4.9450310559006203</v>
      </c>
      <c r="V237">
        <v>-0.25</v>
      </c>
      <c r="W237">
        <v>-5.6521739130434803</v>
      </c>
      <c r="X237">
        <v>0</v>
      </c>
      <c r="Y237">
        <v>0</v>
      </c>
      <c r="Z237">
        <v>0.6</v>
      </c>
      <c r="AA237">
        <v>0.35714285714285698</v>
      </c>
    </row>
    <row r="238" spans="3:27" x14ac:dyDescent="0.2">
      <c r="C238" t="s">
        <v>21</v>
      </c>
      <c r="D238" t="s">
        <v>605</v>
      </c>
      <c r="E238">
        <v>180</v>
      </c>
      <c r="F238">
        <v>0</v>
      </c>
      <c r="G238">
        <v>8</v>
      </c>
      <c r="H238">
        <v>4.5</v>
      </c>
      <c r="I238">
        <v>0</v>
      </c>
      <c r="J238">
        <v>0</v>
      </c>
      <c r="K238">
        <v>520</v>
      </c>
      <c r="L238">
        <v>22</v>
      </c>
      <c r="M238">
        <v>1</v>
      </c>
      <c r="N238">
        <v>1</v>
      </c>
      <c r="O238">
        <v>4</v>
      </c>
      <c r="P238">
        <v>181.5</v>
      </c>
      <c r="Q238" s="3">
        <v>2.2222222222222201</v>
      </c>
      <c r="R238">
        <v>1</v>
      </c>
      <c r="S238">
        <v>0</v>
      </c>
      <c r="U238">
        <v>-6.0200310559006196</v>
      </c>
      <c r="V238">
        <v>-1.125</v>
      </c>
      <c r="W238">
        <v>-5.6521739130434803</v>
      </c>
      <c r="X238">
        <v>-0.4</v>
      </c>
      <c r="Y238">
        <v>0</v>
      </c>
      <c r="Z238">
        <v>0.8</v>
      </c>
      <c r="AA238">
        <v>0.35714285714285698</v>
      </c>
    </row>
    <row r="239" spans="3:27" x14ac:dyDescent="0.2">
      <c r="C239" t="s">
        <v>21</v>
      </c>
      <c r="D239" t="s">
        <v>626</v>
      </c>
      <c r="E239">
        <v>590</v>
      </c>
      <c r="F239">
        <v>0</v>
      </c>
      <c r="G239">
        <v>21</v>
      </c>
      <c r="H239">
        <v>5</v>
      </c>
      <c r="I239">
        <v>0</v>
      </c>
      <c r="J239">
        <v>0</v>
      </c>
      <c r="K239">
        <v>2590</v>
      </c>
      <c r="L239">
        <v>88</v>
      </c>
      <c r="M239">
        <v>6</v>
      </c>
      <c r="N239">
        <v>1</v>
      </c>
      <c r="O239">
        <v>12</v>
      </c>
      <c r="P239">
        <v>584</v>
      </c>
      <c r="Q239" s="3">
        <v>2.0338983050847501</v>
      </c>
      <c r="R239">
        <v>1</v>
      </c>
      <c r="S239">
        <v>0</v>
      </c>
      <c r="U239">
        <v>-25.259316770186299</v>
      </c>
      <c r="V239">
        <v>-1.25</v>
      </c>
      <c r="W239">
        <v>-28.152173913043502</v>
      </c>
      <c r="X239">
        <v>-0.4</v>
      </c>
      <c r="Y239">
        <v>0</v>
      </c>
      <c r="Z239">
        <v>2.4</v>
      </c>
      <c r="AA239">
        <v>2.1428571428571401</v>
      </c>
    </row>
    <row r="240" spans="3:27" x14ac:dyDescent="0.2">
      <c r="C240" t="s">
        <v>21</v>
      </c>
      <c r="D240" t="s">
        <v>629</v>
      </c>
      <c r="E240">
        <v>460</v>
      </c>
      <c r="F240">
        <v>0</v>
      </c>
      <c r="G240">
        <v>15</v>
      </c>
      <c r="H240">
        <v>3</v>
      </c>
      <c r="I240">
        <v>0</v>
      </c>
      <c r="J240">
        <v>0</v>
      </c>
      <c r="K240">
        <v>1410</v>
      </c>
      <c r="L240">
        <v>72</v>
      </c>
      <c r="M240">
        <v>6</v>
      </c>
      <c r="N240">
        <v>0</v>
      </c>
      <c r="O240">
        <v>9</v>
      </c>
      <c r="P240">
        <v>454</v>
      </c>
      <c r="Q240" s="3">
        <v>1.9565217391304399</v>
      </c>
      <c r="R240">
        <v>1</v>
      </c>
      <c r="S240">
        <v>0</v>
      </c>
      <c r="U240">
        <v>-12.133229813664601</v>
      </c>
      <c r="V240">
        <v>-0.75</v>
      </c>
      <c r="W240">
        <v>-15.326086956521699</v>
      </c>
      <c r="X240">
        <v>0</v>
      </c>
      <c r="Y240">
        <v>0</v>
      </c>
      <c r="Z240">
        <v>1.8</v>
      </c>
      <c r="AA240">
        <v>2.1428571428571401</v>
      </c>
    </row>
    <row r="241" spans="3:27" x14ac:dyDescent="0.2">
      <c r="C241" t="s">
        <v>21</v>
      </c>
      <c r="D241" t="s">
        <v>641</v>
      </c>
      <c r="E241">
        <v>110</v>
      </c>
      <c r="F241">
        <v>0</v>
      </c>
      <c r="G241">
        <v>3.5</v>
      </c>
      <c r="H241">
        <v>0.5</v>
      </c>
      <c r="I241">
        <v>0</v>
      </c>
      <c r="J241">
        <v>0</v>
      </c>
      <c r="K241">
        <v>330</v>
      </c>
      <c r="L241">
        <v>17</v>
      </c>
      <c r="M241">
        <v>1</v>
      </c>
      <c r="N241">
        <v>0</v>
      </c>
      <c r="O241">
        <v>2</v>
      </c>
      <c r="P241">
        <v>108.5</v>
      </c>
      <c r="Q241" s="3">
        <v>1.8181818181818199</v>
      </c>
      <c r="R241">
        <v>0</v>
      </c>
      <c r="S241">
        <v>0</v>
      </c>
      <c r="U241">
        <v>-2.9548136645962702</v>
      </c>
      <c r="V241">
        <v>-0.125</v>
      </c>
      <c r="W241">
        <v>-3.5869565217391299</v>
      </c>
      <c r="X241">
        <v>0</v>
      </c>
      <c r="Y241">
        <v>0</v>
      </c>
      <c r="Z241">
        <v>0.4</v>
      </c>
      <c r="AA241">
        <v>0.35714285714285698</v>
      </c>
    </row>
    <row r="242" spans="3:27" x14ac:dyDescent="0.2">
      <c r="C242" t="s">
        <v>21</v>
      </c>
      <c r="D242" t="s">
        <v>649</v>
      </c>
      <c r="E242">
        <v>300</v>
      </c>
      <c r="F242">
        <v>0</v>
      </c>
      <c r="G242">
        <v>17</v>
      </c>
      <c r="H242">
        <v>9</v>
      </c>
      <c r="I242">
        <v>0</v>
      </c>
      <c r="J242">
        <v>0</v>
      </c>
      <c r="K242">
        <v>270</v>
      </c>
      <c r="L242">
        <v>33</v>
      </c>
      <c r="M242">
        <v>1</v>
      </c>
      <c r="N242">
        <v>22</v>
      </c>
      <c r="O242">
        <v>5</v>
      </c>
      <c r="P242">
        <v>326</v>
      </c>
      <c r="Q242" s="3">
        <v>1.6666666666666701</v>
      </c>
      <c r="R242">
        <v>0</v>
      </c>
      <c r="S242">
        <v>0</v>
      </c>
      <c r="U242">
        <v>-12.627639751552801</v>
      </c>
      <c r="V242">
        <v>-2.25</v>
      </c>
      <c r="W242">
        <v>-2.9347826086956501</v>
      </c>
      <c r="X242">
        <v>-8.8000000000000007</v>
      </c>
      <c r="Y242">
        <v>0</v>
      </c>
      <c r="Z242">
        <v>1</v>
      </c>
      <c r="AA242">
        <v>0.35714285714285698</v>
      </c>
    </row>
    <row r="243" spans="3:27" x14ac:dyDescent="0.2">
      <c r="C243" t="s">
        <v>21</v>
      </c>
      <c r="D243" t="s">
        <v>654</v>
      </c>
      <c r="E243">
        <v>320</v>
      </c>
      <c r="F243">
        <v>0</v>
      </c>
      <c r="G243">
        <v>15</v>
      </c>
      <c r="H243">
        <v>2</v>
      </c>
      <c r="I243">
        <v>0</v>
      </c>
      <c r="J243">
        <v>0</v>
      </c>
      <c r="K243">
        <v>1100</v>
      </c>
      <c r="L243">
        <v>41</v>
      </c>
      <c r="M243">
        <v>3</v>
      </c>
      <c r="N243">
        <v>0</v>
      </c>
      <c r="O243">
        <v>5</v>
      </c>
      <c r="P243">
        <v>317</v>
      </c>
      <c r="Q243" s="3">
        <v>1.5625</v>
      </c>
      <c r="R243">
        <v>1</v>
      </c>
      <c r="S243">
        <v>0</v>
      </c>
      <c r="U243">
        <v>-10.3850931677019</v>
      </c>
      <c r="V243">
        <v>-0.5</v>
      </c>
      <c r="W243">
        <v>-11.9565217391304</v>
      </c>
      <c r="X243">
        <v>0</v>
      </c>
      <c r="Y243">
        <v>0</v>
      </c>
      <c r="Z243">
        <v>1</v>
      </c>
      <c r="AA243">
        <v>1.0714285714285701</v>
      </c>
    </row>
    <row r="244" spans="3:27" x14ac:dyDescent="0.2">
      <c r="C244" t="s">
        <v>21</v>
      </c>
      <c r="D244" t="s">
        <v>656</v>
      </c>
      <c r="E244">
        <v>840</v>
      </c>
      <c r="F244">
        <v>0</v>
      </c>
      <c r="G244">
        <v>40</v>
      </c>
      <c r="H244">
        <v>5</v>
      </c>
      <c r="I244">
        <v>0</v>
      </c>
      <c r="J244">
        <v>0</v>
      </c>
      <c r="K244">
        <v>2890</v>
      </c>
      <c r="L244">
        <v>108</v>
      </c>
      <c r="M244">
        <v>9</v>
      </c>
      <c r="N244">
        <v>0</v>
      </c>
      <c r="O244">
        <v>13</v>
      </c>
      <c r="P244">
        <v>832</v>
      </c>
      <c r="Q244" s="3">
        <v>1.5476190476190499</v>
      </c>
      <c r="R244">
        <v>1</v>
      </c>
      <c r="S244">
        <v>0</v>
      </c>
      <c r="U244">
        <v>-26.8487577639752</v>
      </c>
      <c r="V244">
        <v>-1.25</v>
      </c>
      <c r="W244">
        <v>-31.413043478260899</v>
      </c>
      <c r="X244">
        <v>0</v>
      </c>
      <c r="Y244">
        <v>0</v>
      </c>
      <c r="Z244">
        <v>2.6</v>
      </c>
      <c r="AA244">
        <v>3.21428571428571</v>
      </c>
    </row>
    <row r="245" spans="3:27" x14ac:dyDescent="0.2">
      <c r="C245" t="s">
        <v>21</v>
      </c>
      <c r="D245" t="s">
        <v>666</v>
      </c>
      <c r="E245">
        <v>210</v>
      </c>
      <c r="F245">
        <v>0</v>
      </c>
      <c r="G245">
        <v>9</v>
      </c>
      <c r="H245">
        <v>1.5</v>
      </c>
      <c r="I245">
        <v>0</v>
      </c>
      <c r="J245">
        <v>35</v>
      </c>
      <c r="K245">
        <v>240</v>
      </c>
      <c r="L245">
        <v>28</v>
      </c>
      <c r="M245">
        <v>0</v>
      </c>
      <c r="N245">
        <v>11</v>
      </c>
      <c r="O245">
        <v>3</v>
      </c>
      <c r="P245">
        <v>219.5</v>
      </c>
      <c r="Q245" s="3">
        <v>1.4285714285714299</v>
      </c>
      <c r="R245">
        <v>0</v>
      </c>
      <c r="S245">
        <v>0</v>
      </c>
      <c r="U245">
        <v>-6.7836956521739102</v>
      </c>
      <c r="V245">
        <v>-0.375</v>
      </c>
      <c r="W245">
        <v>-2.60869565217391</v>
      </c>
      <c r="X245">
        <v>-4.4000000000000004</v>
      </c>
      <c r="Y245">
        <v>0</v>
      </c>
      <c r="Z245">
        <v>0.6</v>
      </c>
      <c r="AA245">
        <v>0</v>
      </c>
    </row>
    <row r="246" spans="3:27" x14ac:dyDescent="0.2">
      <c r="C246" t="s">
        <v>21</v>
      </c>
      <c r="D246" t="s">
        <v>670</v>
      </c>
      <c r="E246">
        <v>290</v>
      </c>
      <c r="F246">
        <v>0</v>
      </c>
      <c r="G246">
        <v>13</v>
      </c>
      <c r="H246">
        <v>7</v>
      </c>
      <c r="I246">
        <v>0</v>
      </c>
      <c r="J246">
        <v>0</v>
      </c>
      <c r="K246">
        <v>580</v>
      </c>
      <c r="L246">
        <v>40</v>
      </c>
      <c r="M246">
        <v>2</v>
      </c>
      <c r="N246">
        <v>17</v>
      </c>
      <c r="O246">
        <v>4</v>
      </c>
      <c r="P246">
        <v>310</v>
      </c>
      <c r="Q246" s="3">
        <v>1.3793103448275901</v>
      </c>
      <c r="R246">
        <v>1</v>
      </c>
      <c r="S246">
        <v>0</v>
      </c>
      <c r="U246">
        <v>-13.340062111801201</v>
      </c>
      <c r="V246">
        <v>-1.75</v>
      </c>
      <c r="W246">
        <v>-6.3043478260869596</v>
      </c>
      <c r="X246">
        <v>-6.8</v>
      </c>
      <c r="Y246">
        <v>0</v>
      </c>
      <c r="Z246">
        <v>0.8</v>
      </c>
      <c r="AA246">
        <v>0.71428571428571397</v>
      </c>
    </row>
    <row r="247" spans="3:27" x14ac:dyDescent="0.2">
      <c r="C247" t="s">
        <v>21</v>
      </c>
      <c r="D247" t="s">
        <v>674</v>
      </c>
      <c r="E247">
        <v>300</v>
      </c>
      <c r="F247">
        <v>0</v>
      </c>
      <c r="G247">
        <v>15</v>
      </c>
      <c r="H247">
        <v>3</v>
      </c>
      <c r="I247">
        <v>0</v>
      </c>
      <c r="J247">
        <v>50</v>
      </c>
      <c r="K247">
        <v>260</v>
      </c>
      <c r="L247">
        <v>39</v>
      </c>
      <c r="M247">
        <v>1</v>
      </c>
      <c r="N247">
        <v>27</v>
      </c>
      <c r="O247">
        <v>4</v>
      </c>
      <c r="P247">
        <v>326</v>
      </c>
      <c r="Q247" s="3">
        <v>1.3333333333333299</v>
      </c>
      <c r="R247">
        <v>0</v>
      </c>
      <c r="S247">
        <v>0</v>
      </c>
      <c r="U247">
        <v>-13.2189440993789</v>
      </c>
      <c r="V247">
        <v>-0.75</v>
      </c>
      <c r="W247">
        <v>-2.8260869565217401</v>
      </c>
      <c r="X247">
        <v>-10.8</v>
      </c>
      <c r="Y247">
        <v>0</v>
      </c>
      <c r="Z247">
        <v>0.8</v>
      </c>
      <c r="AA247">
        <v>0.35714285714285698</v>
      </c>
    </row>
    <row r="248" spans="3:27" x14ac:dyDescent="0.2">
      <c r="C248" t="s">
        <v>21</v>
      </c>
      <c r="D248" t="s">
        <v>701</v>
      </c>
      <c r="E248">
        <v>270</v>
      </c>
      <c r="F248">
        <v>0</v>
      </c>
      <c r="G248">
        <v>13</v>
      </c>
      <c r="H248">
        <v>8</v>
      </c>
      <c r="I248">
        <v>0</v>
      </c>
      <c r="J248">
        <v>0</v>
      </c>
      <c r="K248">
        <v>210</v>
      </c>
      <c r="L248">
        <v>35</v>
      </c>
      <c r="M248">
        <v>1</v>
      </c>
      <c r="N248">
        <v>24</v>
      </c>
      <c r="O248">
        <v>3</v>
      </c>
      <c r="P248">
        <v>299</v>
      </c>
      <c r="Q248" s="3">
        <v>1.1111111111111101</v>
      </c>
      <c r="R248">
        <v>0</v>
      </c>
      <c r="S248">
        <v>0</v>
      </c>
      <c r="U248">
        <v>-12.9254658385093</v>
      </c>
      <c r="V248">
        <v>-2</v>
      </c>
      <c r="W248">
        <v>-2.2826086956521698</v>
      </c>
      <c r="X248">
        <v>-9.6</v>
      </c>
      <c r="Y248">
        <v>0</v>
      </c>
      <c r="Z248">
        <v>0.6</v>
      </c>
      <c r="AA248">
        <v>0.35714285714285698</v>
      </c>
    </row>
    <row r="249" spans="3:27" x14ac:dyDescent="0.2">
      <c r="C249" t="s">
        <v>21</v>
      </c>
      <c r="D249" t="s">
        <v>714</v>
      </c>
      <c r="E249">
        <v>300</v>
      </c>
      <c r="F249">
        <v>0</v>
      </c>
      <c r="G249">
        <v>12</v>
      </c>
      <c r="H249">
        <v>2.5</v>
      </c>
      <c r="I249">
        <v>0</v>
      </c>
      <c r="J249">
        <v>40</v>
      </c>
      <c r="K249">
        <v>190</v>
      </c>
      <c r="L249">
        <v>49</v>
      </c>
      <c r="M249">
        <v>1</v>
      </c>
      <c r="N249">
        <v>35</v>
      </c>
      <c r="O249">
        <v>3</v>
      </c>
      <c r="P249">
        <v>334.5</v>
      </c>
      <c r="Q249" s="3">
        <v>1</v>
      </c>
      <c r="R249">
        <v>0</v>
      </c>
      <c r="S249">
        <v>0</v>
      </c>
      <c r="U249">
        <v>-15.733074534161499</v>
      </c>
      <c r="V249">
        <v>-0.625</v>
      </c>
      <c r="W249">
        <v>-2.0652173913043499</v>
      </c>
      <c r="X249">
        <v>-14</v>
      </c>
      <c r="Y249">
        <v>0</v>
      </c>
      <c r="Z249">
        <v>0.6</v>
      </c>
      <c r="AA249">
        <v>0.35714285714285698</v>
      </c>
    </row>
    <row r="250" spans="3:27" x14ac:dyDescent="0.2">
      <c r="C250" t="s">
        <v>21</v>
      </c>
      <c r="D250" t="s">
        <v>715</v>
      </c>
      <c r="E250">
        <v>300</v>
      </c>
      <c r="F250">
        <v>0</v>
      </c>
      <c r="G250">
        <v>13</v>
      </c>
      <c r="H250">
        <v>2.5</v>
      </c>
      <c r="I250">
        <v>0</v>
      </c>
      <c r="J250">
        <v>50</v>
      </c>
      <c r="K250">
        <v>230</v>
      </c>
      <c r="L250">
        <v>43</v>
      </c>
      <c r="M250">
        <v>0</v>
      </c>
      <c r="N250">
        <v>31</v>
      </c>
      <c r="O250">
        <v>3</v>
      </c>
      <c r="P250">
        <v>330.5</v>
      </c>
      <c r="Q250" s="3">
        <v>1</v>
      </c>
      <c r="R250">
        <v>0</v>
      </c>
      <c r="S250">
        <v>0</v>
      </c>
      <c r="U250">
        <v>-14.925000000000001</v>
      </c>
      <c r="V250">
        <v>-0.625</v>
      </c>
      <c r="W250">
        <v>-2.5</v>
      </c>
      <c r="X250">
        <v>-12.4</v>
      </c>
      <c r="Y250">
        <v>0</v>
      </c>
      <c r="Z250">
        <v>0.6</v>
      </c>
      <c r="AA250">
        <v>0</v>
      </c>
    </row>
    <row r="251" spans="3:27" x14ac:dyDescent="0.2">
      <c r="C251" t="s">
        <v>21</v>
      </c>
      <c r="D251" t="s">
        <v>728</v>
      </c>
      <c r="E251">
        <v>220</v>
      </c>
      <c r="F251">
        <v>0</v>
      </c>
      <c r="G251">
        <v>10</v>
      </c>
      <c r="H251">
        <v>2</v>
      </c>
      <c r="I251">
        <v>0</v>
      </c>
      <c r="J251">
        <v>30</v>
      </c>
      <c r="K251">
        <v>170</v>
      </c>
      <c r="L251">
        <v>30</v>
      </c>
      <c r="M251">
        <v>0</v>
      </c>
      <c r="N251">
        <v>20</v>
      </c>
      <c r="O251">
        <v>2</v>
      </c>
      <c r="P251">
        <v>240</v>
      </c>
      <c r="Q251" s="3">
        <v>0.90909090909090895</v>
      </c>
      <c r="R251">
        <v>0</v>
      </c>
      <c r="S251">
        <v>0</v>
      </c>
      <c r="U251">
        <v>-9.9478260869565194</v>
      </c>
      <c r="V251">
        <v>-0.5</v>
      </c>
      <c r="W251">
        <v>-1.84782608695652</v>
      </c>
      <c r="X251">
        <v>-8</v>
      </c>
      <c r="Y251">
        <v>0</v>
      </c>
      <c r="Z251">
        <v>0.4</v>
      </c>
      <c r="AA251">
        <v>0</v>
      </c>
    </row>
    <row r="252" spans="3:27" x14ac:dyDescent="0.2">
      <c r="C252" t="s">
        <v>21</v>
      </c>
      <c r="D252" t="s">
        <v>733</v>
      </c>
      <c r="E252">
        <v>230</v>
      </c>
      <c r="F252">
        <v>0</v>
      </c>
      <c r="G252">
        <v>10</v>
      </c>
      <c r="H252">
        <v>2.5</v>
      </c>
      <c r="I252">
        <v>0</v>
      </c>
      <c r="J252">
        <v>0</v>
      </c>
      <c r="K252">
        <v>140</v>
      </c>
      <c r="L252">
        <v>32</v>
      </c>
      <c r="M252">
        <v>0</v>
      </c>
      <c r="N252">
        <v>12</v>
      </c>
      <c r="O252">
        <v>2</v>
      </c>
      <c r="P252">
        <v>242.5</v>
      </c>
      <c r="Q252" s="3">
        <v>0.86956521739130399</v>
      </c>
      <c r="R252">
        <v>0</v>
      </c>
      <c r="S252">
        <v>0</v>
      </c>
      <c r="U252">
        <v>-6.54673913043478</v>
      </c>
      <c r="V252">
        <v>-0.625</v>
      </c>
      <c r="W252">
        <v>-1.52173913043478</v>
      </c>
      <c r="X252">
        <v>-4.8</v>
      </c>
      <c r="Y252">
        <v>0</v>
      </c>
      <c r="Z252">
        <v>0.4</v>
      </c>
      <c r="AA252">
        <v>0</v>
      </c>
    </row>
    <row r="253" spans="3:27" x14ac:dyDescent="0.2">
      <c r="C253" t="s">
        <v>21</v>
      </c>
      <c r="D253" t="s">
        <v>683</v>
      </c>
      <c r="E253">
        <v>120</v>
      </c>
      <c r="F253">
        <v>0</v>
      </c>
      <c r="G253">
        <v>6</v>
      </c>
      <c r="H253">
        <v>3</v>
      </c>
      <c r="I253">
        <v>0</v>
      </c>
      <c r="J253">
        <v>0</v>
      </c>
      <c r="K253">
        <v>70</v>
      </c>
      <c r="L253">
        <v>18</v>
      </c>
      <c r="M253">
        <v>1</v>
      </c>
      <c r="N253">
        <v>12</v>
      </c>
      <c r="O253">
        <v>1</v>
      </c>
      <c r="P253">
        <v>134</v>
      </c>
      <c r="Q253" s="3">
        <v>0.83333333333333304</v>
      </c>
      <c r="R253">
        <v>0</v>
      </c>
      <c r="S253">
        <v>0</v>
      </c>
      <c r="U253">
        <v>-5.75372670807453</v>
      </c>
      <c r="V253">
        <v>-0.75</v>
      </c>
      <c r="W253">
        <v>-0.76086956521739102</v>
      </c>
      <c r="X253">
        <v>-4.8</v>
      </c>
      <c r="Y253">
        <v>0</v>
      </c>
      <c r="Z253">
        <v>0.2</v>
      </c>
      <c r="AA253">
        <v>0.35714285714285698</v>
      </c>
    </row>
    <row r="254" spans="3:27" x14ac:dyDescent="0.2">
      <c r="C254" t="s">
        <v>21</v>
      </c>
      <c r="D254" t="s">
        <v>744</v>
      </c>
      <c r="E254">
        <v>260</v>
      </c>
      <c r="F254">
        <v>0</v>
      </c>
      <c r="G254">
        <v>26</v>
      </c>
      <c r="H254">
        <v>5</v>
      </c>
      <c r="I254">
        <v>0</v>
      </c>
      <c r="J254">
        <v>15</v>
      </c>
      <c r="K254">
        <v>540</v>
      </c>
      <c r="L254">
        <v>4</v>
      </c>
      <c r="M254">
        <v>0</v>
      </c>
      <c r="N254">
        <v>2</v>
      </c>
      <c r="O254">
        <v>2</v>
      </c>
      <c r="P254">
        <v>265</v>
      </c>
      <c r="Q254" s="3">
        <v>0.76923076923076905</v>
      </c>
      <c r="R254">
        <v>1</v>
      </c>
      <c r="S254">
        <v>0</v>
      </c>
      <c r="U254">
        <v>-7.5195652173912997</v>
      </c>
      <c r="V254">
        <v>-1.25</v>
      </c>
      <c r="W254">
        <v>-5.8695652173913002</v>
      </c>
      <c r="X254">
        <v>-0.8</v>
      </c>
      <c r="Y254">
        <v>0</v>
      </c>
      <c r="Z254">
        <v>0.4</v>
      </c>
      <c r="AA254">
        <v>0</v>
      </c>
    </row>
    <row r="255" spans="3:27" x14ac:dyDescent="0.2">
      <c r="C255" t="s">
        <v>21</v>
      </c>
      <c r="D255" t="s">
        <v>752</v>
      </c>
      <c r="E255">
        <v>140</v>
      </c>
      <c r="F255">
        <v>0</v>
      </c>
      <c r="G255">
        <v>8</v>
      </c>
      <c r="H255">
        <v>1</v>
      </c>
      <c r="I255">
        <v>0</v>
      </c>
      <c r="J255">
        <v>15</v>
      </c>
      <c r="K255">
        <v>290</v>
      </c>
      <c r="L255">
        <v>14</v>
      </c>
      <c r="M255">
        <v>0</v>
      </c>
      <c r="N255">
        <v>9</v>
      </c>
      <c r="O255">
        <v>1</v>
      </c>
      <c r="P255">
        <v>149</v>
      </c>
      <c r="Q255" s="3">
        <v>0.71428571428571397</v>
      </c>
      <c r="R255">
        <v>0</v>
      </c>
      <c r="S255">
        <v>0</v>
      </c>
      <c r="U255">
        <v>-6.8021739130434797</v>
      </c>
      <c r="V255">
        <v>-0.25</v>
      </c>
      <c r="W255">
        <v>-3.1521739130434798</v>
      </c>
      <c r="X255">
        <v>-3.6</v>
      </c>
      <c r="Y255">
        <v>0</v>
      </c>
      <c r="Z255">
        <v>0.2</v>
      </c>
      <c r="AA255">
        <v>0</v>
      </c>
    </row>
    <row r="256" spans="3:27" x14ac:dyDescent="0.2">
      <c r="C256" t="s">
        <v>21</v>
      </c>
      <c r="D256" t="s">
        <v>757</v>
      </c>
      <c r="E256">
        <v>1200</v>
      </c>
      <c r="F256">
        <v>0</v>
      </c>
      <c r="G256">
        <v>98</v>
      </c>
      <c r="H256">
        <v>16</v>
      </c>
      <c r="I256">
        <v>0</v>
      </c>
      <c r="J256">
        <v>80</v>
      </c>
      <c r="K256">
        <v>1010</v>
      </c>
      <c r="L256">
        <v>65</v>
      </c>
      <c r="M256">
        <v>8</v>
      </c>
      <c r="N256">
        <v>12</v>
      </c>
      <c r="O256">
        <v>8</v>
      </c>
      <c r="P256">
        <v>1220</v>
      </c>
      <c r="Q256" s="3">
        <v>0.66666666666666696</v>
      </c>
      <c r="R256">
        <v>1</v>
      </c>
      <c r="S256">
        <v>0</v>
      </c>
      <c r="U256">
        <v>-15.321118012422399</v>
      </c>
      <c r="V256">
        <v>-4</v>
      </c>
      <c r="W256">
        <v>-10.978260869565201</v>
      </c>
      <c r="X256">
        <v>-4.8</v>
      </c>
      <c r="Y256">
        <v>0</v>
      </c>
      <c r="Z256">
        <v>1.6</v>
      </c>
      <c r="AA256">
        <v>2.8571428571428599</v>
      </c>
    </row>
    <row r="257" spans="3:27" x14ac:dyDescent="0.2">
      <c r="C257" t="s">
        <v>21</v>
      </c>
      <c r="D257" t="s">
        <v>758</v>
      </c>
      <c r="E257">
        <v>640</v>
      </c>
      <c r="F257">
        <v>0</v>
      </c>
      <c r="G257">
        <v>46</v>
      </c>
      <c r="H257">
        <v>7</v>
      </c>
      <c r="I257">
        <v>0</v>
      </c>
      <c r="J257">
        <v>15</v>
      </c>
      <c r="K257">
        <v>670</v>
      </c>
      <c r="L257">
        <v>54</v>
      </c>
      <c r="M257">
        <v>14</v>
      </c>
      <c r="N257">
        <v>37</v>
      </c>
      <c r="O257">
        <v>4</v>
      </c>
      <c r="P257">
        <v>680</v>
      </c>
      <c r="Q257" s="3">
        <v>0.625</v>
      </c>
      <c r="R257">
        <v>1</v>
      </c>
      <c r="S257">
        <v>0</v>
      </c>
      <c r="U257">
        <v>-18.0326086956522</v>
      </c>
      <c r="V257">
        <v>-1.75</v>
      </c>
      <c r="W257">
        <v>-7.2826086956521703</v>
      </c>
      <c r="X257">
        <v>-14.8</v>
      </c>
      <c r="Y257">
        <v>0</v>
      </c>
      <c r="Z257">
        <v>0.8</v>
      </c>
      <c r="AA257">
        <v>5</v>
      </c>
    </row>
    <row r="258" spans="3:27" x14ac:dyDescent="0.2">
      <c r="C258" t="s">
        <v>21</v>
      </c>
      <c r="D258" t="s">
        <v>759</v>
      </c>
      <c r="E258">
        <v>480</v>
      </c>
      <c r="F258">
        <v>0</v>
      </c>
      <c r="G258">
        <v>28</v>
      </c>
      <c r="H258">
        <v>3.5</v>
      </c>
      <c r="I258">
        <v>0</v>
      </c>
      <c r="J258">
        <v>55</v>
      </c>
      <c r="K258">
        <v>990</v>
      </c>
      <c r="L258">
        <v>50</v>
      </c>
      <c r="M258">
        <v>0</v>
      </c>
      <c r="N258">
        <v>30</v>
      </c>
      <c r="O258">
        <v>3</v>
      </c>
      <c r="P258">
        <v>510.5</v>
      </c>
      <c r="Q258" s="3">
        <v>0.625</v>
      </c>
      <c r="R258">
        <v>1</v>
      </c>
      <c r="S258">
        <v>0</v>
      </c>
      <c r="U258">
        <v>-23.0358695652174</v>
      </c>
      <c r="V258">
        <v>-0.875</v>
      </c>
      <c r="W258">
        <v>-10.7608695652174</v>
      </c>
      <c r="X258">
        <v>-12</v>
      </c>
      <c r="Y258">
        <v>0</v>
      </c>
      <c r="Z258">
        <v>0.6</v>
      </c>
      <c r="AA258">
        <v>0</v>
      </c>
    </row>
    <row r="259" spans="3:27" x14ac:dyDescent="0.2">
      <c r="C259" t="s">
        <v>21</v>
      </c>
      <c r="D259" t="s">
        <v>762</v>
      </c>
      <c r="E259">
        <v>170</v>
      </c>
      <c r="F259">
        <v>0</v>
      </c>
      <c r="G259">
        <v>12</v>
      </c>
      <c r="H259">
        <v>2</v>
      </c>
      <c r="I259">
        <v>0</v>
      </c>
      <c r="J259">
        <v>0</v>
      </c>
      <c r="K259">
        <v>180</v>
      </c>
      <c r="L259">
        <v>14</v>
      </c>
      <c r="M259">
        <v>4</v>
      </c>
      <c r="N259">
        <v>10</v>
      </c>
      <c r="O259">
        <v>1</v>
      </c>
      <c r="P259">
        <v>181</v>
      </c>
      <c r="Q259" s="3">
        <v>0.58823529411764697</v>
      </c>
      <c r="R259">
        <v>0</v>
      </c>
      <c r="S259">
        <v>0</v>
      </c>
      <c r="U259">
        <v>-4.82795031055901</v>
      </c>
      <c r="V259">
        <v>-0.5</v>
      </c>
      <c r="W259">
        <v>-1.9565217391304399</v>
      </c>
      <c r="X259">
        <v>-4</v>
      </c>
      <c r="Y259">
        <v>0</v>
      </c>
      <c r="Z259">
        <v>0.2</v>
      </c>
      <c r="AA259">
        <v>1.4285714285714299</v>
      </c>
    </row>
    <row r="260" spans="3:27" x14ac:dyDescent="0.2">
      <c r="C260" t="s">
        <v>21</v>
      </c>
      <c r="D260" t="s">
        <v>763</v>
      </c>
      <c r="E260">
        <v>340</v>
      </c>
      <c r="F260">
        <v>0</v>
      </c>
      <c r="G260">
        <v>28</v>
      </c>
      <c r="H260">
        <v>4.5</v>
      </c>
      <c r="I260">
        <v>0</v>
      </c>
      <c r="J260">
        <v>25</v>
      </c>
      <c r="K260">
        <v>290</v>
      </c>
      <c r="L260">
        <v>19</v>
      </c>
      <c r="M260">
        <v>2</v>
      </c>
      <c r="N260">
        <v>3</v>
      </c>
      <c r="O260">
        <v>2</v>
      </c>
      <c r="P260">
        <v>345.5</v>
      </c>
      <c r="Q260" s="3">
        <v>0.58823529411764697</v>
      </c>
      <c r="R260">
        <v>0</v>
      </c>
      <c r="S260">
        <v>0</v>
      </c>
      <c r="U260">
        <v>-4.3628881987577603</v>
      </c>
      <c r="V260">
        <v>-1.125</v>
      </c>
      <c r="W260">
        <v>-3.1521739130434798</v>
      </c>
      <c r="X260">
        <v>-1.2</v>
      </c>
      <c r="Y260">
        <v>0</v>
      </c>
      <c r="Z260">
        <v>0.4</v>
      </c>
      <c r="AA260">
        <v>0.71428571428571397</v>
      </c>
    </row>
    <row r="261" spans="3:27" x14ac:dyDescent="0.2">
      <c r="C261" t="s">
        <v>21</v>
      </c>
      <c r="D261" t="s">
        <v>941</v>
      </c>
      <c r="E261">
        <v>160</v>
      </c>
      <c r="F261">
        <v>0</v>
      </c>
      <c r="G261">
        <v>17</v>
      </c>
      <c r="H261">
        <v>2</v>
      </c>
      <c r="I261">
        <v>0</v>
      </c>
      <c r="J261">
        <v>10</v>
      </c>
      <c r="K261">
        <v>220</v>
      </c>
      <c r="L261">
        <v>1</v>
      </c>
      <c r="M261">
        <v>0</v>
      </c>
      <c r="N261">
        <v>1</v>
      </c>
      <c r="O261">
        <v>0</v>
      </c>
      <c r="P261">
        <v>163</v>
      </c>
      <c r="Q261" s="3">
        <v>0</v>
      </c>
      <c r="R261">
        <v>0</v>
      </c>
      <c r="S261">
        <v>0</v>
      </c>
      <c r="U261">
        <v>-3.2913043478260899</v>
      </c>
      <c r="V261">
        <v>-0.5</v>
      </c>
      <c r="W261">
        <v>-2.39130434782609</v>
      </c>
      <c r="X261">
        <v>-0.4</v>
      </c>
      <c r="Y261">
        <v>0</v>
      </c>
      <c r="Z261">
        <v>0</v>
      </c>
      <c r="AA261">
        <v>0</v>
      </c>
    </row>
    <row r="262" spans="3:27" x14ac:dyDescent="0.2">
      <c r="C262" t="s">
        <v>21</v>
      </c>
      <c r="D262" t="s">
        <v>942</v>
      </c>
      <c r="E262">
        <v>15</v>
      </c>
      <c r="F262">
        <v>0</v>
      </c>
      <c r="G262">
        <v>0.5</v>
      </c>
      <c r="H262">
        <v>0</v>
      </c>
      <c r="I262">
        <v>0</v>
      </c>
      <c r="J262">
        <v>0</v>
      </c>
      <c r="K262">
        <v>510</v>
      </c>
      <c r="L262">
        <v>2</v>
      </c>
      <c r="M262">
        <v>0</v>
      </c>
      <c r="N262">
        <v>1</v>
      </c>
      <c r="O262">
        <v>0</v>
      </c>
      <c r="P262">
        <v>16</v>
      </c>
      <c r="Q262" s="3">
        <v>0</v>
      </c>
      <c r="R262">
        <v>1</v>
      </c>
      <c r="S262">
        <v>0</v>
      </c>
      <c r="U262">
        <v>-5.9434782608695702</v>
      </c>
      <c r="V262">
        <v>0</v>
      </c>
      <c r="W262">
        <v>-5.5434782608695699</v>
      </c>
      <c r="X262">
        <v>-0.4</v>
      </c>
      <c r="Y262">
        <v>0</v>
      </c>
      <c r="Z262">
        <v>0</v>
      </c>
      <c r="AA262">
        <v>0</v>
      </c>
    </row>
    <row r="263" spans="3:27" x14ac:dyDescent="0.2">
      <c r="C263" t="s">
        <v>21</v>
      </c>
      <c r="D263" t="s">
        <v>943</v>
      </c>
      <c r="E263">
        <v>45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150</v>
      </c>
      <c r="L263">
        <v>11</v>
      </c>
      <c r="M263">
        <v>0</v>
      </c>
      <c r="N263">
        <v>11</v>
      </c>
      <c r="O263">
        <v>0</v>
      </c>
      <c r="P263">
        <v>56</v>
      </c>
      <c r="Q263" s="3">
        <v>0</v>
      </c>
      <c r="R263">
        <v>0</v>
      </c>
      <c r="S263">
        <v>0</v>
      </c>
      <c r="U263">
        <v>-6.0304347826087001</v>
      </c>
      <c r="V263">
        <v>0</v>
      </c>
      <c r="W263">
        <v>-1.6304347826087</v>
      </c>
      <c r="X263">
        <v>-4.4000000000000004</v>
      </c>
      <c r="Y263">
        <v>0</v>
      </c>
      <c r="Z263">
        <v>0</v>
      </c>
      <c r="AA263">
        <v>0</v>
      </c>
    </row>
    <row r="264" spans="3:27" x14ac:dyDescent="0.2">
      <c r="C264" t="s">
        <v>21</v>
      </c>
      <c r="D264" t="s">
        <v>944</v>
      </c>
      <c r="E264">
        <v>35</v>
      </c>
      <c r="F264">
        <v>0</v>
      </c>
      <c r="G264">
        <v>4</v>
      </c>
      <c r="H264">
        <v>1.5</v>
      </c>
      <c r="I264">
        <v>0</v>
      </c>
      <c r="J264">
        <v>0</v>
      </c>
      <c r="K264">
        <v>35</v>
      </c>
      <c r="L264">
        <v>0</v>
      </c>
      <c r="M264">
        <v>0</v>
      </c>
      <c r="N264">
        <v>0</v>
      </c>
      <c r="O264">
        <v>0</v>
      </c>
      <c r="P264">
        <v>36.5</v>
      </c>
      <c r="Q264" s="3">
        <v>0</v>
      </c>
      <c r="R264">
        <v>0</v>
      </c>
      <c r="S264">
        <v>0</v>
      </c>
      <c r="U264">
        <v>-0.75543478260869601</v>
      </c>
      <c r="V264">
        <v>-0.375</v>
      </c>
      <c r="W264">
        <v>-0.38043478260869601</v>
      </c>
      <c r="X264">
        <v>0</v>
      </c>
      <c r="Y264">
        <v>0</v>
      </c>
      <c r="Z264">
        <v>0</v>
      </c>
      <c r="AA264">
        <v>0</v>
      </c>
    </row>
    <row r="265" spans="3:27" x14ac:dyDescent="0.2">
      <c r="C265" t="s">
        <v>21</v>
      </c>
      <c r="D265" t="s">
        <v>945</v>
      </c>
      <c r="E265">
        <v>35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10</v>
      </c>
      <c r="L265">
        <v>9</v>
      </c>
      <c r="M265">
        <v>0</v>
      </c>
      <c r="N265">
        <v>7</v>
      </c>
      <c r="O265">
        <v>0</v>
      </c>
      <c r="P265">
        <v>42</v>
      </c>
      <c r="Q265" s="3">
        <v>0</v>
      </c>
      <c r="R265">
        <v>0</v>
      </c>
      <c r="S265">
        <v>0</v>
      </c>
      <c r="U265">
        <v>-2.9086956521739098</v>
      </c>
      <c r="V265">
        <v>0</v>
      </c>
      <c r="W265">
        <v>-0.108695652173913</v>
      </c>
      <c r="X265">
        <v>-2.8</v>
      </c>
      <c r="Y265">
        <v>0</v>
      </c>
      <c r="Z265">
        <v>0</v>
      </c>
      <c r="AA265">
        <v>0</v>
      </c>
    </row>
    <row r="266" spans="3:27" x14ac:dyDescent="0.2">
      <c r="C266" t="s">
        <v>21</v>
      </c>
      <c r="D266" t="s">
        <v>946</v>
      </c>
      <c r="E266">
        <v>110</v>
      </c>
      <c r="F266">
        <v>0</v>
      </c>
      <c r="G266">
        <v>9</v>
      </c>
      <c r="H266">
        <v>1.5</v>
      </c>
      <c r="I266">
        <v>0</v>
      </c>
      <c r="J266">
        <v>0</v>
      </c>
      <c r="K266">
        <v>120</v>
      </c>
      <c r="L266">
        <v>6</v>
      </c>
      <c r="M266">
        <v>0</v>
      </c>
      <c r="N266">
        <v>6</v>
      </c>
      <c r="O266">
        <v>0</v>
      </c>
      <c r="P266">
        <v>117.5</v>
      </c>
      <c r="Q266" s="3">
        <v>0</v>
      </c>
      <c r="R266">
        <v>0</v>
      </c>
      <c r="S266">
        <v>0</v>
      </c>
      <c r="U266">
        <v>-4.07934782608696</v>
      </c>
      <c r="V266">
        <v>-0.375</v>
      </c>
      <c r="W266">
        <v>-1.3043478260869601</v>
      </c>
      <c r="X266">
        <v>-2.4</v>
      </c>
      <c r="Y266">
        <v>0</v>
      </c>
      <c r="Z266">
        <v>0</v>
      </c>
      <c r="AA266">
        <v>0</v>
      </c>
    </row>
    <row r="267" spans="3:27" x14ac:dyDescent="0.2">
      <c r="C267" t="s">
        <v>21</v>
      </c>
      <c r="D267" t="s">
        <v>947</v>
      </c>
      <c r="E267">
        <v>30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8</v>
      </c>
      <c r="M267">
        <v>0</v>
      </c>
      <c r="N267">
        <v>5</v>
      </c>
      <c r="O267">
        <v>0</v>
      </c>
      <c r="P267">
        <v>35</v>
      </c>
      <c r="Q267" s="3">
        <v>0</v>
      </c>
      <c r="R267">
        <v>0</v>
      </c>
      <c r="S267">
        <v>0</v>
      </c>
      <c r="U267">
        <v>-2</v>
      </c>
      <c r="V267">
        <v>0</v>
      </c>
      <c r="W267">
        <v>0</v>
      </c>
      <c r="X267">
        <v>-2</v>
      </c>
      <c r="Y267">
        <v>0</v>
      </c>
      <c r="Z267">
        <v>0</v>
      </c>
      <c r="AA267">
        <v>0</v>
      </c>
    </row>
    <row r="268" spans="3:27" x14ac:dyDescent="0.2">
      <c r="C268" t="s">
        <v>21</v>
      </c>
      <c r="D268" t="s">
        <v>948</v>
      </c>
      <c r="E268">
        <v>30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250</v>
      </c>
      <c r="L268">
        <v>8</v>
      </c>
      <c r="M268">
        <v>0</v>
      </c>
      <c r="N268">
        <v>6</v>
      </c>
      <c r="O268">
        <v>0</v>
      </c>
      <c r="P268">
        <v>36</v>
      </c>
      <c r="Q268" s="3">
        <v>0</v>
      </c>
      <c r="R268">
        <v>0</v>
      </c>
      <c r="S268">
        <v>0</v>
      </c>
      <c r="U268">
        <v>-5.1173913043478301</v>
      </c>
      <c r="V268">
        <v>0</v>
      </c>
      <c r="W268">
        <v>-2.7173913043478302</v>
      </c>
      <c r="X268">
        <v>-2.4</v>
      </c>
      <c r="Y268">
        <v>0</v>
      </c>
      <c r="Z268">
        <v>0</v>
      </c>
      <c r="AA268">
        <v>0</v>
      </c>
    </row>
    <row r="269" spans="3:27" x14ac:dyDescent="0.2">
      <c r="C269" t="s">
        <v>21</v>
      </c>
      <c r="D269" t="s">
        <v>949</v>
      </c>
      <c r="E269">
        <v>90</v>
      </c>
      <c r="F269">
        <v>0</v>
      </c>
      <c r="G269">
        <v>8</v>
      </c>
      <c r="H269">
        <v>1.5</v>
      </c>
      <c r="I269">
        <v>0</v>
      </c>
      <c r="J269">
        <v>10</v>
      </c>
      <c r="K269">
        <v>170</v>
      </c>
      <c r="L269">
        <v>5</v>
      </c>
      <c r="M269">
        <v>0</v>
      </c>
      <c r="N269">
        <v>5</v>
      </c>
      <c r="O269">
        <v>0</v>
      </c>
      <c r="P269">
        <v>96.5</v>
      </c>
      <c r="Q269" s="3">
        <v>0</v>
      </c>
      <c r="R269">
        <v>0</v>
      </c>
      <c r="S269">
        <v>0</v>
      </c>
      <c r="U269">
        <v>-4.2228260869565197</v>
      </c>
      <c r="V269">
        <v>-0.375</v>
      </c>
      <c r="W269">
        <v>-1.84782608695652</v>
      </c>
      <c r="X269">
        <v>-2</v>
      </c>
      <c r="Y269">
        <v>0</v>
      </c>
      <c r="Z269">
        <v>0</v>
      </c>
      <c r="AA269">
        <v>0</v>
      </c>
    </row>
    <row r="270" spans="3:27" x14ac:dyDescent="0.2">
      <c r="C270" t="s">
        <v>21</v>
      </c>
      <c r="D270" t="s">
        <v>950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20</v>
      </c>
      <c r="L270">
        <v>1</v>
      </c>
      <c r="M270">
        <v>0</v>
      </c>
      <c r="N270">
        <v>0</v>
      </c>
      <c r="O270">
        <v>0</v>
      </c>
      <c r="P270">
        <v>5</v>
      </c>
      <c r="Q270" s="3">
        <v>0</v>
      </c>
      <c r="R270">
        <v>0</v>
      </c>
      <c r="S270">
        <v>0</v>
      </c>
      <c r="U270">
        <v>-0.217391304347826</v>
      </c>
      <c r="V270">
        <v>0</v>
      </c>
      <c r="W270">
        <v>-0.217391304347826</v>
      </c>
      <c r="X270">
        <v>0</v>
      </c>
      <c r="Y270">
        <v>0</v>
      </c>
      <c r="Z270">
        <v>0</v>
      </c>
      <c r="AA270">
        <v>0</v>
      </c>
    </row>
    <row r="271" spans="3:27" x14ac:dyDescent="0.2">
      <c r="C271" t="s">
        <v>21</v>
      </c>
      <c r="D271" t="s">
        <v>951</v>
      </c>
      <c r="E271">
        <v>130</v>
      </c>
      <c r="F271">
        <v>0</v>
      </c>
      <c r="G271">
        <v>14</v>
      </c>
      <c r="H271">
        <v>2.5</v>
      </c>
      <c r="I271">
        <v>0</v>
      </c>
      <c r="J271">
        <v>10</v>
      </c>
      <c r="K271">
        <v>240</v>
      </c>
      <c r="L271">
        <v>2</v>
      </c>
      <c r="M271">
        <v>0</v>
      </c>
      <c r="N271">
        <v>1</v>
      </c>
      <c r="O271">
        <v>0</v>
      </c>
      <c r="P271">
        <v>133.5</v>
      </c>
      <c r="Q271" s="3">
        <v>0</v>
      </c>
      <c r="R271">
        <v>0</v>
      </c>
      <c r="S271">
        <v>0</v>
      </c>
      <c r="U271">
        <v>-3.6336956521739099</v>
      </c>
      <c r="V271">
        <v>-0.625</v>
      </c>
      <c r="W271">
        <v>-2.60869565217391</v>
      </c>
      <c r="X271">
        <v>-0.4</v>
      </c>
      <c r="Y271">
        <v>0</v>
      </c>
      <c r="Z271">
        <v>0</v>
      </c>
      <c r="AA271">
        <v>0</v>
      </c>
    </row>
    <row r="272" spans="3:27" x14ac:dyDescent="0.2">
      <c r="C272" t="s">
        <v>21</v>
      </c>
      <c r="D272" t="s">
        <v>952</v>
      </c>
      <c r="E272">
        <v>35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9</v>
      </c>
      <c r="M272">
        <v>0</v>
      </c>
      <c r="N272">
        <v>6</v>
      </c>
      <c r="O272">
        <v>0</v>
      </c>
      <c r="P272">
        <v>41</v>
      </c>
      <c r="Q272" s="3">
        <v>0</v>
      </c>
      <c r="R272">
        <v>0</v>
      </c>
      <c r="S272">
        <v>0</v>
      </c>
      <c r="U272">
        <v>-2.4</v>
      </c>
      <c r="V272">
        <v>0</v>
      </c>
      <c r="W272">
        <v>0</v>
      </c>
      <c r="X272">
        <v>-2.4</v>
      </c>
      <c r="Y272">
        <v>0</v>
      </c>
      <c r="Z272">
        <v>0</v>
      </c>
      <c r="AA272">
        <v>0</v>
      </c>
    </row>
    <row r="273" spans="3:27" x14ac:dyDescent="0.2">
      <c r="C273" t="s">
        <v>21</v>
      </c>
      <c r="D273" t="s">
        <v>953</v>
      </c>
      <c r="E273">
        <v>80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25</v>
      </c>
      <c r="L273">
        <v>21</v>
      </c>
      <c r="M273">
        <v>0</v>
      </c>
      <c r="N273">
        <v>20</v>
      </c>
      <c r="O273">
        <v>0</v>
      </c>
      <c r="P273">
        <v>100</v>
      </c>
      <c r="Q273" s="3">
        <v>0</v>
      </c>
      <c r="R273">
        <v>0</v>
      </c>
      <c r="S273">
        <v>0</v>
      </c>
      <c r="U273">
        <v>-8.2717391304347796</v>
      </c>
      <c r="V273">
        <v>0</v>
      </c>
      <c r="W273">
        <v>-0.27173913043478298</v>
      </c>
      <c r="X273">
        <v>-8</v>
      </c>
      <c r="Y273">
        <v>0</v>
      </c>
      <c r="Z273">
        <v>0</v>
      </c>
      <c r="AA273">
        <v>0</v>
      </c>
    </row>
    <row r="274" spans="3:27" x14ac:dyDescent="0.2">
      <c r="C274" t="s">
        <v>21</v>
      </c>
      <c r="D274" t="s">
        <v>954</v>
      </c>
      <c r="E274">
        <v>45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12</v>
      </c>
      <c r="M274">
        <v>1</v>
      </c>
      <c r="N274">
        <v>8</v>
      </c>
      <c r="O274">
        <v>0</v>
      </c>
      <c r="P274">
        <v>53</v>
      </c>
      <c r="Q274" s="3">
        <v>0</v>
      </c>
      <c r="R274">
        <v>0</v>
      </c>
      <c r="S274">
        <v>0</v>
      </c>
      <c r="U274">
        <v>-2.8428571428571399</v>
      </c>
      <c r="V274">
        <v>0</v>
      </c>
      <c r="W274">
        <v>0</v>
      </c>
      <c r="X274">
        <v>-3.2</v>
      </c>
      <c r="Y274">
        <v>0</v>
      </c>
      <c r="Z274">
        <v>0</v>
      </c>
      <c r="AA274">
        <v>0.35714285714285698</v>
      </c>
    </row>
    <row r="275" spans="3:27" x14ac:dyDescent="0.2">
      <c r="C275" t="s">
        <v>21</v>
      </c>
      <c r="D275" t="s">
        <v>955</v>
      </c>
      <c r="E275">
        <v>140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50</v>
      </c>
      <c r="L275">
        <v>35</v>
      </c>
      <c r="M275">
        <v>0</v>
      </c>
      <c r="N275">
        <v>35</v>
      </c>
      <c r="O275">
        <v>0</v>
      </c>
      <c r="P275">
        <v>175</v>
      </c>
      <c r="Q275" s="3">
        <v>0</v>
      </c>
      <c r="R275">
        <v>0</v>
      </c>
      <c r="S275">
        <v>0</v>
      </c>
      <c r="U275">
        <v>-14.5434782608696</v>
      </c>
      <c r="V275">
        <v>0</v>
      </c>
      <c r="W275">
        <v>-0.54347826086956497</v>
      </c>
      <c r="X275">
        <v>-14</v>
      </c>
      <c r="Y275">
        <v>0</v>
      </c>
      <c r="Z275">
        <v>0</v>
      </c>
      <c r="AA275">
        <v>0</v>
      </c>
    </row>
    <row r="276" spans="3:27" x14ac:dyDescent="0.2">
      <c r="C276" t="s">
        <v>21</v>
      </c>
      <c r="D276" t="s">
        <v>956</v>
      </c>
      <c r="E276">
        <v>190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70</v>
      </c>
      <c r="L276">
        <v>46</v>
      </c>
      <c r="M276">
        <v>0</v>
      </c>
      <c r="N276">
        <v>46</v>
      </c>
      <c r="O276">
        <v>0</v>
      </c>
      <c r="P276">
        <v>236</v>
      </c>
      <c r="Q276" s="3">
        <v>0</v>
      </c>
      <c r="R276">
        <v>0</v>
      </c>
      <c r="S276">
        <v>0</v>
      </c>
      <c r="U276">
        <v>-19.1608695652174</v>
      </c>
      <c r="V276">
        <v>0</v>
      </c>
      <c r="W276">
        <v>-0.76086956521739102</v>
      </c>
      <c r="X276">
        <v>-18.399999999999999</v>
      </c>
      <c r="Y276">
        <v>0</v>
      </c>
      <c r="Z276">
        <v>0</v>
      </c>
      <c r="AA276">
        <v>0</v>
      </c>
    </row>
    <row r="277" spans="3:27" x14ac:dyDescent="0.2">
      <c r="C277" t="s">
        <v>21</v>
      </c>
      <c r="D277" t="s">
        <v>957</v>
      </c>
      <c r="E277">
        <v>240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85</v>
      </c>
      <c r="L277">
        <v>58</v>
      </c>
      <c r="M277">
        <v>0</v>
      </c>
      <c r="N277">
        <v>58</v>
      </c>
      <c r="O277">
        <v>0</v>
      </c>
      <c r="P277">
        <v>298</v>
      </c>
      <c r="Q277" s="3">
        <v>0</v>
      </c>
      <c r="R277">
        <v>0</v>
      </c>
      <c r="S277">
        <v>0</v>
      </c>
      <c r="U277">
        <v>-24.1239130434783</v>
      </c>
      <c r="V277">
        <v>0</v>
      </c>
      <c r="W277">
        <v>-0.92391304347826098</v>
      </c>
      <c r="X277">
        <v>-23.2</v>
      </c>
      <c r="Y277">
        <v>0</v>
      </c>
      <c r="Z277">
        <v>0</v>
      </c>
      <c r="AA277">
        <v>0</v>
      </c>
    </row>
    <row r="278" spans="3:27" x14ac:dyDescent="0.2">
      <c r="C278" t="s">
        <v>21</v>
      </c>
      <c r="D278" t="s">
        <v>958</v>
      </c>
      <c r="E278">
        <v>350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125</v>
      </c>
      <c r="L278">
        <v>87</v>
      </c>
      <c r="M278">
        <v>0</v>
      </c>
      <c r="N278">
        <v>87</v>
      </c>
      <c r="O278">
        <v>0</v>
      </c>
      <c r="P278">
        <v>437</v>
      </c>
      <c r="Q278" s="3">
        <v>0</v>
      </c>
      <c r="R278">
        <v>0</v>
      </c>
      <c r="S278">
        <v>0</v>
      </c>
      <c r="U278">
        <v>-36.158695652173897</v>
      </c>
      <c r="V278">
        <v>0</v>
      </c>
      <c r="W278">
        <v>-1.35869565217391</v>
      </c>
      <c r="X278">
        <v>-34.799999999999997</v>
      </c>
      <c r="Y278">
        <v>0</v>
      </c>
      <c r="Z278">
        <v>0</v>
      </c>
      <c r="AA278">
        <v>0</v>
      </c>
    </row>
    <row r="279" spans="3:27" x14ac:dyDescent="0.2">
      <c r="C279" t="s">
        <v>21</v>
      </c>
      <c r="D279" t="s">
        <v>959</v>
      </c>
      <c r="E279">
        <v>880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780</v>
      </c>
      <c r="L279">
        <v>234</v>
      </c>
      <c r="M279">
        <v>0</v>
      </c>
      <c r="N279">
        <v>228</v>
      </c>
      <c r="O279">
        <v>0</v>
      </c>
      <c r="P279">
        <v>1108</v>
      </c>
      <c r="Q279" s="3">
        <v>0</v>
      </c>
      <c r="R279">
        <v>1</v>
      </c>
      <c r="S279">
        <v>0</v>
      </c>
      <c r="U279">
        <v>-99.678260869565193</v>
      </c>
      <c r="V279">
        <v>0</v>
      </c>
      <c r="W279">
        <v>-8.4782608695652204</v>
      </c>
      <c r="X279">
        <v>-91.2</v>
      </c>
      <c r="Y279">
        <v>0</v>
      </c>
      <c r="Z279">
        <v>0</v>
      </c>
      <c r="AA279">
        <v>0</v>
      </c>
    </row>
    <row r="280" spans="3:27" x14ac:dyDescent="0.2">
      <c r="C280" t="s">
        <v>21</v>
      </c>
      <c r="D280" t="s">
        <v>960</v>
      </c>
      <c r="E280">
        <v>140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130</v>
      </c>
      <c r="L280">
        <v>39</v>
      </c>
      <c r="M280">
        <v>0</v>
      </c>
      <c r="N280">
        <v>38</v>
      </c>
      <c r="O280">
        <v>0</v>
      </c>
      <c r="P280">
        <v>178</v>
      </c>
      <c r="Q280" s="3">
        <v>0</v>
      </c>
      <c r="R280">
        <v>0</v>
      </c>
      <c r="S280">
        <v>0</v>
      </c>
      <c r="U280">
        <v>-16.613043478260899</v>
      </c>
      <c r="V280">
        <v>0</v>
      </c>
      <c r="W280">
        <v>-1.4130434782608701</v>
      </c>
      <c r="X280">
        <v>-15.2</v>
      </c>
      <c r="Y280">
        <v>0</v>
      </c>
      <c r="Z280">
        <v>0</v>
      </c>
      <c r="AA280">
        <v>0</v>
      </c>
    </row>
    <row r="281" spans="3:27" x14ac:dyDescent="0.2">
      <c r="C281" t="s">
        <v>21</v>
      </c>
      <c r="D281" t="s">
        <v>961</v>
      </c>
      <c r="E281">
        <v>170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50</v>
      </c>
      <c r="L281">
        <v>46</v>
      </c>
      <c r="M281">
        <v>0</v>
      </c>
      <c r="N281">
        <v>46</v>
      </c>
      <c r="O281">
        <v>0</v>
      </c>
      <c r="P281">
        <v>216</v>
      </c>
      <c r="Q281" s="3">
        <v>0</v>
      </c>
      <c r="R281">
        <v>0</v>
      </c>
      <c r="S281">
        <v>0</v>
      </c>
      <c r="U281">
        <v>-18.9434782608696</v>
      </c>
      <c r="V281">
        <v>0</v>
      </c>
      <c r="W281">
        <v>-0.54347826086956497</v>
      </c>
      <c r="X281">
        <v>-18.399999999999999</v>
      </c>
      <c r="Y281">
        <v>0</v>
      </c>
      <c r="Z281">
        <v>0</v>
      </c>
      <c r="AA281">
        <v>0</v>
      </c>
    </row>
    <row r="282" spans="3:27" x14ac:dyDescent="0.2">
      <c r="C282" t="s">
        <v>21</v>
      </c>
      <c r="D282" t="s">
        <v>962</v>
      </c>
      <c r="E282">
        <v>230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65</v>
      </c>
      <c r="L282">
        <v>62</v>
      </c>
      <c r="M282">
        <v>0</v>
      </c>
      <c r="N282">
        <v>62</v>
      </c>
      <c r="O282">
        <v>0</v>
      </c>
      <c r="P282">
        <v>292</v>
      </c>
      <c r="Q282" s="3">
        <v>0</v>
      </c>
      <c r="R282">
        <v>0</v>
      </c>
      <c r="S282">
        <v>0</v>
      </c>
      <c r="U282">
        <v>-25.506521739130399</v>
      </c>
      <c r="V282">
        <v>0</v>
      </c>
      <c r="W282">
        <v>-0.70652173913043503</v>
      </c>
      <c r="X282">
        <v>-24.8</v>
      </c>
      <c r="Y282">
        <v>0</v>
      </c>
      <c r="Z282">
        <v>0</v>
      </c>
      <c r="AA282">
        <v>0</v>
      </c>
    </row>
    <row r="283" spans="3:27" x14ac:dyDescent="0.2">
      <c r="C283" t="s">
        <v>21</v>
      </c>
      <c r="D283" t="s">
        <v>963</v>
      </c>
      <c r="E283">
        <v>290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85</v>
      </c>
      <c r="L283">
        <v>77</v>
      </c>
      <c r="M283">
        <v>0</v>
      </c>
      <c r="N283">
        <v>77</v>
      </c>
      <c r="O283">
        <v>0</v>
      </c>
      <c r="P283">
        <v>367</v>
      </c>
      <c r="Q283" s="3">
        <v>0</v>
      </c>
      <c r="R283">
        <v>0</v>
      </c>
      <c r="S283">
        <v>0</v>
      </c>
      <c r="U283">
        <v>-31.723913043478301</v>
      </c>
      <c r="V283">
        <v>0</v>
      </c>
      <c r="W283">
        <v>-0.92391304347826098</v>
      </c>
      <c r="X283">
        <v>-30.8</v>
      </c>
      <c r="Y283">
        <v>0</v>
      </c>
      <c r="Z283">
        <v>0</v>
      </c>
      <c r="AA283">
        <v>0</v>
      </c>
    </row>
    <row r="284" spans="3:27" x14ac:dyDescent="0.2">
      <c r="C284" t="s">
        <v>21</v>
      </c>
      <c r="D284" t="s">
        <v>964</v>
      </c>
      <c r="E284">
        <v>430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125</v>
      </c>
      <c r="L284">
        <v>116</v>
      </c>
      <c r="M284">
        <v>0</v>
      </c>
      <c r="N284">
        <v>115</v>
      </c>
      <c r="O284">
        <v>0</v>
      </c>
      <c r="P284">
        <v>545</v>
      </c>
      <c r="Q284" s="3">
        <v>0</v>
      </c>
      <c r="R284">
        <v>0</v>
      </c>
      <c r="S284">
        <v>0</v>
      </c>
      <c r="U284">
        <v>-47.3586956521739</v>
      </c>
      <c r="V284">
        <v>0</v>
      </c>
      <c r="W284">
        <v>-1.35869565217391</v>
      </c>
      <c r="X284">
        <v>-46</v>
      </c>
      <c r="Y284">
        <v>0</v>
      </c>
      <c r="Z284">
        <v>0</v>
      </c>
      <c r="AA284">
        <v>0</v>
      </c>
    </row>
    <row r="285" spans="3:27" x14ac:dyDescent="0.2">
      <c r="C285" t="s">
        <v>21</v>
      </c>
      <c r="D285" t="s">
        <v>973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55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>
        <v>-0.59782608695652195</v>
      </c>
      <c r="V285">
        <v>0</v>
      </c>
      <c r="W285">
        <v>-0.59782608695652195</v>
      </c>
      <c r="X285">
        <v>0</v>
      </c>
      <c r="Y285">
        <v>0</v>
      </c>
      <c r="Z285">
        <v>0</v>
      </c>
      <c r="AA285">
        <v>0</v>
      </c>
    </row>
    <row r="286" spans="3:27" x14ac:dyDescent="0.2">
      <c r="C286" t="s">
        <v>21</v>
      </c>
      <c r="D286" t="s">
        <v>974</v>
      </c>
      <c r="E286">
        <v>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75</v>
      </c>
      <c r="L286">
        <v>1</v>
      </c>
      <c r="M286">
        <v>0</v>
      </c>
      <c r="N286">
        <v>0</v>
      </c>
      <c r="O286">
        <v>0</v>
      </c>
      <c r="P286">
        <v>5</v>
      </c>
      <c r="Q286" s="3">
        <v>0</v>
      </c>
      <c r="R286">
        <v>0</v>
      </c>
      <c r="S286">
        <v>0</v>
      </c>
      <c r="U286">
        <v>-0.815217391304348</v>
      </c>
      <c r="V286">
        <v>0</v>
      </c>
      <c r="W286">
        <v>-0.815217391304348</v>
      </c>
      <c r="X286">
        <v>0</v>
      </c>
      <c r="Y286">
        <v>0</v>
      </c>
      <c r="Z286">
        <v>0</v>
      </c>
      <c r="AA286">
        <v>0</v>
      </c>
    </row>
    <row r="287" spans="3:27" x14ac:dyDescent="0.2">
      <c r="C287" t="s">
        <v>21</v>
      </c>
      <c r="D287" t="s">
        <v>975</v>
      </c>
      <c r="E287">
        <v>10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90</v>
      </c>
      <c r="L287">
        <v>1</v>
      </c>
      <c r="M287">
        <v>0</v>
      </c>
      <c r="N287">
        <v>1</v>
      </c>
      <c r="O287">
        <v>0</v>
      </c>
      <c r="P287">
        <v>11</v>
      </c>
      <c r="Q287" s="3">
        <v>0</v>
      </c>
      <c r="R287">
        <v>0</v>
      </c>
      <c r="S287">
        <v>0</v>
      </c>
      <c r="U287">
        <v>-1.3782608695652201</v>
      </c>
      <c r="V287">
        <v>0</v>
      </c>
      <c r="W287">
        <v>-0.97826086956521796</v>
      </c>
      <c r="X287">
        <v>-0.4</v>
      </c>
      <c r="Y287">
        <v>0</v>
      </c>
      <c r="Z287">
        <v>0</v>
      </c>
      <c r="AA287">
        <v>0</v>
      </c>
    </row>
    <row r="288" spans="3:27" x14ac:dyDescent="0.2">
      <c r="C288" t="s">
        <v>21</v>
      </c>
      <c r="D288" t="s">
        <v>976</v>
      </c>
      <c r="E288">
        <v>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140</v>
      </c>
      <c r="L288">
        <v>1</v>
      </c>
      <c r="M288">
        <v>0</v>
      </c>
      <c r="N288">
        <v>1</v>
      </c>
      <c r="O288">
        <v>0</v>
      </c>
      <c r="P288">
        <v>11</v>
      </c>
      <c r="Q288" s="3">
        <v>0</v>
      </c>
      <c r="R288">
        <v>0</v>
      </c>
      <c r="S288">
        <v>0</v>
      </c>
      <c r="U288">
        <v>-1.92173913043478</v>
      </c>
      <c r="V288">
        <v>0</v>
      </c>
      <c r="W288">
        <v>-1.52173913043478</v>
      </c>
      <c r="X288">
        <v>-0.4</v>
      </c>
      <c r="Y288">
        <v>0</v>
      </c>
      <c r="Z288">
        <v>0</v>
      </c>
      <c r="AA288">
        <v>0</v>
      </c>
    </row>
    <row r="289" spans="3:27" x14ac:dyDescent="0.2">
      <c r="C289" t="s">
        <v>21</v>
      </c>
      <c r="D289" t="s">
        <v>985</v>
      </c>
      <c r="E289">
        <v>140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45</v>
      </c>
      <c r="L289">
        <v>39</v>
      </c>
      <c r="M289">
        <v>0</v>
      </c>
      <c r="N289">
        <v>38</v>
      </c>
      <c r="O289">
        <v>0</v>
      </c>
      <c r="P289">
        <v>178</v>
      </c>
      <c r="Q289" s="3">
        <v>0</v>
      </c>
      <c r="R289">
        <v>0</v>
      </c>
      <c r="S289">
        <v>0</v>
      </c>
      <c r="U289">
        <v>-15.6891304347826</v>
      </c>
      <c r="V289">
        <v>0</v>
      </c>
      <c r="W289">
        <v>-0.48913043478260898</v>
      </c>
      <c r="X289">
        <v>-15.2</v>
      </c>
      <c r="Y289">
        <v>0</v>
      </c>
      <c r="Z289">
        <v>0</v>
      </c>
      <c r="AA289">
        <v>0</v>
      </c>
    </row>
    <row r="290" spans="3:27" x14ac:dyDescent="0.2">
      <c r="C290" t="s">
        <v>21</v>
      </c>
      <c r="D290" t="s">
        <v>986</v>
      </c>
      <c r="E290">
        <v>190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60</v>
      </c>
      <c r="L290">
        <v>52</v>
      </c>
      <c r="M290">
        <v>0</v>
      </c>
      <c r="N290">
        <v>51</v>
      </c>
      <c r="O290">
        <v>0</v>
      </c>
      <c r="P290">
        <v>241</v>
      </c>
      <c r="Q290" s="3">
        <v>0</v>
      </c>
      <c r="R290">
        <v>0</v>
      </c>
      <c r="S290">
        <v>0</v>
      </c>
      <c r="U290">
        <v>-21.0521739130435</v>
      </c>
      <c r="V290">
        <v>0</v>
      </c>
      <c r="W290">
        <v>-0.65217391304347805</v>
      </c>
      <c r="X290">
        <v>-20.399999999999999</v>
      </c>
      <c r="Y290">
        <v>0</v>
      </c>
      <c r="Z290">
        <v>0</v>
      </c>
      <c r="AA290">
        <v>0</v>
      </c>
    </row>
    <row r="291" spans="3:27" x14ac:dyDescent="0.2">
      <c r="C291" t="s">
        <v>21</v>
      </c>
      <c r="D291" t="s">
        <v>987</v>
      </c>
      <c r="E291">
        <v>240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75</v>
      </c>
      <c r="L291">
        <v>65</v>
      </c>
      <c r="M291">
        <v>0</v>
      </c>
      <c r="N291">
        <v>64</v>
      </c>
      <c r="O291">
        <v>0</v>
      </c>
      <c r="P291">
        <v>304</v>
      </c>
      <c r="Q291" s="3">
        <v>0</v>
      </c>
      <c r="R291">
        <v>0</v>
      </c>
      <c r="S291">
        <v>0</v>
      </c>
      <c r="U291">
        <v>-26.415217391304299</v>
      </c>
      <c r="V291">
        <v>0</v>
      </c>
      <c r="W291">
        <v>-0.815217391304348</v>
      </c>
      <c r="X291">
        <v>-25.6</v>
      </c>
      <c r="Y291">
        <v>0</v>
      </c>
      <c r="Z291">
        <v>0</v>
      </c>
      <c r="AA291">
        <v>0</v>
      </c>
    </row>
    <row r="292" spans="3:27" x14ac:dyDescent="0.2">
      <c r="C292" t="s">
        <v>21</v>
      </c>
      <c r="D292" t="s">
        <v>988</v>
      </c>
      <c r="E292">
        <v>360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110</v>
      </c>
      <c r="L292">
        <v>98</v>
      </c>
      <c r="M292">
        <v>0</v>
      </c>
      <c r="N292">
        <v>96</v>
      </c>
      <c r="O292">
        <v>0</v>
      </c>
      <c r="P292">
        <v>456</v>
      </c>
      <c r="Q292" s="3">
        <v>0</v>
      </c>
      <c r="R292">
        <v>0</v>
      </c>
      <c r="S292">
        <v>0</v>
      </c>
      <c r="U292">
        <v>-39.595652173913003</v>
      </c>
      <c r="V292">
        <v>0</v>
      </c>
      <c r="W292">
        <v>-1.1956521739130399</v>
      </c>
      <c r="X292">
        <v>-38.4</v>
      </c>
      <c r="Y292">
        <v>0</v>
      </c>
      <c r="Z292">
        <v>0</v>
      </c>
      <c r="AA292">
        <v>0</v>
      </c>
    </row>
    <row r="293" spans="3:27" x14ac:dyDescent="0.2">
      <c r="C293" t="s">
        <v>21</v>
      </c>
      <c r="D293" t="s">
        <v>989</v>
      </c>
      <c r="E293">
        <v>80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40</v>
      </c>
      <c r="L293">
        <v>22</v>
      </c>
      <c r="M293">
        <v>0</v>
      </c>
      <c r="N293">
        <v>22</v>
      </c>
      <c r="O293">
        <v>0</v>
      </c>
      <c r="P293">
        <v>102</v>
      </c>
      <c r="Q293" s="3">
        <v>0</v>
      </c>
      <c r="R293">
        <v>0</v>
      </c>
      <c r="S293">
        <v>0</v>
      </c>
      <c r="U293">
        <v>-9.2347826086956495</v>
      </c>
      <c r="V293">
        <v>0</v>
      </c>
      <c r="W293">
        <v>-0.434782608695652</v>
      </c>
      <c r="X293">
        <v>-8.8000000000000007</v>
      </c>
      <c r="Y293">
        <v>0</v>
      </c>
      <c r="Z293">
        <v>0</v>
      </c>
      <c r="AA293">
        <v>0</v>
      </c>
    </row>
    <row r="294" spans="3:27" x14ac:dyDescent="0.2">
      <c r="C294" t="s">
        <v>21</v>
      </c>
      <c r="D294" t="s">
        <v>990</v>
      </c>
      <c r="E294">
        <v>110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55</v>
      </c>
      <c r="L294">
        <v>29</v>
      </c>
      <c r="M294">
        <v>0</v>
      </c>
      <c r="N294">
        <v>29</v>
      </c>
      <c r="O294">
        <v>0</v>
      </c>
      <c r="P294">
        <v>139</v>
      </c>
      <c r="Q294" s="3">
        <v>0</v>
      </c>
      <c r="R294">
        <v>0</v>
      </c>
      <c r="S294">
        <v>0</v>
      </c>
      <c r="U294">
        <v>-12.1978260869565</v>
      </c>
      <c r="V294">
        <v>0</v>
      </c>
      <c r="W294">
        <v>-0.59782608695652195</v>
      </c>
      <c r="X294">
        <v>-11.6</v>
      </c>
      <c r="Y294">
        <v>0</v>
      </c>
      <c r="Z294">
        <v>0</v>
      </c>
      <c r="AA294">
        <v>0</v>
      </c>
    </row>
    <row r="295" spans="3:27" x14ac:dyDescent="0.2">
      <c r="C295" t="s">
        <v>21</v>
      </c>
      <c r="D295" t="s">
        <v>991</v>
      </c>
      <c r="E295">
        <v>140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70</v>
      </c>
      <c r="L295">
        <v>36</v>
      </c>
      <c r="M295">
        <v>0</v>
      </c>
      <c r="N295">
        <v>36</v>
      </c>
      <c r="O295">
        <v>0</v>
      </c>
      <c r="P295">
        <v>176</v>
      </c>
      <c r="Q295" s="3">
        <v>0</v>
      </c>
      <c r="R295">
        <v>0</v>
      </c>
      <c r="S295">
        <v>0</v>
      </c>
      <c r="U295">
        <v>-15.1608695652174</v>
      </c>
      <c r="V295">
        <v>0</v>
      </c>
      <c r="W295">
        <v>-0.76086956521739102</v>
      </c>
      <c r="X295">
        <v>-14.4</v>
      </c>
      <c r="Y295">
        <v>0</v>
      </c>
      <c r="Z295">
        <v>0</v>
      </c>
      <c r="AA295">
        <v>0</v>
      </c>
    </row>
    <row r="296" spans="3:27" x14ac:dyDescent="0.2">
      <c r="C296" t="s">
        <v>21</v>
      </c>
      <c r="D296" t="s">
        <v>992</v>
      </c>
      <c r="E296">
        <v>210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105</v>
      </c>
      <c r="L296">
        <v>55</v>
      </c>
      <c r="M296">
        <v>0</v>
      </c>
      <c r="N296">
        <v>54</v>
      </c>
      <c r="O296">
        <v>0</v>
      </c>
      <c r="P296">
        <v>264</v>
      </c>
      <c r="Q296" s="3">
        <v>0</v>
      </c>
      <c r="R296">
        <v>0</v>
      </c>
      <c r="S296">
        <v>0</v>
      </c>
      <c r="U296">
        <v>-22.741304347826102</v>
      </c>
      <c r="V296">
        <v>0</v>
      </c>
      <c r="W296">
        <v>-1.14130434782609</v>
      </c>
      <c r="X296">
        <v>-21.6</v>
      </c>
      <c r="Y296">
        <v>0</v>
      </c>
      <c r="Z296">
        <v>0</v>
      </c>
      <c r="AA296">
        <v>0</v>
      </c>
    </row>
    <row r="297" spans="3:27" x14ac:dyDescent="0.2">
      <c r="C297" t="s">
        <v>21</v>
      </c>
      <c r="D297" t="s">
        <v>997</v>
      </c>
      <c r="E297">
        <v>80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45</v>
      </c>
      <c r="L297">
        <v>20</v>
      </c>
      <c r="M297">
        <v>0</v>
      </c>
      <c r="N297">
        <v>20</v>
      </c>
      <c r="O297">
        <v>0</v>
      </c>
      <c r="P297">
        <v>100</v>
      </c>
      <c r="Q297" s="3">
        <v>0</v>
      </c>
      <c r="R297">
        <v>0</v>
      </c>
      <c r="S297">
        <v>0</v>
      </c>
      <c r="U297">
        <v>-8.4891304347826093</v>
      </c>
      <c r="V297">
        <v>0</v>
      </c>
      <c r="W297">
        <v>-0.48913043478260898</v>
      </c>
      <c r="X297">
        <v>-8</v>
      </c>
      <c r="Y297">
        <v>0</v>
      </c>
      <c r="Z297">
        <v>0</v>
      </c>
      <c r="AA297">
        <v>0</v>
      </c>
    </row>
    <row r="298" spans="3:27" x14ac:dyDescent="0.2">
      <c r="C298" t="s">
        <v>21</v>
      </c>
      <c r="D298" t="s">
        <v>998</v>
      </c>
      <c r="E298">
        <v>100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55</v>
      </c>
      <c r="L298">
        <v>26</v>
      </c>
      <c r="M298">
        <v>0</v>
      </c>
      <c r="N298">
        <v>26</v>
      </c>
      <c r="O298">
        <v>0</v>
      </c>
      <c r="P298">
        <v>126</v>
      </c>
      <c r="Q298" s="3">
        <v>0</v>
      </c>
      <c r="R298">
        <v>0</v>
      </c>
      <c r="S298">
        <v>0</v>
      </c>
      <c r="U298">
        <v>-10.997826086956501</v>
      </c>
      <c r="V298">
        <v>0</v>
      </c>
      <c r="W298">
        <v>-0.59782608695652195</v>
      </c>
      <c r="X298">
        <v>-10.4</v>
      </c>
      <c r="Y298">
        <v>0</v>
      </c>
      <c r="Z298">
        <v>0</v>
      </c>
      <c r="AA298">
        <v>0</v>
      </c>
    </row>
    <row r="299" spans="3:27" x14ac:dyDescent="0.2">
      <c r="C299" t="s">
        <v>21</v>
      </c>
      <c r="D299" t="s">
        <v>999</v>
      </c>
      <c r="E299">
        <v>130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70</v>
      </c>
      <c r="L299">
        <v>33</v>
      </c>
      <c r="M299">
        <v>0</v>
      </c>
      <c r="N299">
        <v>33</v>
      </c>
      <c r="O299">
        <v>0</v>
      </c>
      <c r="P299">
        <v>163</v>
      </c>
      <c r="Q299" s="3">
        <v>0</v>
      </c>
      <c r="R299">
        <v>0</v>
      </c>
      <c r="S299">
        <v>0</v>
      </c>
      <c r="U299">
        <v>-13.960869565217401</v>
      </c>
      <c r="V299">
        <v>0</v>
      </c>
      <c r="W299">
        <v>-0.76086956521739102</v>
      </c>
      <c r="X299">
        <v>-13.2</v>
      </c>
      <c r="Y299">
        <v>0</v>
      </c>
      <c r="Z299">
        <v>0</v>
      </c>
      <c r="AA299">
        <v>0</v>
      </c>
    </row>
    <row r="300" spans="3:27" x14ac:dyDescent="0.2">
      <c r="C300" t="s">
        <v>21</v>
      </c>
      <c r="D300" t="s">
        <v>1000</v>
      </c>
      <c r="E300">
        <v>190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110</v>
      </c>
      <c r="L300">
        <v>49</v>
      </c>
      <c r="M300">
        <v>0</v>
      </c>
      <c r="N300">
        <v>49</v>
      </c>
      <c r="O300">
        <v>0</v>
      </c>
      <c r="P300">
        <v>239</v>
      </c>
      <c r="Q300" s="3">
        <v>0</v>
      </c>
      <c r="R300">
        <v>0</v>
      </c>
      <c r="S300">
        <v>0</v>
      </c>
      <c r="U300">
        <v>-20.795652173912998</v>
      </c>
      <c r="V300">
        <v>0</v>
      </c>
      <c r="W300">
        <v>-1.1956521739130399</v>
      </c>
      <c r="X300">
        <v>-19.600000000000001</v>
      </c>
      <c r="Y300">
        <v>0</v>
      </c>
      <c r="Z300">
        <v>0</v>
      </c>
      <c r="AA300">
        <v>0</v>
      </c>
    </row>
    <row r="301" spans="3:27" x14ac:dyDescent="0.2">
      <c r="C301" t="s">
        <v>21</v>
      </c>
      <c r="D301" t="s">
        <v>1001</v>
      </c>
      <c r="E301">
        <v>80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45</v>
      </c>
      <c r="L301">
        <v>22</v>
      </c>
      <c r="M301">
        <v>0</v>
      </c>
      <c r="N301">
        <v>21</v>
      </c>
      <c r="O301">
        <v>0</v>
      </c>
      <c r="P301">
        <v>101</v>
      </c>
      <c r="Q301" s="3">
        <v>0</v>
      </c>
      <c r="R301">
        <v>0</v>
      </c>
      <c r="S301">
        <v>0</v>
      </c>
      <c r="U301">
        <v>-8.8891304347826097</v>
      </c>
      <c r="V301">
        <v>0</v>
      </c>
      <c r="W301">
        <v>-0.48913043478260898</v>
      </c>
      <c r="X301">
        <v>-8.4</v>
      </c>
      <c r="Y301">
        <v>0</v>
      </c>
      <c r="Z301">
        <v>0</v>
      </c>
      <c r="AA301">
        <v>0</v>
      </c>
    </row>
    <row r="302" spans="3:27" x14ac:dyDescent="0.2">
      <c r="C302" t="s">
        <v>21</v>
      </c>
      <c r="D302" t="s">
        <v>1002</v>
      </c>
      <c r="E302">
        <v>110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65</v>
      </c>
      <c r="L302">
        <v>29</v>
      </c>
      <c r="M302">
        <v>0</v>
      </c>
      <c r="N302">
        <v>29</v>
      </c>
      <c r="O302">
        <v>0</v>
      </c>
      <c r="P302">
        <v>139</v>
      </c>
      <c r="Q302" s="3">
        <v>0</v>
      </c>
      <c r="R302">
        <v>0</v>
      </c>
      <c r="S302">
        <v>0</v>
      </c>
      <c r="U302">
        <v>-12.3065217391304</v>
      </c>
      <c r="V302">
        <v>0</v>
      </c>
      <c r="W302">
        <v>-0.70652173913043503</v>
      </c>
      <c r="X302">
        <v>-11.6</v>
      </c>
      <c r="Y302">
        <v>0</v>
      </c>
      <c r="Z302">
        <v>0</v>
      </c>
      <c r="AA302">
        <v>0</v>
      </c>
    </row>
    <row r="303" spans="3:27" x14ac:dyDescent="0.2">
      <c r="C303" t="s">
        <v>21</v>
      </c>
      <c r="D303" t="s">
        <v>1003</v>
      </c>
      <c r="E303">
        <v>130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80</v>
      </c>
      <c r="L303">
        <v>36</v>
      </c>
      <c r="M303">
        <v>0</v>
      </c>
      <c r="N303">
        <v>36</v>
      </c>
      <c r="O303">
        <v>0</v>
      </c>
      <c r="P303">
        <v>166</v>
      </c>
      <c r="Q303" s="3">
        <v>0</v>
      </c>
      <c r="R303">
        <v>0</v>
      </c>
      <c r="S303">
        <v>0</v>
      </c>
      <c r="U303">
        <v>-15.2695652173913</v>
      </c>
      <c r="V303">
        <v>0</v>
      </c>
      <c r="W303">
        <v>-0.86956521739130399</v>
      </c>
      <c r="X303">
        <v>-14.4</v>
      </c>
      <c r="Y303">
        <v>0</v>
      </c>
      <c r="Z303">
        <v>0</v>
      </c>
      <c r="AA303">
        <v>0</v>
      </c>
    </row>
    <row r="304" spans="3:27" x14ac:dyDescent="0.2">
      <c r="C304" t="s">
        <v>21</v>
      </c>
      <c r="D304" t="s">
        <v>1004</v>
      </c>
      <c r="E304">
        <v>200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120</v>
      </c>
      <c r="L304">
        <v>54</v>
      </c>
      <c r="M304">
        <v>0</v>
      </c>
      <c r="N304">
        <v>54</v>
      </c>
      <c r="O304">
        <v>0</v>
      </c>
      <c r="P304">
        <v>254</v>
      </c>
      <c r="Q304" s="3">
        <v>0</v>
      </c>
      <c r="R304">
        <v>0</v>
      </c>
      <c r="S304">
        <v>0</v>
      </c>
      <c r="U304">
        <v>-22.904347826087001</v>
      </c>
      <c r="V304">
        <v>0</v>
      </c>
      <c r="W304">
        <v>-1.3043478260869601</v>
      </c>
      <c r="X304">
        <v>-21.6</v>
      </c>
      <c r="Y304">
        <v>0</v>
      </c>
      <c r="Z304">
        <v>0</v>
      </c>
      <c r="AA304">
        <v>0</v>
      </c>
    </row>
    <row r="305" spans="3:27" x14ac:dyDescent="0.2">
      <c r="C305" t="s">
        <v>21</v>
      </c>
      <c r="D305" t="s">
        <v>1009</v>
      </c>
      <c r="E305">
        <v>160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35</v>
      </c>
      <c r="L305">
        <v>42</v>
      </c>
      <c r="M305">
        <v>0</v>
      </c>
      <c r="N305">
        <v>42</v>
      </c>
      <c r="O305">
        <v>0</v>
      </c>
      <c r="P305">
        <v>202</v>
      </c>
      <c r="Q305" s="3">
        <v>0</v>
      </c>
      <c r="R305">
        <v>0</v>
      </c>
      <c r="S305">
        <v>0</v>
      </c>
      <c r="U305">
        <v>-17.1804347826087</v>
      </c>
      <c r="V305">
        <v>0</v>
      </c>
      <c r="W305">
        <v>-0.38043478260869601</v>
      </c>
      <c r="X305">
        <v>-16.8</v>
      </c>
      <c r="Y305">
        <v>0</v>
      </c>
      <c r="Z305">
        <v>0</v>
      </c>
      <c r="AA305">
        <v>0</v>
      </c>
    </row>
    <row r="306" spans="3:27" x14ac:dyDescent="0.2">
      <c r="C306" t="s">
        <v>21</v>
      </c>
      <c r="D306" t="s">
        <v>1010</v>
      </c>
      <c r="E306">
        <v>210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45</v>
      </c>
      <c r="L306">
        <v>57</v>
      </c>
      <c r="M306">
        <v>0</v>
      </c>
      <c r="N306">
        <v>57</v>
      </c>
      <c r="O306">
        <v>0</v>
      </c>
      <c r="P306">
        <v>267</v>
      </c>
      <c r="Q306" s="3">
        <v>0</v>
      </c>
      <c r="R306">
        <v>0</v>
      </c>
      <c r="S306">
        <v>0</v>
      </c>
      <c r="U306">
        <v>-23.289130434782599</v>
      </c>
      <c r="V306">
        <v>0</v>
      </c>
      <c r="W306">
        <v>-0.48913043478260898</v>
      </c>
      <c r="X306">
        <v>-22.8</v>
      </c>
      <c r="Y306">
        <v>0</v>
      </c>
      <c r="Z306">
        <v>0</v>
      </c>
      <c r="AA306">
        <v>0</v>
      </c>
    </row>
    <row r="307" spans="3:27" x14ac:dyDescent="0.2">
      <c r="C307" t="s">
        <v>21</v>
      </c>
      <c r="D307" t="s">
        <v>1011</v>
      </c>
      <c r="E307">
        <v>260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55</v>
      </c>
      <c r="L307">
        <v>71</v>
      </c>
      <c r="M307">
        <v>0</v>
      </c>
      <c r="N307">
        <v>71</v>
      </c>
      <c r="O307">
        <v>0</v>
      </c>
      <c r="P307">
        <v>331</v>
      </c>
      <c r="Q307" s="3">
        <v>0</v>
      </c>
      <c r="R307">
        <v>0</v>
      </c>
      <c r="S307">
        <v>0</v>
      </c>
      <c r="U307">
        <v>-28.997826086956501</v>
      </c>
      <c r="V307">
        <v>0</v>
      </c>
      <c r="W307">
        <v>-0.59782608695652195</v>
      </c>
      <c r="X307">
        <v>-28.4</v>
      </c>
      <c r="Y307">
        <v>0</v>
      </c>
      <c r="Z307">
        <v>0</v>
      </c>
      <c r="AA307">
        <v>0</v>
      </c>
    </row>
    <row r="308" spans="3:27" x14ac:dyDescent="0.2">
      <c r="C308" t="s">
        <v>21</v>
      </c>
      <c r="D308" t="s">
        <v>1012</v>
      </c>
      <c r="E308">
        <v>400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80</v>
      </c>
      <c r="L308">
        <v>106</v>
      </c>
      <c r="M308">
        <v>0</v>
      </c>
      <c r="N308">
        <v>106</v>
      </c>
      <c r="O308">
        <v>0</v>
      </c>
      <c r="P308">
        <v>506</v>
      </c>
      <c r="Q308" s="3">
        <v>0</v>
      </c>
      <c r="R308">
        <v>0</v>
      </c>
      <c r="S308">
        <v>0</v>
      </c>
      <c r="U308">
        <v>-43.269565217391303</v>
      </c>
      <c r="V308">
        <v>0</v>
      </c>
      <c r="W308">
        <v>-0.86956521739130399</v>
      </c>
      <c r="X308">
        <v>-42.4</v>
      </c>
      <c r="Y308">
        <v>0</v>
      </c>
      <c r="Z308">
        <v>0</v>
      </c>
      <c r="AA308">
        <v>0</v>
      </c>
    </row>
    <row r="309" spans="3:27" x14ac:dyDescent="0.2">
      <c r="C309" t="s">
        <v>21</v>
      </c>
      <c r="D309" t="s">
        <v>1013</v>
      </c>
      <c r="E309">
        <v>160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70</v>
      </c>
      <c r="L309">
        <v>44</v>
      </c>
      <c r="M309">
        <v>0</v>
      </c>
      <c r="N309">
        <v>44</v>
      </c>
      <c r="O309">
        <v>0</v>
      </c>
      <c r="P309">
        <v>204</v>
      </c>
      <c r="Q309" s="3">
        <v>0</v>
      </c>
      <c r="R309">
        <v>0</v>
      </c>
      <c r="S309">
        <v>0</v>
      </c>
      <c r="U309">
        <v>-18.360869565217399</v>
      </c>
      <c r="V309">
        <v>0</v>
      </c>
      <c r="W309">
        <v>-0.76086956521739102</v>
      </c>
      <c r="X309">
        <v>-17.600000000000001</v>
      </c>
      <c r="Y309">
        <v>0</v>
      </c>
      <c r="Z309">
        <v>0</v>
      </c>
      <c r="AA309">
        <v>0</v>
      </c>
    </row>
    <row r="310" spans="3:27" x14ac:dyDescent="0.2">
      <c r="C310" t="s">
        <v>21</v>
      </c>
      <c r="D310" t="s">
        <v>1014</v>
      </c>
      <c r="E310">
        <v>220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95</v>
      </c>
      <c r="L310">
        <v>58</v>
      </c>
      <c r="M310">
        <v>0</v>
      </c>
      <c r="N310">
        <v>58</v>
      </c>
      <c r="O310">
        <v>0</v>
      </c>
      <c r="P310">
        <v>278</v>
      </c>
      <c r="Q310" s="3">
        <v>0</v>
      </c>
      <c r="R310">
        <v>0</v>
      </c>
      <c r="S310">
        <v>0</v>
      </c>
      <c r="U310">
        <v>-24.2326086956522</v>
      </c>
      <c r="V310">
        <v>0</v>
      </c>
      <c r="W310">
        <v>-1.0326086956521701</v>
      </c>
      <c r="X310">
        <v>-23.2</v>
      </c>
      <c r="Y310">
        <v>0</v>
      </c>
      <c r="Z310">
        <v>0</v>
      </c>
      <c r="AA310">
        <v>0</v>
      </c>
    </row>
    <row r="311" spans="3:27" x14ac:dyDescent="0.2">
      <c r="C311" t="s">
        <v>21</v>
      </c>
      <c r="D311" t="s">
        <v>1015</v>
      </c>
      <c r="E311">
        <v>270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120</v>
      </c>
      <c r="L311">
        <v>73</v>
      </c>
      <c r="M311">
        <v>0</v>
      </c>
      <c r="N311">
        <v>73</v>
      </c>
      <c r="O311">
        <v>0</v>
      </c>
      <c r="P311">
        <v>343</v>
      </c>
      <c r="Q311" s="3">
        <v>0</v>
      </c>
      <c r="R311">
        <v>0</v>
      </c>
      <c r="S311">
        <v>0</v>
      </c>
      <c r="U311">
        <v>-30.504347826086999</v>
      </c>
      <c r="V311">
        <v>0</v>
      </c>
      <c r="W311">
        <v>-1.3043478260869601</v>
      </c>
      <c r="X311">
        <v>-29.2</v>
      </c>
      <c r="Y311">
        <v>0</v>
      </c>
      <c r="Z311">
        <v>0</v>
      </c>
      <c r="AA311">
        <v>0</v>
      </c>
    </row>
    <row r="312" spans="3:27" x14ac:dyDescent="0.2">
      <c r="C312" t="s">
        <v>21</v>
      </c>
      <c r="D312" t="s">
        <v>1016</v>
      </c>
      <c r="E312">
        <v>410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180</v>
      </c>
      <c r="L312">
        <v>109</v>
      </c>
      <c r="M312">
        <v>0</v>
      </c>
      <c r="N312">
        <v>109</v>
      </c>
      <c r="O312">
        <v>0</v>
      </c>
      <c r="P312">
        <v>519</v>
      </c>
      <c r="Q312" s="3">
        <v>0</v>
      </c>
      <c r="R312">
        <v>0</v>
      </c>
      <c r="S312">
        <v>0</v>
      </c>
      <c r="U312">
        <v>-45.556521739130403</v>
      </c>
      <c r="V312">
        <v>0</v>
      </c>
      <c r="W312">
        <v>-1.9565217391304399</v>
      </c>
      <c r="X312">
        <v>-43.6</v>
      </c>
      <c r="Y312">
        <v>0</v>
      </c>
      <c r="Z312">
        <v>0</v>
      </c>
      <c r="AA312">
        <v>0</v>
      </c>
    </row>
    <row r="313" spans="3:27" x14ac:dyDescent="0.2">
      <c r="C313" t="s">
        <v>21</v>
      </c>
      <c r="D313" t="s">
        <v>1017</v>
      </c>
      <c r="E313">
        <v>150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35</v>
      </c>
      <c r="L313">
        <v>41</v>
      </c>
      <c r="M313">
        <v>0</v>
      </c>
      <c r="N313">
        <v>41</v>
      </c>
      <c r="O313">
        <v>0</v>
      </c>
      <c r="P313">
        <v>191</v>
      </c>
      <c r="Q313" s="3">
        <v>0</v>
      </c>
      <c r="R313">
        <v>0</v>
      </c>
      <c r="S313">
        <v>0</v>
      </c>
      <c r="U313">
        <v>-16.780434782608701</v>
      </c>
      <c r="V313">
        <v>0</v>
      </c>
      <c r="W313">
        <v>-0.38043478260869601</v>
      </c>
      <c r="X313">
        <v>-16.399999999999999</v>
      </c>
      <c r="Y313">
        <v>0</v>
      </c>
      <c r="Z313">
        <v>0</v>
      </c>
      <c r="AA313">
        <v>0</v>
      </c>
    </row>
    <row r="314" spans="3:27" x14ac:dyDescent="0.2">
      <c r="C314" t="s">
        <v>21</v>
      </c>
      <c r="D314" t="s">
        <v>1018</v>
      </c>
      <c r="E314">
        <v>200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45</v>
      </c>
      <c r="L314">
        <v>54</v>
      </c>
      <c r="M314">
        <v>0</v>
      </c>
      <c r="N314">
        <v>54</v>
      </c>
      <c r="O314">
        <v>0</v>
      </c>
      <c r="P314">
        <v>254</v>
      </c>
      <c r="Q314" s="3">
        <v>0</v>
      </c>
      <c r="R314">
        <v>0</v>
      </c>
      <c r="S314">
        <v>0</v>
      </c>
      <c r="U314">
        <v>-22.0891304347826</v>
      </c>
      <c r="V314">
        <v>0</v>
      </c>
      <c r="W314">
        <v>-0.48913043478260898</v>
      </c>
      <c r="X314">
        <v>-21.6</v>
      </c>
      <c r="Y314">
        <v>0</v>
      </c>
      <c r="Z314">
        <v>0</v>
      </c>
      <c r="AA314">
        <v>0</v>
      </c>
    </row>
    <row r="315" spans="3:27" x14ac:dyDescent="0.2">
      <c r="C315" t="s">
        <v>21</v>
      </c>
      <c r="D315" t="s">
        <v>1019</v>
      </c>
      <c r="E315">
        <v>260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55</v>
      </c>
      <c r="L315">
        <v>68</v>
      </c>
      <c r="M315">
        <v>0</v>
      </c>
      <c r="N315">
        <v>68</v>
      </c>
      <c r="O315">
        <v>0</v>
      </c>
      <c r="P315">
        <v>328</v>
      </c>
      <c r="Q315" s="3">
        <v>0</v>
      </c>
      <c r="R315">
        <v>0</v>
      </c>
      <c r="S315">
        <v>0</v>
      </c>
      <c r="U315">
        <v>-27.797826086956501</v>
      </c>
      <c r="V315">
        <v>0</v>
      </c>
      <c r="W315">
        <v>-0.59782608695652195</v>
      </c>
      <c r="X315">
        <v>-27.2</v>
      </c>
      <c r="Y315">
        <v>0</v>
      </c>
      <c r="Z315">
        <v>0</v>
      </c>
      <c r="AA315">
        <v>0</v>
      </c>
    </row>
    <row r="316" spans="3:27" x14ac:dyDescent="0.2">
      <c r="C316" t="s">
        <v>21</v>
      </c>
      <c r="D316" t="s">
        <v>1020</v>
      </c>
      <c r="E316">
        <v>380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80</v>
      </c>
      <c r="L316">
        <v>101</v>
      </c>
      <c r="M316">
        <v>0</v>
      </c>
      <c r="N316">
        <v>101</v>
      </c>
      <c r="O316">
        <v>0</v>
      </c>
      <c r="P316">
        <v>481</v>
      </c>
      <c r="Q316" s="3">
        <v>0</v>
      </c>
      <c r="R316">
        <v>0</v>
      </c>
      <c r="S316">
        <v>0</v>
      </c>
      <c r="U316">
        <v>-41.269565217391303</v>
      </c>
      <c r="V316">
        <v>0</v>
      </c>
      <c r="W316">
        <v>-0.86956521739130399</v>
      </c>
      <c r="X316">
        <v>-40.4</v>
      </c>
      <c r="Y316">
        <v>0</v>
      </c>
      <c r="Z316">
        <v>0</v>
      </c>
      <c r="AA316">
        <v>0</v>
      </c>
    </row>
    <row r="317" spans="3:27" x14ac:dyDescent="0.2">
      <c r="C317" t="s">
        <v>21</v>
      </c>
      <c r="D317" t="s">
        <v>1021</v>
      </c>
      <c r="E317">
        <v>120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190</v>
      </c>
      <c r="L317">
        <v>32</v>
      </c>
      <c r="M317">
        <v>0</v>
      </c>
      <c r="N317">
        <v>25</v>
      </c>
      <c r="O317">
        <v>0</v>
      </c>
      <c r="P317">
        <v>145</v>
      </c>
      <c r="Q317" s="3">
        <v>0</v>
      </c>
      <c r="R317">
        <v>0</v>
      </c>
      <c r="S317">
        <v>0</v>
      </c>
      <c r="U317">
        <v>-12.0652173913043</v>
      </c>
      <c r="V317">
        <v>0</v>
      </c>
      <c r="W317">
        <v>-2.0652173913043499</v>
      </c>
      <c r="X317">
        <v>-10</v>
      </c>
      <c r="Y317">
        <v>0</v>
      </c>
      <c r="Z317">
        <v>0</v>
      </c>
      <c r="AA317">
        <v>0</v>
      </c>
    </row>
    <row r="318" spans="3:27" x14ac:dyDescent="0.2">
      <c r="C318" t="s">
        <v>21</v>
      </c>
      <c r="D318" t="s">
        <v>1022</v>
      </c>
      <c r="E318">
        <v>160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50</v>
      </c>
      <c r="L318">
        <v>44</v>
      </c>
      <c r="M318">
        <v>0</v>
      </c>
      <c r="N318">
        <v>44</v>
      </c>
      <c r="O318">
        <v>0</v>
      </c>
      <c r="P318">
        <v>204</v>
      </c>
      <c r="Q318" s="3">
        <v>0</v>
      </c>
      <c r="R318">
        <v>0</v>
      </c>
      <c r="S318">
        <v>0</v>
      </c>
      <c r="U318">
        <v>-18.1434782608696</v>
      </c>
      <c r="V318">
        <v>0</v>
      </c>
      <c r="W318">
        <v>-0.54347826086956497</v>
      </c>
      <c r="X318">
        <v>-17.600000000000001</v>
      </c>
      <c r="Y318">
        <v>0</v>
      </c>
      <c r="Z318">
        <v>0</v>
      </c>
      <c r="AA318">
        <v>0</v>
      </c>
    </row>
    <row r="319" spans="3:27" x14ac:dyDescent="0.2">
      <c r="C319" t="s">
        <v>21</v>
      </c>
      <c r="D319" t="s">
        <v>1023</v>
      </c>
      <c r="E319">
        <v>220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70</v>
      </c>
      <c r="L319">
        <v>59</v>
      </c>
      <c r="M319">
        <v>0</v>
      </c>
      <c r="N319">
        <v>58</v>
      </c>
      <c r="O319">
        <v>0</v>
      </c>
      <c r="P319">
        <v>278</v>
      </c>
      <c r="Q319" s="3">
        <v>0</v>
      </c>
      <c r="R319">
        <v>0</v>
      </c>
      <c r="S319">
        <v>0</v>
      </c>
      <c r="U319">
        <v>-23.960869565217401</v>
      </c>
      <c r="V319">
        <v>0</v>
      </c>
      <c r="W319">
        <v>-0.76086956521739102</v>
      </c>
      <c r="X319">
        <v>-23.2</v>
      </c>
      <c r="Y319">
        <v>0</v>
      </c>
      <c r="Z319">
        <v>0</v>
      </c>
      <c r="AA319">
        <v>0</v>
      </c>
    </row>
    <row r="320" spans="3:27" x14ac:dyDescent="0.2">
      <c r="C320" t="s">
        <v>21</v>
      </c>
      <c r="D320" t="s">
        <v>1024</v>
      </c>
      <c r="E320">
        <v>270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85</v>
      </c>
      <c r="L320">
        <v>73</v>
      </c>
      <c r="M320">
        <v>0</v>
      </c>
      <c r="N320">
        <v>73</v>
      </c>
      <c r="O320">
        <v>0</v>
      </c>
      <c r="P320">
        <v>343</v>
      </c>
      <c r="Q320" s="3">
        <v>0</v>
      </c>
      <c r="R320">
        <v>0</v>
      </c>
      <c r="S320">
        <v>0</v>
      </c>
      <c r="U320">
        <v>-30.1239130434783</v>
      </c>
      <c r="V320">
        <v>0</v>
      </c>
      <c r="W320">
        <v>-0.92391304347826098</v>
      </c>
      <c r="X320">
        <v>-29.2</v>
      </c>
      <c r="Y320">
        <v>0</v>
      </c>
      <c r="Z320">
        <v>0</v>
      </c>
      <c r="AA320">
        <v>0</v>
      </c>
    </row>
    <row r="321" spans="3:27" x14ac:dyDescent="0.2">
      <c r="C321" t="s">
        <v>21</v>
      </c>
      <c r="D321" t="s">
        <v>1025</v>
      </c>
      <c r="E321">
        <v>410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125</v>
      </c>
      <c r="L321">
        <v>110</v>
      </c>
      <c r="M321">
        <v>0</v>
      </c>
      <c r="N321">
        <v>109</v>
      </c>
      <c r="O321">
        <v>0</v>
      </c>
      <c r="P321">
        <v>519</v>
      </c>
      <c r="Q321" s="3">
        <v>0</v>
      </c>
      <c r="R321">
        <v>0</v>
      </c>
      <c r="S321">
        <v>0</v>
      </c>
      <c r="U321">
        <v>-44.958695652173901</v>
      </c>
      <c r="V321">
        <v>0</v>
      </c>
      <c r="W321">
        <v>-1.35869565217391</v>
      </c>
      <c r="X321">
        <v>-43.6</v>
      </c>
      <c r="Y321">
        <v>0</v>
      </c>
      <c r="Z321">
        <v>0</v>
      </c>
      <c r="AA321">
        <v>0</v>
      </c>
    </row>
    <row r="322" spans="3:27" x14ac:dyDescent="0.2">
      <c r="C322" t="s">
        <v>21</v>
      </c>
      <c r="D322" t="s">
        <v>1026</v>
      </c>
      <c r="E322">
        <v>140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45</v>
      </c>
      <c r="L322">
        <v>39</v>
      </c>
      <c r="M322">
        <v>0</v>
      </c>
      <c r="N322">
        <v>39</v>
      </c>
      <c r="O322">
        <v>0</v>
      </c>
      <c r="P322">
        <v>179</v>
      </c>
      <c r="Q322" s="3">
        <v>0</v>
      </c>
      <c r="R322">
        <v>0</v>
      </c>
      <c r="S322">
        <v>0</v>
      </c>
      <c r="U322">
        <v>-16.0891304347826</v>
      </c>
      <c r="V322">
        <v>0</v>
      </c>
      <c r="W322">
        <v>-0.48913043478260898</v>
      </c>
      <c r="X322">
        <v>-15.6</v>
      </c>
      <c r="Y322">
        <v>0</v>
      </c>
      <c r="Z322">
        <v>0</v>
      </c>
      <c r="AA322">
        <v>0</v>
      </c>
    </row>
    <row r="323" spans="3:27" x14ac:dyDescent="0.2">
      <c r="C323" t="s">
        <v>21</v>
      </c>
      <c r="D323" t="s">
        <v>1027</v>
      </c>
      <c r="E323">
        <v>190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60</v>
      </c>
      <c r="L323">
        <v>52</v>
      </c>
      <c r="M323">
        <v>0</v>
      </c>
      <c r="N323">
        <v>52</v>
      </c>
      <c r="O323">
        <v>0</v>
      </c>
      <c r="P323">
        <v>242</v>
      </c>
      <c r="Q323" s="3">
        <v>0</v>
      </c>
      <c r="R323">
        <v>0</v>
      </c>
      <c r="S323">
        <v>0</v>
      </c>
      <c r="U323">
        <v>-21.452173913043499</v>
      </c>
      <c r="V323">
        <v>0</v>
      </c>
      <c r="W323">
        <v>-0.65217391304347805</v>
      </c>
      <c r="X323">
        <v>-20.8</v>
      </c>
      <c r="Y323">
        <v>0</v>
      </c>
      <c r="Z323">
        <v>0</v>
      </c>
      <c r="AA323">
        <v>0</v>
      </c>
    </row>
    <row r="324" spans="3:27" x14ac:dyDescent="0.2">
      <c r="C324" t="s">
        <v>21</v>
      </c>
      <c r="D324" t="s">
        <v>1028</v>
      </c>
      <c r="E324">
        <v>240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75</v>
      </c>
      <c r="L324">
        <v>65</v>
      </c>
      <c r="M324">
        <v>0</v>
      </c>
      <c r="N324">
        <v>65</v>
      </c>
      <c r="O324">
        <v>0</v>
      </c>
      <c r="P324">
        <v>305</v>
      </c>
      <c r="Q324" s="3">
        <v>0</v>
      </c>
      <c r="R324">
        <v>0</v>
      </c>
      <c r="S324">
        <v>0</v>
      </c>
      <c r="U324">
        <v>-26.815217391304301</v>
      </c>
      <c r="V324">
        <v>0</v>
      </c>
      <c r="W324">
        <v>-0.815217391304348</v>
      </c>
      <c r="X324">
        <v>-26</v>
      </c>
      <c r="Y324">
        <v>0</v>
      </c>
      <c r="Z324">
        <v>0</v>
      </c>
      <c r="AA324">
        <v>0</v>
      </c>
    </row>
    <row r="325" spans="3:27" x14ac:dyDescent="0.2">
      <c r="C325" t="s">
        <v>21</v>
      </c>
      <c r="D325" t="s">
        <v>1029</v>
      </c>
      <c r="E325">
        <v>360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110</v>
      </c>
      <c r="L325">
        <v>98</v>
      </c>
      <c r="M325">
        <v>0</v>
      </c>
      <c r="N325">
        <v>98</v>
      </c>
      <c r="O325">
        <v>0</v>
      </c>
      <c r="P325">
        <v>458</v>
      </c>
      <c r="Q325" s="3">
        <v>0</v>
      </c>
      <c r="R325">
        <v>0</v>
      </c>
      <c r="S325">
        <v>0</v>
      </c>
      <c r="U325">
        <v>-40.395652173913</v>
      </c>
      <c r="V325">
        <v>0</v>
      </c>
      <c r="W325">
        <v>-1.1956521739130399</v>
      </c>
      <c r="X325">
        <v>-39.200000000000003</v>
      </c>
      <c r="Y325">
        <v>0</v>
      </c>
      <c r="Z325">
        <v>0</v>
      </c>
      <c r="AA325">
        <v>0</v>
      </c>
    </row>
    <row r="326" spans="3:27" x14ac:dyDescent="0.2">
      <c r="C326" t="s">
        <v>21</v>
      </c>
      <c r="D326" t="s">
        <v>1033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95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>
        <v>-1.0326086956521701</v>
      </c>
      <c r="V326">
        <v>0</v>
      </c>
      <c r="W326">
        <v>-1.0326086956521701</v>
      </c>
      <c r="X326">
        <v>0</v>
      </c>
      <c r="Y326">
        <v>0</v>
      </c>
      <c r="Z326">
        <v>0</v>
      </c>
      <c r="AA326">
        <v>0</v>
      </c>
    </row>
    <row r="327" spans="3:27" x14ac:dyDescent="0.2">
      <c r="C327" t="s">
        <v>21</v>
      </c>
      <c r="D327" t="s">
        <v>1034</v>
      </c>
      <c r="E327">
        <v>150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30</v>
      </c>
      <c r="L327">
        <v>41</v>
      </c>
      <c r="M327">
        <v>0</v>
      </c>
      <c r="N327">
        <v>41</v>
      </c>
      <c r="O327">
        <v>0</v>
      </c>
      <c r="P327">
        <v>191</v>
      </c>
      <c r="Q327" s="3">
        <v>0</v>
      </c>
      <c r="R327">
        <v>0</v>
      </c>
      <c r="S327">
        <v>0</v>
      </c>
      <c r="U327">
        <v>-16.726086956521701</v>
      </c>
      <c r="V327">
        <v>0</v>
      </c>
      <c r="W327">
        <v>-0.32608695652173902</v>
      </c>
      <c r="X327">
        <v>-16.399999999999999</v>
      </c>
      <c r="Y327">
        <v>0</v>
      </c>
      <c r="Z327">
        <v>0</v>
      </c>
      <c r="AA327">
        <v>0</v>
      </c>
    </row>
    <row r="328" spans="3:27" x14ac:dyDescent="0.2">
      <c r="C328" t="s">
        <v>21</v>
      </c>
      <c r="D328" t="s">
        <v>1035</v>
      </c>
      <c r="E328">
        <v>200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45</v>
      </c>
      <c r="L328">
        <v>55</v>
      </c>
      <c r="M328">
        <v>0</v>
      </c>
      <c r="N328">
        <v>55</v>
      </c>
      <c r="O328">
        <v>0</v>
      </c>
      <c r="P328">
        <v>255</v>
      </c>
      <c r="Q328" s="3">
        <v>0</v>
      </c>
      <c r="R328">
        <v>0</v>
      </c>
      <c r="S328">
        <v>0</v>
      </c>
      <c r="U328">
        <v>-22.489130434782599</v>
      </c>
      <c r="V328">
        <v>0</v>
      </c>
      <c r="W328">
        <v>-0.48913043478260898</v>
      </c>
      <c r="X328">
        <v>-22</v>
      </c>
      <c r="Y328">
        <v>0</v>
      </c>
      <c r="Z328">
        <v>0</v>
      </c>
      <c r="AA328">
        <v>0</v>
      </c>
    </row>
    <row r="329" spans="3:27" x14ac:dyDescent="0.2">
      <c r="C329" t="s">
        <v>21</v>
      </c>
      <c r="D329" t="s">
        <v>1036</v>
      </c>
      <c r="E329">
        <v>250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55</v>
      </c>
      <c r="L329">
        <v>69</v>
      </c>
      <c r="M329">
        <v>0</v>
      </c>
      <c r="N329">
        <v>69</v>
      </c>
      <c r="O329">
        <v>0</v>
      </c>
      <c r="P329">
        <v>319</v>
      </c>
      <c r="Q329" s="3">
        <v>0</v>
      </c>
      <c r="R329">
        <v>0</v>
      </c>
      <c r="S329">
        <v>0</v>
      </c>
      <c r="U329">
        <v>-28.1978260869565</v>
      </c>
      <c r="V329">
        <v>0</v>
      </c>
      <c r="W329">
        <v>-0.59782608695652195</v>
      </c>
      <c r="X329">
        <v>-27.6</v>
      </c>
      <c r="Y329">
        <v>0</v>
      </c>
      <c r="Z329">
        <v>0</v>
      </c>
      <c r="AA329">
        <v>0</v>
      </c>
    </row>
    <row r="330" spans="3:27" x14ac:dyDescent="0.2">
      <c r="C330" t="s">
        <v>21</v>
      </c>
      <c r="D330" t="s">
        <v>1037</v>
      </c>
      <c r="E330">
        <v>380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80</v>
      </c>
      <c r="L330">
        <v>104</v>
      </c>
      <c r="M330">
        <v>0</v>
      </c>
      <c r="N330">
        <v>103</v>
      </c>
      <c r="O330">
        <v>0</v>
      </c>
      <c r="P330">
        <v>483</v>
      </c>
      <c r="Q330" s="3">
        <v>0</v>
      </c>
      <c r="R330">
        <v>0</v>
      </c>
      <c r="S330">
        <v>0</v>
      </c>
      <c r="U330">
        <v>-42.0695652173913</v>
      </c>
      <c r="V330">
        <v>0</v>
      </c>
      <c r="W330">
        <v>-0.86956521739130399</v>
      </c>
      <c r="X330">
        <v>-41.2</v>
      </c>
      <c r="Y330">
        <v>0</v>
      </c>
      <c r="Z330">
        <v>0</v>
      </c>
      <c r="AA330">
        <v>0</v>
      </c>
    </row>
    <row r="331" spans="3:27" x14ac:dyDescent="0.2">
      <c r="C331" t="s">
        <v>21</v>
      </c>
      <c r="D331" t="s">
        <v>1041</v>
      </c>
      <c r="E331">
        <v>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120</v>
      </c>
      <c r="L331">
        <v>1</v>
      </c>
      <c r="M331">
        <v>0</v>
      </c>
      <c r="N331">
        <v>0</v>
      </c>
      <c r="O331">
        <v>0</v>
      </c>
      <c r="P331">
        <v>5</v>
      </c>
      <c r="Q331" s="3">
        <v>0</v>
      </c>
      <c r="R331">
        <v>0</v>
      </c>
      <c r="S331">
        <v>0</v>
      </c>
      <c r="U331">
        <v>-1.3043478260869601</v>
      </c>
      <c r="V331">
        <v>0</v>
      </c>
      <c r="W331">
        <v>-1.3043478260869601</v>
      </c>
      <c r="X331">
        <v>0</v>
      </c>
      <c r="Y331">
        <v>0</v>
      </c>
      <c r="Z331">
        <v>0</v>
      </c>
      <c r="AA331">
        <v>0</v>
      </c>
    </row>
    <row r="332" spans="3:27" x14ac:dyDescent="0.2">
      <c r="C332" t="s">
        <v>21</v>
      </c>
      <c r="D332" t="s">
        <v>1042</v>
      </c>
      <c r="E332">
        <v>950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790</v>
      </c>
      <c r="L332">
        <v>270</v>
      </c>
      <c r="M332">
        <v>0</v>
      </c>
      <c r="N332">
        <v>264</v>
      </c>
      <c r="O332">
        <v>0</v>
      </c>
      <c r="P332">
        <v>1214</v>
      </c>
      <c r="Q332" s="3">
        <v>0</v>
      </c>
      <c r="R332">
        <v>1</v>
      </c>
      <c r="S332">
        <v>0</v>
      </c>
      <c r="U332">
        <v>-114.18695652173901</v>
      </c>
      <c r="V332">
        <v>0</v>
      </c>
      <c r="W332">
        <v>-8.5869565217391308</v>
      </c>
      <c r="X332">
        <v>-105.6</v>
      </c>
      <c r="Y332">
        <v>0</v>
      </c>
      <c r="Z332">
        <v>0</v>
      </c>
      <c r="AA332">
        <v>0</v>
      </c>
    </row>
    <row r="333" spans="3:27" x14ac:dyDescent="0.2">
      <c r="C333" t="s">
        <v>21</v>
      </c>
      <c r="D333" t="s">
        <v>1043</v>
      </c>
      <c r="E333">
        <v>170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130</v>
      </c>
      <c r="L333">
        <v>45</v>
      </c>
      <c r="M333">
        <v>0</v>
      </c>
      <c r="N333">
        <v>44</v>
      </c>
      <c r="O333">
        <v>0</v>
      </c>
      <c r="P333">
        <v>214</v>
      </c>
      <c r="Q333" s="3">
        <v>0</v>
      </c>
      <c r="R333">
        <v>0</v>
      </c>
      <c r="S333">
        <v>0</v>
      </c>
      <c r="U333">
        <v>-19.013043478260901</v>
      </c>
      <c r="V333">
        <v>0</v>
      </c>
      <c r="W333">
        <v>-1.4130434782608701</v>
      </c>
      <c r="X333">
        <v>-17.600000000000001</v>
      </c>
      <c r="Y333">
        <v>0</v>
      </c>
      <c r="Z333">
        <v>0</v>
      </c>
      <c r="AA333">
        <v>0</v>
      </c>
    </row>
    <row r="334" spans="3:27" x14ac:dyDescent="0.2">
      <c r="C334" t="s">
        <v>21</v>
      </c>
      <c r="D334" t="s">
        <v>1044</v>
      </c>
      <c r="E334">
        <v>170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35</v>
      </c>
      <c r="L334">
        <v>45</v>
      </c>
      <c r="M334">
        <v>0</v>
      </c>
      <c r="N334">
        <v>45</v>
      </c>
      <c r="O334">
        <v>0</v>
      </c>
      <c r="P334">
        <v>215</v>
      </c>
      <c r="Q334" s="3">
        <v>0</v>
      </c>
      <c r="R334">
        <v>0</v>
      </c>
      <c r="S334">
        <v>0</v>
      </c>
      <c r="U334">
        <v>-18.380434782608699</v>
      </c>
      <c r="V334">
        <v>0</v>
      </c>
      <c r="W334">
        <v>-0.38043478260869601</v>
      </c>
      <c r="X334">
        <v>-18</v>
      </c>
      <c r="Y334">
        <v>0</v>
      </c>
      <c r="Z334">
        <v>0</v>
      </c>
      <c r="AA334">
        <v>0</v>
      </c>
    </row>
    <row r="335" spans="3:27" x14ac:dyDescent="0.2">
      <c r="C335" t="s">
        <v>21</v>
      </c>
      <c r="D335" t="s">
        <v>1045</v>
      </c>
      <c r="E335">
        <v>230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45</v>
      </c>
      <c r="L335">
        <v>60</v>
      </c>
      <c r="M335">
        <v>0</v>
      </c>
      <c r="N335">
        <v>60</v>
      </c>
      <c r="O335">
        <v>0</v>
      </c>
      <c r="P335">
        <v>290</v>
      </c>
      <c r="Q335" s="3">
        <v>0</v>
      </c>
      <c r="R335">
        <v>0</v>
      </c>
      <c r="S335">
        <v>0</v>
      </c>
      <c r="U335">
        <v>-24.489130434782599</v>
      </c>
      <c r="V335">
        <v>0</v>
      </c>
      <c r="W335">
        <v>-0.48913043478260898</v>
      </c>
      <c r="X335">
        <v>-24</v>
      </c>
      <c r="Y335">
        <v>0</v>
      </c>
      <c r="Z335">
        <v>0</v>
      </c>
      <c r="AA335">
        <v>0</v>
      </c>
    </row>
    <row r="336" spans="3:27" x14ac:dyDescent="0.2">
      <c r="C336" t="s">
        <v>21</v>
      </c>
      <c r="D336" t="s">
        <v>1046</v>
      </c>
      <c r="E336">
        <v>280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60</v>
      </c>
      <c r="L336">
        <v>75</v>
      </c>
      <c r="M336">
        <v>0</v>
      </c>
      <c r="N336">
        <v>75</v>
      </c>
      <c r="O336">
        <v>0</v>
      </c>
      <c r="P336">
        <v>355</v>
      </c>
      <c r="Q336" s="3">
        <v>0</v>
      </c>
      <c r="R336">
        <v>0</v>
      </c>
      <c r="S336">
        <v>0</v>
      </c>
      <c r="U336">
        <v>-30.652173913043502</v>
      </c>
      <c r="V336">
        <v>0</v>
      </c>
      <c r="W336">
        <v>-0.65217391304347805</v>
      </c>
      <c r="X336">
        <v>-30</v>
      </c>
      <c r="Y336">
        <v>0</v>
      </c>
      <c r="Z336">
        <v>0</v>
      </c>
      <c r="AA336">
        <v>0</v>
      </c>
    </row>
    <row r="337" spans="3:27" x14ac:dyDescent="0.2">
      <c r="C337" t="s">
        <v>21</v>
      </c>
      <c r="D337" t="s">
        <v>1047</v>
      </c>
      <c r="E337">
        <v>420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90</v>
      </c>
      <c r="L337">
        <v>113</v>
      </c>
      <c r="M337">
        <v>0</v>
      </c>
      <c r="N337">
        <v>112</v>
      </c>
      <c r="O337">
        <v>0</v>
      </c>
      <c r="P337">
        <v>532</v>
      </c>
      <c r="Q337" s="3">
        <v>0</v>
      </c>
      <c r="R337">
        <v>0</v>
      </c>
      <c r="S337">
        <v>0</v>
      </c>
      <c r="U337">
        <v>-45.778260869565202</v>
      </c>
      <c r="V337">
        <v>0</v>
      </c>
      <c r="W337">
        <v>-0.97826086956521796</v>
      </c>
      <c r="X337">
        <v>-44.8</v>
      </c>
      <c r="Y337">
        <v>0</v>
      </c>
      <c r="Z337">
        <v>0</v>
      </c>
      <c r="AA337">
        <v>0</v>
      </c>
    </row>
    <row r="338" spans="3:27" x14ac:dyDescent="0.2">
      <c r="C338" t="s">
        <v>21</v>
      </c>
      <c r="D338" t="s">
        <v>1051</v>
      </c>
      <c r="E338">
        <v>15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350</v>
      </c>
      <c r="L338">
        <v>1</v>
      </c>
      <c r="M338">
        <v>0</v>
      </c>
      <c r="N338">
        <v>0</v>
      </c>
      <c r="O338">
        <v>0</v>
      </c>
      <c r="P338">
        <v>15</v>
      </c>
      <c r="Q338" s="3">
        <v>0</v>
      </c>
      <c r="R338">
        <v>0</v>
      </c>
      <c r="S338">
        <v>0</v>
      </c>
      <c r="U338">
        <v>-3.8043478260869601</v>
      </c>
      <c r="V338">
        <v>0</v>
      </c>
      <c r="W338">
        <v>-3.8043478260869601</v>
      </c>
      <c r="X338">
        <v>0</v>
      </c>
      <c r="Y338">
        <v>0</v>
      </c>
      <c r="Z338">
        <v>0</v>
      </c>
      <c r="AA338">
        <v>0</v>
      </c>
    </row>
    <row r="339" spans="3:27" x14ac:dyDescent="0.2">
      <c r="C339" t="s">
        <v>21</v>
      </c>
      <c r="D339" t="s">
        <v>1052</v>
      </c>
      <c r="E339">
        <v>150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160</v>
      </c>
      <c r="L339">
        <v>40</v>
      </c>
      <c r="M339">
        <v>0</v>
      </c>
      <c r="N339">
        <v>40</v>
      </c>
      <c r="O339">
        <v>0</v>
      </c>
      <c r="P339">
        <v>190</v>
      </c>
      <c r="Q339" s="3">
        <v>0</v>
      </c>
      <c r="R339">
        <v>0</v>
      </c>
      <c r="S339">
        <v>0</v>
      </c>
      <c r="U339">
        <v>-17.739130434782599</v>
      </c>
      <c r="V339">
        <v>0</v>
      </c>
      <c r="W339">
        <v>-1.73913043478261</v>
      </c>
      <c r="X339">
        <v>-16</v>
      </c>
      <c r="Y339">
        <v>0</v>
      </c>
      <c r="Z339">
        <v>0</v>
      </c>
      <c r="AA339">
        <v>0</v>
      </c>
    </row>
    <row r="340" spans="3:27" x14ac:dyDescent="0.2">
      <c r="C340" t="s">
        <v>21</v>
      </c>
      <c r="D340" t="s">
        <v>1053</v>
      </c>
      <c r="E340">
        <v>210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210</v>
      </c>
      <c r="L340">
        <v>53</v>
      </c>
      <c r="M340">
        <v>0</v>
      </c>
      <c r="N340">
        <v>53</v>
      </c>
      <c r="O340">
        <v>0</v>
      </c>
      <c r="P340">
        <v>263</v>
      </c>
      <c r="Q340" s="3">
        <v>0</v>
      </c>
      <c r="R340">
        <v>0</v>
      </c>
      <c r="S340">
        <v>0</v>
      </c>
      <c r="U340">
        <v>-23.4826086956522</v>
      </c>
      <c r="V340">
        <v>0</v>
      </c>
      <c r="W340">
        <v>-2.2826086956521698</v>
      </c>
      <c r="X340">
        <v>-21.2</v>
      </c>
      <c r="Y340">
        <v>0</v>
      </c>
      <c r="Z340">
        <v>0</v>
      </c>
      <c r="AA340">
        <v>0</v>
      </c>
    </row>
    <row r="341" spans="3:27" x14ac:dyDescent="0.2">
      <c r="C341" t="s">
        <v>21</v>
      </c>
      <c r="D341" t="s">
        <v>1054</v>
      </c>
      <c r="E341">
        <v>260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260</v>
      </c>
      <c r="L341">
        <v>67</v>
      </c>
      <c r="M341">
        <v>0</v>
      </c>
      <c r="N341">
        <v>67</v>
      </c>
      <c r="O341">
        <v>0</v>
      </c>
      <c r="P341">
        <v>327</v>
      </c>
      <c r="Q341" s="3">
        <v>0</v>
      </c>
      <c r="R341">
        <v>0</v>
      </c>
      <c r="S341">
        <v>0</v>
      </c>
      <c r="U341">
        <v>-29.6260869565217</v>
      </c>
      <c r="V341">
        <v>0</v>
      </c>
      <c r="W341">
        <v>-2.8260869565217401</v>
      </c>
      <c r="X341">
        <v>-26.8</v>
      </c>
      <c r="Y341">
        <v>0</v>
      </c>
      <c r="Z341">
        <v>0</v>
      </c>
      <c r="AA341">
        <v>0</v>
      </c>
    </row>
    <row r="342" spans="3:27" x14ac:dyDescent="0.2">
      <c r="C342" t="s">
        <v>21</v>
      </c>
      <c r="D342" t="s">
        <v>1055</v>
      </c>
      <c r="E342">
        <v>390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390</v>
      </c>
      <c r="L342">
        <v>100</v>
      </c>
      <c r="M342">
        <v>0</v>
      </c>
      <c r="N342">
        <v>100</v>
      </c>
      <c r="O342">
        <v>0</v>
      </c>
      <c r="P342">
        <v>490</v>
      </c>
      <c r="Q342" s="3">
        <v>0</v>
      </c>
      <c r="R342">
        <v>0</v>
      </c>
      <c r="S342">
        <v>0</v>
      </c>
      <c r="U342">
        <v>-44.239130434782602</v>
      </c>
      <c r="V342">
        <v>0</v>
      </c>
      <c r="W342">
        <v>-4.2391304347826102</v>
      </c>
      <c r="X342">
        <v>-40</v>
      </c>
      <c r="Y342">
        <v>0</v>
      </c>
      <c r="Z342">
        <v>0</v>
      </c>
      <c r="AA342">
        <v>0</v>
      </c>
    </row>
    <row r="343" spans="3:27" x14ac:dyDescent="0.2">
      <c r="C343" t="s">
        <v>21</v>
      </c>
      <c r="D343" t="s">
        <v>1056</v>
      </c>
      <c r="E343">
        <v>170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35</v>
      </c>
      <c r="L343">
        <v>46</v>
      </c>
      <c r="M343">
        <v>0</v>
      </c>
      <c r="N343">
        <v>46</v>
      </c>
      <c r="O343">
        <v>0</v>
      </c>
      <c r="P343">
        <v>216</v>
      </c>
      <c r="Q343" s="3">
        <v>0</v>
      </c>
      <c r="R343">
        <v>0</v>
      </c>
      <c r="S343">
        <v>0</v>
      </c>
      <c r="U343">
        <v>-18.780434782608701</v>
      </c>
      <c r="V343">
        <v>0</v>
      </c>
      <c r="W343">
        <v>-0.38043478260869601</v>
      </c>
      <c r="X343">
        <v>-18.399999999999999</v>
      </c>
      <c r="Y343">
        <v>0</v>
      </c>
      <c r="Z343">
        <v>0</v>
      </c>
      <c r="AA343">
        <v>0</v>
      </c>
    </row>
    <row r="344" spans="3:27" x14ac:dyDescent="0.2">
      <c r="C344" t="s">
        <v>21</v>
      </c>
      <c r="D344" t="s">
        <v>1057</v>
      </c>
      <c r="E344">
        <v>230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50</v>
      </c>
      <c r="L344">
        <v>61</v>
      </c>
      <c r="M344">
        <v>0</v>
      </c>
      <c r="N344">
        <v>61</v>
      </c>
      <c r="O344">
        <v>0</v>
      </c>
      <c r="P344">
        <v>291</v>
      </c>
      <c r="Q344" s="3">
        <v>0</v>
      </c>
      <c r="R344">
        <v>0</v>
      </c>
      <c r="S344">
        <v>0</v>
      </c>
      <c r="U344">
        <v>-24.9434782608696</v>
      </c>
      <c r="V344">
        <v>0</v>
      </c>
      <c r="W344">
        <v>-0.54347826086956497</v>
      </c>
      <c r="X344">
        <v>-24.4</v>
      </c>
      <c r="Y344">
        <v>0</v>
      </c>
      <c r="Z344">
        <v>0</v>
      </c>
      <c r="AA344">
        <v>0</v>
      </c>
    </row>
    <row r="345" spans="3:27" x14ac:dyDescent="0.2">
      <c r="C345" t="s">
        <v>21</v>
      </c>
      <c r="D345" t="s">
        <v>1058</v>
      </c>
      <c r="E345">
        <v>290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60</v>
      </c>
      <c r="L345">
        <v>76</v>
      </c>
      <c r="M345">
        <v>0</v>
      </c>
      <c r="N345">
        <v>76</v>
      </c>
      <c r="O345">
        <v>0</v>
      </c>
      <c r="P345">
        <v>366</v>
      </c>
      <c r="Q345" s="3">
        <v>0</v>
      </c>
      <c r="R345">
        <v>0</v>
      </c>
      <c r="S345">
        <v>0</v>
      </c>
      <c r="U345">
        <v>-31.0521739130435</v>
      </c>
      <c r="V345">
        <v>0</v>
      </c>
      <c r="W345">
        <v>-0.65217391304347805</v>
      </c>
      <c r="X345">
        <v>-30.4</v>
      </c>
      <c r="Y345">
        <v>0</v>
      </c>
      <c r="Z345">
        <v>0</v>
      </c>
      <c r="AA345">
        <v>0</v>
      </c>
    </row>
    <row r="346" spans="3:27" x14ac:dyDescent="0.2">
      <c r="C346" t="s">
        <v>21</v>
      </c>
      <c r="D346" t="s">
        <v>1059</v>
      </c>
      <c r="E346">
        <v>430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90</v>
      </c>
      <c r="L346">
        <v>115</v>
      </c>
      <c r="M346">
        <v>0</v>
      </c>
      <c r="N346">
        <v>114</v>
      </c>
      <c r="O346">
        <v>0</v>
      </c>
      <c r="P346">
        <v>544</v>
      </c>
      <c r="Q346" s="3">
        <v>0</v>
      </c>
      <c r="R346">
        <v>0</v>
      </c>
      <c r="S346">
        <v>0</v>
      </c>
      <c r="U346">
        <v>-46.578260869565199</v>
      </c>
      <c r="V346">
        <v>0</v>
      </c>
      <c r="W346">
        <v>-0.97826086956521796</v>
      </c>
      <c r="X346">
        <v>-45.6</v>
      </c>
      <c r="Y346">
        <v>0</v>
      </c>
      <c r="Z346">
        <v>0</v>
      </c>
      <c r="AA346">
        <v>0</v>
      </c>
    </row>
    <row r="347" spans="3:27" x14ac:dyDescent="0.2">
      <c r="C347" t="s">
        <v>21</v>
      </c>
      <c r="D347" t="s">
        <v>1060</v>
      </c>
      <c r="E347">
        <v>160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30</v>
      </c>
      <c r="L347">
        <v>42</v>
      </c>
      <c r="M347">
        <v>0</v>
      </c>
      <c r="N347">
        <v>42</v>
      </c>
      <c r="O347">
        <v>0</v>
      </c>
      <c r="P347">
        <v>202</v>
      </c>
      <c r="Q347" s="3">
        <v>0</v>
      </c>
      <c r="R347">
        <v>0</v>
      </c>
      <c r="S347">
        <v>0</v>
      </c>
      <c r="U347">
        <v>-17.1260869565217</v>
      </c>
      <c r="V347">
        <v>0</v>
      </c>
      <c r="W347">
        <v>-0.32608695652173902</v>
      </c>
      <c r="X347">
        <v>-16.8</v>
      </c>
      <c r="Y347">
        <v>0</v>
      </c>
      <c r="Z347">
        <v>0</v>
      </c>
      <c r="AA347">
        <v>0</v>
      </c>
    </row>
    <row r="348" spans="3:27" x14ac:dyDescent="0.2">
      <c r="C348" t="s">
        <v>21</v>
      </c>
      <c r="D348" t="s">
        <v>1061</v>
      </c>
      <c r="E348">
        <v>210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40</v>
      </c>
      <c r="L348">
        <v>56</v>
      </c>
      <c r="M348">
        <v>0</v>
      </c>
      <c r="N348">
        <v>56</v>
      </c>
      <c r="O348">
        <v>0</v>
      </c>
      <c r="P348">
        <v>266</v>
      </c>
      <c r="Q348" s="3">
        <v>0</v>
      </c>
      <c r="R348">
        <v>0</v>
      </c>
      <c r="S348">
        <v>0</v>
      </c>
      <c r="U348">
        <v>-22.834782608695701</v>
      </c>
      <c r="V348">
        <v>0</v>
      </c>
      <c r="W348">
        <v>-0.434782608695652</v>
      </c>
      <c r="X348">
        <v>-22.4</v>
      </c>
      <c r="Y348">
        <v>0</v>
      </c>
      <c r="Z348">
        <v>0</v>
      </c>
      <c r="AA348">
        <v>0</v>
      </c>
    </row>
    <row r="349" spans="3:27" x14ac:dyDescent="0.2">
      <c r="C349" t="s">
        <v>21</v>
      </c>
      <c r="D349" t="s">
        <v>1062</v>
      </c>
      <c r="E349">
        <v>260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50</v>
      </c>
      <c r="L349">
        <v>70</v>
      </c>
      <c r="M349">
        <v>0</v>
      </c>
      <c r="N349">
        <v>70</v>
      </c>
      <c r="O349">
        <v>0</v>
      </c>
      <c r="P349">
        <v>330</v>
      </c>
      <c r="Q349" s="3">
        <v>0</v>
      </c>
      <c r="R349">
        <v>0</v>
      </c>
      <c r="S349">
        <v>0</v>
      </c>
      <c r="U349">
        <v>-28.543478260869598</v>
      </c>
      <c r="V349">
        <v>0</v>
      </c>
      <c r="W349">
        <v>-0.54347826086956497</v>
      </c>
      <c r="X349">
        <v>-28</v>
      </c>
      <c r="Y349">
        <v>0</v>
      </c>
      <c r="Z349">
        <v>0</v>
      </c>
      <c r="AA349">
        <v>0</v>
      </c>
    </row>
    <row r="350" spans="3:27" x14ac:dyDescent="0.2">
      <c r="C350" t="s">
        <v>21</v>
      </c>
      <c r="D350" t="s">
        <v>1063</v>
      </c>
      <c r="E350">
        <v>390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80</v>
      </c>
      <c r="L350">
        <v>105</v>
      </c>
      <c r="M350">
        <v>0</v>
      </c>
      <c r="N350">
        <v>105</v>
      </c>
      <c r="O350">
        <v>0</v>
      </c>
      <c r="P350">
        <v>495</v>
      </c>
      <c r="Q350" s="3">
        <v>0</v>
      </c>
      <c r="R350">
        <v>0</v>
      </c>
      <c r="S350">
        <v>0</v>
      </c>
      <c r="U350">
        <v>-42.869565217391298</v>
      </c>
      <c r="V350">
        <v>0</v>
      </c>
      <c r="W350">
        <v>-0.86956521739130399</v>
      </c>
      <c r="X350">
        <v>-42</v>
      </c>
      <c r="Y350">
        <v>0</v>
      </c>
      <c r="Z350">
        <v>0</v>
      </c>
      <c r="AA350">
        <v>0</v>
      </c>
    </row>
    <row r="351" spans="3:27" x14ac:dyDescent="0.2">
      <c r="C351" t="s">
        <v>25</v>
      </c>
      <c r="D351" t="s">
        <v>26</v>
      </c>
      <c r="E351">
        <v>220</v>
      </c>
      <c r="F351">
        <v>60</v>
      </c>
      <c r="G351">
        <v>6</v>
      </c>
      <c r="H351">
        <v>3</v>
      </c>
      <c r="I351">
        <v>0</v>
      </c>
      <c r="J351">
        <v>75</v>
      </c>
      <c r="K351">
        <v>890</v>
      </c>
      <c r="L351">
        <v>12</v>
      </c>
      <c r="M351">
        <v>3</v>
      </c>
      <c r="N351">
        <v>5</v>
      </c>
      <c r="O351">
        <v>30</v>
      </c>
      <c r="P351">
        <v>198</v>
      </c>
      <c r="Q351" s="3">
        <v>13.636363636363599</v>
      </c>
      <c r="R351">
        <v>1</v>
      </c>
      <c r="S351">
        <v>0</v>
      </c>
      <c r="U351">
        <v>-5.3524844720496896</v>
      </c>
      <c r="V351">
        <v>-0.75</v>
      </c>
      <c r="W351">
        <v>-9.6739130434782599</v>
      </c>
      <c r="X351">
        <v>-2</v>
      </c>
      <c r="Y351">
        <v>0</v>
      </c>
      <c r="Z351">
        <v>6</v>
      </c>
      <c r="AA351">
        <v>1.0714285714285701</v>
      </c>
    </row>
    <row r="352" spans="3:27" x14ac:dyDescent="0.2">
      <c r="C352" t="s">
        <v>25</v>
      </c>
      <c r="D352" t="s">
        <v>28</v>
      </c>
      <c r="E352">
        <v>260</v>
      </c>
      <c r="F352">
        <v>90</v>
      </c>
      <c r="G352">
        <v>9</v>
      </c>
      <c r="H352">
        <v>4</v>
      </c>
      <c r="I352">
        <v>0</v>
      </c>
      <c r="J352">
        <v>90</v>
      </c>
      <c r="K352">
        <v>1010</v>
      </c>
      <c r="L352">
        <v>12</v>
      </c>
      <c r="M352">
        <v>3</v>
      </c>
      <c r="N352">
        <v>5</v>
      </c>
      <c r="O352">
        <v>33</v>
      </c>
      <c r="P352">
        <v>236</v>
      </c>
      <c r="Q352" s="3">
        <v>12.692307692307701</v>
      </c>
      <c r="R352">
        <v>1</v>
      </c>
      <c r="S352">
        <v>0</v>
      </c>
      <c r="U352">
        <v>-6.3068322981366496</v>
      </c>
      <c r="V352">
        <v>-1</v>
      </c>
      <c r="W352">
        <v>-10.978260869565201</v>
      </c>
      <c r="X352">
        <v>-2</v>
      </c>
      <c r="Y352">
        <v>0</v>
      </c>
      <c r="Z352">
        <v>6.6</v>
      </c>
      <c r="AA352">
        <v>1.0714285714285701</v>
      </c>
    </row>
    <row r="353" spans="3:27" x14ac:dyDescent="0.2">
      <c r="C353" t="s">
        <v>25</v>
      </c>
      <c r="D353" t="s">
        <v>31</v>
      </c>
      <c r="E353">
        <v>60</v>
      </c>
      <c r="F353">
        <v>0</v>
      </c>
      <c r="G353">
        <v>0</v>
      </c>
      <c r="H353">
        <v>0</v>
      </c>
      <c r="I353">
        <v>0</v>
      </c>
      <c r="J353">
        <v>5</v>
      </c>
      <c r="K353">
        <v>85</v>
      </c>
      <c r="L353">
        <v>9</v>
      </c>
      <c r="M353">
        <v>0</v>
      </c>
      <c r="N353">
        <v>9</v>
      </c>
      <c r="O353">
        <v>6</v>
      </c>
      <c r="P353">
        <v>63</v>
      </c>
      <c r="Q353" s="3">
        <v>10</v>
      </c>
      <c r="R353">
        <v>0</v>
      </c>
      <c r="S353">
        <v>0</v>
      </c>
      <c r="U353">
        <v>-3.3239130434782602</v>
      </c>
      <c r="V353">
        <v>0</v>
      </c>
      <c r="W353">
        <v>-0.92391304347826098</v>
      </c>
      <c r="X353">
        <v>-3.6</v>
      </c>
      <c r="Y353">
        <v>0</v>
      </c>
      <c r="Z353">
        <v>1.2</v>
      </c>
      <c r="AA353">
        <v>0</v>
      </c>
    </row>
    <row r="354" spans="3:27" x14ac:dyDescent="0.2">
      <c r="C354" t="s">
        <v>25</v>
      </c>
      <c r="D354" t="s">
        <v>32</v>
      </c>
      <c r="E354">
        <v>80</v>
      </c>
      <c r="F354">
        <v>0</v>
      </c>
      <c r="G354">
        <v>0</v>
      </c>
      <c r="H354">
        <v>0</v>
      </c>
      <c r="I354">
        <v>0</v>
      </c>
      <c r="J354">
        <v>5</v>
      </c>
      <c r="K354">
        <v>110</v>
      </c>
      <c r="L354">
        <v>12</v>
      </c>
      <c r="M354">
        <v>0</v>
      </c>
      <c r="N354">
        <v>12</v>
      </c>
      <c r="O354">
        <v>8</v>
      </c>
      <c r="P354">
        <v>84</v>
      </c>
      <c r="Q354" s="3">
        <v>10</v>
      </c>
      <c r="R354">
        <v>0</v>
      </c>
      <c r="S354">
        <v>0</v>
      </c>
      <c r="U354">
        <v>-4.3956521739130396</v>
      </c>
      <c r="V354">
        <v>0</v>
      </c>
      <c r="W354">
        <v>-1.1956521739130399</v>
      </c>
      <c r="X354">
        <v>-4.8</v>
      </c>
      <c r="Y354">
        <v>0</v>
      </c>
      <c r="Z354">
        <v>1.6</v>
      </c>
      <c r="AA354">
        <v>0</v>
      </c>
    </row>
    <row r="355" spans="3:27" x14ac:dyDescent="0.2">
      <c r="C355" t="s">
        <v>25</v>
      </c>
      <c r="D355" t="s">
        <v>33</v>
      </c>
      <c r="E355">
        <v>90</v>
      </c>
      <c r="F355">
        <v>0</v>
      </c>
      <c r="G355">
        <v>0</v>
      </c>
      <c r="H355">
        <v>0</v>
      </c>
      <c r="I355">
        <v>0</v>
      </c>
      <c r="J355">
        <v>5</v>
      </c>
      <c r="K355">
        <v>130</v>
      </c>
      <c r="L355">
        <v>13</v>
      </c>
      <c r="M355">
        <v>0</v>
      </c>
      <c r="N355">
        <v>13</v>
      </c>
      <c r="O355">
        <v>9</v>
      </c>
      <c r="P355">
        <v>94</v>
      </c>
      <c r="Q355" s="3">
        <v>10</v>
      </c>
      <c r="R355">
        <v>0</v>
      </c>
      <c r="S355">
        <v>0</v>
      </c>
      <c r="U355">
        <v>-4.8130434782608704</v>
      </c>
      <c r="V355">
        <v>0</v>
      </c>
      <c r="W355">
        <v>-1.4130434782608701</v>
      </c>
      <c r="X355">
        <v>-5.2</v>
      </c>
      <c r="Y355">
        <v>0</v>
      </c>
      <c r="Z355">
        <v>1.8</v>
      </c>
      <c r="AA355">
        <v>0</v>
      </c>
    </row>
    <row r="356" spans="3:27" x14ac:dyDescent="0.2">
      <c r="C356" t="s">
        <v>25</v>
      </c>
      <c r="D356" t="s">
        <v>34</v>
      </c>
      <c r="E356">
        <v>90</v>
      </c>
      <c r="F356">
        <v>0</v>
      </c>
      <c r="G356">
        <v>0</v>
      </c>
      <c r="H356">
        <v>0</v>
      </c>
      <c r="I356">
        <v>0</v>
      </c>
      <c r="J356">
        <v>5</v>
      </c>
      <c r="K356">
        <v>115</v>
      </c>
      <c r="L356">
        <v>13</v>
      </c>
      <c r="M356">
        <v>0</v>
      </c>
      <c r="N356">
        <v>13</v>
      </c>
      <c r="O356">
        <v>9</v>
      </c>
      <c r="P356">
        <v>94</v>
      </c>
      <c r="Q356" s="3">
        <v>10</v>
      </c>
      <c r="R356">
        <v>0</v>
      </c>
      <c r="S356">
        <v>0</v>
      </c>
      <c r="U356">
        <v>-4.6500000000000004</v>
      </c>
      <c r="V356">
        <v>0</v>
      </c>
      <c r="W356">
        <v>-1.25</v>
      </c>
      <c r="X356">
        <v>-5.2</v>
      </c>
      <c r="Y356">
        <v>0</v>
      </c>
      <c r="Z356">
        <v>1.8</v>
      </c>
      <c r="AA356">
        <v>0</v>
      </c>
    </row>
    <row r="357" spans="3:27" x14ac:dyDescent="0.2">
      <c r="C357" t="s">
        <v>25</v>
      </c>
      <c r="D357" t="s">
        <v>35</v>
      </c>
      <c r="E357">
        <v>120</v>
      </c>
      <c r="F357">
        <v>0</v>
      </c>
      <c r="G357">
        <v>0</v>
      </c>
      <c r="H357">
        <v>0</v>
      </c>
      <c r="I357">
        <v>0</v>
      </c>
      <c r="J357">
        <v>5</v>
      </c>
      <c r="K357">
        <v>160</v>
      </c>
      <c r="L357">
        <v>18</v>
      </c>
      <c r="M357">
        <v>0</v>
      </c>
      <c r="N357">
        <v>18</v>
      </c>
      <c r="O357">
        <v>12</v>
      </c>
      <c r="P357">
        <v>126</v>
      </c>
      <c r="Q357" s="3">
        <v>10</v>
      </c>
      <c r="R357">
        <v>0</v>
      </c>
      <c r="S357">
        <v>0</v>
      </c>
      <c r="U357">
        <v>-6.53913043478261</v>
      </c>
      <c r="V357">
        <v>0</v>
      </c>
      <c r="W357">
        <v>-1.73913043478261</v>
      </c>
      <c r="X357">
        <v>-7.2</v>
      </c>
      <c r="Y357">
        <v>0</v>
      </c>
      <c r="Z357">
        <v>2.4</v>
      </c>
      <c r="AA357">
        <v>0</v>
      </c>
    </row>
    <row r="358" spans="3:27" x14ac:dyDescent="0.2">
      <c r="C358" t="s">
        <v>25</v>
      </c>
      <c r="D358" t="s">
        <v>36</v>
      </c>
      <c r="E358">
        <v>50</v>
      </c>
      <c r="F358">
        <v>0</v>
      </c>
      <c r="G358">
        <v>0</v>
      </c>
      <c r="H358">
        <v>0</v>
      </c>
      <c r="I358">
        <v>0</v>
      </c>
      <c r="J358">
        <v>5</v>
      </c>
      <c r="K358">
        <v>100</v>
      </c>
      <c r="L358">
        <v>15</v>
      </c>
      <c r="M358">
        <v>0</v>
      </c>
      <c r="N358">
        <v>8</v>
      </c>
      <c r="O358">
        <v>5</v>
      </c>
      <c r="P358">
        <v>53</v>
      </c>
      <c r="Q358" s="3">
        <v>10</v>
      </c>
      <c r="R358">
        <v>0</v>
      </c>
      <c r="S358">
        <v>0</v>
      </c>
      <c r="U358">
        <v>-3.2869565217391301</v>
      </c>
      <c r="V358">
        <v>0</v>
      </c>
      <c r="W358">
        <v>-1.0869565217391299</v>
      </c>
      <c r="X358">
        <v>-3.2</v>
      </c>
      <c r="Y358">
        <v>0</v>
      </c>
      <c r="Z358">
        <v>1</v>
      </c>
      <c r="AA358">
        <v>0</v>
      </c>
    </row>
    <row r="359" spans="3:27" x14ac:dyDescent="0.2">
      <c r="C359" t="s">
        <v>25</v>
      </c>
      <c r="D359" t="s">
        <v>37</v>
      </c>
      <c r="E359">
        <v>70</v>
      </c>
      <c r="F359">
        <v>0</v>
      </c>
      <c r="G359">
        <v>0</v>
      </c>
      <c r="H359">
        <v>0</v>
      </c>
      <c r="I359">
        <v>0</v>
      </c>
      <c r="J359">
        <v>5</v>
      </c>
      <c r="K359">
        <v>130</v>
      </c>
      <c r="L359">
        <v>19</v>
      </c>
      <c r="M359">
        <v>0</v>
      </c>
      <c r="N359">
        <v>10</v>
      </c>
      <c r="O359">
        <v>7</v>
      </c>
      <c r="P359">
        <v>73</v>
      </c>
      <c r="Q359" s="3">
        <v>10</v>
      </c>
      <c r="R359">
        <v>0</v>
      </c>
      <c r="S359">
        <v>0</v>
      </c>
      <c r="U359">
        <v>-4.0130434782608697</v>
      </c>
      <c r="V359">
        <v>0</v>
      </c>
      <c r="W359">
        <v>-1.4130434782608701</v>
      </c>
      <c r="X359">
        <v>-4</v>
      </c>
      <c r="Y359">
        <v>0</v>
      </c>
      <c r="Z359">
        <v>1.4</v>
      </c>
      <c r="AA359">
        <v>0</v>
      </c>
    </row>
    <row r="360" spans="3:27" x14ac:dyDescent="0.2">
      <c r="C360" t="s">
        <v>25</v>
      </c>
      <c r="D360" t="s">
        <v>38</v>
      </c>
      <c r="E360">
        <v>80</v>
      </c>
      <c r="F360">
        <v>0</v>
      </c>
      <c r="G360">
        <v>0</v>
      </c>
      <c r="H360">
        <v>0</v>
      </c>
      <c r="I360">
        <v>0</v>
      </c>
      <c r="J360">
        <v>5</v>
      </c>
      <c r="K360">
        <v>150</v>
      </c>
      <c r="L360">
        <v>22</v>
      </c>
      <c r="M360">
        <v>0</v>
      </c>
      <c r="N360">
        <v>11</v>
      </c>
      <c r="O360">
        <v>8</v>
      </c>
      <c r="P360">
        <v>83</v>
      </c>
      <c r="Q360" s="3">
        <v>10</v>
      </c>
      <c r="R360">
        <v>0</v>
      </c>
      <c r="S360">
        <v>0</v>
      </c>
      <c r="U360">
        <v>-4.4304347826086996</v>
      </c>
      <c r="V360">
        <v>0</v>
      </c>
      <c r="W360">
        <v>-1.6304347826087</v>
      </c>
      <c r="X360">
        <v>-4.4000000000000004</v>
      </c>
      <c r="Y360">
        <v>0</v>
      </c>
      <c r="Z360">
        <v>1.6</v>
      </c>
      <c r="AA360">
        <v>0</v>
      </c>
    </row>
    <row r="361" spans="3:27" x14ac:dyDescent="0.2">
      <c r="C361" t="s">
        <v>25</v>
      </c>
      <c r="D361" t="s">
        <v>39</v>
      </c>
      <c r="E361">
        <v>90</v>
      </c>
      <c r="F361">
        <v>0</v>
      </c>
      <c r="G361">
        <v>0</v>
      </c>
      <c r="H361">
        <v>0</v>
      </c>
      <c r="I361">
        <v>0</v>
      </c>
      <c r="J361">
        <v>5</v>
      </c>
      <c r="K361">
        <v>160</v>
      </c>
      <c r="L361">
        <v>22</v>
      </c>
      <c r="M361">
        <v>0</v>
      </c>
      <c r="N361">
        <v>13</v>
      </c>
      <c r="O361">
        <v>9</v>
      </c>
      <c r="P361">
        <v>94</v>
      </c>
      <c r="Q361" s="3">
        <v>10</v>
      </c>
      <c r="R361">
        <v>0</v>
      </c>
      <c r="S361">
        <v>0</v>
      </c>
      <c r="U361">
        <v>-5.1391304347826097</v>
      </c>
      <c r="V361">
        <v>0</v>
      </c>
      <c r="W361">
        <v>-1.73913043478261</v>
      </c>
      <c r="X361">
        <v>-5.2</v>
      </c>
      <c r="Y361">
        <v>0</v>
      </c>
      <c r="Z361">
        <v>1.8</v>
      </c>
      <c r="AA361">
        <v>0</v>
      </c>
    </row>
    <row r="362" spans="3:27" x14ac:dyDescent="0.2">
      <c r="C362" t="s">
        <v>25</v>
      </c>
      <c r="D362" t="s">
        <v>40</v>
      </c>
      <c r="E362">
        <v>110</v>
      </c>
      <c r="F362">
        <v>0</v>
      </c>
      <c r="G362">
        <v>0</v>
      </c>
      <c r="H362">
        <v>0</v>
      </c>
      <c r="I362">
        <v>0</v>
      </c>
      <c r="J362">
        <v>5</v>
      </c>
      <c r="K362">
        <v>190</v>
      </c>
      <c r="L362">
        <v>27</v>
      </c>
      <c r="M362">
        <v>0</v>
      </c>
      <c r="N362">
        <v>15</v>
      </c>
      <c r="O362">
        <v>11</v>
      </c>
      <c r="P362">
        <v>114</v>
      </c>
      <c r="Q362" s="3">
        <v>10</v>
      </c>
      <c r="R362">
        <v>0</v>
      </c>
      <c r="S362">
        <v>0</v>
      </c>
      <c r="U362">
        <v>-5.8652173913043502</v>
      </c>
      <c r="V362">
        <v>0</v>
      </c>
      <c r="W362">
        <v>-2.0652173913043499</v>
      </c>
      <c r="X362">
        <v>-6</v>
      </c>
      <c r="Y362">
        <v>0</v>
      </c>
      <c r="Z362">
        <v>2.2000000000000002</v>
      </c>
      <c r="AA362">
        <v>0</v>
      </c>
    </row>
    <row r="363" spans="3:27" x14ac:dyDescent="0.2">
      <c r="C363" t="s">
        <v>25</v>
      </c>
      <c r="D363" t="s">
        <v>43</v>
      </c>
      <c r="E363">
        <v>50</v>
      </c>
      <c r="F363">
        <v>0</v>
      </c>
      <c r="G363">
        <v>0</v>
      </c>
      <c r="H363">
        <v>0</v>
      </c>
      <c r="I363">
        <v>0</v>
      </c>
      <c r="J363">
        <v>5</v>
      </c>
      <c r="K363">
        <v>70</v>
      </c>
      <c r="L363">
        <v>7</v>
      </c>
      <c r="M363">
        <v>0</v>
      </c>
      <c r="N363">
        <v>7</v>
      </c>
      <c r="O363">
        <v>5</v>
      </c>
      <c r="P363">
        <v>52</v>
      </c>
      <c r="Q363" s="3">
        <v>10</v>
      </c>
      <c r="R363">
        <v>0</v>
      </c>
      <c r="S363">
        <v>0</v>
      </c>
      <c r="U363">
        <v>-2.5608695652173901</v>
      </c>
      <c r="V363">
        <v>0</v>
      </c>
      <c r="W363">
        <v>-0.76086956521739102</v>
      </c>
      <c r="X363">
        <v>-2.8</v>
      </c>
      <c r="Y363">
        <v>0</v>
      </c>
      <c r="Z363">
        <v>1</v>
      </c>
      <c r="AA363">
        <v>0</v>
      </c>
    </row>
    <row r="364" spans="3:27" x14ac:dyDescent="0.2">
      <c r="C364" t="s">
        <v>25</v>
      </c>
      <c r="D364" t="s">
        <v>46</v>
      </c>
      <c r="E364">
        <v>60</v>
      </c>
      <c r="F364">
        <v>0</v>
      </c>
      <c r="G364">
        <v>0</v>
      </c>
      <c r="H364">
        <v>0</v>
      </c>
      <c r="I364">
        <v>0</v>
      </c>
      <c r="J364">
        <v>5</v>
      </c>
      <c r="K364">
        <v>90</v>
      </c>
      <c r="L364">
        <v>9</v>
      </c>
      <c r="M364">
        <v>0</v>
      </c>
      <c r="N364">
        <v>9</v>
      </c>
      <c r="O364">
        <v>6</v>
      </c>
      <c r="P364">
        <v>63</v>
      </c>
      <c r="Q364" s="3">
        <v>10</v>
      </c>
      <c r="R364">
        <v>0</v>
      </c>
      <c r="S364">
        <v>0</v>
      </c>
      <c r="U364">
        <v>-3.3782608695652199</v>
      </c>
      <c r="V364">
        <v>0</v>
      </c>
      <c r="W364">
        <v>-0.97826086956521796</v>
      </c>
      <c r="X364">
        <v>-3.6</v>
      </c>
      <c r="Y364">
        <v>0</v>
      </c>
      <c r="Z364">
        <v>1.2</v>
      </c>
      <c r="AA364">
        <v>0</v>
      </c>
    </row>
    <row r="365" spans="3:27" x14ac:dyDescent="0.2">
      <c r="C365" t="s">
        <v>25</v>
      </c>
      <c r="D365" t="s">
        <v>47</v>
      </c>
      <c r="E365">
        <v>70</v>
      </c>
      <c r="F365">
        <v>0</v>
      </c>
      <c r="G365">
        <v>0</v>
      </c>
      <c r="H365">
        <v>0</v>
      </c>
      <c r="I365">
        <v>0</v>
      </c>
      <c r="J365">
        <v>5</v>
      </c>
      <c r="K365">
        <v>105</v>
      </c>
      <c r="L365">
        <v>11</v>
      </c>
      <c r="M365">
        <v>0</v>
      </c>
      <c r="N365">
        <v>11</v>
      </c>
      <c r="O365">
        <v>7</v>
      </c>
      <c r="P365">
        <v>74</v>
      </c>
      <c r="Q365" s="3">
        <v>10</v>
      </c>
      <c r="R365">
        <v>0</v>
      </c>
      <c r="S365">
        <v>0</v>
      </c>
      <c r="U365">
        <v>-4.1413043478260896</v>
      </c>
      <c r="V365">
        <v>0</v>
      </c>
      <c r="W365">
        <v>-1.14130434782609</v>
      </c>
      <c r="X365">
        <v>-4.4000000000000004</v>
      </c>
      <c r="Y365">
        <v>0</v>
      </c>
      <c r="Z365">
        <v>1.4</v>
      </c>
      <c r="AA365">
        <v>0</v>
      </c>
    </row>
    <row r="366" spans="3:27" x14ac:dyDescent="0.2">
      <c r="C366" t="s">
        <v>25</v>
      </c>
      <c r="D366" t="s">
        <v>48</v>
      </c>
      <c r="E366">
        <v>40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85</v>
      </c>
      <c r="L366">
        <v>13</v>
      </c>
      <c r="M366">
        <v>0</v>
      </c>
      <c r="N366">
        <v>5</v>
      </c>
      <c r="O366">
        <v>4</v>
      </c>
      <c r="P366">
        <v>41</v>
      </c>
      <c r="Q366" s="3">
        <v>10</v>
      </c>
      <c r="R366">
        <v>0</v>
      </c>
      <c r="S366">
        <v>0</v>
      </c>
      <c r="U366">
        <v>-2.12391304347826</v>
      </c>
      <c r="V366">
        <v>0</v>
      </c>
      <c r="W366">
        <v>-0.92391304347826098</v>
      </c>
      <c r="X366">
        <v>-2</v>
      </c>
      <c r="Y366">
        <v>0</v>
      </c>
      <c r="Z366">
        <v>0.8</v>
      </c>
      <c r="AA366">
        <v>0</v>
      </c>
    </row>
    <row r="367" spans="3:27" x14ac:dyDescent="0.2">
      <c r="C367" t="s">
        <v>25</v>
      </c>
      <c r="D367" t="s">
        <v>49</v>
      </c>
      <c r="E367">
        <v>50</v>
      </c>
      <c r="F367">
        <v>0</v>
      </c>
      <c r="G367">
        <v>0</v>
      </c>
      <c r="H367">
        <v>0</v>
      </c>
      <c r="I367">
        <v>0</v>
      </c>
      <c r="J367">
        <v>5</v>
      </c>
      <c r="K367">
        <v>100</v>
      </c>
      <c r="L367">
        <v>14</v>
      </c>
      <c r="M367">
        <v>0</v>
      </c>
      <c r="N367">
        <v>6</v>
      </c>
      <c r="O367">
        <v>5</v>
      </c>
      <c r="P367">
        <v>51</v>
      </c>
      <c r="Q367" s="3">
        <v>10</v>
      </c>
      <c r="R367">
        <v>0</v>
      </c>
      <c r="S367">
        <v>0</v>
      </c>
      <c r="U367">
        <v>-2.4869565217391298</v>
      </c>
      <c r="V367">
        <v>0</v>
      </c>
      <c r="W367">
        <v>-1.0869565217391299</v>
      </c>
      <c r="X367">
        <v>-2.4</v>
      </c>
      <c r="Y367">
        <v>0</v>
      </c>
      <c r="Z367">
        <v>1</v>
      </c>
      <c r="AA367">
        <v>0</v>
      </c>
    </row>
    <row r="368" spans="3:27" x14ac:dyDescent="0.2">
      <c r="C368" t="s">
        <v>25</v>
      </c>
      <c r="D368" t="s">
        <v>50</v>
      </c>
      <c r="E368">
        <v>60</v>
      </c>
      <c r="F368">
        <v>0</v>
      </c>
      <c r="G368">
        <v>0</v>
      </c>
      <c r="H368">
        <v>0</v>
      </c>
      <c r="I368">
        <v>0</v>
      </c>
      <c r="J368">
        <v>5</v>
      </c>
      <c r="K368">
        <v>130</v>
      </c>
      <c r="L368">
        <v>19</v>
      </c>
      <c r="M368">
        <v>0</v>
      </c>
      <c r="N368">
        <v>8</v>
      </c>
      <c r="O368">
        <v>6</v>
      </c>
      <c r="P368">
        <v>62</v>
      </c>
      <c r="Q368" s="3">
        <v>10</v>
      </c>
      <c r="R368">
        <v>0</v>
      </c>
      <c r="S368">
        <v>0</v>
      </c>
      <c r="U368">
        <v>-3.4130434782608701</v>
      </c>
      <c r="V368">
        <v>0</v>
      </c>
      <c r="W368">
        <v>-1.4130434782608701</v>
      </c>
      <c r="X368">
        <v>-3.2</v>
      </c>
      <c r="Y368">
        <v>0</v>
      </c>
      <c r="Z368">
        <v>1.2</v>
      </c>
      <c r="AA368">
        <v>0</v>
      </c>
    </row>
    <row r="369" spans="3:27" x14ac:dyDescent="0.2">
      <c r="C369" t="s">
        <v>25</v>
      </c>
      <c r="D369" t="s">
        <v>56</v>
      </c>
      <c r="E369">
        <v>320</v>
      </c>
      <c r="F369">
        <v>80</v>
      </c>
      <c r="G369">
        <v>9</v>
      </c>
      <c r="H369">
        <v>3</v>
      </c>
      <c r="I369">
        <v>0</v>
      </c>
      <c r="J369">
        <v>70</v>
      </c>
      <c r="K369">
        <v>960</v>
      </c>
      <c r="L369">
        <v>30</v>
      </c>
      <c r="M369">
        <v>6</v>
      </c>
      <c r="N369">
        <v>11</v>
      </c>
      <c r="O369">
        <v>30</v>
      </c>
      <c r="P369">
        <v>304</v>
      </c>
      <c r="Q369" s="3">
        <v>9.375</v>
      </c>
      <c r="R369">
        <v>1</v>
      </c>
      <c r="S369">
        <v>0</v>
      </c>
      <c r="U369">
        <v>-7.4419254658385103</v>
      </c>
      <c r="V369">
        <v>-0.75</v>
      </c>
      <c r="W369">
        <v>-10.4347826086957</v>
      </c>
      <c r="X369">
        <v>-4.4000000000000004</v>
      </c>
      <c r="Y369">
        <v>0</v>
      </c>
      <c r="Z369">
        <v>6</v>
      </c>
      <c r="AA369">
        <v>2.1428571428571401</v>
      </c>
    </row>
    <row r="370" spans="3:27" x14ac:dyDescent="0.2">
      <c r="C370" t="s">
        <v>25</v>
      </c>
      <c r="D370" t="s">
        <v>61</v>
      </c>
      <c r="E370">
        <v>110</v>
      </c>
      <c r="F370">
        <v>0</v>
      </c>
      <c r="G370">
        <v>0</v>
      </c>
      <c r="H370">
        <v>0</v>
      </c>
      <c r="I370">
        <v>0</v>
      </c>
      <c r="J370">
        <v>5</v>
      </c>
      <c r="K370">
        <v>140</v>
      </c>
      <c r="L370">
        <v>15</v>
      </c>
      <c r="M370">
        <v>0</v>
      </c>
      <c r="N370">
        <v>15</v>
      </c>
      <c r="O370">
        <v>10</v>
      </c>
      <c r="P370">
        <v>115</v>
      </c>
      <c r="Q370" s="3">
        <v>9.0909090909090899</v>
      </c>
      <c r="R370">
        <v>0</v>
      </c>
      <c r="S370">
        <v>0</v>
      </c>
      <c r="U370">
        <v>-5.5217391304347796</v>
      </c>
      <c r="V370">
        <v>0</v>
      </c>
      <c r="W370">
        <v>-1.52173913043478</v>
      </c>
      <c r="X370">
        <v>-6</v>
      </c>
      <c r="Y370">
        <v>0</v>
      </c>
      <c r="Z370">
        <v>2</v>
      </c>
      <c r="AA370">
        <v>0</v>
      </c>
    </row>
    <row r="371" spans="3:27" x14ac:dyDescent="0.2">
      <c r="C371" t="s">
        <v>25</v>
      </c>
      <c r="D371" t="s">
        <v>65</v>
      </c>
      <c r="E371">
        <v>80</v>
      </c>
      <c r="F371">
        <v>0</v>
      </c>
      <c r="G371">
        <v>0</v>
      </c>
      <c r="H371">
        <v>0</v>
      </c>
      <c r="I371">
        <v>0</v>
      </c>
      <c r="J371">
        <v>5</v>
      </c>
      <c r="K371">
        <v>130</v>
      </c>
      <c r="L371">
        <v>18</v>
      </c>
      <c r="M371">
        <v>0</v>
      </c>
      <c r="N371">
        <v>11</v>
      </c>
      <c r="O371">
        <v>7</v>
      </c>
      <c r="P371">
        <v>84</v>
      </c>
      <c r="Q371" s="3">
        <v>8.75</v>
      </c>
      <c r="R371">
        <v>0</v>
      </c>
      <c r="S371">
        <v>0</v>
      </c>
      <c r="U371">
        <v>-4.4130434782608701</v>
      </c>
      <c r="V371">
        <v>0</v>
      </c>
      <c r="W371">
        <v>-1.4130434782608701</v>
      </c>
      <c r="X371">
        <v>-4.4000000000000004</v>
      </c>
      <c r="Y371">
        <v>0</v>
      </c>
      <c r="Z371">
        <v>1.4</v>
      </c>
      <c r="AA371">
        <v>0</v>
      </c>
    </row>
    <row r="372" spans="3:27" x14ac:dyDescent="0.2">
      <c r="C372" t="s">
        <v>25</v>
      </c>
      <c r="D372" t="s">
        <v>68</v>
      </c>
      <c r="E372">
        <v>380</v>
      </c>
      <c r="F372">
        <v>90</v>
      </c>
      <c r="G372">
        <v>10</v>
      </c>
      <c r="H372">
        <v>3</v>
      </c>
      <c r="I372">
        <v>0</v>
      </c>
      <c r="J372">
        <v>75</v>
      </c>
      <c r="K372">
        <v>1000</v>
      </c>
      <c r="L372">
        <v>41</v>
      </c>
      <c r="M372">
        <v>4</v>
      </c>
      <c r="N372">
        <v>9</v>
      </c>
      <c r="O372">
        <v>31</v>
      </c>
      <c r="P372">
        <v>361</v>
      </c>
      <c r="Q372" s="3">
        <v>8.1578947368421098</v>
      </c>
      <c r="R372">
        <v>1</v>
      </c>
      <c r="S372">
        <v>0</v>
      </c>
      <c r="U372">
        <v>-7.59099378881987</v>
      </c>
      <c r="V372">
        <v>-0.75</v>
      </c>
      <c r="W372">
        <v>-10.869565217391299</v>
      </c>
      <c r="X372">
        <v>-3.6</v>
      </c>
      <c r="Y372">
        <v>0</v>
      </c>
      <c r="Z372">
        <v>6.2</v>
      </c>
      <c r="AA372">
        <v>1.4285714285714299</v>
      </c>
    </row>
    <row r="373" spans="3:27" x14ac:dyDescent="0.2">
      <c r="C373" t="s">
        <v>25</v>
      </c>
      <c r="D373" t="s">
        <v>70</v>
      </c>
      <c r="E373">
        <v>100</v>
      </c>
      <c r="F373">
        <v>20</v>
      </c>
      <c r="G373">
        <v>2.5</v>
      </c>
      <c r="H373">
        <v>1.5</v>
      </c>
      <c r="I373">
        <v>0</v>
      </c>
      <c r="J373">
        <v>10</v>
      </c>
      <c r="K373">
        <v>125</v>
      </c>
      <c r="L373">
        <v>12</v>
      </c>
      <c r="M373">
        <v>0</v>
      </c>
      <c r="N373">
        <v>12</v>
      </c>
      <c r="O373">
        <v>8</v>
      </c>
      <c r="P373">
        <v>105.5</v>
      </c>
      <c r="Q373" s="3">
        <v>8</v>
      </c>
      <c r="R373">
        <v>0</v>
      </c>
      <c r="S373">
        <v>0</v>
      </c>
      <c r="U373">
        <v>-4.9336956521739097</v>
      </c>
      <c r="V373">
        <v>-0.375</v>
      </c>
      <c r="W373">
        <v>-1.35869565217391</v>
      </c>
      <c r="X373">
        <v>-4.8</v>
      </c>
      <c r="Y373">
        <v>0</v>
      </c>
      <c r="Z373">
        <v>1.6</v>
      </c>
      <c r="AA373">
        <v>0</v>
      </c>
    </row>
    <row r="374" spans="3:27" x14ac:dyDescent="0.2">
      <c r="C374" t="s">
        <v>25</v>
      </c>
      <c r="D374" t="s">
        <v>72</v>
      </c>
      <c r="E374">
        <v>330</v>
      </c>
      <c r="F374">
        <v>150</v>
      </c>
      <c r="G374">
        <v>17</v>
      </c>
      <c r="H374">
        <v>4.5</v>
      </c>
      <c r="I374">
        <v>0</v>
      </c>
      <c r="J374">
        <v>60</v>
      </c>
      <c r="K374">
        <v>840</v>
      </c>
      <c r="L374">
        <v>20</v>
      </c>
      <c r="M374">
        <v>3</v>
      </c>
      <c r="N374">
        <v>6</v>
      </c>
      <c r="O374">
        <v>26</v>
      </c>
      <c r="P374">
        <v>314.5</v>
      </c>
      <c r="Q374" s="3">
        <v>7.8787878787878798</v>
      </c>
      <c r="R374">
        <v>1</v>
      </c>
      <c r="S374">
        <v>0</v>
      </c>
      <c r="U374">
        <v>-6.3840062111801199</v>
      </c>
      <c r="V374">
        <v>-1.125</v>
      </c>
      <c r="W374">
        <v>-9.1304347826087007</v>
      </c>
      <c r="X374">
        <v>-2.4</v>
      </c>
      <c r="Y374">
        <v>0</v>
      </c>
      <c r="Z374">
        <v>5.2</v>
      </c>
      <c r="AA374">
        <v>1.0714285714285701</v>
      </c>
    </row>
    <row r="375" spans="3:27" x14ac:dyDescent="0.2">
      <c r="C375" t="s">
        <v>25</v>
      </c>
      <c r="D375" t="s">
        <v>73</v>
      </c>
      <c r="E375">
        <v>370</v>
      </c>
      <c r="F375">
        <v>180</v>
      </c>
      <c r="G375">
        <v>20</v>
      </c>
      <c r="H375">
        <v>6</v>
      </c>
      <c r="I375">
        <v>0</v>
      </c>
      <c r="J375">
        <v>75</v>
      </c>
      <c r="K375">
        <v>970</v>
      </c>
      <c r="L375">
        <v>20</v>
      </c>
      <c r="M375">
        <v>3</v>
      </c>
      <c r="N375">
        <v>6</v>
      </c>
      <c r="O375">
        <v>29</v>
      </c>
      <c r="P375">
        <v>353</v>
      </c>
      <c r="Q375" s="3">
        <v>7.8378378378378404</v>
      </c>
      <c r="R375">
        <v>1</v>
      </c>
      <c r="S375">
        <v>0</v>
      </c>
      <c r="U375">
        <v>-7.5720496894410001</v>
      </c>
      <c r="V375">
        <v>-1.5</v>
      </c>
      <c r="W375">
        <v>-10.5434782608696</v>
      </c>
      <c r="X375">
        <v>-2.4</v>
      </c>
      <c r="Y375">
        <v>0</v>
      </c>
      <c r="Z375">
        <v>5.8</v>
      </c>
      <c r="AA375">
        <v>1.0714285714285701</v>
      </c>
    </row>
    <row r="376" spans="3:27" x14ac:dyDescent="0.2">
      <c r="C376" t="s">
        <v>25</v>
      </c>
      <c r="D376" t="s">
        <v>74</v>
      </c>
      <c r="E376">
        <v>90</v>
      </c>
      <c r="F376">
        <v>35</v>
      </c>
      <c r="G376">
        <v>4</v>
      </c>
      <c r="H376">
        <v>2.5</v>
      </c>
      <c r="I376">
        <v>0</v>
      </c>
      <c r="J376">
        <v>10</v>
      </c>
      <c r="K376">
        <v>180</v>
      </c>
      <c r="L376">
        <v>9</v>
      </c>
      <c r="M376">
        <v>3</v>
      </c>
      <c r="N376">
        <v>4</v>
      </c>
      <c r="O376">
        <v>7</v>
      </c>
      <c r="P376">
        <v>89.5</v>
      </c>
      <c r="Q376" s="3">
        <v>7.7777777777777803</v>
      </c>
      <c r="R376">
        <v>0</v>
      </c>
      <c r="S376">
        <v>0</v>
      </c>
      <c r="U376">
        <v>-1.71009316770186</v>
      </c>
      <c r="V376">
        <v>-0.625</v>
      </c>
      <c r="W376">
        <v>-1.9565217391304399</v>
      </c>
      <c r="X376">
        <v>-1.6</v>
      </c>
      <c r="Y376">
        <v>0</v>
      </c>
      <c r="Z376">
        <v>1.4</v>
      </c>
      <c r="AA376">
        <v>1.0714285714285701</v>
      </c>
    </row>
    <row r="377" spans="3:27" x14ac:dyDescent="0.2">
      <c r="C377" t="s">
        <v>25</v>
      </c>
      <c r="D377" t="s">
        <v>78</v>
      </c>
      <c r="E377">
        <v>460</v>
      </c>
      <c r="F377">
        <v>150</v>
      </c>
      <c r="G377">
        <v>17</v>
      </c>
      <c r="H377">
        <v>6</v>
      </c>
      <c r="I377">
        <v>0</v>
      </c>
      <c r="J377">
        <v>90</v>
      </c>
      <c r="K377">
        <v>1040</v>
      </c>
      <c r="L377">
        <v>43</v>
      </c>
      <c r="M377">
        <v>4</v>
      </c>
      <c r="N377">
        <v>9</v>
      </c>
      <c r="O377">
        <v>35</v>
      </c>
      <c r="P377">
        <v>440</v>
      </c>
      <c r="Q377" s="3">
        <v>7.6086956521739104</v>
      </c>
      <c r="R377">
        <v>1</v>
      </c>
      <c r="S377">
        <v>0</v>
      </c>
      <c r="U377">
        <v>-7.9757763975155296</v>
      </c>
      <c r="V377">
        <v>-1.5</v>
      </c>
      <c r="W377">
        <v>-11.304347826087</v>
      </c>
      <c r="X377">
        <v>-3.6</v>
      </c>
      <c r="Y377">
        <v>0</v>
      </c>
      <c r="Z377">
        <v>7</v>
      </c>
      <c r="AA377">
        <v>1.4285714285714299</v>
      </c>
    </row>
    <row r="378" spans="3:27" x14ac:dyDescent="0.2">
      <c r="C378" t="s">
        <v>25</v>
      </c>
      <c r="D378" t="s">
        <v>79</v>
      </c>
      <c r="E378">
        <v>360</v>
      </c>
      <c r="F378">
        <v>80</v>
      </c>
      <c r="G378">
        <v>9</v>
      </c>
      <c r="H378">
        <v>2</v>
      </c>
      <c r="I378">
        <v>0</v>
      </c>
      <c r="J378">
        <v>65</v>
      </c>
      <c r="K378">
        <v>820</v>
      </c>
      <c r="L378">
        <v>41</v>
      </c>
      <c r="M378">
        <v>4</v>
      </c>
      <c r="N378">
        <v>8</v>
      </c>
      <c r="O378">
        <v>27</v>
      </c>
      <c r="P378">
        <v>343</v>
      </c>
      <c r="Q378" s="3">
        <v>7.5</v>
      </c>
      <c r="R378">
        <v>1</v>
      </c>
      <c r="S378">
        <v>0</v>
      </c>
      <c r="U378">
        <v>-5.7844720496894402</v>
      </c>
      <c r="V378">
        <v>-0.5</v>
      </c>
      <c r="W378">
        <v>-8.9130434782608692</v>
      </c>
      <c r="X378">
        <v>-3.2</v>
      </c>
      <c r="Y378">
        <v>0</v>
      </c>
      <c r="Z378">
        <v>5.4</v>
      </c>
      <c r="AA378">
        <v>1.4285714285714299</v>
      </c>
    </row>
    <row r="379" spans="3:27" x14ac:dyDescent="0.2">
      <c r="C379" t="s">
        <v>25</v>
      </c>
      <c r="D379" t="s">
        <v>92</v>
      </c>
      <c r="E379">
        <v>260</v>
      </c>
      <c r="F379">
        <v>80</v>
      </c>
      <c r="G379">
        <v>9</v>
      </c>
      <c r="H379">
        <v>3.5</v>
      </c>
      <c r="I379">
        <v>0</v>
      </c>
      <c r="J379">
        <v>45</v>
      </c>
      <c r="K379">
        <v>800</v>
      </c>
      <c r="L379">
        <v>27</v>
      </c>
      <c r="M379">
        <v>1</v>
      </c>
      <c r="N379">
        <v>4</v>
      </c>
      <c r="O379">
        <v>18</v>
      </c>
      <c r="P379">
        <v>249.5</v>
      </c>
      <c r="Q379" s="3">
        <v>6.9230769230769198</v>
      </c>
      <c r="R379">
        <v>1</v>
      </c>
      <c r="S379">
        <v>0</v>
      </c>
      <c r="U379">
        <v>-7.2135093167701898</v>
      </c>
      <c r="V379">
        <v>-0.875</v>
      </c>
      <c r="W379">
        <v>-8.6956521739130395</v>
      </c>
      <c r="X379">
        <v>-1.6</v>
      </c>
      <c r="Y379">
        <v>0</v>
      </c>
      <c r="Z379">
        <v>3.6</v>
      </c>
      <c r="AA379">
        <v>0.35714285714285698</v>
      </c>
    </row>
    <row r="380" spans="3:27" x14ac:dyDescent="0.2">
      <c r="C380" t="s">
        <v>25</v>
      </c>
      <c r="D380" t="s">
        <v>93</v>
      </c>
      <c r="E380">
        <v>260</v>
      </c>
      <c r="F380">
        <v>80</v>
      </c>
      <c r="G380">
        <v>9</v>
      </c>
      <c r="H380">
        <v>3.5</v>
      </c>
      <c r="I380">
        <v>0</v>
      </c>
      <c r="J380">
        <v>45</v>
      </c>
      <c r="K380">
        <v>830</v>
      </c>
      <c r="L380">
        <v>28</v>
      </c>
      <c r="M380">
        <v>1</v>
      </c>
      <c r="N380">
        <v>5</v>
      </c>
      <c r="O380">
        <v>18</v>
      </c>
      <c r="P380">
        <v>250.5</v>
      </c>
      <c r="Q380" s="3">
        <v>6.9230769230769198</v>
      </c>
      <c r="R380">
        <v>1</v>
      </c>
      <c r="S380">
        <v>0</v>
      </c>
      <c r="U380">
        <v>-7.9395962732919303</v>
      </c>
      <c r="V380">
        <v>-0.875</v>
      </c>
      <c r="W380">
        <v>-9.0217391304347796</v>
      </c>
      <c r="X380">
        <v>-2</v>
      </c>
      <c r="Y380">
        <v>0</v>
      </c>
      <c r="Z380">
        <v>3.6</v>
      </c>
      <c r="AA380">
        <v>0.35714285714285698</v>
      </c>
    </row>
    <row r="381" spans="3:27" x14ac:dyDescent="0.2">
      <c r="C381" t="s">
        <v>25</v>
      </c>
      <c r="D381" t="s">
        <v>98</v>
      </c>
      <c r="E381">
        <v>270</v>
      </c>
      <c r="F381">
        <v>90</v>
      </c>
      <c r="G381">
        <v>10</v>
      </c>
      <c r="H381">
        <v>4</v>
      </c>
      <c r="I381">
        <v>0</v>
      </c>
      <c r="J381">
        <v>45</v>
      </c>
      <c r="K381">
        <v>830</v>
      </c>
      <c r="L381">
        <v>26</v>
      </c>
      <c r="M381">
        <v>1</v>
      </c>
      <c r="N381">
        <v>2</v>
      </c>
      <c r="O381">
        <v>18</v>
      </c>
      <c r="P381">
        <v>258</v>
      </c>
      <c r="Q381" s="3">
        <v>6.6666666666666696</v>
      </c>
      <c r="R381">
        <v>1</v>
      </c>
      <c r="S381">
        <v>0</v>
      </c>
      <c r="U381">
        <v>-6.8645962732919301</v>
      </c>
      <c r="V381">
        <v>-1</v>
      </c>
      <c r="W381">
        <v>-9.0217391304347796</v>
      </c>
      <c r="X381">
        <v>-0.8</v>
      </c>
      <c r="Y381">
        <v>0</v>
      </c>
      <c r="Z381">
        <v>3.6</v>
      </c>
      <c r="AA381">
        <v>0.35714285714285698</v>
      </c>
    </row>
    <row r="382" spans="3:27" x14ac:dyDescent="0.2">
      <c r="C382" t="s">
        <v>25</v>
      </c>
      <c r="D382" t="s">
        <v>105</v>
      </c>
      <c r="E382">
        <v>740</v>
      </c>
      <c r="F382">
        <v>380</v>
      </c>
      <c r="G382">
        <v>42</v>
      </c>
      <c r="H382">
        <v>19</v>
      </c>
      <c r="I382">
        <v>2.5</v>
      </c>
      <c r="J382">
        <v>155</v>
      </c>
      <c r="K382">
        <v>1380</v>
      </c>
      <c r="L382">
        <v>40</v>
      </c>
      <c r="M382">
        <v>3</v>
      </c>
      <c r="N382">
        <v>9</v>
      </c>
      <c r="O382">
        <v>48</v>
      </c>
      <c r="P382">
        <v>720</v>
      </c>
      <c r="Q382" s="3">
        <v>6.4864864864864904</v>
      </c>
      <c r="R382">
        <v>1</v>
      </c>
      <c r="S382">
        <v>0</v>
      </c>
      <c r="U382">
        <v>-12.6810714285714</v>
      </c>
      <c r="V382">
        <v>-4.75</v>
      </c>
      <c r="W382">
        <v>-15</v>
      </c>
      <c r="X382">
        <v>-3.6</v>
      </c>
      <c r="Y382">
        <v>-2.5000000000000001E-3</v>
      </c>
      <c r="Z382">
        <v>9.6</v>
      </c>
      <c r="AA382">
        <v>1.0714285714285701</v>
      </c>
    </row>
    <row r="383" spans="3:27" x14ac:dyDescent="0.2">
      <c r="C383" t="s">
        <v>25</v>
      </c>
      <c r="D383" t="s">
        <v>106</v>
      </c>
      <c r="E383">
        <v>140</v>
      </c>
      <c r="F383">
        <v>70</v>
      </c>
      <c r="G383">
        <v>7</v>
      </c>
      <c r="H383">
        <v>3.5</v>
      </c>
      <c r="I383">
        <v>0</v>
      </c>
      <c r="J383">
        <v>25</v>
      </c>
      <c r="K383">
        <v>300</v>
      </c>
      <c r="L383">
        <v>10</v>
      </c>
      <c r="M383">
        <v>3</v>
      </c>
      <c r="N383">
        <v>4</v>
      </c>
      <c r="O383">
        <v>9</v>
      </c>
      <c r="P383">
        <v>138.5</v>
      </c>
      <c r="Q383" s="3">
        <v>6.4285714285714297</v>
      </c>
      <c r="R383">
        <v>0</v>
      </c>
      <c r="S383">
        <v>0</v>
      </c>
      <c r="U383">
        <v>-2.8644409937888198</v>
      </c>
      <c r="V383">
        <v>-0.875</v>
      </c>
      <c r="W383">
        <v>-3.2608695652173898</v>
      </c>
      <c r="X383">
        <v>-1.6</v>
      </c>
      <c r="Y383">
        <v>0</v>
      </c>
      <c r="Z383">
        <v>1.8</v>
      </c>
      <c r="AA383">
        <v>1.0714285714285701</v>
      </c>
    </row>
    <row r="384" spans="3:27" x14ac:dyDescent="0.2">
      <c r="C384" t="s">
        <v>25</v>
      </c>
      <c r="D384" t="s">
        <v>113</v>
      </c>
      <c r="E384">
        <v>430</v>
      </c>
      <c r="F384">
        <v>180</v>
      </c>
      <c r="G384">
        <v>20</v>
      </c>
      <c r="H384">
        <v>4</v>
      </c>
      <c r="I384">
        <v>0</v>
      </c>
      <c r="J384">
        <v>55</v>
      </c>
      <c r="K384">
        <v>920</v>
      </c>
      <c r="L384">
        <v>38</v>
      </c>
      <c r="M384">
        <v>6</v>
      </c>
      <c r="N384">
        <v>12</v>
      </c>
      <c r="O384">
        <v>26</v>
      </c>
      <c r="P384">
        <v>420</v>
      </c>
      <c r="Q384" s="3">
        <v>6.0465116279069804</v>
      </c>
      <c r="R384">
        <v>1</v>
      </c>
      <c r="S384">
        <v>0</v>
      </c>
      <c r="U384">
        <v>-8.4571428571428608</v>
      </c>
      <c r="V384">
        <v>-1</v>
      </c>
      <c r="W384">
        <v>-10</v>
      </c>
      <c r="X384">
        <v>-4.8</v>
      </c>
      <c r="Y384">
        <v>0</v>
      </c>
      <c r="Z384">
        <v>5.2</v>
      </c>
      <c r="AA384">
        <v>2.1428571428571401</v>
      </c>
    </row>
    <row r="385" spans="3:27" x14ac:dyDescent="0.2">
      <c r="C385" t="s">
        <v>25</v>
      </c>
      <c r="D385" t="s">
        <v>114</v>
      </c>
      <c r="E385">
        <v>400</v>
      </c>
      <c r="F385">
        <v>150</v>
      </c>
      <c r="G385">
        <v>17</v>
      </c>
      <c r="H385">
        <v>3</v>
      </c>
      <c r="I385">
        <v>0</v>
      </c>
      <c r="J385">
        <v>45</v>
      </c>
      <c r="K385">
        <v>1030</v>
      </c>
      <c r="L385">
        <v>39</v>
      </c>
      <c r="M385">
        <v>1</v>
      </c>
      <c r="N385">
        <v>6</v>
      </c>
      <c r="O385">
        <v>24</v>
      </c>
      <c r="P385">
        <v>385</v>
      </c>
      <c r="Q385" s="3">
        <v>6</v>
      </c>
      <c r="R385">
        <v>1</v>
      </c>
      <c r="S385">
        <v>0</v>
      </c>
      <c r="U385">
        <v>-9.1885093167701903</v>
      </c>
      <c r="V385">
        <v>-0.75</v>
      </c>
      <c r="W385">
        <v>-11.195652173913</v>
      </c>
      <c r="X385">
        <v>-2.4</v>
      </c>
      <c r="Y385">
        <v>0</v>
      </c>
      <c r="Z385">
        <v>4.8</v>
      </c>
      <c r="AA385">
        <v>0.35714285714285698</v>
      </c>
    </row>
    <row r="386" spans="3:27" x14ac:dyDescent="0.2">
      <c r="C386" t="s">
        <v>25</v>
      </c>
      <c r="D386" t="s">
        <v>115</v>
      </c>
      <c r="E386">
        <v>300</v>
      </c>
      <c r="F386">
        <v>110</v>
      </c>
      <c r="G386">
        <v>12</v>
      </c>
      <c r="H386">
        <v>5</v>
      </c>
      <c r="I386">
        <v>0</v>
      </c>
      <c r="J386">
        <v>260</v>
      </c>
      <c r="K386">
        <v>820</v>
      </c>
      <c r="L386">
        <v>30</v>
      </c>
      <c r="M386">
        <v>2</v>
      </c>
      <c r="N386">
        <v>3</v>
      </c>
      <c r="O386">
        <v>18</v>
      </c>
      <c r="P386">
        <v>290</v>
      </c>
      <c r="Q386" s="3">
        <v>6</v>
      </c>
      <c r="R386">
        <v>1</v>
      </c>
      <c r="S386">
        <v>0</v>
      </c>
      <c r="U386">
        <v>-7.04875776397515</v>
      </c>
      <c r="V386">
        <v>-1.25</v>
      </c>
      <c r="W386">
        <v>-8.9130434782608692</v>
      </c>
      <c r="X386">
        <v>-1.2</v>
      </c>
      <c r="Y386">
        <v>0</v>
      </c>
      <c r="Z386">
        <v>3.6</v>
      </c>
      <c r="AA386">
        <v>0.71428571428571397</v>
      </c>
    </row>
    <row r="387" spans="3:27" x14ac:dyDescent="0.2">
      <c r="C387" t="s">
        <v>25</v>
      </c>
      <c r="D387" t="s">
        <v>116</v>
      </c>
      <c r="E387">
        <v>100</v>
      </c>
      <c r="F387">
        <v>50</v>
      </c>
      <c r="G387">
        <v>6</v>
      </c>
      <c r="H387">
        <v>3.5</v>
      </c>
      <c r="I387">
        <v>0</v>
      </c>
      <c r="J387">
        <v>15</v>
      </c>
      <c r="K387">
        <v>80</v>
      </c>
      <c r="L387">
        <v>8</v>
      </c>
      <c r="M387">
        <v>0</v>
      </c>
      <c r="N387">
        <v>8</v>
      </c>
      <c r="O387">
        <v>6</v>
      </c>
      <c r="P387">
        <v>105.5</v>
      </c>
      <c r="Q387" s="3">
        <v>6</v>
      </c>
      <c r="R387">
        <v>0</v>
      </c>
      <c r="S387">
        <v>0</v>
      </c>
      <c r="U387">
        <v>-3.7445652173913002</v>
      </c>
      <c r="V387">
        <v>-0.875</v>
      </c>
      <c r="W387">
        <v>-0.86956521739130399</v>
      </c>
      <c r="X387">
        <v>-3.2</v>
      </c>
      <c r="Y387">
        <v>0</v>
      </c>
      <c r="Z387">
        <v>1.2</v>
      </c>
      <c r="AA387">
        <v>0</v>
      </c>
    </row>
    <row r="388" spans="3:27" x14ac:dyDescent="0.2">
      <c r="C388" t="s">
        <v>25</v>
      </c>
      <c r="D388" t="s">
        <v>129</v>
      </c>
      <c r="E388">
        <v>660</v>
      </c>
      <c r="F388">
        <v>360</v>
      </c>
      <c r="G388">
        <v>40</v>
      </c>
      <c r="H388">
        <v>6</v>
      </c>
      <c r="I388">
        <v>0</v>
      </c>
      <c r="J388">
        <v>85</v>
      </c>
      <c r="K388">
        <v>1680</v>
      </c>
      <c r="L388">
        <v>39</v>
      </c>
      <c r="M388">
        <v>0</v>
      </c>
      <c r="N388">
        <v>0</v>
      </c>
      <c r="O388">
        <v>38</v>
      </c>
      <c r="P388">
        <v>628</v>
      </c>
      <c r="Q388" s="3">
        <v>5.7575757575757596</v>
      </c>
      <c r="R388">
        <v>1</v>
      </c>
      <c r="S388">
        <v>0</v>
      </c>
      <c r="U388">
        <v>-12.1608695652174</v>
      </c>
      <c r="V388">
        <v>-1.5</v>
      </c>
      <c r="W388">
        <v>-18.260869565217401</v>
      </c>
      <c r="X388">
        <v>0</v>
      </c>
      <c r="Y388">
        <v>0</v>
      </c>
      <c r="Z388">
        <v>7.6</v>
      </c>
      <c r="AA388">
        <v>0</v>
      </c>
    </row>
    <row r="389" spans="3:27" x14ac:dyDescent="0.2">
      <c r="C389" t="s">
        <v>25</v>
      </c>
      <c r="D389" t="s">
        <v>131</v>
      </c>
      <c r="E389">
        <v>400</v>
      </c>
      <c r="F389">
        <v>210</v>
      </c>
      <c r="G389">
        <v>24</v>
      </c>
      <c r="H389">
        <v>3.5</v>
      </c>
      <c r="I389">
        <v>0</v>
      </c>
      <c r="J389">
        <v>50</v>
      </c>
      <c r="K389">
        <v>1010</v>
      </c>
      <c r="L389">
        <v>23</v>
      </c>
      <c r="M389">
        <v>0</v>
      </c>
      <c r="N389">
        <v>0</v>
      </c>
      <c r="O389">
        <v>23</v>
      </c>
      <c r="P389">
        <v>380.5</v>
      </c>
      <c r="Q389" s="3">
        <v>5.75</v>
      </c>
      <c r="R389">
        <v>1</v>
      </c>
      <c r="S389">
        <v>0</v>
      </c>
      <c r="U389">
        <v>-7.2532608695652199</v>
      </c>
      <c r="V389">
        <v>-0.875</v>
      </c>
      <c r="W389">
        <v>-10.978260869565201</v>
      </c>
      <c r="X389">
        <v>0</v>
      </c>
      <c r="Y389">
        <v>0</v>
      </c>
      <c r="Z389">
        <v>4.5999999999999996</v>
      </c>
      <c r="AA389">
        <v>0</v>
      </c>
    </row>
    <row r="390" spans="3:27" x14ac:dyDescent="0.2">
      <c r="C390" t="s">
        <v>25</v>
      </c>
      <c r="D390" t="s">
        <v>133</v>
      </c>
      <c r="E390">
        <v>770</v>
      </c>
      <c r="F390">
        <v>360</v>
      </c>
      <c r="G390">
        <v>40</v>
      </c>
      <c r="H390">
        <v>17</v>
      </c>
      <c r="I390">
        <v>2</v>
      </c>
      <c r="J390">
        <v>135</v>
      </c>
      <c r="K390">
        <v>1170</v>
      </c>
      <c r="L390">
        <v>59</v>
      </c>
      <c r="M390">
        <v>4</v>
      </c>
      <c r="N390">
        <v>8</v>
      </c>
      <c r="O390">
        <v>44</v>
      </c>
      <c r="P390">
        <v>751</v>
      </c>
      <c r="Q390" s="3">
        <v>5.71428571428571</v>
      </c>
      <c r="R390">
        <v>1</v>
      </c>
      <c r="S390">
        <v>0</v>
      </c>
      <c r="U390">
        <v>-9.9408198757763895</v>
      </c>
      <c r="V390">
        <v>-4.25</v>
      </c>
      <c r="W390">
        <v>-12.7173913043478</v>
      </c>
      <c r="X390">
        <v>-3.2</v>
      </c>
      <c r="Y390">
        <v>-2E-3</v>
      </c>
      <c r="Z390">
        <v>8.8000000000000007</v>
      </c>
      <c r="AA390">
        <v>1.4285714285714299</v>
      </c>
    </row>
    <row r="391" spans="3:27" x14ac:dyDescent="0.2">
      <c r="C391" t="s">
        <v>25</v>
      </c>
      <c r="D391" t="s">
        <v>134</v>
      </c>
      <c r="E391">
        <v>140</v>
      </c>
      <c r="F391">
        <v>70</v>
      </c>
      <c r="G391">
        <v>8</v>
      </c>
      <c r="H391">
        <v>4.5</v>
      </c>
      <c r="I391">
        <v>0</v>
      </c>
      <c r="J391">
        <v>25</v>
      </c>
      <c r="K391">
        <v>105</v>
      </c>
      <c r="L391">
        <v>11</v>
      </c>
      <c r="M391">
        <v>0</v>
      </c>
      <c r="N391">
        <v>11</v>
      </c>
      <c r="O391">
        <v>8</v>
      </c>
      <c r="P391">
        <v>147.5</v>
      </c>
      <c r="Q391" s="3">
        <v>5.71428571428571</v>
      </c>
      <c r="R391">
        <v>0</v>
      </c>
      <c r="S391">
        <v>0</v>
      </c>
      <c r="U391">
        <v>-5.0663043478260903</v>
      </c>
      <c r="V391">
        <v>-1.125</v>
      </c>
      <c r="W391">
        <v>-1.14130434782609</v>
      </c>
      <c r="X391">
        <v>-4.4000000000000004</v>
      </c>
      <c r="Y391">
        <v>0</v>
      </c>
      <c r="Z391">
        <v>1.6</v>
      </c>
      <c r="AA391">
        <v>0</v>
      </c>
    </row>
    <row r="392" spans="3:27" x14ac:dyDescent="0.2">
      <c r="C392" t="s">
        <v>25</v>
      </c>
      <c r="D392" t="s">
        <v>136</v>
      </c>
      <c r="E392">
        <v>790</v>
      </c>
      <c r="F392">
        <v>350</v>
      </c>
      <c r="G392">
        <v>39</v>
      </c>
      <c r="H392">
        <v>17</v>
      </c>
      <c r="I392">
        <v>2</v>
      </c>
      <c r="J392">
        <v>145</v>
      </c>
      <c r="K392">
        <v>2070</v>
      </c>
      <c r="L392">
        <v>63</v>
      </c>
      <c r="M392">
        <v>4</v>
      </c>
      <c r="N392">
        <v>13</v>
      </c>
      <c r="O392">
        <v>45</v>
      </c>
      <c r="P392">
        <v>775</v>
      </c>
      <c r="Q392" s="3">
        <v>5.6962025316455698</v>
      </c>
      <c r="R392">
        <v>1</v>
      </c>
      <c r="S392">
        <v>0</v>
      </c>
      <c r="U392">
        <v>-21.5234285714286</v>
      </c>
      <c r="V392">
        <v>-4.25</v>
      </c>
      <c r="W392">
        <v>-22.5</v>
      </c>
      <c r="X392">
        <v>-5.2</v>
      </c>
      <c r="Y392">
        <v>-2E-3</v>
      </c>
      <c r="Z392">
        <v>9</v>
      </c>
      <c r="AA392">
        <v>1.4285714285714299</v>
      </c>
    </row>
    <row r="393" spans="3:27" x14ac:dyDescent="0.2">
      <c r="C393" t="s">
        <v>25</v>
      </c>
      <c r="D393" t="s">
        <v>137</v>
      </c>
      <c r="E393">
        <v>510</v>
      </c>
      <c r="F393">
        <v>230</v>
      </c>
      <c r="G393">
        <v>26</v>
      </c>
      <c r="H393">
        <v>12</v>
      </c>
      <c r="I393">
        <v>1.5</v>
      </c>
      <c r="J393">
        <v>90</v>
      </c>
      <c r="K393">
        <v>1190</v>
      </c>
      <c r="L393">
        <v>40</v>
      </c>
      <c r="M393">
        <v>3</v>
      </c>
      <c r="N393">
        <v>9</v>
      </c>
      <c r="O393">
        <v>29</v>
      </c>
      <c r="P393">
        <v>502</v>
      </c>
      <c r="Q393" s="3">
        <v>5.68627450980392</v>
      </c>
      <c r="R393">
        <v>1</v>
      </c>
      <c r="S393">
        <v>0</v>
      </c>
      <c r="U393">
        <v>-12.6648540372671</v>
      </c>
      <c r="V393">
        <v>-3</v>
      </c>
      <c r="W393">
        <v>-12.9347826086957</v>
      </c>
      <c r="X393">
        <v>-3.6</v>
      </c>
      <c r="Y393">
        <v>-1.5E-3</v>
      </c>
      <c r="Z393">
        <v>5.8</v>
      </c>
      <c r="AA393">
        <v>1.0714285714285701</v>
      </c>
    </row>
    <row r="394" spans="3:27" x14ac:dyDescent="0.2">
      <c r="C394" t="s">
        <v>25</v>
      </c>
      <c r="D394" t="s">
        <v>120</v>
      </c>
      <c r="E394">
        <v>440</v>
      </c>
      <c r="F394">
        <v>210</v>
      </c>
      <c r="G394">
        <v>23</v>
      </c>
      <c r="H394">
        <v>11</v>
      </c>
      <c r="I394">
        <v>1.5</v>
      </c>
      <c r="J394">
        <v>80</v>
      </c>
      <c r="K394">
        <v>1150</v>
      </c>
      <c r="L394">
        <v>34</v>
      </c>
      <c r="M394">
        <v>2</v>
      </c>
      <c r="N394">
        <v>7</v>
      </c>
      <c r="O394">
        <v>25</v>
      </c>
      <c r="P394">
        <v>433</v>
      </c>
      <c r="Q394" s="3">
        <v>5.6818181818181799</v>
      </c>
      <c r="R394">
        <v>1</v>
      </c>
      <c r="S394">
        <v>0</v>
      </c>
      <c r="U394">
        <v>-12.3372142857143</v>
      </c>
      <c r="V394">
        <v>-2.75</v>
      </c>
      <c r="W394">
        <v>-12.5</v>
      </c>
      <c r="X394">
        <v>-2.8</v>
      </c>
      <c r="Y394">
        <v>-1.5E-3</v>
      </c>
      <c r="Z394">
        <v>5</v>
      </c>
      <c r="AA394">
        <v>0.71428571428571397</v>
      </c>
    </row>
    <row r="395" spans="3:27" x14ac:dyDescent="0.2">
      <c r="C395" t="s">
        <v>25</v>
      </c>
      <c r="D395" t="s">
        <v>142</v>
      </c>
      <c r="E395">
        <v>390</v>
      </c>
      <c r="F395">
        <v>170</v>
      </c>
      <c r="G395">
        <v>19</v>
      </c>
      <c r="H395">
        <v>8</v>
      </c>
      <c r="I395">
        <v>1</v>
      </c>
      <c r="J395">
        <v>65</v>
      </c>
      <c r="K395">
        <v>920</v>
      </c>
      <c r="L395">
        <v>33</v>
      </c>
      <c r="M395">
        <v>2</v>
      </c>
      <c r="N395">
        <v>7</v>
      </c>
      <c r="O395">
        <v>22</v>
      </c>
      <c r="P395">
        <v>383</v>
      </c>
      <c r="Q395" s="3">
        <v>5.6410256410256396</v>
      </c>
      <c r="R395">
        <v>1</v>
      </c>
      <c r="S395">
        <v>0</v>
      </c>
      <c r="U395">
        <v>-9.6867142857142898</v>
      </c>
      <c r="V395">
        <v>-2</v>
      </c>
      <c r="W395">
        <v>-10</v>
      </c>
      <c r="X395">
        <v>-2.8</v>
      </c>
      <c r="Y395">
        <v>-1E-3</v>
      </c>
      <c r="Z395">
        <v>4.4000000000000004</v>
      </c>
      <c r="AA395">
        <v>0.71428571428571397</v>
      </c>
    </row>
    <row r="396" spans="3:27" x14ac:dyDescent="0.2">
      <c r="C396" t="s">
        <v>25</v>
      </c>
      <c r="D396" t="s">
        <v>143</v>
      </c>
      <c r="E396">
        <v>800</v>
      </c>
      <c r="F396">
        <v>350</v>
      </c>
      <c r="G396">
        <v>39</v>
      </c>
      <c r="H396">
        <v>18</v>
      </c>
      <c r="I396">
        <v>2</v>
      </c>
      <c r="J396">
        <v>145</v>
      </c>
      <c r="K396">
        <v>2020</v>
      </c>
      <c r="L396">
        <v>66</v>
      </c>
      <c r="M396">
        <v>4</v>
      </c>
      <c r="N396">
        <v>16</v>
      </c>
      <c r="O396">
        <v>45</v>
      </c>
      <c r="P396">
        <v>789</v>
      </c>
      <c r="Q396" s="3">
        <v>5.625</v>
      </c>
      <c r="R396">
        <v>1</v>
      </c>
      <c r="S396">
        <v>0</v>
      </c>
      <c r="U396">
        <v>-22.429950310559001</v>
      </c>
      <c r="V396">
        <v>-4.5</v>
      </c>
      <c r="W396">
        <v>-21.956521739130402</v>
      </c>
      <c r="X396">
        <v>-6.4</v>
      </c>
      <c r="Y396">
        <v>-2E-3</v>
      </c>
      <c r="Z396">
        <v>9</v>
      </c>
      <c r="AA396">
        <v>1.4285714285714299</v>
      </c>
    </row>
    <row r="397" spans="3:27" x14ac:dyDescent="0.2">
      <c r="C397" t="s">
        <v>25</v>
      </c>
      <c r="D397" t="s">
        <v>146</v>
      </c>
      <c r="E397">
        <v>180</v>
      </c>
      <c r="F397">
        <v>90</v>
      </c>
      <c r="G397">
        <v>10</v>
      </c>
      <c r="H397">
        <v>6</v>
      </c>
      <c r="I397">
        <v>0</v>
      </c>
      <c r="J397">
        <v>30</v>
      </c>
      <c r="K397">
        <v>130</v>
      </c>
      <c r="L397">
        <v>13</v>
      </c>
      <c r="M397">
        <v>0</v>
      </c>
      <c r="N397">
        <v>13</v>
      </c>
      <c r="O397">
        <v>10</v>
      </c>
      <c r="P397">
        <v>189</v>
      </c>
      <c r="Q397" s="3">
        <v>5.5555555555555598</v>
      </c>
      <c r="R397">
        <v>0</v>
      </c>
      <c r="S397">
        <v>0</v>
      </c>
      <c r="U397">
        <v>-6.1130434782608702</v>
      </c>
      <c r="V397">
        <v>-1.5</v>
      </c>
      <c r="W397">
        <v>-1.4130434782608701</v>
      </c>
      <c r="X397">
        <v>-5.2</v>
      </c>
      <c r="Y397">
        <v>0</v>
      </c>
      <c r="Z397">
        <v>2</v>
      </c>
      <c r="AA397">
        <v>0</v>
      </c>
    </row>
    <row r="398" spans="3:27" x14ac:dyDescent="0.2">
      <c r="C398" t="s">
        <v>25</v>
      </c>
      <c r="D398" t="s">
        <v>147</v>
      </c>
      <c r="E398">
        <v>180</v>
      </c>
      <c r="F398">
        <v>90</v>
      </c>
      <c r="G398">
        <v>10</v>
      </c>
      <c r="H398">
        <v>6</v>
      </c>
      <c r="I398">
        <v>0</v>
      </c>
      <c r="J398">
        <v>30</v>
      </c>
      <c r="K398">
        <v>180</v>
      </c>
      <c r="L398">
        <v>25</v>
      </c>
      <c r="M398">
        <v>0</v>
      </c>
      <c r="N398">
        <v>13</v>
      </c>
      <c r="O398">
        <v>10</v>
      </c>
      <c r="P398">
        <v>189</v>
      </c>
      <c r="Q398" s="3">
        <v>5.5555555555555598</v>
      </c>
      <c r="R398">
        <v>0</v>
      </c>
      <c r="S398">
        <v>0</v>
      </c>
      <c r="U398">
        <v>-6.6565217391304303</v>
      </c>
      <c r="V398">
        <v>-1.5</v>
      </c>
      <c r="W398">
        <v>-1.9565217391304399</v>
      </c>
      <c r="X398">
        <v>-5.2</v>
      </c>
      <c r="Y398">
        <v>0</v>
      </c>
      <c r="Z398">
        <v>2</v>
      </c>
      <c r="AA398">
        <v>0</v>
      </c>
    </row>
    <row r="399" spans="3:27" x14ac:dyDescent="0.2">
      <c r="C399" t="s">
        <v>25</v>
      </c>
      <c r="D399" t="s">
        <v>148</v>
      </c>
      <c r="E399">
        <v>90</v>
      </c>
      <c r="F399">
        <v>40</v>
      </c>
      <c r="G399">
        <v>5</v>
      </c>
      <c r="H399">
        <v>3</v>
      </c>
      <c r="I399">
        <v>0</v>
      </c>
      <c r="J399">
        <v>15</v>
      </c>
      <c r="K399">
        <v>105</v>
      </c>
      <c r="L399">
        <v>14</v>
      </c>
      <c r="M399">
        <v>0</v>
      </c>
      <c r="N399">
        <v>6</v>
      </c>
      <c r="O399">
        <v>5</v>
      </c>
      <c r="P399">
        <v>94</v>
      </c>
      <c r="Q399" s="3">
        <v>5.5555555555555598</v>
      </c>
      <c r="R399">
        <v>0</v>
      </c>
      <c r="S399">
        <v>0</v>
      </c>
      <c r="U399">
        <v>-3.2913043478260899</v>
      </c>
      <c r="V399">
        <v>-0.75</v>
      </c>
      <c r="W399">
        <v>-1.14130434782609</v>
      </c>
      <c r="X399">
        <v>-2.4</v>
      </c>
      <c r="Y399">
        <v>0</v>
      </c>
      <c r="Z399">
        <v>1</v>
      </c>
      <c r="AA399">
        <v>0</v>
      </c>
    </row>
    <row r="400" spans="3:27" x14ac:dyDescent="0.2">
      <c r="C400" t="s">
        <v>25</v>
      </c>
      <c r="D400" t="s">
        <v>153</v>
      </c>
      <c r="E400">
        <v>110</v>
      </c>
      <c r="F400">
        <v>50</v>
      </c>
      <c r="G400">
        <v>6</v>
      </c>
      <c r="H400">
        <v>3.5</v>
      </c>
      <c r="I400">
        <v>0</v>
      </c>
      <c r="J400">
        <v>15</v>
      </c>
      <c r="K400">
        <v>130</v>
      </c>
      <c r="L400">
        <v>19</v>
      </c>
      <c r="M400">
        <v>0</v>
      </c>
      <c r="N400">
        <v>8</v>
      </c>
      <c r="O400">
        <v>6</v>
      </c>
      <c r="P400">
        <v>115.5</v>
      </c>
      <c r="Q400" s="3">
        <v>5.4545454545454497</v>
      </c>
      <c r="R400">
        <v>0</v>
      </c>
      <c r="S400">
        <v>0</v>
      </c>
      <c r="U400">
        <v>-4.2880434782608701</v>
      </c>
      <c r="V400">
        <v>-0.875</v>
      </c>
      <c r="W400">
        <v>-1.4130434782608701</v>
      </c>
      <c r="X400">
        <v>-3.2</v>
      </c>
      <c r="Y400">
        <v>0</v>
      </c>
      <c r="Z400">
        <v>1.2</v>
      </c>
      <c r="AA400">
        <v>0</v>
      </c>
    </row>
    <row r="401" spans="3:27" x14ac:dyDescent="0.2">
      <c r="C401" t="s">
        <v>25</v>
      </c>
      <c r="D401" t="s">
        <v>157</v>
      </c>
      <c r="E401">
        <v>390</v>
      </c>
      <c r="F401">
        <v>190</v>
      </c>
      <c r="G401">
        <v>21</v>
      </c>
      <c r="H401">
        <v>9</v>
      </c>
      <c r="I401">
        <v>1</v>
      </c>
      <c r="J401">
        <v>75</v>
      </c>
      <c r="K401">
        <v>1080</v>
      </c>
      <c r="L401">
        <v>28</v>
      </c>
      <c r="M401">
        <v>1</v>
      </c>
      <c r="N401">
        <v>4</v>
      </c>
      <c r="O401">
        <v>21</v>
      </c>
      <c r="P401">
        <v>382</v>
      </c>
      <c r="Q401" s="3">
        <v>5.3846153846153904</v>
      </c>
      <c r="R401">
        <v>1</v>
      </c>
      <c r="S401">
        <v>0</v>
      </c>
      <c r="U401">
        <v>-11.032987577639799</v>
      </c>
      <c r="V401">
        <v>-2.25</v>
      </c>
      <c r="W401">
        <v>-11.7391304347826</v>
      </c>
      <c r="X401">
        <v>-1.6</v>
      </c>
      <c r="Y401">
        <v>-1E-3</v>
      </c>
      <c r="Z401">
        <v>4.2</v>
      </c>
      <c r="AA401">
        <v>0.35714285714285698</v>
      </c>
    </row>
    <row r="402" spans="3:27" x14ac:dyDescent="0.2">
      <c r="C402" t="s">
        <v>25</v>
      </c>
      <c r="D402" t="s">
        <v>158</v>
      </c>
      <c r="E402">
        <v>130</v>
      </c>
      <c r="F402">
        <v>60</v>
      </c>
      <c r="G402">
        <v>7</v>
      </c>
      <c r="H402">
        <v>4</v>
      </c>
      <c r="I402">
        <v>0</v>
      </c>
      <c r="J402">
        <v>20</v>
      </c>
      <c r="K402">
        <v>125</v>
      </c>
      <c r="L402">
        <v>17</v>
      </c>
      <c r="M402">
        <v>0</v>
      </c>
      <c r="N402">
        <v>10</v>
      </c>
      <c r="O402">
        <v>7</v>
      </c>
      <c r="P402">
        <v>137</v>
      </c>
      <c r="Q402" s="3">
        <v>5.3846153846153904</v>
      </c>
      <c r="R402">
        <v>0</v>
      </c>
      <c r="S402">
        <v>0</v>
      </c>
      <c r="U402">
        <v>-4.9586956521739101</v>
      </c>
      <c r="V402">
        <v>-1</v>
      </c>
      <c r="W402">
        <v>-1.35869565217391</v>
      </c>
      <c r="X402">
        <v>-4</v>
      </c>
      <c r="Y402">
        <v>0</v>
      </c>
      <c r="Z402">
        <v>1.4</v>
      </c>
      <c r="AA402">
        <v>0</v>
      </c>
    </row>
    <row r="403" spans="3:27" x14ac:dyDescent="0.2">
      <c r="C403" t="s">
        <v>25</v>
      </c>
      <c r="D403" t="s">
        <v>165</v>
      </c>
      <c r="E403">
        <v>750</v>
      </c>
      <c r="F403">
        <v>350</v>
      </c>
      <c r="G403">
        <v>39</v>
      </c>
      <c r="H403">
        <v>16</v>
      </c>
      <c r="I403">
        <v>2</v>
      </c>
      <c r="J403">
        <v>135</v>
      </c>
      <c r="K403">
        <v>1700</v>
      </c>
      <c r="L403">
        <v>61</v>
      </c>
      <c r="M403">
        <v>4</v>
      </c>
      <c r="N403">
        <v>10</v>
      </c>
      <c r="O403">
        <v>40</v>
      </c>
      <c r="P403">
        <v>736</v>
      </c>
      <c r="Q403" s="3">
        <v>5.3333333333333304</v>
      </c>
      <c r="R403">
        <v>1</v>
      </c>
      <c r="S403">
        <v>0</v>
      </c>
      <c r="U403">
        <v>-17.051689440993801</v>
      </c>
      <c r="V403">
        <v>-4</v>
      </c>
      <c r="W403">
        <v>-18.478260869565201</v>
      </c>
      <c r="X403">
        <v>-4</v>
      </c>
      <c r="Y403">
        <v>-2E-3</v>
      </c>
      <c r="Z403">
        <v>8</v>
      </c>
      <c r="AA403">
        <v>1.4285714285714299</v>
      </c>
    </row>
    <row r="404" spans="3:27" x14ac:dyDescent="0.2">
      <c r="C404" t="s">
        <v>25</v>
      </c>
      <c r="D404" t="s">
        <v>166</v>
      </c>
      <c r="E404">
        <v>150</v>
      </c>
      <c r="F404">
        <v>70</v>
      </c>
      <c r="G404">
        <v>8</v>
      </c>
      <c r="H404">
        <v>4.5</v>
      </c>
      <c r="I404">
        <v>0</v>
      </c>
      <c r="J404">
        <v>25</v>
      </c>
      <c r="K404">
        <v>105</v>
      </c>
      <c r="L404">
        <v>11</v>
      </c>
      <c r="M404">
        <v>0</v>
      </c>
      <c r="N404">
        <v>11</v>
      </c>
      <c r="O404">
        <v>8</v>
      </c>
      <c r="P404">
        <v>157.5</v>
      </c>
      <c r="Q404" s="3">
        <v>5.3333333333333304</v>
      </c>
      <c r="R404">
        <v>0</v>
      </c>
      <c r="S404">
        <v>0</v>
      </c>
      <c r="U404">
        <v>-5.0663043478260903</v>
      </c>
      <c r="V404">
        <v>-1.125</v>
      </c>
      <c r="W404">
        <v>-1.14130434782609</v>
      </c>
      <c r="X404">
        <v>-4.4000000000000004</v>
      </c>
      <c r="Y404">
        <v>0</v>
      </c>
      <c r="Z404">
        <v>1.6</v>
      </c>
      <c r="AA404">
        <v>0</v>
      </c>
    </row>
    <row r="405" spans="3:27" x14ac:dyDescent="0.2">
      <c r="C405" t="s">
        <v>25</v>
      </c>
      <c r="D405" t="s">
        <v>167</v>
      </c>
      <c r="E405">
        <v>150</v>
      </c>
      <c r="F405">
        <v>70</v>
      </c>
      <c r="G405">
        <v>8</v>
      </c>
      <c r="H405">
        <v>4.5</v>
      </c>
      <c r="I405">
        <v>0</v>
      </c>
      <c r="J405">
        <v>25</v>
      </c>
      <c r="K405">
        <v>160</v>
      </c>
      <c r="L405">
        <v>22</v>
      </c>
      <c r="M405">
        <v>0</v>
      </c>
      <c r="N405">
        <v>11</v>
      </c>
      <c r="O405">
        <v>8</v>
      </c>
      <c r="P405">
        <v>157.5</v>
      </c>
      <c r="Q405" s="3">
        <v>5.3333333333333304</v>
      </c>
      <c r="R405">
        <v>0</v>
      </c>
      <c r="S405">
        <v>0</v>
      </c>
      <c r="U405">
        <v>-5.66413043478261</v>
      </c>
      <c r="V405">
        <v>-1.125</v>
      </c>
      <c r="W405">
        <v>-1.73913043478261</v>
      </c>
      <c r="X405">
        <v>-4.4000000000000004</v>
      </c>
      <c r="Y405">
        <v>0</v>
      </c>
      <c r="Z405">
        <v>1.6</v>
      </c>
      <c r="AA405">
        <v>0</v>
      </c>
    </row>
    <row r="406" spans="3:27" x14ac:dyDescent="0.2">
      <c r="C406" t="s">
        <v>25</v>
      </c>
      <c r="D406" t="s">
        <v>173</v>
      </c>
      <c r="E406">
        <v>510</v>
      </c>
      <c r="F406">
        <v>250</v>
      </c>
      <c r="G406">
        <v>28</v>
      </c>
      <c r="H406">
        <v>11</v>
      </c>
      <c r="I406">
        <v>1.5</v>
      </c>
      <c r="J406">
        <v>85</v>
      </c>
      <c r="K406">
        <v>960</v>
      </c>
      <c r="L406">
        <v>38</v>
      </c>
      <c r="M406">
        <v>3</v>
      </c>
      <c r="N406">
        <v>8</v>
      </c>
      <c r="O406">
        <v>27</v>
      </c>
      <c r="P406">
        <v>502</v>
      </c>
      <c r="Q406" s="3">
        <v>5.2941176470588198</v>
      </c>
      <c r="R406">
        <v>1</v>
      </c>
      <c r="S406">
        <v>0</v>
      </c>
      <c r="U406">
        <v>-9.9148540372670801</v>
      </c>
      <c r="V406">
        <v>-2.75</v>
      </c>
      <c r="W406">
        <v>-10.4347826086957</v>
      </c>
      <c r="X406">
        <v>-3.2</v>
      </c>
      <c r="Y406">
        <v>-1.5E-3</v>
      </c>
      <c r="Z406">
        <v>5.4</v>
      </c>
      <c r="AA406">
        <v>1.0714285714285701</v>
      </c>
    </row>
    <row r="407" spans="3:27" x14ac:dyDescent="0.2">
      <c r="C407" t="s">
        <v>25</v>
      </c>
      <c r="D407" t="s">
        <v>174</v>
      </c>
      <c r="E407">
        <v>170</v>
      </c>
      <c r="F407">
        <v>25</v>
      </c>
      <c r="G407">
        <v>3</v>
      </c>
      <c r="H407">
        <v>1.5</v>
      </c>
      <c r="I407">
        <v>0</v>
      </c>
      <c r="J407">
        <v>5</v>
      </c>
      <c r="K407">
        <v>150</v>
      </c>
      <c r="L407">
        <v>26</v>
      </c>
      <c r="M407">
        <v>1</v>
      </c>
      <c r="N407">
        <v>25</v>
      </c>
      <c r="O407">
        <v>9</v>
      </c>
      <c r="P407">
        <v>187.5</v>
      </c>
      <c r="Q407" s="3">
        <v>5.2941176470588198</v>
      </c>
      <c r="R407">
        <v>0</v>
      </c>
      <c r="S407">
        <v>0</v>
      </c>
      <c r="U407">
        <v>-9.8482919254658405</v>
      </c>
      <c r="V407">
        <v>-0.375</v>
      </c>
      <c r="W407">
        <v>-1.6304347826087</v>
      </c>
      <c r="X407">
        <v>-10</v>
      </c>
      <c r="Y407">
        <v>0</v>
      </c>
      <c r="Z407">
        <v>1.8</v>
      </c>
      <c r="AA407">
        <v>0.35714285714285698</v>
      </c>
    </row>
    <row r="408" spans="3:27" x14ac:dyDescent="0.2">
      <c r="C408" t="s">
        <v>25</v>
      </c>
      <c r="D408" t="s">
        <v>180</v>
      </c>
      <c r="E408">
        <v>400</v>
      </c>
      <c r="F408">
        <v>190</v>
      </c>
      <c r="G408">
        <v>22</v>
      </c>
      <c r="H408">
        <v>10</v>
      </c>
      <c r="I408">
        <v>1</v>
      </c>
      <c r="J408">
        <v>75</v>
      </c>
      <c r="K408">
        <v>1060</v>
      </c>
      <c r="L408">
        <v>30</v>
      </c>
      <c r="M408">
        <v>1</v>
      </c>
      <c r="N408">
        <v>6</v>
      </c>
      <c r="O408">
        <v>21</v>
      </c>
      <c r="P408">
        <v>395</v>
      </c>
      <c r="Q408" s="3">
        <v>5.25</v>
      </c>
      <c r="R408">
        <v>1</v>
      </c>
      <c r="S408">
        <v>0</v>
      </c>
      <c r="U408">
        <v>-11.865596273291899</v>
      </c>
      <c r="V408">
        <v>-2.5</v>
      </c>
      <c r="W408">
        <v>-11.521739130434799</v>
      </c>
      <c r="X408">
        <v>-2.4</v>
      </c>
      <c r="Y408">
        <v>-1E-3</v>
      </c>
      <c r="Z408">
        <v>4.2</v>
      </c>
      <c r="AA408">
        <v>0.35714285714285698</v>
      </c>
    </row>
    <row r="409" spans="3:27" x14ac:dyDescent="0.2">
      <c r="C409" t="s">
        <v>25</v>
      </c>
      <c r="D409" t="s">
        <v>181</v>
      </c>
      <c r="E409">
        <v>210</v>
      </c>
      <c r="F409">
        <v>100</v>
      </c>
      <c r="G409">
        <v>11</v>
      </c>
      <c r="H409">
        <v>7</v>
      </c>
      <c r="I409">
        <v>0</v>
      </c>
      <c r="J409">
        <v>35</v>
      </c>
      <c r="K409">
        <v>150</v>
      </c>
      <c r="L409">
        <v>16</v>
      </c>
      <c r="M409">
        <v>0</v>
      </c>
      <c r="N409">
        <v>16</v>
      </c>
      <c r="O409">
        <v>11</v>
      </c>
      <c r="P409">
        <v>222</v>
      </c>
      <c r="Q409" s="3">
        <v>5.2380952380952399</v>
      </c>
      <c r="R409">
        <v>0</v>
      </c>
      <c r="S409">
        <v>0</v>
      </c>
      <c r="U409">
        <v>-7.5804347826087</v>
      </c>
      <c r="V409">
        <v>-1.75</v>
      </c>
      <c r="W409">
        <v>-1.6304347826087</v>
      </c>
      <c r="X409">
        <v>-6.4</v>
      </c>
      <c r="Y409">
        <v>0</v>
      </c>
      <c r="Z409">
        <v>2.2000000000000002</v>
      </c>
      <c r="AA409">
        <v>0</v>
      </c>
    </row>
    <row r="410" spans="3:27" x14ac:dyDescent="0.2">
      <c r="C410" t="s">
        <v>25</v>
      </c>
      <c r="D410" t="s">
        <v>184</v>
      </c>
      <c r="E410">
        <v>460</v>
      </c>
      <c r="F410">
        <v>220</v>
      </c>
      <c r="G410">
        <v>24</v>
      </c>
      <c r="H410">
        <v>8</v>
      </c>
      <c r="I410">
        <v>1.5</v>
      </c>
      <c r="J410">
        <v>70</v>
      </c>
      <c r="K410">
        <v>720</v>
      </c>
      <c r="L410">
        <v>37</v>
      </c>
      <c r="M410">
        <v>3</v>
      </c>
      <c r="N410">
        <v>8</v>
      </c>
      <c r="O410">
        <v>24</v>
      </c>
      <c r="P410">
        <v>452</v>
      </c>
      <c r="Q410" s="3">
        <v>5.2173913043478297</v>
      </c>
      <c r="R410">
        <v>1</v>
      </c>
      <c r="S410">
        <v>0</v>
      </c>
      <c r="U410">
        <v>-7.1561583850931703</v>
      </c>
      <c r="V410">
        <v>-2</v>
      </c>
      <c r="W410">
        <v>-7.8260869565217401</v>
      </c>
      <c r="X410">
        <v>-3.2</v>
      </c>
      <c r="Y410">
        <v>-1.5E-3</v>
      </c>
      <c r="Z410">
        <v>4.8</v>
      </c>
      <c r="AA410">
        <v>1.0714285714285701</v>
      </c>
    </row>
    <row r="411" spans="3:27" x14ac:dyDescent="0.2">
      <c r="C411" t="s">
        <v>25</v>
      </c>
      <c r="D411" t="s">
        <v>190</v>
      </c>
      <c r="E411">
        <v>430</v>
      </c>
      <c r="F411">
        <v>230</v>
      </c>
      <c r="G411">
        <v>26</v>
      </c>
      <c r="H411">
        <v>10</v>
      </c>
      <c r="I411">
        <v>1.5</v>
      </c>
      <c r="J411">
        <v>75</v>
      </c>
      <c r="K411">
        <v>730</v>
      </c>
      <c r="L411">
        <v>27</v>
      </c>
      <c r="M411">
        <v>2</v>
      </c>
      <c r="N411">
        <v>2</v>
      </c>
      <c r="O411">
        <v>22</v>
      </c>
      <c r="P411">
        <v>420</v>
      </c>
      <c r="Q411" s="3">
        <v>5.1162790697674403</v>
      </c>
      <c r="R411">
        <v>1</v>
      </c>
      <c r="S411">
        <v>0</v>
      </c>
      <c r="U411">
        <v>-6.1219968944099401</v>
      </c>
      <c r="V411">
        <v>-2.5</v>
      </c>
      <c r="W411">
        <v>-7.9347826086956497</v>
      </c>
      <c r="X411">
        <v>-0.8</v>
      </c>
      <c r="Y411">
        <v>-1.5E-3</v>
      </c>
      <c r="Z411">
        <v>4.4000000000000004</v>
      </c>
      <c r="AA411">
        <v>0.71428571428571397</v>
      </c>
    </row>
    <row r="412" spans="3:27" x14ac:dyDescent="0.2">
      <c r="C412" t="s">
        <v>25</v>
      </c>
      <c r="D412" t="s">
        <v>192</v>
      </c>
      <c r="E412">
        <v>475</v>
      </c>
      <c r="F412">
        <v>0</v>
      </c>
      <c r="G412">
        <v>22</v>
      </c>
      <c r="H412">
        <v>4.5</v>
      </c>
      <c r="I412">
        <v>0</v>
      </c>
      <c r="J412">
        <v>50</v>
      </c>
      <c r="K412">
        <v>680</v>
      </c>
      <c r="L412">
        <v>46</v>
      </c>
      <c r="M412">
        <v>2</v>
      </c>
      <c r="N412">
        <v>14</v>
      </c>
      <c r="O412">
        <v>24</v>
      </c>
      <c r="Q412" s="3">
        <v>5.0526315789473699</v>
      </c>
      <c r="R412">
        <v>1</v>
      </c>
      <c r="S412">
        <v>0</v>
      </c>
      <c r="U412">
        <v>-8.6020186335403697</v>
      </c>
      <c r="V412">
        <v>-1.125</v>
      </c>
      <c r="W412">
        <v>-7.3913043478260896</v>
      </c>
      <c r="X412">
        <v>-5.6</v>
      </c>
      <c r="Y412">
        <v>0</v>
      </c>
      <c r="Z412">
        <v>4.8</v>
      </c>
      <c r="AA412">
        <v>0.71428571428571397</v>
      </c>
    </row>
    <row r="413" spans="3:27" x14ac:dyDescent="0.2">
      <c r="C413" t="s">
        <v>25</v>
      </c>
      <c r="D413" t="s">
        <v>162</v>
      </c>
      <c r="E413">
        <v>300</v>
      </c>
      <c r="F413">
        <v>110</v>
      </c>
      <c r="G413">
        <v>12</v>
      </c>
      <c r="H413">
        <v>6</v>
      </c>
      <c r="I413">
        <v>0.5</v>
      </c>
      <c r="J413">
        <v>40</v>
      </c>
      <c r="K413">
        <v>750</v>
      </c>
      <c r="L413">
        <v>33</v>
      </c>
      <c r="M413">
        <v>2</v>
      </c>
      <c r="N413">
        <v>6</v>
      </c>
      <c r="O413">
        <v>15</v>
      </c>
      <c r="P413">
        <v>297</v>
      </c>
      <c r="Q413" s="3">
        <v>5</v>
      </c>
      <c r="R413">
        <v>1</v>
      </c>
      <c r="S413">
        <v>0</v>
      </c>
      <c r="U413">
        <v>-8.3383881987577695</v>
      </c>
      <c r="V413">
        <v>-1.5</v>
      </c>
      <c r="W413">
        <v>-8.1521739130434803</v>
      </c>
      <c r="X413">
        <v>-2.4</v>
      </c>
      <c r="Y413">
        <v>-5.0000000000000001E-4</v>
      </c>
      <c r="Z413">
        <v>3</v>
      </c>
      <c r="AA413">
        <v>0.71428571428571397</v>
      </c>
    </row>
    <row r="414" spans="3:27" x14ac:dyDescent="0.2">
      <c r="C414" t="s">
        <v>25</v>
      </c>
      <c r="D414" t="s">
        <v>193</v>
      </c>
      <c r="E414">
        <v>620</v>
      </c>
      <c r="F414">
        <v>260</v>
      </c>
      <c r="G414">
        <v>29</v>
      </c>
      <c r="H414">
        <v>7</v>
      </c>
      <c r="I414">
        <v>0</v>
      </c>
      <c r="J414">
        <v>70</v>
      </c>
      <c r="K414">
        <v>1200</v>
      </c>
      <c r="L414">
        <v>57</v>
      </c>
      <c r="M414">
        <v>3</v>
      </c>
      <c r="N414">
        <v>11</v>
      </c>
      <c r="O414">
        <v>31</v>
      </c>
      <c r="P414">
        <v>607</v>
      </c>
      <c r="Q414" s="3">
        <v>5</v>
      </c>
      <c r="R414">
        <v>1</v>
      </c>
      <c r="S414">
        <v>0</v>
      </c>
      <c r="U414">
        <v>-11.922049689441</v>
      </c>
      <c r="V414">
        <v>-1.75</v>
      </c>
      <c r="W414">
        <v>-13.0434782608696</v>
      </c>
      <c r="X414">
        <v>-4.4000000000000004</v>
      </c>
      <c r="Y414">
        <v>0</v>
      </c>
      <c r="Z414">
        <v>6.2</v>
      </c>
      <c r="AA414">
        <v>1.0714285714285701</v>
      </c>
    </row>
    <row r="415" spans="3:27" x14ac:dyDescent="0.2">
      <c r="C415" t="s">
        <v>25</v>
      </c>
      <c r="D415" t="s">
        <v>194</v>
      </c>
      <c r="E415">
        <v>540</v>
      </c>
      <c r="F415">
        <v>210</v>
      </c>
      <c r="G415">
        <v>23</v>
      </c>
      <c r="H415">
        <v>4.5</v>
      </c>
      <c r="I415">
        <v>0</v>
      </c>
      <c r="J415">
        <v>55</v>
      </c>
      <c r="K415">
        <v>1160</v>
      </c>
      <c r="L415">
        <v>56</v>
      </c>
      <c r="M415">
        <v>3</v>
      </c>
      <c r="N415">
        <v>11</v>
      </c>
      <c r="O415">
        <v>27</v>
      </c>
      <c r="P415">
        <v>528.5</v>
      </c>
      <c r="Q415" s="3">
        <v>5</v>
      </c>
      <c r="R415">
        <v>1</v>
      </c>
      <c r="S415">
        <v>0</v>
      </c>
      <c r="U415">
        <v>-11.6622670807453</v>
      </c>
      <c r="V415">
        <v>-1.125</v>
      </c>
      <c r="W415">
        <v>-12.6086956521739</v>
      </c>
      <c r="X415">
        <v>-4.4000000000000004</v>
      </c>
      <c r="Y415">
        <v>0</v>
      </c>
      <c r="Z415">
        <v>5.4</v>
      </c>
      <c r="AA415">
        <v>1.0714285714285701</v>
      </c>
    </row>
    <row r="416" spans="3:27" x14ac:dyDescent="0.2">
      <c r="C416" t="s">
        <v>25</v>
      </c>
      <c r="D416" t="s">
        <v>195</v>
      </c>
      <c r="E416">
        <v>20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10</v>
      </c>
      <c r="L416">
        <v>4</v>
      </c>
      <c r="M416">
        <v>1</v>
      </c>
      <c r="N416">
        <v>2</v>
      </c>
      <c r="O416">
        <v>1</v>
      </c>
      <c r="P416">
        <v>21</v>
      </c>
      <c r="Q416" s="3">
        <v>5</v>
      </c>
      <c r="R416">
        <v>0</v>
      </c>
      <c r="S416">
        <v>0</v>
      </c>
      <c r="U416">
        <v>-0.35155279503105602</v>
      </c>
      <c r="V416">
        <v>0</v>
      </c>
      <c r="W416">
        <v>-0.108695652173913</v>
      </c>
      <c r="X416">
        <v>-0.8</v>
      </c>
      <c r="Y416">
        <v>0</v>
      </c>
      <c r="Z416">
        <v>0.2</v>
      </c>
      <c r="AA416">
        <v>0.35714285714285698</v>
      </c>
    </row>
    <row r="417" spans="3:27" x14ac:dyDescent="0.2">
      <c r="C417" t="s">
        <v>25</v>
      </c>
      <c r="D417" t="s">
        <v>196</v>
      </c>
      <c r="E417">
        <v>660</v>
      </c>
      <c r="F417">
        <v>300</v>
      </c>
      <c r="G417">
        <v>33</v>
      </c>
      <c r="H417">
        <v>12</v>
      </c>
      <c r="I417">
        <v>1</v>
      </c>
      <c r="J417">
        <v>300</v>
      </c>
      <c r="K417">
        <v>1580</v>
      </c>
      <c r="L417">
        <v>56</v>
      </c>
      <c r="M417">
        <v>3</v>
      </c>
      <c r="N417">
        <v>7</v>
      </c>
      <c r="O417">
        <v>33</v>
      </c>
      <c r="P417">
        <v>646</v>
      </c>
      <c r="Q417" s="3">
        <v>5</v>
      </c>
      <c r="R417">
        <v>1</v>
      </c>
      <c r="S417">
        <v>0</v>
      </c>
      <c r="U417">
        <v>-15.3034844720497</v>
      </c>
      <c r="V417">
        <v>-3</v>
      </c>
      <c r="W417">
        <v>-17.173913043478301</v>
      </c>
      <c r="X417">
        <v>-2.8</v>
      </c>
      <c r="Y417">
        <v>-1E-3</v>
      </c>
      <c r="Z417">
        <v>6.6</v>
      </c>
      <c r="AA417">
        <v>1.0714285714285701</v>
      </c>
    </row>
    <row r="418" spans="3:27" x14ac:dyDescent="0.2">
      <c r="C418" t="s">
        <v>25</v>
      </c>
      <c r="D418" t="s">
        <v>197</v>
      </c>
      <c r="E418">
        <v>120</v>
      </c>
      <c r="F418">
        <v>60</v>
      </c>
      <c r="G418">
        <v>7</v>
      </c>
      <c r="H418">
        <v>4</v>
      </c>
      <c r="I418">
        <v>0</v>
      </c>
      <c r="J418">
        <v>20</v>
      </c>
      <c r="K418">
        <v>85</v>
      </c>
      <c r="L418">
        <v>9</v>
      </c>
      <c r="M418">
        <v>0</v>
      </c>
      <c r="N418">
        <v>9</v>
      </c>
      <c r="O418">
        <v>6</v>
      </c>
      <c r="P418">
        <v>127</v>
      </c>
      <c r="Q418" s="3">
        <v>5</v>
      </c>
      <c r="R418">
        <v>0</v>
      </c>
      <c r="S418">
        <v>0</v>
      </c>
      <c r="U418">
        <v>-4.3239130434782602</v>
      </c>
      <c r="V418">
        <v>-1</v>
      </c>
      <c r="W418">
        <v>-0.92391304347826098</v>
      </c>
      <c r="X418">
        <v>-3.6</v>
      </c>
      <c r="Y418">
        <v>0</v>
      </c>
      <c r="Z418">
        <v>1.2</v>
      </c>
      <c r="AA418">
        <v>0</v>
      </c>
    </row>
    <row r="419" spans="3:27" x14ac:dyDescent="0.2">
      <c r="C419" t="s">
        <v>25</v>
      </c>
      <c r="D419" t="s">
        <v>198</v>
      </c>
      <c r="E419">
        <v>180</v>
      </c>
      <c r="F419">
        <v>90</v>
      </c>
      <c r="G419">
        <v>10</v>
      </c>
      <c r="H419">
        <v>6</v>
      </c>
      <c r="I419">
        <v>0</v>
      </c>
      <c r="J419">
        <v>30</v>
      </c>
      <c r="K419">
        <v>130</v>
      </c>
      <c r="L419">
        <v>13</v>
      </c>
      <c r="M419">
        <v>0</v>
      </c>
      <c r="N419">
        <v>13</v>
      </c>
      <c r="O419">
        <v>9</v>
      </c>
      <c r="P419">
        <v>190</v>
      </c>
      <c r="Q419" s="3">
        <v>5</v>
      </c>
      <c r="R419">
        <v>0</v>
      </c>
      <c r="S419">
        <v>0</v>
      </c>
      <c r="U419">
        <v>-6.3130434782608704</v>
      </c>
      <c r="V419">
        <v>-1.5</v>
      </c>
      <c r="W419">
        <v>-1.4130434782608701</v>
      </c>
      <c r="X419">
        <v>-5.2</v>
      </c>
      <c r="Y419">
        <v>0</v>
      </c>
      <c r="Z419">
        <v>1.8</v>
      </c>
      <c r="AA419">
        <v>0</v>
      </c>
    </row>
    <row r="420" spans="3:27" x14ac:dyDescent="0.2">
      <c r="C420" t="s">
        <v>25</v>
      </c>
      <c r="D420" t="s">
        <v>199</v>
      </c>
      <c r="E420">
        <v>100</v>
      </c>
      <c r="F420">
        <v>50</v>
      </c>
      <c r="G420">
        <v>5</v>
      </c>
      <c r="H420">
        <v>3</v>
      </c>
      <c r="I420">
        <v>0</v>
      </c>
      <c r="J420">
        <v>15</v>
      </c>
      <c r="K420">
        <v>105</v>
      </c>
      <c r="L420">
        <v>15</v>
      </c>
      <c r="M420">
        <v>0</v>
      </c>
      <c r="N420">
        <v>7</v>
      </c>
      <c r="O420">
        <v>5</v>
      </c>
      <c r="P420">
        <v>105</v>
      </c>
      <c r="Q420" s="3">
        <v>5</v>
      </c>
      <c r="R420">
        <v>0</v>
      </c>
      <c r="S420">
        <v>0</v>
      </c>
      <c r="U420">
        <v>-3.6913043478260898</v>
      </c>
      <c r="V420">
        <v>-0.75</v>
      </c>
      <c r="W420">
        <v>-1.14130434782609</v>
      </c>
      <c r="X420">
        <v>-2.8</v>
      </c>
      <c r="Y420">
        <v>0</v>
      </c>
      <c r="Z420">
        <v>1</v>
      </c>
      <c r="AA420">
        <v>0</v>
      </c>
    </row>
    <row r="421" spans="3:27" x14ac:dyDescent="0.2">
      <c r="C421" t="s">
        <v>25</v>
      </c>
      <c r="D421" t="s">
        <v>200</v>
      </c>
      <c r="E421">
        <v>120</v>
      </c>
      <c r="F421">
        <v>60</v>
      </c>
      <c r="G421">
        <v>6</v>
      </c>
      <c r="H421">
        <v>3.5</v>
      </c>
      <c r="I421">
        <v>0</v>
      </c>
      <c r="J421">
        <v>20</v>
      </c>
      <c r="K421">
        <v>130</v>
      </c>
      <c r="L421">
        <v>18</v>
      </c>
      <c r="M421">
        <v>0</v>
      </c>
      <c r="N421">
        <v>9</v>
      </c>
      <c r="O421">
        <v>6</v>
      </c>
      <c r="P421">
        <v>126.5</v>
      </c>
      <c r="Q421" s="3">
        <v>5</v>
      </c>
      <c r="R421">
        <v>0</v>
      </c>
      <c r="S421">
        <v>0</v>
      </c>
      <c r="U421">
        <v>-4.6880434782608704</v>
      </c>
      <c r="V421">
        <v>-0.875</v>
      </c>
      <c r="W421">
        <v>-1.4130434782608701</v>
      </c>
      <c r="X421">
        <v>-3.6</v>
      </c>
      <c r="Y421">
        <v>0</v>
      </c>
      <c r="Z421">
        <v>1.2</v>
      </c>
      <c r="AA421">
        <v>0</v>
      </c>
    </row>
    <row r="422" spans="3:27" x14ac:dyDescent="0.2">
      <c r="C422" t="s">
        <v>25</v>
      </c>
      <c r="D422" t="s">
        <v>201</v>
      </c>
      <c r="E422">
        <v>160</v>
      </c>
      <c r="F422">
        <v>70</v>
      </c>
      <c r="G422">
        <v>8</v>
      </c>
      <c r="H422">
        <v>5</v>
      </c>
      <c r="I422">
        <v>0</v>
      </c>
      <c r="J422">
        <v>25</v>
      </c>
      <c r="K422">
        <v>150</v>
      </c>
      <c r="L422">
        <v>21</v>
      </c>
      <c r="M422">
        <v>0</v>
      </c>
      <c r="N422">
        <v>11</v>
      </c>
      <c r="O422">
        <v>8</v>
      </c>
      <c r="P422">
        <v>168</v>
      </c>
      <c r="Q422" s="3">
        <v>5</v>
      </c>
      <c r="R422">
        <v>0</v>
      </c>
      <c r="S422">
        <v>0</v>
      </c>
      <c r="U422">
        <v>-5.6804347826086996</v>
      </c>
      <c r="V422">
        <v>-1.25</v>
      </c>
      <c r="W422">
        <v>-1.6304347826087</v>
      </c>
      <c r="X422">
        <v>-4.4000000000000004</v>
      </c>
      <c r="Y422">
        <v>0</v>
      </c>
      <c r="Z422">
        <v>1.6</v>
      </c>
      <c r="AA422">
        <v>0</v>
      </c>
    </row>
    <row r="423" spans="3:27" x14ac:dyDescent="0.2">
      <c r="C423" t="s">
        <v>25</v>
      </c>
      <c r="D423" t="s">
        <v>202</v>
      </c>
      <c r="E423">
        <v>80</v>
      </c>
      <c r="F423">
        <v>40</v>
      </c>
      <c r="G423">
        <v>4.5</v>
      </c>
      <c r="H423">
        <v>2.5</v>
      </c>
      <c r="I423">
        <v>0</v>
      </c>
      <c r="J423">
        <v>15</v>
      </c>
      <c r="K423">
        <v>65</v>
      </c>
      <c r="L423">
        <v>6</v>
      </c>
      <c r="M423">
        <v>0</v>
      </c>
      <c r="N423">
        <v>6</v>
      </c>
      <c r="O423">
        <v>4</v>
      </c>
      <c r="P423">
        <v>84.5</v>
      </c>
      <c r="Q423" s="3">
        <v>5</v>
      </c>
      <c r="R423">
        <v>0</v>
      </c>
      <c r="S423">
        <v>0</v>
      </c>
      <c r="U423">
        <v>-2.93152173913044</v>
      </c>
      <c r="V423">
        <v>-0.625</v>
      </c>
      <c r="W423">
        <v>-0.70652173913043503</v>
      </c>
      <c r="X423">
        <v>-2.4</v>
      </c>
      <c r="Y423">
        <v>0</v>
      </c>
      <c r="Z423">
        <v>0.8</v>
      </c>
      <c r="AA423">
        <v>0</v>
      </c>
    </row>
    <row r="424" spans="3:27" x14ac:dyDescent="0.2">
      <c r="C424" t="s">
        <v>25</v>
      </c>
      <c r="D424" t="s">
        <v>203</v>
      </c>
      <c r="E424">
        <v>140</v>
      </c>
      <c r="F424">
        <v>70</v>
      </c>
      <c r="G424">
        <v>8</v>
      </c>
      <c r="H424">
        <v>4.5</v>
      </c>
      <c r="I424">
        <v>0</v>
      </c>
      <c r="J424">
        <v>25</v>
      </c>
      <c r="K424">
        <v>105</v>
      </c>
      <c r="L424">
        <v>10</v>
      </c>
      <c r="M424">
        <v>0</v>
      </c>
      <c r="N424">
        <v>10</v>
      </c>
      <c r="O424">
        <v>7</v>
      </c>
      <c r="P424">
        <v>147.5</v>
      </c>
      <c r="Q424" s="3">
        <v>5</v>
      </c>
      <c r="R424">
        <v>0</v>
      </c>
      <c r="S424">
        <v>0</v>
      </c>
      <c r="U424">
        <v>-4.8663043478260901</v>
      </c>
      <c r="V424">
        <v>-1.125</v>
      </c>
      <c r="W424">
        <v>-1.14130434782609</v>
      </c>
      <c r="X424">
        <v>-4</v>
      </c>
      <c r="Y424">
        <v>0</v>
      </c>
      <c r="Z424">
        <v>1.4</v>
      </c>
      <c r="AA424">
        <v>0</v>
      </c>
    </row>
    <row r="425" spans="3:27" x14ac:dyDescent="0.2">
      <c r="C425" t="s">
        <v>25</v>
      </c>
      <c r="D425" t="s">
        <v>204</v>
      </c>
      <c r="E425">
        <v>60</v>
      </c>
      <c r="F425">
        <v>30</v>
      </c>
      <c r="G425">
        <v>3</v>
      </c>
      <c r="H425">
        <v>2</v>
      </c>
      <c r="I425">
        <v>0</v>
      </c>
      <c r="J425">
        <v>10</v>
      </c>
      <c r="K425">
        <v>80</v>
      </c>
      <c r="L425">
        <v>12</v>
      </c>
      <c r="M425">
        <v>0</v>
      </c>
      <c r="N425">
        <v>4</v>
      </c>
      <c r="O425">
        <v>3</v>
      </c>
      <c r="P425">
        <v>63</v>
      </c>
      <c r="Q425" s="3">
        <v>5</v>
      </c>
      <c r="R425">
        <v>0</v>
      </c>
      <c r="S425">
        <v>0</v>
      </c>
      <c r="U425">
        <v>-2.3695652173913002</v>
      </c>
      <c r="V425">
        <v>-0.5</v>
      </c>
      <c r="W425">
        <v>-0.86956521739130399</v>
      </c>
      <c r="X425">
        <v>-1.6</v>
      </c>
      <c r="Y425">
        <v>0</v>
      </c>
      <c r="Z425">
        <v>0.6</v>
      </c>
      <c r="AA425">
        <v>0</v>
      </c>
    </row>
    <row r="426" spans="3:27" x14ac:dyDescent="0.2">
      <c r="C426" t="s">
        <v>25</v>
      </c>
      <c r="D426" t="s">
        <v>219</v>
      </c>
      <c r="E426">
        <v>410</v>
      </c>
      <c r="F426">
        <v>220</v>
      </c>
      <c r="G426">
        <v>25</v>
      </c>
      <c r="H426">
        <v>10</v>
      </c>
      <c r="I426">
        <v>1.5</v>
      </c>
      <c r="J426">
        <v>75</v>
      </c>
      <c r="K426">
        <v>990</v>
      </c>
      <c r="L426">
        <v>27</v>
      </c>
      <c r="M426">
        <v>2</v>
      </c>
      <c r="N426">
        <v>3</v>
      </c>
      <c r="O426">
        <v>20</v>
      </c>
      <c r="P426">
        <v>403</v>
      </c>
      <c r="Q426" s="3">
        <v>4.8780487804878003</v>
      </c>
      <c r="R426">
        <v>1</v>
      </c>
      <c r="S426">
        <v>0</v>
      </c>
      <c r="U426">
        <v>-9.7480838509316801</v>
      </c>
      <c r="V426">
        <v>-2.5</v>
      </c>
      <c r="W426">
        <v>-10.7608695652174</v>
      </c>
      <c r="X426">
        <v>-1.2</v>
      </c>
      <c r="Y426">
        <v>-1.5E-3</v>
      </c>
      <c r="Z426">
        <v>4</v>
      </c>
      <c r="AA426">
        <v>0.71428571428571397</v>
      </c>
    </row>
    <row r="427" spans="3:27" x14ac:dyDescent="0.2">
      <c r="C427" t="s">
        <v>25</v>
      </c>
      <c r="D427" t="s">
        <v>229</v>
      </c>
      <c r="E427">
        <v>395</v>
      </c>
      <c r="F427">
        <v>0</v>
      </c>
      <c r="G427">
        <v>17</v>
      </c>
      <c r="H427">
        <v>3.5</v>
      </c>
      <c r="I427">
        <v>0</v>
      </c>
      <c r="J427">
        <v>35</v>
      </c>
      <c r="K427">
        <v>510</v>
      </c>
      <c r="L427">
        <v>41</v>
      </c>
      <c r="M427">
        <v>1</v>
      </c>
      <c r="N427">
        <v>14</v>
      </c>
      <c r="O427">
        <v>19</v>
      </c>
      <c r="Q427" s="3">
        <v>4.81012658227848</v>
      </c>
      <c r="R427">
        <v>1</v>
      </c>
      <c r="S427">
        <v>0</v>
      </c>
      <c r="U427">
        <v>-7.8613354037267102</v>
      </c>
      <c r="V427">
        <v>-0.875</v>
      </c>
      <c r="W427">
        <v>-5.5434782608695699</v>
      </c>
      <c r="X427">
        <v>-5.6</v>
      </c>
      <c r="Y427">
        <v>0</v>
      </c>
      <c r="Z427">
        <v>3.8</v>
      </c>
      <c r="AA427">
        <v>0.35714285714285698</v>
      </c>
    </row>
    <row r="428" spans="3:27" x14ac:dyDescent="0.2">
      <c r="C428" t="s">
        <v>25</v>
      </c>
      <c r="D428" t="s">
        <v>154</v>
      </c>
      <c r="E428">
        <v>250</v>
      </c>
      <c r="F428">
        <v>80</v>
      </c>
      <c r="G428">
        <v>9</v>
      </c>
      <c r="H428">
        <v>3.5</v>
      </c>
      <c r="I428">
        <v>0.5</v>
      </c>
      <c r="J428">
        <v>25</v>
      </c>
      <c r="K428">
        <v>520</v>
      </c>
      <c r="L428">
        <v>31</v>
      </c>
      <c r="M428">
        <v>2</v>
      </c>
      <c r="N428">
        <v>6</v>
      </c>
      <c r="O428">
        <v>12</v>
      </c>
      <c r="P428">
        <v>247.5</v>
      </c>
      <c r="Q428" s="3">
        <v>4.8</v>
      </c>
      <c r="R428">
        <v>1</v>
      </c>
      <c r="S428">
        <v>0</v>
      </c>
      <c r="U428">
        <v>-5.8133881987577603</v>
      </c>
      <c r="V428">
        <v>-0.875</v>
      </c>
      <c r="W428">
        <v>-5.6521739130434803</v>
      </c>
      <c r="X428">
        <v>-2.4</v>
      </c>
      <c r="Y428">
        <v>-5.0000000000000001E-4</v>
      </c>
      <c r="Z428">
        <v>2.4</v>
      </c>
      <c r="AA428">
        <v>0.71428571428571397</v>
      </c>
    </row>
    <row r="429" spans="3:27" x14ac:dyDescent="0.2">
      <c r="C429" t="s">
        <v>25</v>
      </c>
      <c r="D429" t="s">
        <v>237</v>
      </c>
      <c r="E429">
        <v>190</v>
      </c>
      <c r="F429">
        <v>110</v>
      </c>
      <c r="G429">
        <v>12</v>
      </c>
      <c r="H429">
        <v>2</v>
      </c>
      <c r="I429">
        <v>0</v>
      </c>
      <c r="J429">
        <v>25</v>
      </c>
      <c r="K429">
        <v>360</v>
      </c>
      <c r="L429">
        <v>12</v>
      </c>
      <c r="M429">
        <v>1</v>
      </c>
      <c r="N429">
        <v>0</v>
      </c>
      <c r="O429">
        <v>9</v>
      </c>
      <c r="P429">
        <v>183</v>
      </c>
      <c r="Q429" s="3">
        <v>4.7368421052631602</v>
      </c>
      <c r="R429">
        <v>0</v>
      </c>
      <c r="S429">
        <v>0</v>
      </c>
      <c r="U429">
        <v>-2.2559006211180099</v>
      </c>
      <c r="V429">
        <v>-0.5</v>
      </c>
      <c r="W429">
        <v>-3.9130434782608701</v>
      </c>
      <c r="X429">
        <v>0</v>
      </c>
      <c r="Y429">
        <v>0</v>
      </c>
      <c r="Z429">
        <v>1.8</v>
      </c>
      <c r="AA429">
        <v>0.35714285714285698</v>
      </c>
    </row>
    <row r="430" spans="3:27" x14ac:dyDescent="0.2">
      <c r="C430" t="s">
        <v>25</v>
      </c>
      <c r="D430" t="s">
        <v>240</v>
      </c>
      <c r="E430">
        <v>510</v>
      </c>
      <c r="F430">
        <v>200</v>
      </c>
      <c r="G430">
        <v>22</v>
      </c>
      <c r="H430">
        <v>3.5</v>
      </c>
      <c r="I430">
        <v>0</v>
      </c>
      <c r="J430">
        <v>45</v>
      </c>
      <c r="K430">
        <v>990</v>
      </c>
      <c r="L430">
        <v>56</v>
      </c>
      <c r="M430">
        <v>3</v>
      </c>
      <c r="N430">
        <v>10</v>
      </c>
      <c r="O430">
        <v>24</v>
      </c>
      <c r="P430">
        <v>499.5</v>
      </c>
      <c r="Q430" s="3">
        <v>4.7058823529411802</v>
      </c>
      <c r="R430">
        <v>1</v>
      </c>
      <c r="S430">
        <v>0</v>
      </c>
      <c r="U430">
        <v>-9.7644409937888206</v>
      </c>
      <c r="V430">
        <v>-0.875</v>
      </c>
      <c r="W430">
        <v>-10.7608695652174</v>
      </c>
      <c r="X430">
        <v>-4</v>
      </c>
      <c r="Y430">
        <v>0</v>
      </c>
      <c r="Z430">
        <v>4.8</v>
      </c>
      <c r="AA430">
        <v>1.0714285714285701</v>
      </c>
    </row>
    <row r="431" spans="3:27" x14ac:dyDescent="0.2">
      <c r="C431" t="s">
        <v>25</v>
      </c>
      <c r="D431" t="s">
        <v>249</v>
      </c>
      <c r="E431">
        <v>470</v>
      </c>
      <c r="F431">
        <v>270</v>
      </c>
      <c r="G431">
        <v>30</v>
      </c>
      <c r="H431">
        <v>5</v>
      </c>
      <c r="I431">
        <v>0</v>
      </c>
      <c r="J431">
        <v>65</v>
      </c>
      <c r="K431">
        <v>900</v>
      </c>
      <c r="L431">
        <v>30</v>
      </c>
      <c r="M431">
        <v>2</v>
      </c>
      <c r="N431">
        <v>0</v>
      </c>
      <c r="O431">
        <v>22</v>
      </c>
      <c r="P431">
        <v>453</v>
      </c>
      <c r="Q431" s="3">
        <v>4.68085106382979</v>
      </c>
      <c r="R431">
        <v>1</v>
      </c>
      <c r="S431">
        <v>0</v>
      </c>
      <c r="U431">
        <v>-5.91832298136646</v>
      </c>
      <c r="V431">
        <v>-1.25</v>
      </c>
      <c r="W431">
        <v>-9.7826086956521703</v>
      </c>
      <c r="X431">
        <v>0</v>
      </c>
      <c r="Y431">
        <v>0</v>
      </c>
      <c r="Z431">
        <v>4.4000000000000004</v>
      </c>
      <c r="AA431">
        <v>0.71428571428571397</v>
      </c>
    </row>
    <row r="432" spans="3:27" x14ac:dyDescent="0.2">
      <c r="C432" t="s">
        <v>25</v>
      </c>
      <c r="D432" t="s">
        <v>250</v>
      </c>
      <c r="E432">
        <v>450</v>
      </c>
      <c r="F432">
        <v>250</v>
      </c>
      <c r="G432">
        <v>27</v>
      </c>
      <c r="H432">
        <v>10</v>
      </c>
      <c r="I432">
        <v>0</v>
      </c>
      <c r="J432">
        <v>285</v>
      </c>
      <c r="K432">
        <v>920</v>
      </c>
      <c r="L432">
        <v>30</v>
      </c>
      <c r="M432">
        <v>2</v>
      </c>
      <c r="N432">
        <v>2</v>
      </c>
      <c r="O432">
        <v>21</v>
      </c>
      <c r="P432">
        <v>441</v>
      </c>
      <c r="Q432" s="3">
        <v>4.6666666666666696</v>
      </c>
      <c r="R432">
        <v>1</v>
      </c>
      <c r="S432">
        <v>0</v>
      </c>
      <c r="U432">
        <v>-8.3857142857142897</v>
      </c>
      <c r="V432">
        <v>-2.5</v>
      </c>
      <c r="W432">
        <v>-10</v>
      </c>
      <c r="X432">
        <v>-0.8</v>
      </c>
      <c r="Y432">
        <v>0</v>
      </c>
      <c r="Z432">
        <v>4.2</v>
      </c>
      <c r="AA432">
        <v>0.71428571428571397</v>
      </c>
    </row>
    <row r="433" spans="3:27" x14ac:dyDescent="0.2">
      <c r="C433" t="s">
        <v>25</v>
      </c>
      <c r="D433" t="s">
        <v>259</v>
      </c>
      <c r="E433">
        <v>280</v>
      </c>
      <c r="F433">
        <v>160</v>
      </c>
      <c r="G433">
        <v>18</v>
      </c>
      <c r="H433">
        <v>3</v>
      </c>
      <c r="I433">
        <v>0</v>
      </c>
      <c r="J433">
        <v>40</v>
      </c>
      <c r="K433">
        <v>540</v>
      </c>
      <c r="L433">
        <v>18</v>
      </c>
      <c r="M433">
        <v>1</v>
      </c>
      <c r="N433">
        <v>0</v>
      </c>
      <c r="O433">
        <v>13</v>
      </c>
      <c r="P433">
        <v>270</v>
      </c>
      <c r="Q433" s="3">
        <v>4.6428571428571397</v>
      </c>
      <c r="R433">
        <v>1</v>
      </c>
      <c r="S433">
        <v>0</v>
      </c>
      <c r="U433">
        <v>-3.66242236024845</v>
      </c>
      <c r="V433">
        <v>-0.75</v>
      </c>
      <c r="W433">
        <v>-5.8695652173913002</v>
      </c>
      <c r="X433">
        <v>0</v>
      </c>
      <c r="Y433">
        <v>0</v>
      </c>
      <c r="Z433">
        <v>2.6</v>
      </c>
      <c r="AA433">
        <v>0.35714285714285698</v>
      </c>
    </row>
    <row r="434" spans="3:27" x14ac:dyDescent="0.2">
      <c r="C434" t="s">
        <v>25</v>
      </c>
      <c r="D434" t="s">
        <v>262</v>
      </c>
      <c r="E434">
        <v>475</v>
      </c>
      <c r="F434">
        <v>0</v>
      </c>
      <c r="G434">
        <v>16</v>
      </c>
      <c r="H434" t="s">
        <v>263</v>
      </c>
      <c r="I434">
        <v>0</v>
      </c>
      <c r="J434">
        <v>40</v>
      </c>
      <c r="K434">
        <v>690</v>
      </c>
      <c r="L434">
        <v>62</v>
      </c>
      <c r="M434">
        <v>2</v>
      </c>
      <c r="N434">
        <v>20</v>
      </c>
      <c r="O434">
        <v>22</v>
      </c>
      <c r="Q434" s="3">
        <v>4.6315789473684204</v>
      </c>
      <c r="R434">
        <v>1</v>
      </c>
      <c r="S434">
        <v>0</v>
      </c>
      <c r="U434">
        <v>-11.7607142857143</v>
      </c>
      <c r="V434">
        <v>-1.375</v>
      </c>
      <c r="W434">
        <v>-7.5</v>
      </c>
      <c r="X434">
        <v>-8</v>
      </c>
      <c r="Y434">
        <v>0</v>
      </c>
      <c r="Z434">
        <v>4.4000000000000004</v>
      </c>
      <c r="AA434">
        <v>0.71428571428571397</v>
      </c>
    </row>
    <row r="435" spans="3:27" x14ac:dyDescent="0.2">
      <c r="C435" t="s">
        <v>25</v>
      </c>
      <c r="D435" t="s">
        <v>264</v>
      </c>
      <c r="E435">
        <v>540</v>
      </c>
      <c r="F435">
        <v>260</v>
      </c>
      <c r="G435">
        <v>29</v>
      </c>
      <c r="H435">
        <v>10</v>
      </c>
      <c r="I435">
        <v>1.5</v>
      </c>
      <c r="J435">
        <v>75</v>
      </c>
      <c r="K435">
        <v>1040</v>
      </c>
      <c r="L435">
        <v>45</v>
      </c>
      <c r="M435">
        <v>3</v>
      </c>
      <c r="N435">
        <v>9</v>
      </c>
      <c r="O435">
        <v>25</v>
      </c>
      <c r="P435">
        <v>534</v>
      </c>
      <c r="Q435" s="3">
        <v>4.6296296296296298</v>
      </c>
      <c r="R435">
        <v>1</v>
      </c>
      <c r="S435">
        <v>0</v>
      </c>
      <c r="U435">
        <v>-11.3344192546584</v>
      </c>
      <c r="V435">
        <v>-2.5</v>
      </c>
      <c r="W435">
        <v>-11.304347826087</v>
      </c>
      <c r="X435">
        <v>-3.6</v>
      </c>
      <c r="Y435">
        <v>-1.5E-3</v>
      </c>
      <c r="Z435">
        <v>5</v>
      </c>
      <c r="AA435">
        <v>1.0714285714285701</v>
      </c>
    </row>
    <row r="436" spans="3:27" x14ac:dyDescent="0.2">
      <c r="C436" t="s">
        <v>25</v>
      </c>
      <c r="D436" t="s">
        <v>275</v>
      </c>
      <c r="E436">
        <v>330</v>
      </c>
      <c r="F436">
        <v>170</v>
      </c>
      <c r="G436">
        <v>19</v>
      </c>
      <c r="H436">
        <v>7</v>
      </c>
      <c r="I436">
        <v>1</v>
      </c>
      <c r="J436">
        <v>45</v>
      </c>
      <c r="K436">
        <v>690</v>
      </c>
      <c r="L436">
        <v>26</v>
      </c>
      <c r="M436">
        <v>1</v>
      </c>
      <c r="N436">
        <v>3</v>
      </c>
      <c r="O436">
        <v>15</v>
      </c>
      <c r="P436">
        <v>325</v>
      </c>
      <c r="Q436" s="3">
        <v>4.5454545454545503</v>
      </c>
      <c r="R436">
        <v>1</v>
      </c>
      <c r="S436">
        <v>0</v>
      </c>
      <c r="U436">
        <v>-7.0938571428571402</v>
      </c>
      <c r="V436">
        <v>-1.75</v>
      </c>
      <c r="W436">
        <v>-7.5</v>
      </c>
      <c r="X436">
        <v>-1.2</v>
      </c>
      <c r="Y436">
        <v>-1E-3</v>
      </c>
      <c r="Z436">
        <v>3</v>
      </c>
      <c r="AA436">
        <v>0.35714285714285698</v>
      </c>
    </row>
    <row r="437" spans="3:27" x14ac:dyDescent="0.2">
      <c r="C437" t="s">
        <v>25</v>
      </c>
      <c r="D437" t="s">
        <v>288</v>
      </c>
      <c r="E437">
        <v>45</v>
      </c>
      <c r="F437">
        <v>30</v>
      </c>
      <c r="G437">
        <v>3.5</v>
      </c>
      <c r="H437">
        <v>0.5</v>
      </c>
      <c r="I437">
        <v>0</v>
      </c>
      <c r="J437">
        <v>0</v>
      </c>
      <c r="K437">
        <v>0</v>
      </c>
      <c r="L437">
        <v>2</v>
      </c>
      <c r="M437">
        <v>1</v>
      </c>
      <c r="N437">
        <v>0</v>
      </c>
      <c r="O437">
        <v>2</v>
      </c>
      <c r="P437">
        <v>43.5</v>
      </c>
      <c r="Q437" s="3">
        <v>4.4444444444444402</v>
      </c>
      <c r="R437">
        <v>0</v>
      </c>
      <c r="S437">
        <v>0</v>
      </c>
      <c r="U437">
        <v>0.63214285714285701</v>
      </c>
      <c r="V437">
        <v>-0.125</v>
      </c>
      <c r="W437">
        <v>0</v>
      </c>
      <c r="X437">
        <v>0</v>
      </c>
      <c r="Y437">
        <v>0</v>
      </c>
      <c r="Z437">
        <v>0.4</v>
      </c>
      <c r="AA437">
        <v>0.35714285714285698</v>
      </c>
    </row>
    <row r="438" spans="3:27" x14ac:dyDescent="0.2">
      <c r="C438" t="s">
        <v>25</v>
      </c>
      <c r="D438" t="s">
        <v>298</v>
      </c>
      <c r="E438">
        <v>610</v>
      </c>
      <c r="F438">
        <v>320</v>
      </c>
      <c r="G438">
        <v>36</v>
      </c>
      <c r="H438">
        <v>14</v>
      </c>
      <c r="I438">
        <v>0.5</v>
      </c>
      <c r="J438">
        <v>410</v>
      </c>
      <c r="K438">
        <v>1390</v>
      </c>
      <c r="L438">
        <v>44</v>
      </c>
      <c r="M438">
        <v>3</v>
      </c>
      <c r="N438">
        <v>4</v>
      </c>
      <c r="O438">
        <v>27</v>
      </c>
      <c r="P438">
        <v>601</v>
      </c>
      <c r="Q438" s="3">
        <v>4.4262295081967196</v>
      </c>
      <c r="R438">
        <v>1</v>
      </c>
      <c r="S438">
        <v>1</v>
      </c>
      <c r="U438">
        <v>-13.7377670807453</v>
      </c>
      <c r="V438">
        <v>-3.5</v>
      </c>
      <c r="W438">
        <v>-15.1086956521739</v>
      </c>
      <c r="X438">
        <v>-1.6</v>
      </c>
      <c r="Y438">
        <v>-5.0000000000000001E-4</v>
      </c>
      <c r="Z438">
        <v>5.4</v>
      </c>
      <c r="AA438">
        <v>1.0714285714285701</v>
      </c>
    </row>
    <row r="439" spans="3:27" x14ac:dyDescent="0.2">
      <c r="C439" t="s">
        <v>25</v>
      </c>
      <c r="D439" t="s">
        <v>300</v>
      </c>
      <c r="E439">
        <v>500</v>
      </c>
      <c r="F439">
        <v>240</v>
      </c>
      <c r="G439">
        <v>26</v>
      </c>
      <c r="H439">
        <v>10</v>
      </c>
      <c r="I439">
        <v>0</v>
      </c>
      <c r="J439">
        <v>70</v>
      </c>
      <c r="K439">
        <v>980</v>
      </c>
      <c r="L439">
        <v>44</v>
      </c>
      <c r="M439">
        <v>3</v>
      </c>
      <c r="N439">
        <v>11</v>
      </c>
      <c r="O439">
        <v>22</v>
      </c>
      <c r="P439">
        <v>499</v>
      </c>
      <c r="Q439" s="3">
        <v>4.4000000000000004</v>
      </c>
      <c r="R439">
        <v>1</v>
      </c>
      <c r="S439">
        <v>0</v>
      </c>
      <c r="U439">
        <v>-12.0807453416149</v>
      </c>
      <c r="V439">
        <v>-2.5</v>
      </c>
      <c r="W439">
        <v>-10.6521739130435</v>
      </c>
      <c r="X439">
        <v>-4.4000000000000004</v>
      </c>
      <c r="Y439">
        <v>0</v>
      </c>
      <c r="Z439">
        <v>4.4000000000000004</v>
      </c>
      <c r="AA439">
        <v>1.0714285714285701</v>
      </c>
    </row>
    <row r="440" spans="3:27" x14ac:dyDescent="0.2">
      <c r="C440" t="s">
        <v>25</v>
      </c>
      <c r="D440" t="s">
        <v>319</v>
      </c>
      <c r="E440">
        <v>140</v>
      </c>
      <c r="F440">
        <v>40</v>
      </c>
      <c r="G440">
        <v>4.5</v>
      </c>
      <c r="H440">
        <v>2</v>
      </c>
      <c r="I440">
        <v>0</v>
      </c>
      <c r="J440">
        <v>10</v>
      </c>
      <c r="K440">
        <v>150</v>
      </c>
      <c r="L440">
        <v>20</v>
      </c>
      <c r="M440">
        <v>6</v>
      </c>
      <c r="N440">
        <v>6</v>
      </c>
      <c r="O440">
        <v>6</v>
      </c>
      <c r="P440">
        <v>142</v>
      </c>
      <c r="Q440" s="3">
        <v>4.28571428571429</v>
      </c>
      <c r="R440">
        <v>0</v>
      </c>
      <c r="S440">
        <v>0</v>
      </c>
      <c r="U440">
        <v>-1.1875776397515501</v>
      </c>
      <c r="V440">
        <v>-0.5</v>
      </c>
      <c r="W440">
        <v>-1.6304347826087</v>
      </c>
      <c r="X440">
        <v>-2.4</v>
      </c>
      <c r="Y440">
        <v>0</v>
      </c>
      <c r="Z440">
        <v>1.2</v>
      </c>
      <c r="AA440">
        <v>2.1428571428571401</v>
      </c>
    </row>
    <row r="441" spans="3:27" x14ac:dyDescent="0.2">
      <c r="C441" t="s">
        <v>25</v>
      </c>
      <c r="D441" t="s">
        <v>320</v>
      </c>
      <c r="E441">
        <v>560</v>
      </c>
      <c r="F441">
        <v>240</v>
      </c>
      <c r="G441">
        <v>27</v>
      </c>
      <c r="H441">
        <v>9</v>
      </c>
      <c r="I441">
        <v>0.5</v>
      </c>
      <c r="J441">
        <v>260</v>
      </c>
      <c r="K441">
        <v>1300</v>
      </c>
      <c r="L441">
        <v>56</v>
      </c>
      <c r="M441">
        <v>3</v>
      </c>
      <c r="N441">
        <v>7</v>
      </c>
      <c r="O441">
        <v>24</v>
      </c>
      <c r="P441">
        <v>552</v>
      </c>
      <c r="Q441" s="3">
        <v>4.28571428571429</v>
      </c>
      <c r="R441">
        <v>1</v>
      </c>
      <c r="S441">
        <v>0</v>
      </c>
      <c r="U441">
        <v>-13.3095062111801</v>
      </c>
      <c r="V441">
        <v>-2.25</v>
      </c>
      <c r="W441">
        <v>-14.130434782608701</v>
      </c>
      <c r="X441">
        <v>-2.8</v>
      </c>
      <c r="Y441">
        <v>-5.0000000000000001E-4</v>
      </c>
      <c r="Z441">
        <v>4.8</v>
      </c>
      <c r="AA441">
        <v>1.0714285714285701</v>
      </c>
    </row>
    <row r="442" spans="3:27" x14ac:dyDescent="0.2">
      <c r="C442" t="s">
        <v>25</v>
      </c>
      <c r="D442" t="s">
        <v>321</v>
      </c>
      <c r="E442">
        <v>280</v>
      </c>
      <c r="F442">
        <v>35</v>
      </c>
      <c r="G442">
        <v>4</v>
      </c>
      <c r="H442">
        <v>2.5</v>
      </c>
      <c r="I442">
        <v>0</v>
      </c>
      <c r="J442">
        <v>10</v>
      </c>
      <c r="K442">
        <v>260</v>
      </c>
      <c r="L442">
        <v>49</v>
      </c>
      <c r="M442">
        <v>0</v>
      </c>
      <c r="N442">
        <v>46</v>
      </c>
      <c r="O442">
        <v>12</v>
      </c>
      <c r="P442">
        <v>316.5</v>
      </c>
      <c r="Q442" s="3">
        <v>4.28571428571429</v>
      </c>
      <c r="R442">
        <v>0</v>
      </c>
      <c r="S442">
        <v>0</v>
      </c>
      <c r="U442">
        <v>-19.451086956521699</v>
      </c>
      <c r="V442">
        <v>-0.625</v>
      </c>
      <c r="W442">
        <v>-2.8260869565217401</v>
      </c>
      <c r="X442">
        <v>-18.399999999999999</v>
      </c>
      <c r="Y442">
        <v>0</v>
      </c>
      <c r="Z442">
        <v>2.4</v>
      </c>
      <c r="AA442">
        <v>0</v>
      </c>
    </row>
    <row r="443" spans="3:27" x14ac:dyDescent="0.2">
      <c r="C443" t="s">
        <v>25</v>
      </c>
      <c r="D443" t="s">
        <v>329</v>
      </c>
      <c r="E443">
        <v>330</v>
      </c>
      <c r="F443">
        <v>140</v>
      </c>
      <c r="G443">
        <v>16</v>
      </c>
      <c r="H443">
        <v>4.5</v>
      </c>
      <c r="I443">
        <v>0</v>
      </c>
      <c r="J443">
        <v>30</v>
      </c>
      <c r="K443">
        <v>780</v>
      </c>
      <c r="L443">
        <v>34</v>
      </c>
      <c r="M443">
        <v>1</v>
      </c>
      <c r="N443">
        <v>4</v>
      </c>
      <c r="O443">
        <v>14</v>
      </c>
      <c r="P443">
        <v>324.5</v>
      </c>
      <c r="Q443" s="3">
        <v>4.2424242424242404</v>
      </c>
      <c r="R443">
        <v>1</v>
      </c>
      <c r="S443">
        <v>0</v>
      </c>
      <c r="U443">
        <v>-8.0461180124223599</v>
      </c>
      <c r="V443">
        <v>-1.125</v>
      </c>
      <c r="W443">
        <v>-8.4782608695652204</v>
      </c>
      <c r="X443">
        <v>-1.6</v>
      </c>
      <c r="Y443">
        <v>0</v>
      </c>
      <c r="Z443">
        <v>2.8</v>
      </c>
      <c r="AA443">
        <v>0.35714285714285698</v>
      </c>
    </row>
    <row r="444" spans="3:27" x14ac:dyDescent="0.2">
      <c r="C444" t="s">
        <v>25</v>
      </c>
      <c r="D444" t="s">
        <v>330</v>
      </c>
      <c r="E444">
        <v>330</v>
      </c>
      <c r="F444">
        <v>140</v>
      </c>
      <c r="G444">
        <v>15</v>
      </c>
      <c r="H444">
        <v>4.5</v>
      </c>
      <c r="I444">
        <v>0</v>
      </c>
      <c r="J444">
        <v>30</v>
      </c>
      <c r="K444">
        <v>810</v>
      </c>
      <c r="L444">
        <v>35</v>
      </c>
      <c r="M444">
        <v>1</v>
      </c>
      <c r="N444">
        <v>4</v>
      </c>
      <c r="O444">
        <v>14</v>
      </c>
      <c r="P444">
        <v>324.5</v>
      </c>
      <c r="Q444" s="3">
        <v>4.2424242424242404</v>
      </c>
      <c r="R444">
        <v>1</v>
      </c>
      <c r="S444">
        <v>0</v>
      </c>
      <c r="U444">
        <v>-8.3722049689441</v>
      </c>
      <c r="V444">
        <v>-1.125</v>
      </c>
      <c r="W444">
        <v>-8.8043478260869605</v>
      </c>
      <c r="X444">
        <v>-1.6</v>
      </c>
      <c r="Y444">
        <v>0</v>
      </c>
      <c r="Z444">
        <v>2.8</v>
      </c>
      <c r="AA444">
        <v>0.35714285714285698</v>
      </c>
    </row>
    <row r="445" spans="3:27" x14ac:dyDescent="0.2">
      <c r="C445" t="s">
        <v>25</v>
      </c>
      <c r="D445" t="s">
        <v>345</v>
      </c>
      <c r="E445">
        <v>410</v>
      </c>
      <c r="F445">
        <v>180</v>
      </c>
      <c r="G445">
        <v>20</v>
      </c>
      <c r="H445">
        <v>8</v>
      </c>
      <c r="I445">
        <v>0</v>
      </c>
      <c r="J445">
        <v>30</v>
      </c>
      <c r="K445">
        <v>1180</v>
      </c>
      <c r="L445">
        <v>41</v>
      </c>
      <c r="M445">
        <v>2</v>
      </c>
      <c r="N445">
        <v>3</v>
      </c>
      <c r="O445">
        <v>17</v>
      </c>
      <c r="P445">
        <v>404</v>
      </c>
      <c r="Q445" s="3">
        <v>4.1463414634146298</v>
      </c>
      <c r="R445">
        <v>1</v>
      </c>
      <c r="S445">
        <v>0</v>
      </c>
      <c r="U445">
        <v>-11.911801242236001</v>
      </c>
      <c r="V445">
        <v>-2</v>
      </c>
      <c r="W445">
        <v>-12.826086956521699</v>
      </c>
      <c r="X445">
        <v>-1.2</v>
      </c>
      <c r="Y445">
        <v>0</v>
      </c>
      <c r="Z445">
        <v>3.4</v>
      </c>
      <c r="AA445">
        <v>0.71428571428571397</v>
      </c>
    </row>
    <row r="446" spans="3:27" x14ac:dyDescent="0.2">
      <c r="C446" t="s">
        <v>25</v>
      </c>
      <c r="D446" t="s">
        <v>348</v>
      </c>
      <c r="E446">
        <v>340</v>
      </c>
      <c r="F446">
        <v>150</v>
      </c>
      <c r="G446">
        <v>17</v>
      </c>
      <c r="H446">
        <v>4.5</v>
      </c>
      <c r="I446">
        <v>0</v>
      </c>
      <c r="J446">
        <v>30</v>
      </c>
      <c r="K446">
        <v>810</v>
      </c>
      <c r="L446">
        <v>33</v>
      </c>
      <c r="M446">
        <v>1</v>
      </c>
      <c r="N446">
        <v>2</v>
      </c>
      <c r="O446">
        <v>14</v>
      </c>
      <c r="P446">
        <v>332.5</v>
      </c>
      <c r="Q446" s="3">
        <v>4.1176470588235299</v>
      </c>
      <c r="R446">
        <v>1</v>
      </c>
      <c r="S446">
        <v>0</v>
      </c>
      <c r="U446">
        <v>-7.5722049689441002</v>
      </c>
      <c r="V446">
        <v>-1.125</v>
      </c>
      <c r="W446">
        <v>-8.8043478260869605</v>
      </c>
      <c r="X446">
        <v>-0.8</v>
      </c>
      <c r="Y446">
        <v>0</v>
      </c>
      <c r="Z446">
        <v>2.8</v>
      </c>
      <c r="AA446">
        <v>0.35714285714285698</v>
      </c>
    </row>
    <row r="447" spans="3:27" x14ac:dyDescent="0.2">
      <c r="C447" t="s">
        <v>25</v>
      </c>
      <c r="D447" t="s">
        <v>349</v>
      </c>
      <c r="E447">
        <v>170</v>
      </c>
      <c r="F447">
        <v>0</v>
      </c>
      <c r="G447">
        <v>0</v>
      </c>
      <c r="H447">
        <v>0</v>
      </c>
      <c r="I447">
        <v>0</v>
      </c>
      <c r="J447">
        <v>5</v>
      </c>
      <c r="K447">
        <v>150</v>
      </c>
      <c r="L447">
        <v>36</v>
      </c>
      <c r="M447">
        <v>0</v>
      </c>
      <c r="N447">
        <v>36</v>
      </c>
      <c r="O447">
        <v>7</v>
      </c>
      <c r="P447">
        <v>199</v>
      </c>
      <c r="Q447" s="3">
        <v>4.1176470588235299</v>
      </c>
      <c r="R447">
        <v>0</v>
      </c>
      <c r="S447">
        <v>0</v>
      </c>
      <c r="U447">
        <v>-14.630434782608701</v>
      </c>
      <c r="V447">
        <v>0</v>
      </c>
      <c r="W447">
        <v>-1.6304347826087</v>
      </c>
      <c r="X447">
        <v>-14.4</v>
      </c>
      <c r="Y447">
        <v>0</v>
      </c>
      <c r="Z447">
        <v>1.4</v>
      </c>
      <c r="AA447">
        <v>0</v>
      </c>
    </row>
    <row r="448" spans="3:27" x14ac:dyDescent="0.2">
      <c r="C448" t="s">
        <v>25</v>
      </c>
      <c r="D448" t="s">
        <v>352</v>
      </c>
      <c r="E448">
        <v>390</v>
      </c>
      <c r="F448">
        <v>50</v>
      </c>
      <c r="G448">
        <v>6</v>
      </c>
      <c r="H448">
        <v>3.5</v>
      </c>
      <c r="I448">
        <v>0</v>
      </c>
      <c r="J448">
        <v>10</v>
      </c>
      <c r="K448">
        <v>250</v>
      </c>
      <c r="L448">
        <v>68</v>
      </c>
      <c r="M448">
        <v>0</v>
      </c>
      <c r="N448">
        <v>59</v>
      </c>
      <c r="O448">
        <v>16</v>
      </c>
      <c r="P448">
        <v>436.5</v>
      </c>
      <c r="Q448" s="3">
        <v>4.1025641025641004</v>
      </c>
      <c r="R448">
        <v>0</v>
      </c>
      <c r="S448">
        <v>0</v>
      </c>
      <c r="U448">
        <v>-23.992391304347802</v>
      </c>
      <c r="V448">
        <v>-0.875</v>
      </c>
      <c r="W448">
        <v>-2.7173913043478302</v>
      </c>
      <c r="X448">
        <v>-23.6</v>
      </c>
      <c r="Y448">
        <v>0</v>
      </c>
      <c r="Z448">
        <v>3.2</v>
      </c>
      <c r="AA448">
        <v>0</v>
      </c>
    </row>
    <row r="449" spans="3:27" x14ac:dyDescent="0.2">
      <c r="C449" t="s">
        <v>25</v>
      </c>
      <c r="D449" t="s">
        <v>356</v>
      </c>
      <c r="E449">
        <v>220</v>
      </c>
      <c r="F449">
        <v>0</v>
      </c>
      <c r="G449">
        <v>0</v>
      </c>
      <c r="H449">
        <v>0</v>
      </c>
      <c r="I449">
        <v>0</v>
      </c>
      <c r="J449">
        <v>5</v>
      </c>
      <c r="K449">
        <v>180</v>
      </c>
      <c r="L449">
        <v>45</v>
      </c>
      <c r="M449">
        <v>0</v>
      </c>
      <c r="N449">
        <v>45</v>
      </c>
      <c r="O449">
        <v>9</v>
      </c>
      <c r="P449">
        <v>256</v>
      </c>
      <c r="Q449" s="3">
        <v>4.0909090909090899</v>
      </c>
      <c r="R449">
        <v>0</v>
      </c>
      <c r="S449">
        <v>0</v>
      </c>
      <c r="U449">
        <v>-18.156521739130401</v>
      </c>
      <c r="V449">
        <v>0</v>
      </c>
      <c r="W449">
        <v>-1.9565217391304399</v>
      </c>
      <c r="X449">
        <v>-18</v>
      </c>
      <c r="Y449">
        <v>0</v>
      </c>
      <c r="Z449">
        <v>1.8</v>
      </c>
      <c r="AA449">
        <v>0</v>
      </c>
    </row>
    <row r="450" spans="3:27" x14ac:dyDescent="0.2">
      <c r="C450" t="s">
        <v>25</v>
      </c>
      <c r="D450" t="s">
        <v>357</v>
      </c>
      <c r="E450">
        <v>220</v>
      </c>
      <c r="F450">
        <v>0</v>
      </c>
      <c r="G450">
        <v>0</v>
      </c>
      <c r="H450">
        <v>0</v>
      </c>
      <c r="I450">
        <v>0</v>
      </c>
      <c r="J450">
        <v>5</v>
      </c>
      <c r="K450">
        <v>115</v>
      </c>
      <c r="L450">
        <v>46</v>
      </c>
      <c r="M450">
        <v>0</v>
      </c>
      <c r="N450">
        <v>46</v>
      </c>
      <c r="O450">
        <v>9</v>
      </c>
      <c r="P450">
        <v>257</v>
      </c>
      <c r="Q450" s="3">
        <v>4.0909090909090899</v>
      </c>
      <c r="R450">
        <v>0</v>
      </c>
      <c r="S450">
        <v>0</v>
      </c>
      <c r="U450">
        <v>-17.850000000000001</v>
      </c>
      <c r="V450">
        <v>0</v>
      </c>
      <c r="W450">
        <v>-1.25</v>
      </c>
      <c r="X450">
        <v>-18.399999999999999</v>
      </c>
      <c r="Y450">
        <v>0</v>
      </c>
      <c r="Z450">
        <v>1.8</v>
      </c>
      <c r="AA450">
        <v>0</v>
      </c>
    </row>
    <row r="451" spans="3:27" x14ac:dyDescent="0.2">
      <c r="C451" t="s">
        <v>25</v>
      </c>
      <c r="D451" t="s">
        <v>358</v>
      </c>
      <c r="E451">
        <v>220</v>
      </c>
      <c r="F451">
        <v>0</v>
      </c>
      <c r="G451">
        <v>0</v>
      </c>
      <c r="H451">
        <v>0</v>
      </c>
      <c r="I451">
        <v>0</v>
      </c>
      <c r="J451">
        <v>5</v>
      </c>
      <c r="K451">
        <v>115</v>
      </c>
      <c r="L451">
        <v>46</v>
      </c>
      <c r="M451">
        <v>0</v>
      </c>
      <c r="N451">
        <v>46</v>
      </c>
      <c r="O451">
        <v>9</v>
      </c>
      <c r="P451">
        <v>257</v>
      </c>
      <c r="Q451" s="3">
        <v>4.0909090909090899</v>
      </c>
      <c r="R451">
        <v>0</v>
      </c>
      <c r="S451">
        <v>0</v>
      </c>
      <c r="U451">
        <v>-17.850000000000001</v>
      </c>
      <c r="V451">
        <v>0</v>
      </c>
      <c r="W451">
        <v>-1.25</v>
      </c>
      <c r="X451">
        <v>-18.399999999999999</v>
      </c>
      <c r="Y451">
        <v>0</v>
      </c>
      <c r="Z451">
        <v>1.8</v>
      </c>
      <c r="AA451">
        <v>0</v>
      </c>
    </row>
    <row r="452" spans="3:27" x14ac:dyDescent="0.2">
      <c r="C452" t="s">
        <v>25</v>
      </c>
      <c r="D452" t="s">
        <v>372</v>
      </c>
      <c r="E452">
        <v>300</v>
      </c>
      <c r="F452">
        <v>140</v>
      </c>
      <c r="G452">
        <v>16</v>
      </c>
      <c r="H452">
        <v>7</v>
      </c>
      <c r="I452">
        <v>0</v>
      </c>
      <c r="J452">
        <v>115</v>
      </c>
      <c r="K452">
        <v>830</v>
      </c>
      <c r="L452">
        <v>26</v>
      </c>
      <c r="M452">
        <v>1</v>
      </c>
      <c r="N452">
        <v>2</v>
      </c>
      <c r="O452">
        <v>12</v>
      </c>
      <c r="P452">
        <v>297</v>
      </c>
      <c r="Q452" s="3">
        <v>4</v>
      </c>
      <c r="R452">
        <v>1</v>
      </c>
      <c r="S452">
        <v>0</v>
      </c>
      <c r="U452">
        <v>-8.8145962732919294</v>
      </c>
      <c r="V452">
        <v>-1.75</v>
      </c>
      <c r="W452">
        <v>-9.0217391304347796</v>
      </c>
      <c r="X452">
        <v>-0.8</v>
      </c>
      <c r="Y452">
        <v>0</v>
      </c>
      <c r="Z452">
        <v>2.4</v>
      </c>
      <c r="AA452">
        <v>0.35714285714285698</v>
      </c>
    </row>
    <row r="453" spans="3:27" x14ac:dyDescent="0.2">
      <c r="C453" t="s">
        <v>25</v>
      </c>
      <c r="D453" t="s">
        <v>373</v>
      </c>
      <c r="E453">
        <v>200</v>
      </c>
      <c r="F453">
        <v>35</v>
      </c>
      <c r="G453">
        <v>4</v>
      </c>
      <c r="H453">
        <v>2.5</v>
      </c>
      <c r="I453">
        <v>0</v>
      </c>
      <c r="J453">
        <v>5</v>
      </c>
      <c r="K453">
        <v>170</v>
      </c>
      <c r="L453">
        <v>34</v>
      </c>
      <c r="M453">
        <v>0</v>
      </c>
      <c r="N453">
        <v>31</v>
      </c>
      <c r="O453">
        <v>8</v>
      </c>
      <c r="P453">
        <v>225.5</v>
      </c>
      <c r="Q453" s="3">
        <v>4</v>
      </c>
      <c r="R453">
        <v>0</v>
      </c>
      <c r="S453">
        <v>0</v>
      </c>
      <c r="U453">
        <v>-13.272826086956499</v>
      </c>
      <c r="V453">
        <v>-0.625</v>
      </c>
      <c r="W453">
        <v>-1.84782608695652</v>
      </c>
      <c r="X453">
        <v>-12.4</v>
      </c>
      <c r="Y453">
        <v>0</v>
      </c>
      <c r="Z453">
        <v>1.6</v>
      </c>
      <c r="AA453">
        <v>0</v>
      </c>
    </row>
    <row r="454" spans="3:27" x14ac:dyDescent="0.2">
      <c r="C454" t="s">
        <v>25</v>
      </c>
      <c r="D454" t="s">
        <v>389</v>
      </c>
      <c r="E454">
        <v>380</v>
      </c>
      <c r="F454">
        <v>170</v>
      </c>
      <c r="G454">
        <v>18</v>
      </c>
      <c r="H454">
        <v>3.5</v>
      </c>
      <c r="I454">
        <v>0</v>
      </c>
      <c r="J454">
        <v>40</v>
      </c>
      <c r="K454">
        <v>640</v>
      </c>
      <c r="L454">
        <v>38</v>
      </c>
      <c r="M454">
        <v>2</v>
      </c>
      <c r="N454">
        <v>5</v>
      </c>
      <c r="O454">
        <v>15</v>
      </c>
      <c r="P454">
        <v>373.5</v>
      </c>
      <c r="Q454" s="3">
        <v>3.9473684210526301</v>
      </c>
      <c r="R454">
        <v>1</v>
      </c>
      <c r="S454">
        <v>0</v>
      </c>
      <c r="U454">
        <v>-6.1172360248447202</v>
      </c>
      <c r="V454">
        <v>-0.875</v>
      </c>
      <c r="W454">
        <v>-6.9565217391304301</v>
      </c>
      <c r="X454">
        <v>-2</v>
      </c>
      <c r="Y454">
        <v>0</v>
      </c>
      <c r="Z454">
        <v>3</v>
      </c>
      <c r="AA454">
        <v>0.71428571428571397</v>
      </c>
    </row>
    <row r="455" spans="3:27" x14ac:dyDescent="0.2">
      <c r="C455" t="s">
        <v>25</v>
      </c>
      <c r="D455" t="s">
        <v>392</v>
      </c>
      <c r="E455">
        <v>360</v>
      </c>
      <c r="F455">
        <v>150</v>
      </c>
      <c r="G455">
        <v>16</v>
      </c>
      <c r="H455">
        <v>3</v>
      </c>
      <c r="I455">
        <v>0</v>
      </c>
      <c r="J455">
        <v>35</v>
      </c>
      <c r="K455">
        <v>830</v>
      </c>
      <c r="L455">
        <v>40</v>
      </c>
      <c r="M455">
        <v>2</v>
      </c>
      <c r="N455">
        <v>5</v>
      </c>
      <c r="O455">
        <v>14</v>
      </c>
      <c r="P455">
        <v>354</v>
      </c>
      <c r="Q455" s="3">
        <v>3.8888888888888902</v>
      </c>
      <c r="R455">
        <v>1</v>
      </c>
      <c r="S455">
        <v>0</v>
      </c>
      <c r="U455">
        <v>-8.2574534161490707</v>
      </c>
      <c r="V455">
        <v>-0.75</v>
      </c>
      <c r="W455">
        <v>-9.0217391304347796</v>
      </c>
      <c r="X455">
        <v>-2</v>
      </c>
      <c r="Y455">
        <v>0</v>
      </c>
      <c r="Z455">
        <v>2.8</v>
      </c>
      <c r="AA455">
        <v>0.71428571428571397</v>
      </c>
    </row>
    <row r="456" spans="3:27" x14ac:dyDescent="0.2">
      <c r="C456" t="s">
        <v>25</v>
      </c>
      <c r="D456" t="s">
        <v>393</v>
      </c>
      <c r="E456">
        <v>180</v>
      </c>
      <c r="F456">
        <v>0</v>
      </c>
      <c r="G456">
        <v>0</v>
      </c>
      <c r="H456">
        <v>0</v>
      </c>
      <c r="I456">
        <v>0</v>
      </c>
      <c r="J456">
        <v>5</v>
      </c>
      <c r="K456">
        <v>95</v>
      </c>
      <c r="L456">
        <v>37</v>
      </c>
      <c r="M456">
        <v>0</v>
      </c>
      <c r="N456">
        <v>37</v>
      </c>
      <c r="O456">
        <v>7</v>
      </c>
      <c r="P456">
        <v>210</v>
      </c>
      <c r="Q456" s="3">
        <v>3.8888888888888902</v>
      </c>
      <c r="R456">
        <v>0</v>
      </c>
      <c r="S456">
        <v>0</v>
      </c>
      <c r="U456">
        <v>-14.432608695652201</v>
      </c>
      <c r="V456">
        <v>0</v>
      </c>
      <c r="W456">
        <v>-1.0326086956521701</v>
      </c>
      <c r="X456">
        <v>-14.8</v>
      </c>
      <c r="Y456">
        <v>0</v>
      </c>
      <c r="Z456">
        <v>1.4</v>
      </c>
      <c r="AA456">
        <v>0</v>
      </c>
    </row>
    <row r="457" spans="3:27" x14ac:dyDescent="0.2">
      <c r="C457" t="s">
        <v>25</v>
      </c>
      <c r="D457" t="s">
        <v>394</v>
      </c>
      <c r="E457">
        <v>180</v>
      </c>
      <c r="F457">
        <v>0</v>
      </c>
      <c r="G457">
        <v>0</v>
      </c>
      <c r="H457">
        <v>0</v>
      </c>
      <c r="I457">
        <v>0</v>
      </c>
      <c r="J457">
        <v>5</v>
      </c>
      <c r="K457">
        <v>95</v>
      </c>
      <c r="L457">
        <v>37</v>
      </c>
      <c r="M457">
        <v>0</v>
      </c>
      <c r="N457">
        <v>37</v>
      </c>
      <c r="O457">
        <v>7</v>
      </c>
      <c r="P457">
        <v>210</v>
      </c>
      <c r="Q457" s="3">
        <v>3.8888888888888902</v>
      </c>
      <c r="R457">
        <v>0</v>
      </c>
      <c r="S457">
        <v>0</v>
      </c>
      <c r="U457">
        <v>-14.432608695652201</v>
      </c>
      <c r="V457">
        <v>0</v>
      </c>
      <c r="W457">
        <v>-1.0326086956521701</v>
      </c>
      <c r="X457">
        <v>-14.8</v>
      </c>
      <c r="Y457">
        <v>0</v>
      </c>
      <c r="Z457">
        <v>1.4</v>
      </c>
      <c r="AA457">
        <v>0</v>
      </c>
    </row>
    <row r="458" spans="3:27" x14ac:dyDescent="0.2">
      <c r="C458" t="s">
        <v>25</v>
      </c>
      <c r="D458" t="s">
        <v>397</v>
      </c>
      <c r="E458">
        <v>260</v>
      </c>
      <c r="F458">
        <v>0</v>
      </c>
      <c r="G458">
        <v>0</v>
      </c>
      <c r="H458">
        <v>0</v>
      </c>
      <c r="I458">
        <v>0</v>
      </c>
      <c r="J458">
        <v>5</v>
      </c>
      <c r="K458">
        <v>220</v>
      </c>
      <c r="L458">
        <v>53</v>
      </c>
      <c r="M458">
        <v>0</v>
      </c>
      <c r="N458">
        <v>53</v>
      </c>
      <c r="O458">
        <v>10</v>
      </c>
      <c r="P458">
        <v>303</v>
      </c>
      <c r="Q458" s="3">
        <v>3.8461538461538498</v>
      </c>
      <c r="R458">
        <v>0</v>
      </c>
      <c r="S458">
        <v>0</v>
      </c>
      <c r="U458">
        <v>-21.5913043478261</v>
      </c>
      <c r="V458">
        <v>0</v>
      </c>
      <c r="W458">
        <v>-2.39130434782609</v>
      </c>
      <c r="X458">
        <v>-21.2</v>
      </c>
      <c r="Y458">
        <v>0</v>
      </c>
      <c r="Z458">
        <v>2</v>
      </c>
      <c r="AA458">
        <v>0</v>
      </c>
    </row>
    <row r="459" spans="3:27" x14ac:dyDescent="0.2">
      <c r="C459" t="s">
        <v>25</v>
      </c>
      <c r="D459" t="s">
        <v>398</v>
      </c>
      <c r="E459">
        <v>260</v>
      </c>
      <c r="F459">
        <v>0</v>
      </c>
      <c r="G459">
        <v>0</v>
      </c>
      <c r="H459">
        <v>0</v>
      </c>
      <c r="I459">
        <v>0</v>
      </c>
      <c r="J459">
        <v>5</v>
      </c>
      <c r="K459">
        <v>135</v>
      </c>
      <c r="L459">
        <v>55</v>
      </c>
      <c r="M459">
        <v>0</v>
      </c>
      <c r="N459">
        <v>55</v>
      </c>
      <c r="O459">
        <v>10</v>
      </c>
      <c r="P459">
        <v>305</v>
      </c>
      <c r="Q459" s="3">
        <v>3.8461538461538498</v>
      </c>
      <c r="R459">
        <v>0</v>
      </c>
      <c r="S459">
        <v>0</v>
      </c>
      <c r="U459">
        <v>-21.4673913043478</v>
      </c>
      <c r="V459">
        <v>0</v>
      </c>
      <c r="W459">
        <v>-1.4673913043478299</v>
      </c>
      <c r="X459">
        <v>-22</v>
      </c>
      <c r="Y459">
        <v>0</v>
      </c>
      <c r="Z459">
        <v>2</v>
      </c>
      <c r="AA459">
        <v>0</v>
      </c>
    </row>
    <row r="460" spans="3:27" x14ac:dyDescent="0.2">
      <c r="C460" t="s">
        <v>25</v>
      </c>
      <c r="D460" t="s">
        <v>399</v>
      </c>
      <c r="E460">
        <v>260</v>
      </c>
      <c r="F460">
        <v>0</v>
      </c>
      <c r="G460">
        <v>0</v>
      </c>
      <c r="H460">
        <v>0</v>
      </c>
      <c r="I460">
        <v>0</v>
      </c>
      <c r="J460">
        <v>5</v>
      </c>
      <c r="K460">
        <v>135</v>
      </c>
      <c r="L460">
        <v>55</v>
      </c>
      <c r="M460">
        <v>0</v>
      </c>
      <c r="N460">
        <v>55</v>
      </c>
      <c r="O460">
        <v>10</v>
      </c>
      <c r="P460">
        <v>305</v>
      </c>
      <c r="Q460" s="3">
        <v>3.8461538461538498</v>
      </c>
      <c r="R460">
        <v>0</v>
      </c>
      <c r="S460">
        <v>0</v>
      </c>
      <c r="U460">
        <v>-21.4673913043478</v>
      </c>
      <c r="V460">
        <v>0</v>
      </c>
      <c r="W460">
        <v>-1.4673913043478299</v>
      </c>
      <c r="X460">
        <v>-22</v>
      </c>
      <c r="Y460">
        <v>0</v>
      </c>
      <c r="Z460">
        <v>2</v>
      </c>
      <c r="AA460">
        <v>0</v>
      </c>
    </row>
    <row r="461" spans="3:27" x14ac:dyDescent="0.2">
      <c r="C461" t="s">
        <v>25</v>
      </c>
      <c r="D461" t="s">
        <v>406</v>
      </c>
      <c r="E461">
        <v>370</v>
      </c>
      <c r="F461">
        <v>200</v>
      </c>
      <c r="G461">
        <v>22</v>
      </c>
      <c r="H461">
        <v>8</v>
      </c>
      <c r="I461">
        <v>0</v>
      </c>
      <c r="J461">
        <v>45</v>
      </c>
      <c r="K461">
        <v>850</v>
      </c>
      <c r="L461">
        <v>29</v>
      </c>
      <c r="M461">
        <v>2</v>
      </c>
      <c r="N461">
        <v>2</v>
      </c>
      <c r="O461">
        <v>14</v>
      </c>
      <c r="P461">
        <v>366</v>
      </c>
      <c r="Q461" s="3">
        <v>3.7837837837837802</v>
      </c>
      <c r="R461">
        <v>1</v>
      </c>
      <c r="S461">
        <v>0</v>
      </c>
      <c r="U461">
        <v>-8.5248447204968905</v>
      </c>
      <c r="V461">
        <v>-2</v>
      </c>
      <c r="W461">
        <v>-9.2391304347826093</v>
      </c>
      <c r="X461">
        <v>-0.8</v>
      </c>
      <c r="Y461">
        <v>0</v>
      </c>
      <c r="Z461">
        <v>2.8</v>
      </c>
      <c r="AA461">
        <v>0.71428571428571397</v>
      </c>
    </row>
    <row r="462" spans="3:27" x14ac:dyDescent="0.2">
      <c r="C462" t="s">
        <v>25</v>
      </c>
      <c r="D462" t="s">
        <v>407</v>
      </c>
      <c r="E462">
        <v>740</v>
      </c>
      <c r="F462">
        <v>430</v>
      </c>
      <c r="G462">
        <v>48</v>
      </c>
      <c r="H462">
        <v>17</v>
      </c>
      <c r="I462">
        <v>0</v>
      </c>
      <c r="J462">
        <v>555</v>
      </c>
      <c r="K462">
        <v>1560</v>
      </c>
      <c r="L462">
        <v>51</v>
      </c>
      <c r="M462">
        <v>3</v>
      </c>
      <c r="N462">
        <v>3</v>
      </c>
      <c r="O462">
        <v>28</v>
      </c>
      <c r="P462">
        <v>732</v>
      </c>
      <c r="Q462" s="3">
        <v>3.7837837837837802</v>
      </c>
      <c r="R462">
        <v>1</v>
      </c>
      <c r="S462">
        <v>1</v>
      </c>
      <c r="U462">
        <v>-15.735093167701899</v>
      </c>
      <c r="V462">
        <v>-4.25</v>
      </c>
      <c r="W462">
        <v>-16.956521739130402</v>
      </c>
      <c r="X462">
        <v>-1.2</v>
      </c>
      <c r="Y462">
        <v>0</v>
      </c>
      <c r="Z462">
        <v>5.6</v>
      </c>
      <c r="AA462">
        <v>1.0714285714285701</v>
      </c>
    </row>
    <row r="463" spans="3:27" x14ac:dyDescent="0.2">
      <c r="C463" t="s">
        <v>25</v>
      </c>
      <c r="D463" t="s">
        <v>410</v>
      </c>
      <c r="E463">
        <v>240</v>
      </c>
      <c r="F463">
        <v>60</v>
      </c>
      <c r="G463">
        <v>6</v>
      </c>
      <c r="H463">
        <v>4</v>
      </c>
      <c r="I463">
        <v>0</v>
      </c>
      <c r="J463">
        <v>10</v>
      </c>
      <c r="K463">
        <v>190</v>
      </c>
      <c r="L463">
        <v>37</v>
      </c>
      <c r="M463">
        <v>0</v>
      </c>
      <c r="N463">
        <v>34</v>
      </c>
      <c r="O463">
        <v>9</v>
      </c>
      <c r="P463">
        <v>269</v>
      </c>
      <c r="Q463" s="3">
        <v>3.75</v>
      </c>
      <c r="R463">
        <v>0</v>
      </c>
      <c r="S463">
        <v>0</v>
      </c>
      <c r="U463">
        <v>-14.8652173913043</v>
      </c>
      <c r="V463">
        <v>-1</v>
      </c>
      <c r="W463">
        <v>-2.0652173913043499</v>
      </c>
      <c r="X463">
        <v>-13.6</v>
      </c>
      <c r="Y463">
        <v>0</v>
      </c>
      <c r="Z463">
        <v>1.8</v>
      </c>
      <c r="AA463">
        <v>0</v>
      </c>
    </row>
    <row r="464" spans="3:27" x14ac:dyDescent="0.2">
      <c r="C464" t="s">
        <v>25</v>
      </c>
      <c r="D464" t="s">
        <v>411</v>
      </c>
      <c r="E464">
        <v>240</v>
      </c>
      <c r="F464">
        <v>35</v>
      </c>
      <c r="G464">
        <v>4</v>
      </c>
      <c r="H464">
        <v>2.5</v>
      </c>
      <c r="I464">
        <v>0</v>
      </c>
      <c r="J464">
        <v>5</v>
      </c>
      <c r="K464">
        <v>200</v>
      </c>
      <c r="L464">
        <v>41</v>
      </c>
      <c r="M464">
        <v>0</v>
      </c>
      <c r="N464">
        <v>38</v>
      </c>
      <c r="O464">
        <v>9</v>
      </c>
      <c r="P464">
        <v>271.5</v>
      </c>
      <c r="Q464" s="3">
        <v>3.75</v>
      </c>
      <c r="R464">
        <v>0</v>
      </c>
      <c r="S464">
        <v>0</v>
      </c>
      <c r="U464">
        <v>-16.198913043478299</v>
      </c>
      <c r="V464">
        <v>-0.625</v>
      </c>
      <c r="W464">
        <v>-2.1739130434782599</v>
      </c>
      <c r="X464">
        <v>-15.2</v>
      </c>
      <c r="Y464">
        <v>0</v>
      </c>
      <c r="Z464">
        <v>1.8</v>
      </c>
      <c r="AA464">
        <v>0</v>
      </c>
    </row>
    <row r="465" spans="3:27" x14ac:dyDescent="0.2">
      <c r="C465" t="s">
        <v>25</v>
      </c>
      <c r="D465" t="s">
        <v>422</v>
      </c>
      <c r="E465">
        <v>300</v>
      </c>
      <c r="F465">
        <v>60</v>
      </c>
      <c r="G465">
        <v>6</v>
      </c>
      <c r="H465">
        <v>4</v>
      </c>
      <c r="I465">
        <v>0</v>
      </c>
      <c r="J465">
        <v>10</v>
      </c>
      <c r="K465">
        <v>230</v>
      </c>
      <c r="L465">
        <v>49</v>
      </c>
      <c r="M465">
        <v>0</v>
      </c>
      <c r="N465">
        <v>45</v>
      </c>
      <c r="O465">
        <v>11</v>
      </c>
      <c r="P465">
        <v>338</v>
      </c>
      <c r="Q465" s="3">
        <v>3.6666666666666701</v>
      </c>
      <c r="R465">
        <v>0</v>
      </c>
      <c r="S465">
        <v>0</v>
      </c>
      <c r="U465">
        <v>-19.3</v>
      </c>
      <c r="V465">
        <v>-1</v>
      </c>
      <c r="W465">
        <v>-2.5</v>
      </c>
      <c r="X465">
        <v>-18</v>
      </c>
      <c r="Y465">
        <v>0</v>
      </c>
      <c r="Z465">
        <v>2.2000000000000002</v>
      </c>
      <c r="AA465">
        <v>0</v>
      </c>
    </row>
    <row r="466" spans="3:27" x14ac:dyDescent="0.2">
      <c r="C466" t="s">
        <v>25</v>
      </c>
      <c r="D466" t="s">
        <v>426</v>
      </c>
      <c r="E466">
        <v>470</v>
      </c>
      <c r="F466">
        <v>220</v>
      </c>
      <c r="G466">
        <v>24</v>
      </c>
      <c r="H466">
        <v>9</v>
      </c>
      <c r="I466">
        <v>0</v>
      </c>
      <c r="J466">
        <v>30</v>
      </c>
      <c r="K466">
        <v>1290</v>
      </c>
      <c r="L466">
        <v>46</v>
      </c>
      <c r="M466">
        <v>3</v>
      </c>
      <c r="N466">
        <v>4</v>
      </c>
      <c r="O466">
        <v>17</v>
      </c>
      <c r="P466">
        <v>466</v>
      </c>
      <c r="Q466" s="3">
        <v>3.6170212765957399</v>
      </c>
      <c r="R466">
        <v>1</v>
      </c>
      <c r="S466">
        <v>0</v>
      </c>
      <c r="U466">
        <v>-13.400310559006201</v>
      </c>
      <c r="V466">
        <v>-2.25</v>
      </c>
      <c r="W466">
        <v>-14.021739130434799</v>
      </c>
      <c r="X466">
        <v>-1.6</v>
      </c>
      <c r="Y466">
        <v>0</v>
      </c>
      <c r="Z466">
        <v>3.4</v>
      </c>
      <c r="AA466">
        <v>1.0714285714285701</v>
      </c>
    </row>
    <row r="467" spans="3:27" x14ac:dyDescent="0.2">
      <c r="C467" t="s">
        <v>25</v>
      </c>
      <c r="D467" t="s">
        <v>430</v>
      </c>
      <c r="E467">
        <v>420</v>
      </c>
      <c r="F467">
        <v>210</v>
      </c>
      <c r="G467">
        <v>23</v>
      </c>
      <c r="H467">
        <v>12</v>
      </c>
      <c r="I467">
        <v>0</v>
      </c>
      <c r="J467">
        <v>235</v>
      </c>
      <c r="K467">
        <v>1160</v>
      </c>
      <c r="L467">
        <v>37</v>
      </c>
      <c r="M467">
        <v>2</v>
      </c>
      <c r="N467">
        <v>3</v>
      </c>
      <c r="O467">
        <v>15</v>
      </c>
      <c r="P467">
        <v>420</v>
      </c>
      <c r="Q467" s="3">
        <v>3.5714285714285698</v>
      </c>
      <c r="R467">
        <v>1</v>
      </c>
      <c r="S467">
        <v>0</v>
      </c>
      <c r="U467">
        <v>-13.0944099378882</v>
      </c>
      <c r="V467">
        <v>-3</v>
      </c>
      <c r="W467">
        <v>-12.6086956521739</v>
      </c>
      <c r="X467">
        <v>-1.2</v>
      </c>
      <c r="Y467">
        <v>0</v>
      </c>
      <c r="Z467">
        <v>3</v>
      </c>
      <c r="AA467">
        <v>0.71428571428571397</v>
      </c>
    </row>
    <row r="468" spans="3:27" x14ac:dyDescent="0.2">
      <c r="C468" t="s">
        <v>25</v>
      </c>
      <c r="D468" t="s">
        <v>431</v>
      </c>
      <c r="E468">
        <v>420</v>
      </c>
      <c r="F468">
        <v>160</v>
      </c>
      <c r="G468">
        <v>18</v>
      </c>
      <c r="H468">
        <v>8</v>
      </c>
      <c r="I468">
        <v>0</v>
      </c>
      <c r="J468">
        <v>240</v>
      </c>
      <c r="K468">
        <v>1110</v>
      </c>
      <c r="L468">
        <v>48</v>
      </c>
      <c r="M468">
        <v>2</v>
      </c>
      <c r="N468">
        <v>15</v>
      </c>
      <c r="O468">
        <v>15</v>
      </c>
      <c r="P468">
        <v>428</v>
      </c>
      <c r="Q468" s="3">
        <v>3.5714285714285698</v>
      </c>
      <c r="R468">
        <v>1</v>
      </c>
      <c r="S468">
        <v>0</v>
      </c>
      <c r="U468">
        <v>-16.3509316770186</v>
      </c>
      <c r="V468">
        <v>-2</v>
      </c>
      <c r="W468">
        <v>-12.0652173913043</v>
      </c>
      <c r="X468">
        <v>-6</v>
      </c>
      <c r="Y468">
        <v>0</v>
      </c>
      <c r="Z468">
        <v>3</v>
      </c>
      <c r="AA468">
        <v>0.71428571428571397</v>
      </c>
    </row>
    <row r="469" spans="3:27" x14ac:dyDescent="0.2">
      <c r="C469" t="s">
        <v>25</v>
      </c>
      <c r="D469" t="s">
        <v>432</v>
      </c>
      <c r="E469">
        <v>560</v>
      </c>
      <c r="F469">
        <v>290</v>
      </c>
      <c r="G469">
        <v>32</v>
      </c>
      <c r="H469">
        <v>12</v>
      </c>
      <c r="I469">
        <v>0</v>
      </c>
      <c r="J469">
        <v>265</v>
      </c>
      <c r="K469">
        <v>1360</v>
      </c>
      <c r="L469">
        <v>48</v>
      </c>
      <c r="M469">
        <v>2</v>
      </c>
      <c r="N469">
        <v>15</v>
      </c>
      <c r="O469">
        <v>20</v>
      </c>
      <c r="P469">
        <v>567</v>
      </c>
      <c r="Q469" s="3">
        <v>3.5714285714285698</v>
      </c>
      <c r="R469">
        <v>1</v>
      </c>
      <c r="S469">
        <v>0</v>
      </c>
      <c r="U469">
        <v>-19.068322981366499</v>
      </c>
      <c r="V469">
        <v>-3</v>
      </c>
      <c r="W469">
        <v>-14.7826086956522</v>
      </c>
      <c r="X469">
        <v>-6</v>
      </c>
      <c r="Y469">
        <v>0</v>
      </c>
      <c r="Z469">
        <v>4</v>
      </c>
      <c r="AA469">
        <v>0.71428571428571397</v>
      </c>
    </row>
    <row r="470" spans="3:27" x14ac:dyDescent="0.2">
      <c r="C470" t="s">
        <v>25</v>
      </c>
      <c r="D470" t="s">
        <v>436</v>
      </c>
      <c r="E470">
        <v>310</v>
      </c>
      <c r="F470">
        <v>50</v>
      </c>
      <c r="G470">
        <v>6</v>
      </c>
      <c r="H470">
        <v>3.5</v>
      </c>
      <c r="I470">
        <v>0</v>
      </c>
      <c r="J470">
        <v>10</v>
      </c>
      <c r="K470">
        <v>190</v>
      </c>
      <c r="L470">
        <v>55</v>
      </c>
      <c r="M470">
        <v>0</v>
      </c>
      <c r="N470">
        <v>47</v>
      </c>
      <c r="O470">
        <v>11</v>
      </c>
      <c r="P470">
        <v>349.5</v>
      </c>
      <c r="Q470" s="3">
        <v>3.54838709677419</v>
      </c>
      <c r="R470">
        <v>0</v>
      </c>
      <c r="S470">
        <v>0</v>
      </c>
      <c r="U470">
        <v>-19.540217391304299</v>
      </c>
      <c r="V470">
        <v>-0.875</v>
      </c>
      <c r="W470">
        <v>-2.0652173913043499</v>
      </c>
      <c r="X470">
        <v>-18.8</v>
      </c>
      <c r="Y470">
        <v>0</v>
      </c>
      <c r="Z470">
        <v>2.2000000000000002</v>
      </c>
      <c r="AA470">
        <v>0</v>
      </c>
    </row>
    <row r="471" spans="3:27" x14ac:dyDescent="0.2">
      <c r="C471" t="s">
        <v>25</v>
      </c>
      <c r="D471" t="s">
        <v>438</v>
      </c>
      <c r="E471">
        <v>510</v>
      </c>
      <c r="F471">
        <v>290</v>
      </c>
      <c r="G471">
        <v>33</v>
      </c>
      <c r="H471">
        <v>14</v>
      </c>
      <c r="I471">
        <v>0</v>
      </c>
      <c r="J471">
        <v>250</v>
      </c>
      <c r="K471">
        <v>1170</v>
      </c>
      <c r="L471">
        <v>36</v>
      </c>
      <c r="M471">
        <v>2</v>
      </c>
      <c r="N471">
        <v>2</v>
      </c>
      <c r="O471">
        <v>18</v>
      </c>
      <c r="P471">
        <v>508</v>
      </c>
      <c r="Q471" s="3">
        <v>3.52941176470588</v>
      </c>
      <c r="R471">
        <v>1</v>
      </c>
      <c r="S471">
        <v>0</v>
      </c>
      <c r="U471">
        <v>-12.703105590062099</v>
      </c>
      <c r="V471">
        <v>-3.5</v>
      </c>
      <c r="W471">
        <v>-12.7173913043478</v>
      </c>
      <c r="X471">
        <v>-0.8</v>
      </c>
      <c r="Y471">
        <v>0</v>
      </c>
      <c r="Z471">
        <v>3.6</v>
      </c>
      <c r="AA471">
        <v>0.71428571428571397</v>
      </c>
    </row>
    <row r="472" spans="3:27" x14ac:dyDescent="0.2">
      <c r="C472" t="s">
        <v>25</v>
      </c>
      <c r="D472" t="s">
        <v>441</v>
      </c>
      <c r="E472">
        <v>800</v>
      </c>
      <c r="F472">
        <v>470</v>
      </c>
      <c r="G472">
        <v>52</v>
      </c>
      <c r="H472">
        <v>18</v>
      </c>
      <c r="I472">
        <v>0</v>
      </c>
      <c r="J472">
        <v>555</v>
      </c>
      <c r="K472">
        <v>1680</v>
      </c>
      <c r="L472">
        <v>56</v>
      </c>
      <c r="M472">
        <v>4</v>
      </c>
      <c r="N472">
        <v>3</v>
      </c>
      <c r="O472">
        <v>28</v>
      </c>
      <c r="P472">
        <v>793</v>
      </c>
      <c r="Q472" s="3">
        <v>3.5</v>
      </c>
      <c r="R472">
        <v>1</v>
      </c>
      <c r="S472">
        <v>1</v>
      </c>
      <c r="U472">
        <v>-16.932298136646001</v>
      </c>
      <c r="V472">
        <v>-4.5</v>
      </c>
      <c r="W472">
        <v>-18.260869565217401</v>
      </c>
      <c r="X472">
        <v>-1.2</v>
      </c>
      <c r="Y472">
        <v>0</v>
      </c>
      <c r="Z472">
        <v>5.6</v>
      </c>
      <c r="AA472">
        <v>1.4285714285714299</v>
      </c>
    </row>
    <row r="473" spans="3:27" x14ac:dyDescent="0.2">
      <c r="C473" t="s">
        <v>25</v>
      </c>
      <c r="D473" t="s">
        <v>448</v>
      </c>
      <c r="E473">
        <v>60</v>
      </c>
      <c r="F473">
        <v>15</v>
      </c>
      <c r="G473">
        <v>1.5</v>
      </c>
      <c r="H473">
        <v>0</v>
      </c>
      <c r="I473">
        <v>0</v>
      </c>
      <c r="J473">
        <v>0</v>
      </c>
      <c r="K473">
        <v>140</v>
      </c>
      <c r="L473">
        <v>10</v>
      </c>
      <c r="M473">
        <v>1</v>
      </c>
      <c r="N473">
        <v>0</v>
      </c>
      <c r="O473">
        <v>2</v>
      </c>
      <c r="P473">
        <v>58</v>
      </c>
      <c r="Q473" s="3">
        <v>3.3333333333333299</v>
      </c>
      <c r="R473">
        <v>0</v>
      </c>
      <c r="S473">
        <v>0</v>
      </c>
      <c r="U473">
        <v>-0.76459627329192603</v>
      </c>
      <c r="V473">
        <v>0</v>
      </c>
      <c r="W473">
        <v>-1.52173913043478</v>
      </c>
      <c r="X473">
        <v>0</v>
      </c>
      <c r="Y473">
        <v>0</v>
      </c>
      <c r="Z473">
        <v>0.4</v>
      </c>
      <c r="AA473">
        <v>0.35714285714285698</v>
      </c>
    </row>
    <row r="474" spans="3:27" x14ac:dyDescent="0.2">
      <c r="C474" t="s">
        <v>25</v>
      </c>
      <c r="D474" t="s">
        <v>449</v>
      </c>
      <c r="E474">
        <v>150</v>
      </c>
      <c r="F474">
        <v>0</v>
      </c>
      <c r="G474">
        <v>0</v>
      </c>
      <c r="H474">
        <v>0</v>
      </c>
      <c r="I474">
        <v>0</v>
      </c>
      <c r="J474">
        <v>5</v>
      </c>
      <c r="K474">
        <v>120</v>
      </c>
      <c r="L474">
        <v>33</v>
      </c>
      <c r="M474">
        <v>0</v>
      </c>
      <c r="N474">
        <v>32</v>
      </c>
      <c r="O474">
        <v>5</v>
      </c>
      <c r="P474">
        <v>177</v>
      </c>
      <c r="Q474" s="3">
        <v>3.3333333333333299</v>
      </c>
      <c r="R474">
        <v>0</v>
      </c>
      <c r="S474">
        <v>0</v>
      </c>
      <c r="U474">
        <v>-13.104347826087</v>
      </c>
      <c r="V474">
        <v>0</v>
      </c>
      <c r="W474">
        <v>-1.3043478260869601</v>
      </c>
      <c r="X474">
        <v>-12.8</v>
      </c>
      <c r="Y474">
        <v>0</v>
      </c>
      <c r="Z474">
        <v>1</v>
      </c>
      <c r="AA474">
        <v>0</v>
      </c>
    </row>
    <row r="475" spans="3:27" x14ac:dyDescent="0.2">
      <c r="C475" t="s">
        <v>25</v>
      </c>
      <c r="D475" t="s">
        <v>450</v>
      </c>
      <c r="E475">
        <v>150</v>
      </c>
      <c r="F475">
        <v>0</v>
      </c>
      <c r="G475">
        <v>0</v>
      </c>
      <c r="H475">
        <v>0</v>
      </c>
      <c r="I475">
        <v>0</v>
      </c>
      <c r="J475">
        <v>5</v>
      </c>
      <c r="K475">
        <v>70</v>
      </c>
      <c r="L475">
        <v>34</v>
      </c>
      <c r="M475">
        <v>0</v>
      </c>
      <c r="N475">
        <v>34</v>
      </c>
      <c r="O475">
        <v>5</v>
      </c>
      <c r="P475">
        <v>179</v>
      </c>
      <c r="Q475" s="3">
        <v>3.3333333333333299</v>
      </c>
      <c r="R475">
        <v>0</v>
      </c>
      <c r="S475">
        <v>0</v>
      </c>
      <c r="U475">
        <v>-13.360869565217399</v>
      </c>
      <c r="V475">
        <v>0</v>
      </c>
      <c r="W475">
        <v>-0.76086956521739102</v>
      </c>
      <c r="X475">
        <v>-13.6</v>
      </c>
      <c r="Y475">
        <v>0</v>
      </c>
      <c r="Z475">
        <v>1</v>
      </c>
      <c r="AA475">
        <v>0</v>
      </c>
    </row>
    <row r="476" spans="3:27" x14ac:dyDescent="0.2">
      <c r="C476" t="s">
        <v>25</v>
      </c>
      <c r="D476" t="s">
        <v>451</v>
      </c>
      <c r="E476">
        <v>150</v>
      </c>
      <c r="F476">
        <v>0</v>
      </c>
      <c r="G476">
        <v>0</v>
      </c>
      <c r="H476">
        <v>0</v>
      </c>
      <c r="I476">
        <v>0</v>
      </c>
      <c r="J476">
        <v>5</v>
      </c>
      <c r="K476">
        <v>70</v>
      </c>
      <c r="L476">
        <v>34</v>
      </c>
      <c r="M476">
        <v>0</v>
      </c>
      <c r="N476">
        <v>34</v>
      </c>
      <c r="O476">
        <v>5</v>
      </c>
      <c r="P476">
        <v>179</v>
      </c>
      <c r="Q476" s="3">
        <v>3.3333333333333299</v>
      </c>
      <c r="R476">
        <v>0</v>
      </c>
      <c r="S476">
        <v>0</v>
      </c>
      <c r="U476">
        <v>-13.360869565217399</v>
      </c>
      <c r="V476">
        <v>0</v>
      </c>
      <c r="W476">
        <v>-0.76086956521739102</v>
      </c>
      <c r="X476">
        <v>-13.6</v>
      </c>
      <c r="Y476">
        <v>0</v>
      </c>
      <c r="Z476">
        <v>1</v>
      </c>
      <c r="AA476">
        <v>0</v>
      </c>
    </row>
    <row r="477" spans="3:27" x14ac:dyDescent="0.2">
      <c r="C477" t="s">
        <v>25</v>
      </c>
      <c r="D477" t="s">
        <v>452</v>
      </c>
      <c r="E477">
        <v>150</v>
      </c>
      <c r="F477">
        <v>0</v>
      </c>
      <c r="G477">
        <v>0</v>
      </c>
      <c r="H477">
        <v>0</v>
      </c>
      <c r="I477">
        <v>0</v>
      </c>
      <c r="J477">
        <v>5</v>
      </c>
      <c r="K477">
        <v>120</v>
      </c>
      <c r="L477">
        <v>32</v>
      </c>
      <c r="M477">
        <v>0</v>
      </c>
      <c r="N477">
        <v>32</v>
      </c>
      <c r="O477">
        <v>5</v>
      </c>
      <c r="P477">
        <v>177</v>
      </c>
      <c r="Q477" s="3">
        <v>3.3333333333333299</v>
      </c>
      <c r="R477">
        <v>0</v>
      </c>
      <c r="S477">
        <v>0</v>
      </c>
      <c r="U477">
        <v>-13.104347826087</v>
      </c>
      <c r="V477">
        <v>0</v>
      </c>
      <c r="W477">
        <v>-1.3043478260869601</v>
      </c>
      <c r="X477">
        <v>-12.8</v>
      </c>
      <c r="Y477">
        <v>0</v>
      </c>
      <c r="Z477">
        <v>1</v>
      </c>
      <c r="AA477">
        <v>0</v>
      </c>
    </row>
    <row r="478" spans="3:27" x14ac:dyDescent="0.2">
      <c r="C478" t="s">
        <v>25</v>
      </c>
      <c r="D478" t="s">
        <v>453</v>
      </c>
      <c r="E478">
        <v>150</v>
      </c>
      <c r="F478">
        <v>0</v>
      </c>
      <c r="G478">
        <v>0</v>
      </c>
      <c r="H478">
        <v>0</v>
      </c>
      <c r="I478">
        <v>0</v>
      </c>
      <c r="J478">
        <v>5</v>
      </c>
      <c r="K478">
        <v>70</v>
      </c>
      <c r="L478">
        <v>33</v>
      </c>
      <c r="M478">
        <v>0</v>
      </c>
      <c r="N478">
        <v>33</v>
      </c>
      <c r="O478">
        <v>5</v>
      </c>
      <c r="P478">
        <v>178</v>
      </c>
      <c r="Q478" s="3">
        <v>3.3333333333333299</v>
      </c>
      <c r="R478">
        <v>0</v>
      </c>
      <c r="S478">
        <v>0</v>
      </c>
      <c r="U478">
        <v>-12.960869565217401</v>
      </c>
      <c r="V478">
        <v>0</v>
      </c>
      <c r="W478">
        <v>-0.76086956521739102</v>
      </c>
      <c r="X478">
        <v>-13.2</v>
      </c>
      <c r="Y478">
        <v>0</v>
      </c>
      <c r="Z478">
        <v>1</v>
      </c>
      <c r="AA478">
        <v>0</v>
      </c>
    </row>
    <row r="479" spans="3:27" x14ac:dyDescent="0.2">
      <c r="C479" t="s">
        <v>25</v>
      </c>
      <c r="D479" t="s">
        <v>454</v>
      </c>
      <c r="E479">
        <v>150</v>
      </c>
      <c r="F479">
        <v>0</v>
      </c>
      <c r="G479">
        <v>0</v>
      </c>
      <c r="H479">
        <v>0</v>
      </c>
      <c r="I479">
        <v>0</v>
      </c>
      <c r="J479">
        <v>5</v>
      </c>
      <c r="K479">
        <v>70</v>
      </c>
      <c r="L479">
        <v>33</v>
      </c>
      <c r="M479">
        <v>0</v>
      </c>
      <c r="N479">
        <v>33</v>
      </c>
      <c r="O479">
        <v>5</v>
      </c>
      <c r="P479">
        <v>178</v>
      </c>
      <c r="Q479" s="3">
        <v>3.3333333333333299</v>
      </c>
      <c r="R479">
        <v>0</v>
      </c>
      <c r="S479">
        <v>0</v>
      </c>
      <c r="U479">
        <v>-12.960869565217401</v>
      </c>
      <c r="V479">
        <v>0</v>
      </c>
      <c r="W479">
        <v>-0.76086956521739102</v>
      </c>
      <c r="X479">
        <v>-13.2</v>
      </c>
      <c r="Y479">
        <v>0</v>
      </c>
      <c r="Z479">
        <v>1</v>
      </c>
      <c r="AA479">
        <v>0</v>
      </c>
    </row>
    <row r="480" spans="3:27" x14ac:dyDescent="0.2">
      <c r="C480" t="s">
        <v>25</v>
      </c>
      <c r="D480" t="s">
        <v>458</v>
      </c>
      <c r="E480">
        <v>1090</v>
      </c>
      <c r="F480">
        <v>510</v>
      </c>
      <c r="G480">
        <v>56</v>
      </c>
      <c r="H480">
        <v>19</v>
      </c>
      <c r="I480">
        <v>0</v>
      </c>
      <c r="J480">
        <v>575</v>
      </c>
      <c r="K480">
        <v>2150</v>
      </c>
      <c r="L480">
        <v>111</v>
      </c>
      <c r="M480">
        <v>6</v>
      </c>
      <c r="N480">
        <v>17</v>
      </c>
      <c r="O480">
        <v>36</v>
      </c>
      <c r="P480">
        <v>1090</v>
      </c>
      <c r="Q480" s="3">
        <v>3.3027522935779801</v>
      </c>
      <c r="R480">
        <v>1</v>
      </c>
      <c r="S480">
        <v>1</v>
      </c>
      <c r="U480">
        <v>-25.576708074534199</v>
      </c>
      <c r="V480">
        <v>-4.75</v>
      </c>
      <c r="W480">
        <v>-23.369565217391301</v>
      </c>
      <c r="X480">
        <v>-6.8</v>
      </c>
      <c r="Y480">
        <v>0</v>
      </c>
      <c r="Z480">
        <v>7.2</v>
      </c>
      <c r="AA480">
        <v>2.1428571428571401</v>
      </c>
    </row>
    <row r="481" spans="3:27" x14ac:dyDescent="0.2">
      <c r="C481" t="s">
        <v>25</v>
      </c>
      <c r="D481" t="s">
        <v>464</v>
      </c>
      <c r="E481">
        <v>250</v>
      </c>
      <c r="F481">
        <v>45</v>
      </c>
      <c r="G481">
        <v>5</v>
      </c>
      <c r="H481">
        <v>3</v>
      </c>
      <c r="I481">
        <v>0</v>
      </c>
      <c r="J481">
        <v>10</v>
      </c>
      <c r="K481">
        <v>140</v>
      </c>
      <c r="L481">
        <v>43</v>
      </c>
      <c r="M481">
        <v>0</v>
      </c>
      <c r="N481">
        <v>37</v>
      </c>
      <c r="O481">
        <v>8</v>
      </c>
      <c r="P481">
        <v>282</v>
      </c>
      <c r="Q481" s="3">
        <v>3.2</v>
      </c>
      <c r="R481">
        <v>0</v>
      </c>
      <c r="S481">
        <v>0</v>
      </c>
      <c r="U481">
        <v>-15.4717391304348</v>
      </c>
      <c r="V481">
        <v>-0.75</v>
      </c>
      <c r="W481">
        <v>-1.52173913043478</v>
      </c>
      <c r="X481">
        <v>-14.8</v>
      </c>
      <c r="Y481">
        <v>0</v>
      </c>
      <c r="Z481">
        <v>1.6</v>
      </c>
      <c r="AA481">
        <v>0</v>
      </c>
    </row>
    <row r="482" spans="3:27" x14ac:dyDescent="0.2">
      <c r="C482" t="s">
        <v>25</v>
      </c>
      <c r="D482" t="s">
        <v>466</v>
      </c>
      <c r="E482">
        <v>570</v>
      </c>
      <c r="F482">
        <v>330</v>
      </c>
      <c r="G482">
        <v>37</v>
      </c>
      <c r="H482">
        <v>15</v>
      </c>
      <c r="I482">
        <v>0</v>
      </c>
      <c r="J482">
        <v>250</v>
      </c>
      <c r="K482">
        <v>1280</v>
      </c>
      <c r="L482">
        <v>42</v>
      </c>
      <c r="M482">
        <v>3</v>
      </c>
      <c r="N482">
        <v>3</v>
      </c>
      <c r="O482">
        <v>18</v>
      </c>
      <c r="P482">
        <v>570</v>
      </c>
      <c r="Q482" s="3">
        <v>3.1578947368421102</v>
      </c>
      <c r="R482">
        <v>1</v>
      </c>
      <c r="S482">
        <v>0</v>
      </c>
      <c r="U482">
        <v>-14.191614906832299</v>
      </c>
      <c r="V482">
        <v>-3.75</v>
      </c>
      <c r="W482">
        <v>-13.913043478260899</v>
      </c>
      <c r="X482">
        <v>-1.2</v>
      </c>
      <c r="Y482">
        <v>0</v>
      </c>
      <c r="Z482">
        <v>3.6</v>
      </c>
      <c r="AA482">
        <v>1.0714285714285701</v>
      </c>
    </row>
    <row r="483" spans="3:27" x14ac:dyDescent="0.2">
      <c r="C483" t="s">
        <v>25</v>
      </c>
      <c r="D483" t="s">
        <v>467</v>
      </c>
      <c r="E483">
        <v>190</v>
      </c>
      <c r="F483">
        <v>0</v>
      </c>
      <c r="G483">
        <v>0</v>
      </c>
      <c r="H483">
        <v>0</v>
      </c>
      <c r="I483">
        <v>0</v>
      </c>
      <c r="J483">
        <v>5</v>
      </c>
      <c r="K483">
        <v>150</v>
      </c>
      <c r="L483">
        <v>41</v>
      </c>
      <c r="M483">
        <v>0</v>
      </c>
      <c r="N483">
        <v>41</v>
      </c>
      <c r="O483">
        <v>6</v>
      </c>
      <c r="P483">
        <v>225</v>
      </c>
      <c r="Q483" s="3">
        <v>3.1578947368421102</v>
      </c>
      <c r="R483">
        <v>0</v>
      </c>
      <c r="S483">
        <v>0</v>
      </c>
      <c r="U483">
        <v>-16.830434782608702</v>
      </c>
      <c r="V483">
        <v>0</v>
      </c>
      <c r="W483">
        <v>-1.6304347826087</v>
      </c>
      <c r="X483">
        <v>-16.399999999999999</v>
      </c>
      <c r="Y483">
        <v>0</v>
      </c>
      <c r="Z483">
        <v>1.2</v>
      </c>
      <c r="AA483">
        <v>0</v>
      </c>
    </row>
    <row r="484" spans="3:27" x14ac:dyDescent="0.2">
      <c r="C484" t="s">
        <v>25</v>
      </c>
      <c r="D484" t="s">
        <v>468</v>
      </c>
      <c r="E484">
        <v>190</v>
      </c>
      <c r="F484">
        <v>0</v>
      </c>
      <c r="G484">
        <v>0</v>
      </c>
      <c r="H484">
        <v>0</v>
      </c>
      <c r="I484">
        <v>0</v>
      </c>
      <c r="J484">
        <v>5</v>
      </c>
      <c r="K484">
        <v>90</v>
      </c>
      <c r="L484">
        <v>43</v>
      </c>
      <c r="M484">
        <v>0</v>
      </c>
      <c r="N484">
        <v>43</v>
      </c>
      <c r="O484">
        <v>6</v>
      </c>
      <c r="P484">
        <v>227</v>
      </c>
      <c r="Q484" s="3">
        <v>3.1578947368421102</v>
      </c>
      <c r="R484">
        <v>0</v>
      </c>
      <c r="S484">
        <v>0</v>
      </c>
      <c r="U484">
        <v>-16.978260869565201</v>
      </c>
      <c r="V484">
        <v>0</v>
      </c>
      <c r="W484">
        <v>-0.97826086956521796</v>
      </c>
      <c r="X484">
        <v>-17.2</v>
      </c>
      <c r="Y484">
        <v>0</v>
      </c>
      <c r="Z484">
        <v>1.2</v>
      </c>
      <c r="AA484">
        <v>0</v>
      </c>
    </row>
    <row r="485" spans="3:27" x14ac:dyDescent="0.2">
      <c r="C485" t="s">
        <v>25</v>
      </c>
      <c r="D485" t="s">
        <v>469</v>
      </c>
      <c r="E485">
        <v>190</v>
      </c>
      <c r="F485">
        <v>0</v>
      </c>
      <c r="G485">
        <v>0</v>
      </c>
      <c r="H485">
        <v>0</v>
      </c>
      <c r="I485">
        <v>0</v>
      </c>
      <c r="J485">
        <v>5</v>
      </c>
      <c r="K485">
        <v>90</v>
      </c>
      <c r="L485">
        <v>42</v>
      </c>
      <c r="M485">
        <v>0</v>
      </c>
      <c r="N485">
        <v>42</v>
      </c>
      <c r="O485">
        <v>6</v>
      </c>
      <c r="P485">
        <v>226</v>
      </c>
      <c r="Q485" s="3">
        <v>3.1578947368421102</v>
      </c>
      <c r="R485">
        <v>0</v>
      </c>
      <c r="S485">
        <v>0</v>
      </c>
      <c r="U485">
        <v>-16.578260869565199</v>
      </c>
      <c r="V485">
        <v>0</v>
      </c>
      <c r="W485">
        <v>-0.97826086956521796</v>
      </c>
      <c r="X485">
        <v>-16.8</v>
      </c>
      <c r="Y485">
        <v>0</v>
      </c>
      <c r="Z485">
        <v>1.2</v>
      </c>
      <c r="AA485">
        <v>0</v>
      </c>
    </row>
    <row r="486" spans="3:27" x14ac:dyDescent="0.2">
      <c r="C486" t="s">
        <v>25</v>
      </c>
      <c r="D486" t="s">
        <v>470</v>
      </c>
      <c r="E486">
        <v>190</v>
      </c>
      <c r="F486">
        <v>0</v>
      </c>
      <c r="G486">
        <v>0</v>
      </c>
      <c r="H486">
        <v>0</v>
      </c>
      <c r="I486">
        <v>0</v>
      </c>
      <c r="J486">
        <v>5</v>
      </c>
      <c r="K486">
        <v>150</v>
      </c>
      <c r="L486">
        <v>40</v>
      </c>
      <c r="M486">
        <v>0</v>
      </c>
      <c r="N486">
        <v>40</v>
      </c>
      <c r="O486">
        <v>6</v>
      </c>
      <c r="P486">
        <v>224</v>
      </c>
      <c r="Q486" s="3">
        <v>3.1578947368421102</v>
      </c>
      <c r="R486">
        <v>0</v>
      </c>
      <c r="S486">
        <v>0</v>
      </c>
      <c r="U486">
        <v>-16.4304347826087</v>
      </c>
      <c r="V486">
        <v>0</v>
      </c>
      <c r="W486">
        <v>-1.6304347826087</v>
      </c>
      <c r="X486">
        <v>-16</v>
      </c>
      <c r="Y486">
        <v>0</v>
      </c>
      <c r="Z486">
        <v>1.2</v>
      </c>
      <c r="AA486">
        <v>0</v>
      </c>
    </row>
    <row r="487" spans="3:27" x14ac:dyDescent="0.2">
      <c r="C487" t="s">
        <v>25</v>
      </c>
      <c r="D487" t="s">
        <v>471</v>
      </c>
      <c r="E487">
        <v>190</v>
      </c>
      <c r="F487">
        <v>0</v>
      </c>
      <c r="G487">
        <v>0</v>
      </c>
      <c r="H487">
        <v>0</v>
      </c>
      <c r="I487">
        <v>0</v>
      </c>
      <c r="J487">
        <v>5</v>
      </c>
      <c r="K487">
        <v>80</v>
      </c>
      <c r="L487">
        <v>42</v>
      </c>
      <c r="M487">
        <v>0</v>
      </c>
      <c r="N487">
        <v>42</v>
      </c>
      <c r="O487">
        <v>6</v>
      </c>
      <c r="P487">
        <v>226</v>
      </c>
      <c r="Q487" s="3">
        <v>3.1578947368421102</v>
      </c>
      <c r="R487">
        <v>0</v>
      </c>
      <c r="S487">
        <v>0</v>
      </c>
      <c r="U487">
        <v>-16.469565217391299</v>
      </c>
      <c r="V487">
        <v>0</v>
      </c>
      <c r="W487">
        <v>-0.86956521739130399</v>
      </c>
      <c r="X487">
        <v>-16.8</v>
      </c>
      <c r="Y487">
        <v>0</v>
      </c>
      <c r="Z487">
        <v>1.2</v>
      </c>
      <c r="AA487">
        <v>0</v>
      </c>
    </row>
    <row r="488" spans="3:27" x14ac:dyDescent="0.2">
      <c r="C488" t="s">
        <v>25</v>
      </c>
      <c r="D488" t="s">
        <v>472</v>
      </c>
      <c r="E488">
        <v>190</v>
      </c>
      <c r="F488">
        <v>0</v>
      </c>
      <c r="G488">
        <v>0</v>
      </c>
      <c r="H488">
        <v>0</v>
      </c>
      <c r="I488">
        <v>0</v>
      </c>
      <c r="J488">
        <v>5</v>
      </c>
      <c r="K488">
        <v>85</v>
      </c>
      <c r="L488">
        <v>41</v>
      </c>
      <c r="M488">
        <v>0</v>
      </c>
      <c r="N488">
        <v>41</v>
      </c>
      <c r="O488">
        <v>6</v>
      </c>
      <c r="P488">
        <v>225</v>
      </c>
      <c r="Q488" s="3">
        <v>3.1578947368421102</v>
      </c>
      <c r="R488">
        <v>0</v>
      </c>
      <c r="S488">
        <v>0</v>
      </c>
      <c r="U488">
        <v>-16.1239130434783</v>
      </c>
      <c r="V488">
        <v>0</v>
      </c>
      <c r="W488">
        <v>-0.92391304347826098</v>
      </c>
      <c r="X488">
        <v>-16.399999999999999</v>
      </c>
      <c r="Y488">
        <v>0</v>
      </c>
      <c r="Z488">
        <v>1.2</v>
      </c>
      <c r="AA488">
        <v>0</v>
      </c>
    </row>
    <row r="489" spans="3:27" x14ac:dyDescent="0.2">
      <c r="C489" t="s">
        <v>25</v>
      </c>
      <c r="D489" t="s">
        <v>476</v>
      </c>
      <c r="E489">
        <v>1150</v>
      </c>
      <c r="F489">
        <v>540</v>
      </c>
      <c r="G489">
        <v>60</v>
      </c>
      <c r="H489">
        <v>20</v>
      </c>
      <c r="I489">
        <v>0</v>
      </c>
      <c r="J489">
        <v>575</v>
      </c>
      <c r="K489">
        <v>2260</v>
      </c>
      <c r="L489">
        <v>116</v>
      </c>
      <c r="M489">
        <v>7</v>
      </c>
      <c r="N489">
        <v>17</v>
      </c>
      <c r="O489">
        <v>36</v>
      </c>
      <c r="P489">
        <v>1151</v>
      </c>
      <c r="Q489" s="3">
        <v>3.1304347826086998</v>
      </c>
      <c r="R489">
        <v>1</v>
      </c>
      <c r="S489">
        <v>1</v>
      </c>
      <c r="U489">
        <v>-26.665217391304299</v>
      </c>
      <c r="V489">
        <v>-5</v>
      </c>
      <c r="W489">
        <v>-24.565217391304301</v>
      </c>
      <c r="X489">
        <v>-6.8</v>
      </c>
      <c r="Y489">
        <v>0</v>
      </c>
      <c r="Z489">
        <v>7.2</v>
      </c>
      <c r="AA489">
        <v>2.5</v>
      </c>
    </row>
    <row r="490" spans="3:27" x14ac:dyDescent="0.2">
      <c r="C490" t="s">
        <v>25</v>
      </c>
      <c r="D490" t="s">
        <v>477</v>
      </c>
      <c r="E490">
        <v>160</v>
      </c>
      <c r="F490">
        <v>30</v>
      </c>
      <c r="G490">
        <v>3</v>
      </c>
      <c r="H490">
        <v>0.5</v>
      </c>
      <c r="I490">
        <v>0</v>
      </c>
      <c r="J490">
        <v>0</v>
      </c>
      <c r="K490">
        <v>280</v>
      </c>
      <c r="L490">
        <v>27</v>
      </c>
      <c r="M490">
        <v>2</v>
      </c>
      <c r="N490">
        <v>2</v>
      </c>
      <c r="O490">
        <v>5</v>
      </c>
      <c r="P490">
        <v>157.5</v>
      </c>
      <c r="Q490" s="3">
        <v>3.125</v>
      </c>
      <c r="R490">
        <v>0</v>
      </c>
      <c r="S490">
        <v>0</v>
      </c>
      <c r="U490">
        <v>-2.2541925465838499</v>
      </c>
      <c r="V490">
        <v>-0.125</v>
      </c>
      <c r="W490">
        <v>-3.0434782608695699</v>
      </c>
      <c r="X490">
        <v>-0.8</v>
      </c>
      <c r="Y490">
        <v>0</v>
      </c>
      <c r="Z490">
        <v>1</v>
      </c>
      <c r="AA490">
        <v>0.71428571428571397</v>
      </c>
    </row>
    <row r="491" spans="3:27" x14ac:dyDescent="0.2">
      <c r="C491" t="s">
        <v>25</v>
      </c>
      <c r="D491" t="s">
        <v>478</v>
      </c>
      <c r="E491">
        <v>480</v>
      </c>
      <c r="F491">
        <v>240</v>
      </c>
      <c r="G491">
        <v>27</v>
      </c>
      <c r="H491">
        <v>12</v>
      </c>
      <c r="I491">
        <v>0</v>
      </c>
      <c r="J491">
        <v>235</v>
      </c>
      <c r="K491">
        <v>1270</v>
      </c>
      <c r="L491">
        <v>43</v>
      </c>
      <c r="M491">
        <v>3</v>
      </c>
      <c r="N491">
        <v>4</v>
      </c>
      <c r="O491">
        <v>15</v>
      </c>
      <c r="P491">
        <v>481</v>
      </c>
      <c r="Q491" s="3">
        <v>3.125</v>
      </c>
      <c r="R491">
        <v>1</v>
      </c>
      <c r="S491">
        <v>0</v>
      </c>
      <c r="U491">
        <v>-14.3329192546584</v>
      </c>
      <c r="V491">
        <v>-3</v>
      </c>
      <c r="W491">
        <v>-13.804347826087</v>
      </c>
      <c r="X491">
        <v>-1.6</v>
      </c>
      <c r="Y491">
        <v>0</v>
      </c>
      <c r="Z491">
        <v>3</v>
      </c>
      <c r="AA491">
        <v>1.0714285714285701</v>
      </c>
    </row>
    <row r="492" spans="3:27" x14ac:dyDescent="0.2">
      <c r="C492" t="s">
        <v>25</v>
      </c>
      <c r="D492" t="s">
        <v>480</v>
      </c>
      <c r="E492">
        <v>230</v>
      </c>
      <c r="F492">
        <v>0</v>
      </c>
      <c r="G492">
        <v>0</v>
      </c>
      <c r="H492">
        <v>0</v>
      </c>
      <c r="I492">
        <v>0</v>
      </c>
      <c r="J492">
        <v>5</v>
      </c>
      <c r="K492">
        <v>180</v>
      </c>
      <c r="L492">
        <v>49</v>
      </c>
      <c r="M492">
        <v>0</v>
      </c>
      <c r="N492">
        <v>49</v>
      </c>
      <c r="O492">
        <v>7</v>
      </c>
      <c r="P492">
        <v>272</v>
      </c>
      <c r="Q492" s="3">
        <v>3.0434782608695699</v>
      </c>
      <c r="R492">
        <v>0</v>
      </c>
      <c r="S492">
        <v>0</v>
      </c>
      <c r="U492">
        <v>-20.156521739130401</v>
      </c>
      <c r="V492">
        <v>0</v>
      </c>
      <c r="W492">
        <v>-1.9565217391304399</v>
      </c>
      <c r="X492">
        <v>-19.600000000000001</v>
      </c>
      <c r="Y492">
        <v>0</v>
      </c>
      <c r="Z492">
        <v>1.4</v>
      </c>
      <c r="AA492">
        <v>0</v>
      </c>
    </row>
    <row r="493" spans="3:27" x14ac:dyDescent="0.2">
      <c r="C493" t="s">
        <v>25</v>
      </c>
      <c r="D493" t="s">
        <v>481</v>
      </c>
      <c r="E493">
        <v>230</v>
      </c>
      <c r="F493">
        <v>0</v>
      </c>
      <c r="G493">
        <v>0</v>
      </c>
      <c r="H493">
        <v>0</v>
      </c>
      <c r="I493">
        <v>0</v>
      </c>
      <c r="J493">
        <v>5</v>
      </c>
      <c r="K493">
        <v>100</v>
      </c>
      <c r="L493">
        <v>51</v>
      </c>
      <c r="M493">
        <v>0</v>
      </c>
      <c r="N493">
        <v>51</v>
      </c>
      <c r="O493">
        <v>7</v>
      </c>
      <c r="P493">
        <v>274</v>
      </c>
      <c r="Q493" s="3">
        <v>3.0434782608695699</v>
      </c>
      <c r="R493">
        <v>0</v>
      </c>
      <c r="S493">
        <v>0</v>
      </c>
      <c r="U493">
        <v>-20.086956521739101</v>
      </c>
      <c r="V493">
        <v>0</v>
      </c>
      <c r="W493">
        <v>-1.0869565217391299</v>
      </c>
      <c r="X493">
        <v>-20.399999999999999</v>
      </c>
      <c r="Y493">
        <v>0</v>
      </c>
      <c r="Z493">
        <v>1.4</v>
      </c>
      <c r="AA493">
        <v>0</v>
      </c>
    </row>
    <row r="494" spans="3:27" x14ac:dyDescent="0.2">
      <c r="C494" t="s">
        <v>25</v>
      </c>
      <c r="D494" t="s">
        <v>482</v>
      </c>
      <c r="E494">
        <v>230</v>
      </c>
      <c r="F494">
        <v>0</v>
      </c>
      <c r="G494">
        <v>0</v>
      </c>
      <c r="H494">
        <v>0</v>
      </c>
      <c r="I494">
        <v>0</v>
      </c>
      <c r="J494">
        <v>5</v>
      </c>
      <c r="K494">
        <v>100</v>
      </c>
      <c r="L494">
        <v>51</v>
      </c>
      <c r="M494">
        <v>0</v>
      </c>
      <c r="N494">
        <v>51</v>
      </c>
      <c r="O494">
        <v>7</v>
      </c>
      <c r="P494">
        <v>274</v>
      </c>
      <c r="Q494" s="3">
        <v>3.0434782608695699</v>
      </c>
      <c r="R494">
        <v>0</v>
      </c>
      <c r="S494">
        <v>0</v>
      </c>
      <c r="U494">
        <v>-20.086956521739101</v>
      </c>
      <c r="V494">
        <v>0</v>
      </c>
      <c r="W494">
        <v>-1.0869565217391299</v>
      </c>
      <c r="X494">
        <v>-20.399999999999999</v>
      </c>
      <c r="Y494">
        <v>0</v>
      </c>
      <c r="Z494">
        <v>1.4</v>
      </c>
      <c r="AA494">
        <v>0</v>
      </c>
    </row>
    <row r="495" spans="3:27" x14ac:dyDescent="0.2">
      <c r="C495" t="s">
        <v>25</v>
      </c>
      <c r="D495" t="s">
        <v>483</v>
      </c>
      <c r="E495">
        <v>230</v>
      </c>
      <c r="F495">
        <v>60</v>
      </c>
      <c r="G495">
        <v>7</v>
      </c>
      <c r="H495">
        <v>4</v>
      </c>
      <c r="I495">
        <v>0</v>
      </c>
      <c r="J495">
        <v>20</v>
      </c>
      <c r="K495">
        <v>140</v>
      </c>
      <c r="L495">
        <v>35</v>
      </c>
      <c r="M495">
        <v>0</v>
      </c>
      <c r="N495">
        <v>35</v>
      </c>
      <c r="O495">
        <v>7</v>
      </c>
      <c r="P495">
        <v>262</v>
      </c>
      <c r="Q495" s="3">
        <v>3.0434782608695699</v>
      </c>
      <c r="R495">
        <v>0</v>
      </c>
      <c r="S495">
        <v>0</v>
      </c>
      <c r="U495">
        <v>-15.121739130434801</v>
      </c>
      <c r="V495">
        <v>-1</v>
      </c>
      <c r="W495">
        <v>-1.52173913043478</v>
      </c>
      <c r="X495">
        <v>-14</v>
      </c>
      <c r="Y495">
        <v>0</v>
      </c>
      <c r="Z495">
        <v>1.4</v>
      </c>
      <c r="AA495">
        <v>0</v>
      </c>
    </row>
    <row r="496" spans="3:27" x14ac:dyDescent="0.2">
      <c r="C496" t="s">
        <v>25</v>
      </c>
      <c r="D496" t="s">
        <v>484</v>
      </c>
      <c r="E496">
        <v>230</v>
      </c>
      <c r="F496">
        <v>60</v>
      </c>
      <c r="G496">
        <v>7</v>
      </c>
      <c r="H496">
        <v>4</v>
      </c>
      <c r="I496">
        <v>0</v>
      </c>
      <c r="J496">
        <v>20</v>
      </c>
      <c r="K496">
        <v>90</v>
      </c>
      <c r="L496">
        <v>36</v>
      </c>
      <c r="M496">
        <v>0</v>
      </c>
      <c r="N496">
        <v>36</v>
      </c>
      <c r="O496">
        <v>7</v>
      </c>
      <c r="P496">
        <v>263</v>
      </c>
      <c r="Q496" s="3">
        <v>3.0434782608695699</v>
      </c>
      <c r="R496">
        <v>0</v>
      </c>
      <c r="S496">
        <v>0</v>
      </c>
      <c r="U496">
        <v>-14.978260869565201</v>
      </c>
      <c r="V496">
        <v>-1</v>
      </c>
      <c r="W496">
        <v>-0.97826086956521796</v>
      </c>
      <c r="X496">
        <v>-14.4</v>
      </c>
      <c r="Y496">
        <v>0</v>
      </c>
      <c r="Z496">
        <v>1.4</v>
      </c>
      <c r="AA496">
        <v>0</v>
      </c>
    </row>
    <row r="497" spans="3:27" x14ac:dyDescent="0.2">
      <c r="C497" t="s">
        <v>25</v>
      </c>
      <c r="D497" t="s">
        <v>485</v>
      </c>
      <c r="E497">
        <v>230</v>
      </c>
      <c r="F497">
        <v>60</v>
      </c>
      <c r="G497">
        <v>7</v>
      </c>
      <c r="H497">
        <v>4</v>
      </c>
      <c r="I497">
        <v>0</v>
      </c>
      <c r="J497">
        <v>20</v>
      </c>
      <c r="K497">
        <v>90</v>
      </c>
      <c r="L497">
        <v>36</v>
      </c>
      <c r="M497">
        <v>0</v>
      </c>
      <c r="N497">
        <v>36</v>
      </c>
      <c r="O497">
        <v>7</v>
      </c>
      <c r="P497">
        <v>263</v>
      </c>
      <c r="Q497" s="3">
        <v>3.0434782608695699</v>
      </c>
      <c r="R497">
        <v>0</v>
      </c>
      <c r="S497">
        <v>0</v>
      </c>
      <c r="U497">
        <v>-14.978260869565201</v>
      </c>
      <c r="V497">
        <v>-1</v>
      </c>
      <c r="W497">
        <v>-0.97826086956521796</v>
      </c>
      <c r="X497">
        <v>-14.4</v>
      </c>
      <c r="Y497">
        <v>0</v>
      </c>
      <c r="Z497">
        <v>1.4</v>
      </c>
      <c r="AA497">
        <v>0</v>
      </c>
    </row>
    <row r="498" spans="3:27" x14ac:dyDescent="0.2">
      <c r="C498" t="s">
        <v>25</v>
      </c>
      <c r="D498" t="s">
        <v>486</v>
      </c>
      <c r="E498">
        <v>330</v>
      </c>
      <c r="F498">
        <v>50</v>
      </c>
      <c r="G498">
        <v>6</v>
      </c>
      <c r="H498">
        <v>3.5</v>
      </c>
      <c r="I498">
        <v>0</v>
      </c>
      <c r="J498">
        <v>10</v>
      </c>
      <c r="K498">
        <v>190</v>
      </c>
      <c r="L498">
        <v>58</v>
      </c>
      <c r="M498">
        <v>0</v>
      </c>
      <c r="N498">
        <v>50</v>
      </c>
      <c r="O498">
        <v>10</v>
      </c>
      <c r="P498">
        <v>373.5</v>
      </c>
      <c r="Q498" s="3">
        <v>3.0303030303030298</v>
      </c>
      <c r="R498">
        <v>0</v>
      </c>
      <c r="S498">
        <v>0</v>
      </c>
      <c r="U498">
        <v>-20.940217391304301</v>
      </c>
      <c r="V498">
        <v>-0.875</v>
      </c>
      <c r="W498">
        <v>-2.0652173913043499</v>
      </c>
      <c r="X498">
        <v>-20</v>
      </c>
      <c r="Y498">
        <v>0</v>
      </c>
      <c r="Z498">
        <v>2</v>
      </c>
      <c r="AA498">
        <v>0</v>
      </c>
    </row>
    <row r="499" spans="3:27" x14ac:dyDescent="0.2">
      <c r="C499" t="s">
        <v>25</v>
      </c>
      <c r="D499" t="s">
        <v>495</v>
      </c>
      <c r="E499">
        <v>200</v>
      </c>
      <c r="F499">
        <v>50</v>
      </c>
      <c r="G499">
        <v>6</v>
      </c>
      <c r="H499">
        <v>4</v>
      </c>
      <c r="I499">
        <v>0</v>
      </c>
      <c r="J499">
        <v>10</v>
      </c>
      <c r="K499">
        <v>140</v>
      </c>
      <c r="L499">
        <v>29</v>
      </c>
      <c r="M499">
        <v>0</v>
      </c>
      <c r="N499">
        <v>26</v>
      </c>
      <c r="O499">
        <v>6</v>
      </c>
      <c r="P499">
        <v>224</v>
      </c>
      <c r="Q499" s="3">
        <v>3</v>
      </c>
      <c r="R499">
        <v>0</v>
      </c>
      <c r="S499">
        <v>0</v>
      </c>
      <c r="U499">
        <v>-11.7217391304348</v>
      </c>
      <c r="V499">
        <v>-1</v>
      </c>
      <c r="W499">
        <v>-1.52173913043478</v>
      </c>
      <c r="X499">
        <v>-10.4</v>
      </c>
      <c r="Y499">
        <v>0</v>
      </c>
      <c r="Z499">
        <v>1.2</v>
      </c>
      <c r="AA499">
        <v>0</v>
      </c>
    </row>
    <row r="500" spans="3:27" x14ac:dyDescent="0.2">
      <c r="C500" t="s">
        <v>25</v>
      </c>
      <c r="D500" t="s">
        <v>501</v>
      </c>
      <c r="E500">
        <v>240</v>
      </c>
      <c r="F500">
        <v>45</v>
      </c>
      <c r="G500">
        <v>5</v>
      </c>
      <c r="H500">
        <v>3</v>
      </c>
      <c r="I500">
        <v>0</v>
      </c>
      <c r="J500">
        <v>5</v>
      </c>
      <c r="K500">
        <v>130</v>
      </c>
      <c r="L500">
        <v>41</v>
      </c>
      <c r="M500">
        <v>0</v>
      </c>
      <c r="N500">
        <v>34</v>
      </c>
      <c r="O500">
        <v>7</v>
      </c>
      <c r="P500">
        <v>270</v>
      </c>
      <c r="Q500" s="3">
        <v>2.9166666666666701</v>
      </c>
      <c r="R500">
        <v>0</v>
      </c>
      <c r="S500">
        <v>0</v>
      </c>
      <c r="U500">
        <v>-14.3630434782609</v>
      </c>
      <c r="V500">
        <v>-0.75</v>
      </c>
      <c r="W500">
        <v>-1.4130434782608701</v>
      </c>
      <c r="X500">
        <v>-13.6</v>
      </c>
      <c r="Y500">
        <v>0</v>
      </c>
      <c r="Z500">
        <v>1.4</v>
      </c>
      <c r="AA500">
        <v>0</v>
      </c>
    </row>
    <row r="501" spans="3:27" x14ac:dyDescent="0.2">
      <c r="C501" t="s">
        <v>25</v>
      </c>
      <c r="D501" t="s">
        <v>503</v>
      </c>
      <c r="E501">
        <v>520</v>
      </c>
      <c r="F501">
        <v>210</v>
      </c>
      <c r="G501">
        <v>24</v>
      </c>
      <c r="H501">
        <v>7</v>
      </c>
      <c r="I501">
        <v>0</v>
      </c>
      <c r="J501">
        <v>50</v>
      </c>
      <c r="K501">
        <v>930</v>
      </c>
      <c r="L501">
        <v>61</v>
      </c>
      <c r="M501">
        <v>3</v>
      </c>
      <c r="N501">
        <v>14</v>
      </c>
      <c r="O501">
        <v>15</v>
      </c>
      <c r="P501">
        <v>526</v>
      </c>
      <c r="Q501" s="3">
        <v>2.8846153846153801</v>
      </c>
      <c r="R501">
        <v>1</v>
      </c>
      <c r="S501">
        <v>0</v>
      </c>
      <c r="U501">
        <v>-13.3872670807453</v>
      </c>
      <c r="V501">
        <v>-1.75</v>
      </c>
      <c r="W501">
        <v>-10.1086956521739</v>
      </c>
      <c r="X501">
        <v>-5.6</v>
      </c>
      <c r="Y501">
        <v>0</v>
      </c>
      <c r="Z501">
        <v>3</v>
      </c>
      <c r="AA501">
        <v>1.0714285714285701</v>
      </c>
    </row>
    <row r="502" spans="3:27" x14ac:dyDescent="0.2">
      <c r="C502" t="s">
        <v>25</v>
      </c>
      <c r="D502" t="s">
        <v>505</v>
      </c>
      <c r="E502">
        <v>280</v>
      </c>
      <c r="F502">
        <v>50</v>
      </c>
      <c r="G502">
        <v>6</v>
      </c>
      <c r="H502">
        <v>3.5</v>
      </c>
      <c r="I502">
        <v>0</v>
      </c>
      <c r="J502">
        <v>10</v>
      </c>
      <c r="K502">
        <v>160</v>
      </c>
      <c r="L502">
        <v>50</v>
      </c>
      <c r="M502">
        <v>0</v>
      </c>
      <c r="N502">
        <v>42</v>
      </c>
      <c r="O502">
        <v>8</v>
      </c>
      <c r="P502">
        <v>317.5</v>
      </c>
      <c r="Q502" s="3">
        <v>2.8571428571428599</v>
      </c>
      <c r="R502">
        <v>0</v>
      </c>
      <c r="S502">
        <v>0</v>
      </c>
      <c r="U502">
        <v>-17.814130434782601</v>
      </c>
      <c r="V502">
        <v>-0.875</v>
      </c>
      <c r="W502">
        <v>-1.73913043478261</v>
      </c>
      <c r="X502">
        <v>-16.8</v>
      </c>
      <c r="Y502">
        <v>0</v>
      </c>
      <c r="Z502">
        <v>1.6</v>
      </c>
      <c r="AA502">
        <v>0</v>
      </c>
    </row>
    <row r="503" spans="3:27" x14ac:dyDescent="0.2">
      <c r="C503" t="s">
        <v>25</v>
      </c>
      <c r="D503" t="s">
        <v>506</v>
      </c>
      <c r="E503">
        <v>280</v>
      </c>
      <c r="F503">
        <v>70</v>
      </c>
      <c r="G503">
        <v>8</v>
      </c>
      <c r="H503">
        <v>4.5</v>
      </c>
      <c r="I503">
        <v>0</v>
      </c>
      <c r="J503">
        <v>25</v>
      </c>
      <c r="K503">
        <v>170</v>
      </c>
      <c r="L503">
        <v>43</v>
      </c>
      <c r="M503">
        <v>0</v>
      </c>
      <c r="N503">
        <v>43</v>
      </c>
      <c r="O503">
        <v>8</v>
      </c>
      <c r="P503">
        <v>319.5</v>
      </c>
      <c r="Q503" s="3">
        <v>2.8571428571428599</v>
      </c>
      <c r="R503">
        <v>0</v>
      </c>
      <c r="S503">
        <v>0</v>
      </c>
      <c r="U503">
        <v>-18.5728260869565</v>
      </c>
      <c r="V503">
        <v>-1.125</v>
      </c>
      <c r="W503">
        <v>-1.84782608695652</v>
      </c>
      <c r="X503">
        <v>-17.2</v>
      </c>
      <c r="Y503">
        <v>0</v>
      </c>
      <c r="Z503">
        <v>1.6</v>
      </c>
      <c r="AA503">
        <v>0</v>
      </c>
    </row>
    <row r="504" spans="3:27" x14ac:dyDescent="0.2">
      <c r="C504" t="s">
        <v>25</v>
      </c>
      <c r="D504" t="s">
        <v>507</v>
      </c>
      <c r="E504">
        <v>280</v>
      </c>
      <c r="F504">
        <v>70</v>
      </c>
      <c r="G504">
        <v>8</v>
      </c>
      <c r="H504">
        <v>4.5</v>
      </c>
      <c r="I504">
        <v>0</v>
      </c>
      <c r="J504">
        <v>25</v>
      </c>
      <c r="K504">
        <v>110</v>
      </c>
      <c r="L504">
        <v>45</v>
      </c>
      <c r="M504">
        <v>0</v>
      </c>
      <c r="N504">
        <v>45</v>
      </c>
      <c r="O504">
        <v>8</v>
      </c>
      <c r="P504">
        <v>321.5</v>
      </c>
      <c r="Q504" s="3">
        <v>2.8571428571428599</v>
      </c>
      <c r="R504">
        <v>0</v>
      </c>
      <c r="S504">
        <v>0</v>
      </c>
      <c r="U504">
        <v>-18.720652173912999</v>
      </c>
      <c r="V504">
        <v>-1.125</v>
      </c>
      <c r="W504">
        <v>-1.1956521739130399</v>
      </c>
      <c r="X504">
        <v>-18</v>
      </c>
      <c r="Y504">
        <v>0</v>
      </c>
      <c r="Z504">
        <v>1.6</v>
      </c>
      <c r="AA504">
        <v>0</v>
      </c>
    </row>
    <row r="505" spans="3:27" x14ac:dyDescent="0.2">
      <c r="C505" t="s">
        <v>25</v>
      </c>
      <c r="D505" t="s">
        <v>508</v>
      </c>
      <c r="E505">
        <v>280</v>
      </c>
      <c r="F505">
        <v>70</v>
      </c>
      <c r="G505">
        <v>8</v>
      </c>
      <c r="H505">
        <v>4.5</v>
      </c>
      <c r="I505">
        <v>0</v>
      </c>
      <c r="J505">
        <v>25</v>
      </c>
      <c r="K505">
        <v>110</v>
      </c>
      <c r="L505">
        <v>44</v>
      </c>
      <c r="M505">
        <v>0</v>
      </c>
      <c r="N505">
        <v>44</v>
      </c>
      <c r="O505">
        <v>8</v>
      </c>
      <c r="P505">
        <v>320.5</v>
      </c>
      <c r="Q505" s="3">
        <v>2.8571428571428599</v>
      </c>
      <c r="R505">
        <v>0</v>
      </c>
      <c r="S505">
        <v>0</v>
      </c>
      <c r="U505">
        <v>-18.320652173913</v>
      </c>
      <c r="V505">
        <v>-1.125</v>
      </c>
      <c r="W505">
        <v>-1.1956521739130399</v>
      </c>
      <c r="X505">
        <v>-17.600000000000001</v>
      </c>
      <c r="Y505">
        <v>0</v>
      </c>
      <c r="Z505">
        <v>1.6</v>
      </c>
      <c r="AA505">
        <v>0</v>
      </c>
    </row>
    <row r="506" spans="3:27" x14ac:dyDescent="0.2">
      <c r="C506" t="s">
        <v>25</v>
      </c>
      <c r="D506" t="s">
        <v>516</v>
      </c>
      <c r="E506">
        <v>460</v>
      </c>
      <c r="F506">
        <v>160</v>
      </c>
      <c r="G506">
        <v>18</v>
      </c>
      <c r="H506">
        <v>10</v>
      </c>
      <c r="I506">
        <v>0.5</v>
      </c>
      <c r="J506">
        <v>40</v>
      </c>
      <c r="K506">
        <v>220</v>
      </c>
      <c r="L506">
        <v>63</v>
      </c>
      <c r="M506">
        <v>0</v>
      </c>
      <c r="N506">
        <v>54</v>
      </c>
      <c r="O506">
        <v>13</v>
      </c>
      <c r="P506">
        <v>511</v>
      </c>
      <c r="Q506" s="3">
        <v>2.8260869565217401</v>
      </c>
      <c r="R506">
        <v>0</v>
      </c>
      <c r="S506">
        <v>0</v>
      </c>
      <c r="U506">
        <v>-23.891804347826099</v>
      </c>
      <c r="V506">
        <v>-2.5</v>
      </c>
      <c r="W506">
        <v>-2.39130434782609</v>
      </c>
      <c r="X506">
        <v>-21.6</v>
      </c>
      <c r="Y506">
        <v>-5.0000000000000001E-4</v>
      </c>
      <c r="Z506">
        <v>2.6</v>
      </c>
      <c r="AA506">
        <v>0</v>
      </c>
    </row>
    <row r="507" spans="3:27" x14ac:dyDescent="0.2">
      <c r="C507" t="s">
        <v>25</v>
      </c>
      <c r="D507" t="s">
        <v>517</v>
      </c>
      <c r="E507">
        <v>250</v>
      </c>
      <c r="F507">
        <v>90</v>
      </c>
      <c r="G507">
        <v>11</v>
      </c>
      <c r="H507">
        <v>6</v>
      </c>
      <c r="I507">
        <v>0</v>
      </c>
      <c r="J507">
        <v>25</v>
      </c>
      <c r="K507">
        <v>150</v>
      </c>
      <c r="L507">
        <v>33</v>
      </c>
      <c r="M507">
        <v>0</v>
      </c>
      <c r="N507">
        <v>31</v>
      </c>
      <c r="O507">
        <v>7</v>
      </c>
      <c r="P507">
        <v>280</v>
      </c>
      <c r="Q507" s="3">
        <v>2.8</v>
      </c>
      <c r="R507">
        <v>0</v>
      </c>
      <c r="S507">
        <v>0</v>
      </c>
      <c r="U507">
        <v>-14.130434782608701</v>
      </c>
      <c r="V507">
        <v>-1.5</v>
      </c>
      <c r="W507">
        <v>-1.6304347826087</v>
      </c>
      <c r="X507">
        <v>-12.4</v>
      </c>
      <c r="Y507">
        <v>0</v>
      </c>
      <c r="Z507">
        <v>1.4</v>
      </c>
      <c r="AA507">
        <v>0</v>
      </c>
    </row>
    <row r="508" spans="3:27" x14ac:dyDescent="0.2">
      <c r="C508" t="s">
        <v>25</v>
      </c>
      <c r="D508" t="s">
        <v>523</v>
      </c>
      <c r="E508">
        <v>360</v>
      </c>
      <c r="F508">
        <v>130</v>
      </c>
      <c r="G508">
        <v>14</v>
      </c>
      <c r="H508">
        <v>8</v>
      </c>
      <c r="I508">
        <v>0.5</v>
      </c>
      <c r="J508">
        <v>35</v>
      </c>
      <c r="K508">
        <v>220</v>
      </c>
      <c r="L508">
        <v>47</v>
      </c>
      <c r="M508">
        <v>0</v>
      </c>
      <c r="N508">
        <v>46</v>
      </c>
      <c r="O508">
        <v>10</v>
      </c>
      <c r="P508">
        <v>404</v>
      </c>
      <c r="Q508" s="3">
        <v>2.7777777777777799</v>
      </c>
      <c r="R508">
        <v>0</v>
      </c>
      <c r="S508">
        <v>0</v>
      </c>
      <c r="U508">
        <v>-20.791804347826101</v>
      </c>
      <c r="V508">
        <v>-2</v>
      </c>
      <c r="W508">
        <v>-2.39130434782609</v>
      </c>
      <c r="X508">
        <v>-18.399999999999999</v>
      </c>
      <c r="Y508">
        <v>-5.0000000000000001E-4</v>
      </c>
      <c r="Z508">
        <v>2</v>
      </c>
      <c r="AA508">
        <v>0</v>
      </c>
    </row>
    <row r="509" spans="3:27" x14ac:dyDescent="0.2">
      <c r="C509" t="s">
        <v>25</v>
      </c>
      <c r="D509" t="s">
        <v>527</v>
      </c>
      <c r="E509">
        <v>290</v>
      </c>
      <c r="F509">
        <v>70</v>
      </c>
      <c r="G509">
        <v>8</v>
      </c>
      <c r="H509">
        <v>4.5</v>
      </c>
      <c r="I509">
        <v>0</v>
      </c>
      <c r="J509">
        <v>25</v>
      </c>
      <c r="K509">
        <v>190</v>
      </c>
      <c r="L509">
        <v>49</v>
      </c>
      <c r="M509">
        <v>0</v>
      </c>
      <c r="N509">
        <v>49</v>
      </c>
      <c r="O509">
        <v>8</v>
      </c>
      <c r="P509">
        <v>335.5</v>
      </c>
      <c r="Q509" s="3">
        <v>2.7586206896551699</v>
      </c>
      <c r="R509">
        <v>0</v>
      </c>
      <c r="S509">
        <v>0</v>
      </c>
      <c r="U509">
        <v>-21.190217391304301</v>
      </c>
      <c r="V509">
        <v>-1.125</v>
      </c>
      <c r="W509">
        <v>-2.0652173913043499</v>
      </c>
      <c r="X509">
        <v>-19.600000000000001</v>
      </c>
      <c r="Y509">
        <v>0</v>
      </c>
      <c r="Z509">
        <v>1.6</v>
      </c>
      <c r="AA509">
        <v>0</v>
      </c>
    </row>
    <row r="510" spans="3:27" x14ac:dyDescent="0.2">
      <c r="C510" t="s">
        <v>25</v>
      </c>
      <c r="D510" t="s">
        <v>528</v>
      </c>
      <c r="E510">
        <v>290</v>
      </c>
      <c r="F510">
        <v>100</v>
      </c>
      <c r="G510">
        <v>12</v>
      </c>
      <c r="H510">
        <v>7</v>
      </c>
      <c r="I510">
        <v>0</v>
      </c>
      <c r="J510">
        <v>25</v>
      </c>
      <c r="K510">
        <v>180</v>
      </c>
      <c r="L510">
        <v>39</v>
      </c>
      <c r="M510">
        <v>0</v>
      </c>
      <c r="N510">
        <v>38</v>
      </c>
      <c r="O510">
        <v>8</v>
      </c>
      <c r="P510">
        <v>327</v>
      </c>
      <c r="Q510" s="3">
        <v>2.7586206896551699</v>
      </c>
      <c r="R510">
        <v>0</v>
      </c>
      <c r="S510">
        <v>0</v>
      </c>
      <c r="U510">
        <v>-17.3065217391304</v>
      </c>
      <c r="V510">
        <v>-1.75</v>
      </c>
      <c r="W510">
        <v>-1.9565217391304399</v>
      </c>
      <c r="X510">
        <v>-15.2</v>
      </c>
      <c r="Y510">
        <v>0</v>
      </c>
      <c r="Z510">
        <v>1.6</v>
      </c>
      <c r="AA510">
        <v>0</v>
      </c>
    </row>
    <row r="511" spans="3:27" x14ac:dyDescent="0.2">
      <c r="C511" t="s">
        <v>25</v>
      </c>
      <c r="D511" t="s">
        <v>529</v>
      </c>
      <c r="E511">
        <v>330</v>
      </c>
      <c r="F511">
        <v>80</v>
      </c>
      <c r="G511">
        <v>9</v>
      </c>
      <c r="H511">
        <v>5</v>
      </c>
      <c r="I511">
        <v>0</v>
      </c>
      <c r="J511">
        <v>30</v>
      </c>
      <c r="K511">
        <v>210</v>
      </c>
      <c r="L511">
        <v>52</v>
      </c>
      <c r="M511">
        <v>0</v>
      </c>
      <c r="N511">
        <v>51</v>
      </c>
      <c r="O511">
        <v>9</v>
      </c>
      <c r="P511">
        <v>377</v>
      </c>
      <c r="Q511" s="3">
        <v>2.7272727272727302</v>
      </c>
      <c r="R511">
        <v>0</v>
      </c>
      <c r="S511">
        <v>0</v>
      </c>
      <c r="U511">
        <v>-22.132608695652198</v>
      </c>
      <c r="V511">
        <v>-1.25</v>
      </c>
      <c r="W511">
        <v>-2.2826086956521698</v>
      </c>
      <c r="X511">
        <v>-20.399999999999999</v>
      </c>
      <c r="Y511">
        <v>0</v>
      </c>
      <c r="Z511">
        <v>1.8</v>
      </c>
      <c r="AA511">
        <v>0</v>
      </c>
    </row>
    <row r="512" spans="3:27" x14ac:dyDescent="0.2">
      <c r="C512" t="s">
        <v>25</v>
      </c>
      <c r="D512" t="s">
        <v>530</v>
      </c>
      <c r="E512">
        <v>330</v>
      </c>
      <c r="F512">
        <v>80</v>
      </c>
      <c r="G512">
        <v>9</v>
      </c>
      <c r="H512">
        <v>5</v>
      </c>
      <c r="I512">
        <v>0</v>
      </c>
      <c r="J512">
        <v>30</v>
      </c>
      <c r="K512">
        <v>130</v>
      </c>
      <c r="L512">
        <v>53</v>
      </c>
      <c r="M512">
        <v>0</v>
      </c>
      <c r="N512">
        <v>53</v>
      </c>
      <c r="O512">
        <v>9</v>
      </c>
      <c r="P512">
        <v>379</v>
      </c>
      <c r="Q512" s="3">
        <v>2.7272727272727302</v>
      </c>
      <c r="R512">
        <v>0</v>
      </c>
      <c r="S512">
        <v>0</v>
      </c>
      <c r="U512">
        <v>-22.063043478260902</v>
      </c>
      <c r="V512">
        <v>-1.25</v>
      </c>
      <c r="W512">
        <v>-1.4130434782608701</v>
      </c>
      <c r="X512">
        <v>-21.2</v>
      </c>
      <c r="Y512">
        <v>0</v>
      </c>
      <c r="Z512">
        <v>1.8</v>
      </c>
      <c r="AA512">
        <v>0</v>
      </c>
    </row>
    <row r="513" spans="3:27" x14ac:dyDescent="0.2">
      <c r="C513" t="s">
        <v>25</v>
      </c>
      <c r="D513" t="s">
        <v>531</v>
      </c>
      <c r="E513">
        <v>330</v>
      </c>
      <c r="F513">
        <v>80</v>
      </c>
      <c r="G513">
        <v>9</v>
      </c>
      <c r="H513">
        <v>5</v>
      </c>
      <c r="I513">
        <v>0</v>
      </c>
      <c r="J513">
        <v>30</v>
      </c>
      <c r="K513">
        <v>130</v>
      </c>
      <c r="L513">
        <v>53</v>
      </c>
      <c r="M513">
        <v>0</v>
      </c>
      <c r="N513">
        <v>53</v>
      </c>
      <c r="O513">
        <v>9</v>
      </c>
      <c r="P513">
        <v>379</v>
      </c>
      <c r="Q513" s="3">
        <v>2.7272727272727302</v>
      </c>
      <c r="R513">
        <v>0</v>
      </c>
      <c r="S513">
        <v>0</v>
      </c>
      <c r="U513">
        <v>-22.063043478260902</v>
      </c>
      <c r="V513">
        <v>-1.25</v>
      </c>
      <c r="W513">
        <v>-1.4130434782608701</v>
      </c>
      <c r="X513">
        <v>-21.2</v>
      </c>
      <c r="Y513">
        <v>0</v>
      </c>
      <c r="Z513">
        <v>1.8</v>
      </c>
      <c r="AA513">
        <v>0</v>
      </c>
    </row>
    <row r="514" spans="3:27" x14ac:dyDescent="0.2">
      <c r="C514" t="s">
        <v>25</v>
      </c>
      <c r="D514" t="s">
        <v>532</v>
      </c>
      <c r="E514">
        <v>150</v>
      </c>
      <c r="F514">
        <v>35</v>
      </c>
      <c r="G514">
        <v>3.5</v>
      </c>
      <c r="H514">
        <v>2</v>
      </c>
      <c r="I514">
        <v>0</v>
      </c>
      <c r="J514">
        <v>15</v>
      </c>
      <c r="K514">
        <v>60</v>
      </c>
      <c r="L514">
        <v>24</v>
      </c>
      <c r="M514">
        <v>0</v>
      </c>
      <c r="N514">
        <v>18</v>
      </c>
      <c r="O514">
        <v>4</v>
      </c>
      <c r="P514">
        <v>166</v>
      </c>
      <c r="Q514" s="3">
        <v>2.6666666666666701</v>
      </c>
      <c r="R514">
        <v>0</v>
      </c>
      <c r="S514">
        <v>0</v>
      </c>
      <c r="U514">
        <v>-7.5521739130434797</v>
      </c>
      <c r="V514">
        <v>-0.5</v>
      </c>
      <c r="W514">
        <v>-0.65217391304347805</v>
      </c>
      <c r="X514">
        <v>-7.2</v>
      </c>
      <c r="Y514">
        <v>0</v>
      </c>
      <c r="Z514">
        <v>0.8</v>
      </c>
      <c r="AA514">
        <v>0</v>
      </c>
    </row>
    <row r="515" spans="3:27" x14ac:dyDescent="0.2">
      <c r="C515" t="s">
        <v>25</v>
      </c>
      <c r="D515" t="s">
        <v>533</v>
      </c>
      <c r="E515">
        <v>300</v>
      </c>
      <c r="F515">
        <v>110</v>
      </c>
      <c r="G515">
        <v>12</v>
      </c>
      <c r="H515">
        <v>7</v>
      </c>
      <c r="I515">
        <v>0</v>
      </c>
      <c r="J515">
        <v>25</v>
      </c>
      <c r="K515">
        <v>135</v>
      </c>
      <c r="L515">
        <v>41</v>
      </c>
      <c r="M515">
        <v>0</v>
      </c>
      <c r="N515">
        <v>35</v>
      </c>
      <c r="O515">
        <v>8</v>
      </c>
      <c r="P515">
        <v>334</v>
      </c>
      <c r="Q515" s="3">
        <v>2.6666666666666701</v>
      </c>
      <c r="R515">
        <v>0</v>
      </c>
      <c r="S515">
        <v>0</v>
      </c>
      <c r="U515">
        <v>-15.6173913043478</v>
      </c>
      <c r="V515">
        <v>-1.75</v>
      </c>
      <c r="W515">
        <v>-1.4673913043478299</v>
      </c>
      <c r="X515">
        <v>-14</v>
      </c>
      <c r="Y515">
        <v>0</v>
      </c>
      <c r="Z515">
        <v>1.6</v>
      </c>
      <c r="AA515">
        <v>0</v>
      </c>
    </row>
    <row r="516" spans="3:27" x14ac:dyDescent="0.2">
      <c r="C516" t="s">
        <v>25</v>
      </c>
      <c r="D516" t="s">
        <v>534</v>
      </c>
      <c r="E516">
        <v>300</v>
      </c>
      <c r="F516">
        <v>120</v>
      </c>
      <c r="G516">
        <v>14</v>
      </c>
      <c r="H516">
        <v>8</v>
      </c>
      <c r="I516">
        <v>0</v>
      </c>
      <c r="J516">
        <v>30</v>
      </c>
      <c r="K516">
        <v>160</v>
      </c>
      <c r="L516">
        <v>36</v>
      </c>
      <c r="M516">
        <v>0</v>
      </c>
      <c r="N516">
        <v>33</v>
      </c>
      <c r="O516">
        <v>8</v>
      </c>
      <c r="P516">
        <v>333</v>
      </c>
      <c r="Q516" s="3">
        <v>2.6666666666666701</v>
      </c>
      <c r="R516">
        <v>0</v>
      </c>
      <c r="S516">
        <v>0</v>
      </c>
      <c r="U516">
        <v>-15.3391304347826</v>
      </c>
      <c r="V516">
        <v>-2</v>
      </c>
      <c r="W516">
        <v>-1.73913043478261</v>
      </c>
      <c r="X516">
        <v>-13.2</v>
      </c>
      <c r="Y516">
        <v>0</v>
      </c>
      <c r="Z516">
        <v>1.6</v>
      </c>
      <c r="AA516">
        <v>0</v>
      </c>
    </row>
    <row r="517" spans="3:27" x14ac:dyDescent="0.2">
      <c r="C517" t="s">
        <v>25</v>
      </c>
      <c r="D517" t="s">
        <v>540</v>
      </c>
      <c r="E517">
        <v>380</v>
      </c>
      <c r="F517">
        <v>130</v>
      </c>
      <c r="G517">
        <v>15</v>
      </c>
      <c r="H517">
        <v>9</v>
      </c>
      <c r="I517">
        <v>0.5</v>
      </c>
      <c r="J517">
        <v>30</v>
      </c>
      <c r="K517">
        <v>170</v>
      </c>
      <c r="L517">
        <v>53</v>
      </c>
      <c r="M517">
        <v>0</v>
      </c>
      <c r="N517">
        <v>45</v>
      </c>
      <c r="O517">
        <v>10</v>
      </c>
      <c r="P517">
        <v>424</v>
      </c>
      <c r="Q517" s="3">
        <v>2.6315789473684199</v>
      </c>
      <c r="R517">
        <v>0</v>
      </c>
      <c r="S517">
        <v>0</v>
      </c>
      <c r="U517">
        <v>-20.098326086956501</v>
      </c>
      <c r="V517">
        <v>-2.25</v>
      </c>
      <c r="W517">
        <v>-1.84782608695652</v>
      </c>
      <c r="X517">
        <v>-18</v>
      </c>
      <c r="Y517">
        <v>-5.0000000000000001E-4</v>
      </c>
      <c r="Z517">
        <v>2</v>
      </c>
      <c r="AA517">
        <v>0</v>
      </c>
    </row>
    <row r="518" spans="3:27" x14ac:dyDescent="0.2">
      <c r="C518" t="s">
        <v>25</v>
      </c>
      <c r="D518" t="s">
        <v>541</v>
      </c>
      <c r="E518">
        <v>190</v>
      </c>
      <c r="F518">
        <v>40</v>
      </c>
      <c r="G518">
        <v>4.5</v>
      </c>
      <c r="H518">
        <v>2.5</v>
      </c>
      <c r="I518">
        <v>0</v>
      </c>
      <c r="J518">
        <v>15</v>
      </c>
      <c r="K518">
        <v>70</v>
      </c>
      <c r="L518">
        <v>33</v>
      </c>
      <c r="M518">
        <v>0</v>
      </c>
      <c r="N518">
        <v>33</v>
      </c>
      <c r="O518">
        <v>5</v>
      </c>
      <c r="P518">
        <v>220.5</v>
      </c>
      <c r="Q518" s="3">
        <v>2.6315789473684199</v>
      </c>
      <c r="R518">
        <v>0</v>
      </c>
      <c r="S518">
        <v>0</v>
      </c>
      <c r="U518">
        <v>-13.585869565217401</v>
      </c>
      <c r="V518">
        <v>-0.625</v>
      </c>
      <c r="W518">
        <v>-0.76086956521739102</v>
      </c>
      <c r="X518">
        <v>-13.2</v>
      </c>
      <c r="Y518">
        <v>0</v>
      </c>
      <c r="Z518">
        <v>1</v>
      </c>
      <c r="AA518">
        <v>0</v>
      </c>
    </row>
    <row r="519" spans="3:27" x14ac:dyDescent="0.2">
      <c r="C519" t="s">
        <v>25</v>
      </c>
      <c r="D519" t="s">
        <v>542</v>
      </c>
      <c r="E519">
        <v>380</v>
      </c>
      <c r="F519">
        <v>140</v>
      </c>
      <c r="G519">
        <v>16</v>
      </c>
      <c r="H519">
        <v>9</v>
      </c>
      <c r="I519">
        <v>0.5</v>
      </c>
      <c r="J519">
        <v>35</v>
      </c>
      <c r="K519">
        <v>210</v>
      </c>
      <c r="L519">
        <v>48</v>
      </c>
      <c r="M519">
        <v>0</v>
      </c>
      <c r="N519">
        <v>46</v>
      </c>
      <c r="O519">
        <v>10</v>
      </c>
      <c r="P519">
        <v>425</v>
      </c>
      <c r="Q519" s="3">
        <v>2.6315789473684199</v>
      </c>
      <c r="R519">
        <v>0</v>
      </c>
      <c r="S519">
        <v>0</v>
      </c>
      <c r="U519">
        <v>-20.933108695652201</v>
      </c>
      <c r="V519">
        <v>-2.25</v>
      </c>
      <c r="W519">
        <v>-2.2826086956521698</v>
      </c>
      <c r="X519">
        <v>-18.399999999999999</v>
      </c>
      <c r="Y519">
        <v>-5.0000000000000001E-4</v>
      </c>
      <c r="Z519">
        <v>2</v>
      </c>
      <c r="AA519">
        <v>0</v>
      </c>
    </row>
    <row r="520" spans="3:27" x14ac:dyDescent="0.2">
      <c r="C520" t="s">
        <v>25</v>
      </c>
      <c r="D520" t="s">
        <v>546</v>
      </c>
      <c r="E520">
        <v>420</v>
      </c>
      <c r="F520">
        <v>200</v>
      </c>
      <c r="G520">
        <v>22</v>
      </c>
      <c r="H520">
        <v>8</v>
      </c>
      <c r="I520">
        <v>0</v>
      </c>
      <c r="J520">
        <v>35</v>
      </c>
      <c r="K520">
        <v>1030</v>
      </c>
      <c r="L520">
        <v>44</v>
      </c>
      <c r="M520">
        <v>2</v>
      </c>
      <c r="N520">
        <v>15</v>
      </c>
      <c r="O520">
        <v>11</v>
      </c>
      <c r="P520">
        <v>432</v>
      </c>
      <c r="Q520" s="3">
        <v>2.61904761904762</v>
      </c>
      <c r="R520">
        <v>1</v>
      </c>
      <c r="S520">
        <v>0</v>
      </c>
      <c r="U520">
        <v>-16.2813664596273</v>
      </c>
      <c r="V520">
        <v>-2</v>
      </c>
      <c r="W520">
        <v>-11.195652173913</v>
      </c>
      <c r="X520">
        <v>-6</v>
      </c>
      <c r="Y520">
        <v>0</v>
      </c>
      <c r="Z520">
        <v>2.2000000000000002</v>
      </c>
      <c r="AA520">
        <v>0.71428571428571397</v>
      </c>
    </row>
    <row r="521" spans="3:27" x14ac:dyDescent="0.2">
      <c r="C521" t="s">
        <v>25</v>
      </c>
      <c r="D521" t="s">
        <v>547</v>
      </c>
      <c r="E521">
        <v>230</v>
      </c>
      <c r="F521">
        <v>50</v>
      </c>
      <c r="G521">
        <v>6</v>
      </c>
      <c r="H521">
        <v>3.5</v>
      </c>
      <c r="I521">
        <v>0</v>
      </c>
      <c r="J521">
        <v>15</v>
      </c>
      <c r="K521">
        <v>150</v>
      </c>
      <c r="L521">
        <v>40</v>
      </c>
      <c r="M521">
        <v>0</v>
      </c>
      <c r="N521">
        <v>40</v>
      </c>
      <c r="O521">
        <v>6</v>
      </c>
      <c r="P521">
        <v>267.5</v>
      </c>
      <c r="Q521" s="3">
        <v>2.60869565217391</v>
      </c>
      <c r="R521">
        <v>0</v>
      </c>
      <c r="S521">
        <v>0</v>
      </c>
      <c r="U521">
        <v>-17.3054347826087</v>
      </c>
      <c r="V521">
        <v>-0.875</v>
      </c>
      <c r="W521">
        <v>-1.6304347826087</v>
      </c>
      <c r="X521">
        <v>-16</v>
      </c>
      <c r="Y521">
        <v>0</v>
      </c>
      <c r="Z521">
        <v>1.2</v>
      </c>
      <c r="AA521">
        <v>0</v>
      </c>
    </row>
    <row r="522" spans="3:27" x14ac:dyDescent="0.2">
      <c r="C522" t="s">
        <v>25</v>
      </c>
      <c r="D522" t="s">
        <v>548</v>
      </c>
      <c r="E522">
        <v>230</v>
      </c>
      <c r="F522">
        <v>50</v>
      </c>
      <c r="G522">
        <v>6</v>
      </c>
      <c r="H522">
        <v>3.5</v>
      </c>
      <c r="I522">
        <v>0</v>
      </c>
      <c r="J522">
        <v>15</v>
      </c>
      <c r="K522">
        <v>85</v>
      </c>
      <c r="L522">
        <v>41</v>
      </c>
      <c r="M522">
        <v>0</v>
      </c>
      <c r="N522">
        <v>41</v>
      </c>
      <c r="O522">
        <v>6</v>
      </c>
      <c r="P522">
        <v>268.5</v>
      </c>
      <c r="Q522" s="3">
        <v>2.60869565217391</v>
      </c>
      <c r="R522">
        <v>0</v>
      </c>
      <c r="S522">
        <v>0</v>
      </c>
      <c r="U522">
        <v>-16.9989130434783</v>
      </c>
      <c r="V522">
        <v>-0.875</v>
      </c>
      <c r="W522">
        <v>-0.92391304347826098</v>
      </c>
      <c r="X522">
        <v>-16.399999999999999</v>
      </c>
      <c r="Y522">
        <v>0</v>
      </c>
      <c r="Z522">
        <v>1.2</v>
      </c>
      <c r="AA522">
        <v>0</v>
      </c>
    </row>
    <row r="523" spans="3:27" x14ac:dyDescent="0.2">
      <c r="C523" t="s">
        <v>25</v>
      </c>
      <c r="D523" t="s">
        <v>549</v>
      </c>
      <c r="E523">
        <v>230</v>
      </c>
      <c r="F523">
        <v>50</v>
      </c>
      <c r="G523">
        <v>6</v>
      </c>
      <c r="H523">
        <v>3.5</v>
      </c>
      <c r="I523">
        <v>0</v>
      </c>
      <c r="J523">
        <v>15</v>
      </c>
      <c r="K523">
        <v>85</v>
      </c>
      <c r="L523">
        <v>41</v>
      </c>
      <c r="M523">
        <v>0</v>
      </c>
      <c r="N523">
        <v>41</v>
      </c>
      <c r="O523">
        <v>6</v>
      </c>
      <c r="P523">
        <v>268.5</v>
      </c>
      <c r="Q523" s="3">
        <v>2.60869565217391</v>
      </c>
      <c r="R523">
        <v>0</v>
      </c>
      <c r="S523">
        <v>0</v>
      </c>
      <c r="U523">
        <v>-16.9989130434783</v>
      </c>
      <c r="V523">
        <v>-0.875</v>
      </c>
      <c r="W523">
        <v>-0.92391304347826098</v>
      </c>
      <c r="X523">
        <v>-16.399999999999999</v>
      </c>
      <c r="Y523">
        <v>0</v>
      </c>
      <c r="Z523">
        <v>1.2</v>
      </c>
      <c r="AA523">
        <v>0</v>
      </c>
    </row>
    <row r="524" spans="3:27" x14ac:dyDescent="0.2">
      <c r="C524" t="s">
        <v>25</v>
      </c>
      <c r="D524" t="s">
        <v>550</v>
      </c>
      <c r="E524">
        <v>270</v>
      </c>
      <c r="F524">
        <v>70</v>
      </c>
      <c r="G524">
        <v>8</v>
      </c>
      <c r="H524">
        <v>4.5</v>
      </c>
      <c r="I524">
        <v>0</v>
      </c>
      <c r="J524">
        <v>10</v>
      </c>
      <c r="K524">
        <v>140</v>
      </c>
      <c r="L524">
        <v>43</v>
      </c>
      <c r="M524">
        <v>0</v>
      </c>
      <c r="N524">
        <v>35</v>
      </c>
      <c r="O524">
        <v>7</v>
      </c>
      <c r="P524">
        <v>302.5</v>
      </c>
      <c r="Q524" s="3">
        <v>2.5925925925925899</v>
      </c>
      <c r="R524">
        <v>0</v>
      </c>
      <c r="S524">
        <v>0</v>
      </c>
      <c r="U524">
        <v>-15.246739130434801</v>
      </c>
      <c r="V524">
        <v>-1.125</v>
      </c>
      <c r="W524">
        <v>-1.52173913043478</v>
      </c>
      <c r="X524">
        <v>-14</v>
      </c>
      <c r="Y524">
        <v>0</v>
      </c>
      <c r="Z524">
        <v>1.4</v>
      </c>
      <c r="AA524">
        <v>0</v>
      </c>
    </row>
    <row r="525" spans="3:27" x14ac:dyDescent="0.2">
      <c r="C525" t="s">
        <v>25</v>
      </c>
      <c r="D525" t="s">
        <v>554</v>
      </c>
      <c r="E525">
        <v>430</v>
      </c>
      <c r="F525">
        <v>240</v>
      </c>
      <c r="G525">
        <v>27</v>
      </c>
      <c r="H525">
        <v>12</v>
      </c>
      <c r="I525">
        <v>0</v>
      </c>
      <c r="J525">
        <v>30</v>
      </c>
      <c r="K525">
        <v>1080</v>
      </c>
      <c r="L525">
        <v>34</v>
      </c>
      <c r="M525">
        <v>2</v>
      </c>
      <c r="N525">
        <v>2</v>
      </c>
      <c r="O525">
        <v>11</v>
      </c>
      <c r="P525">
        <v>433</v>
      </c>
      <c r="Q525" s="3">
        <v>2.5581395348837201</v>
      </c>
      <c r="R525">
        <v>1</v>
      </c>
      <c r="S525">
        <v>0</v>
      </c>
      <c r="U525">
        <v>-12.624844720496901</v>
      </c>
      <c r="V525">
        <v>-3</v>
      </c>
      <c r="W525">
        <v>-11.7391304347826</v>
      </c>
      <c r="X525">
        <v>-0.8</v>
      </c>
      <c r="Y525">
        <v>0</v>
      </c>
      <c r="Z525">
        <v>2.2000000000000002</v>
      </c>
      <c r="AA525">
        <v>0.71428571428571397</v>
      </c>
    </row>
    <row r="526" spans="3:27" x14ac:dyDescent="0.2">
      <c r="C526" t="s">
        <v>25</v>
      </c>
      <c r="D526" t="s">
        <v>557</v>
      </c>
      <c r="E526">
        <v>160</v>
      </c>
      <c r="F526">
        <v>20</v>
      </c>
      <c r="G526">
        <v>2</v>
      </c>
      <c r="H526">
        <v>1</v>
      </c>
      <c r="I526">
        <v>0</v>
      </c>
      <c r="J526">
        <v>5</v>
      </c>
      <c r="K526">
        <v>85</v>
      </c>
      <c r="L526">
        <v>31</v>
      </c>
      <c r="M526">
        <v>1</v>
      </c>
      <c r="N526">
        <v>21</v>
      </c>
      <c r="O526">
        <v>4</v>
      </c>
      <c r="P526">
        <v>178</v>
      </c>
      <c r="Q526" s="3">
        <v>2.5</v>
      </c>
      <c r="R526">
        <v>0</v>
      </c>
      <c r="S526">
        <v>0</v>
      </c>
      <c r="U526">
        <v>-8.4167701863354001</v>
      </c>
      <c r="V526">
        <v>-0.25</v>
      </c>
      <c r="W526">
        <v>-0.92391304347826098</v>
      </c>
      <c r="X526">
        <v>-8.4</v>
      </c>
      <c r="Y526">
        <v>0</v>
      </c>
      <c r="Z526">
        <v>0.8</v>
      </c>
      <c r="AA526">
        <v>0.35714285714285698</v>
      </c>
    </row>
    <row r="527" spans="3:27" x14ac:dyDescent="0.2">
      <c r="C527" t="s">
        <v>25</v>
      </c>
      <c r="D527" t="s">
        <v>558</v>
      </c>
      <c r="E527">
        <v>200</v>
      </c>
      <c r="F527">
        <v>45</v>
      </c>
      <c r="G527">
        <v>5</v>
      </c>
      <c r="H527">
        <v>3</v>
      </c>
      <c r="I527">
        <v>0</v>
      </c>
      <c r="J527">
        <v>15</v>
      </c>
      <c r="K527">
        <v>125</v>
      </c>
      <c r="L527">
        <v>32</v>
      </c>
      <c r="M527">
        <v>0</v>
      </c>
      <c r="N527">
        <v>32</v>
      </c>
      <c r="O527">
        <v>5</v>
      </c>
      <c r="P527">
        <v>230</v>
      </c>
      <c r="Q527" s="3">
        <v>2.5</v>
      </c>
      <c r="R527">
        <v>0</v>
      </c>
      <c r="S527">
        <v>0</v>
      </c>
      <c r="U527">
        <v>-13.9086956521739</v>
      </c>
      <c r="V527">
        <v>-0.75</v>
      </c>
      <c r="W527">
        <v>-1.35869565217391</v>
      </c>
      <c r="X527">
        <v>-12.8</v>
      </c>
      <c r="Y527">
        <v>0</v>
      </c>
      <c r="Z527">
        <v>1</v>
      </c>
      <c r="AA527">
        <v>0</v>
      </c>
    </row>
    <row r="528" spans="3:27" x14ac:dyDescent="0.2">
      <c r="C528" t="s">
        <v>25</v>
      </c>
      <c r="D528" t="s">
        <v>559</v>
      </c>
      <c r="E528">
        <v>240</v>
      </c>
      <c r="F528">
        <v>50</v>
      </c>
      <c r="G528">
        <v>6</v>
      </c>
      <c r="H528">
        <v>3.5</v>
      </c>
      <c r="I528">
        <v>0</v>
      </c>
      <c r="J528">
        <v>20</v>
      </c>
      <c r="K528">
        <v>150</v>
      </c>
      <c r="L528">
        <v>41</v>
      </c>
      <c r="M528">
        <v>0</v>
      </c>
      <c r="N528">
        <v>40</v>
      </c>
      <c r="O528">
        <v>6</v>
      </c>
      <c r="P528">
        <v>277.5</v>
      </c>
      <c r="Q528" s="3">
        <v>2.5</v>
      </c>
      <c r="R528">
        <v>0</v>
      </c>
      <c r="S528">
        <v>0</v>
      </c>
      <c r="U528">
        <v>-17.3054347826087</v>
      </c>
      <c r="V528">
        <v>-0.875</v>
      </c>
      <c r="W528">
        <v>-1.6304347826087</v>
      </c>
      <c r="X528">
        <v>-16</v>
      </c>
      <c r="Y528">
        <v>0</v>
      </c>
      <c r="Z528">
        <v>1.2</v>
      </c>
      <c r="AA528">
        <v>0</v>
      </c>
    </row>
    <row r="529" spans="3:27" x14ac:dyDescent="0.2">
      <c r="C529" t="s">
        <v>25</v>
      </c>
      <c r="D529" t="s">
        <v>560</v>
      </c>
      <c r="E529">
        <v>200</v>
      </c>
      <c r="F529">
        <v>45</v>
      </c>
      <c r="G529">
        <v>5</v>
      </c>
      <c r="H529">
        <v>3</v>
      </c>
      <c r="I529">
        <v>0</v>
      </c>
      <c r="J529">
        <v>15</v>
      </c>
      <c r="K529">
        <v>70</v>
      </c>
      <c r="L529">
        <v>34</v>
      </c>
      <c r="M529">
        <v>0</v>
      </c>
      <c r="N529">
        <v>34</v>
      </c>
      <c r="O529">
        <v>5</v>
      </c>
      <c r="P529">
        <v>232</v>
      </c>
      <c r="Q529" s="3">
        <v>2.5</v>
      </c>
      <c r="R529">
        <v>0</v>
      </c>
      <c r="S529">
        <v>0</v>
      </c>
      <c r="U529">
        <v>-14.110869565217399</v>
      </c>
      <c r="V529">
        <v>-0.75</v>
      </c>
      <c r="W529">
        <v>-0.76086956521739102</v>
      </c>
      <c r="X529">
        <v>-13.6</v>
      </c>
      <c r="Y529">
        <v>0</v>
      </c>
      <c r="Z529">
        <v>1</v>
      </c>
      <c r="AA529">
        <v>0</v>
      </c>
    </row>
    <row r="530" spans="3:27" x14ac:dyDescent="0.2">
      <c r="C530" t="s">
        <v>25</v>
      </c>
      <c r="D530" t="s">
        <v>561</v>
      </c>
      <c r="E530">
        <v>240</v>
      </c>
      <c r="F530">
        <v>50</v>
      </c>
      <c r="G530">
        <v>6</v>
      </c>
      <c r="H530">
        <v>3.5</v>
      </c>
      <c r="I530">
        <v>0</v>
      </c>
      <c r="J530">
        <v>20</v>
      </c>
      <c r="K530">
        <v>85</v>
      </c>
      <c r="L530">
        <v>42</v>
      </c>
      <c r="M530">
        <v>0</v>
      </c>
      <c r="N530">
        <v>42</v>
      </c>
      <c r="O530">
        <v>6</v>
      </c>
      <c r="P530">
        <v>279.5</v>
      </c>
      <c r="Q530" s="3">
        <v>2.5</v>
      </c>
      <c r="R530">
        <v>0</v>
      </c>
      <c r="S530">
        <v>0</v>
      </c>
      <c r="U530">
        <v>-17.398913043478299</v>
      </c>
      <c r="V530">
        <v>-0.875</v>
      </c>
      <c r="W530">
        <v>-0.92391304347826098</v>
      </c>
      <c r="X530">
        <v>-16.8</v>
      </c>
      <c r="Y530">
        <v>0</v>
      </c>
      <c r="Z530">
        <v>1.2</v>
      </c>
      <c r="AA530">
        <v>0</v>
      </c>
    </row>
    <row r="531" spans="3:27" x14ac:dyDescent="0.2">
      <c r="C531" t="s">
        <v>25</v>
      </c>
      <c r="D531" t="s">
        <v>562</v>
      </c>
      <c r="E531">
        <v>200</v>
      </c>
      <c r="F531">
        <v>45</v>
      </c>
      <c r="G531">
        <v>5</v>
      </c>
      <c r="H531">
        <v>3</v>
      </c>
      <c r="I531">
        <v>0</v>
      </c>
      <c r="J531">
        <v>15</v>
      </c>
      <c r="K531">
        <v>70</v>
      </c>
      <c r="L531">
        <v>34</v>
      </c>
      <c r="M531">
        <v>0</v>
      </c>
      <c r="N531">
        <v>34</v>
      </c>
      <c r="O531">
        <v>5</v>
      </c>
      <c r="P531">
        <v>232</v>
      </c>
      <c r="Q531" s="3">
        <v>2.5</v>
      </c>
      <c r="R531">
        <v>0</v>
      </c>
      <c r="S531">
        <v>0</v>
      </c>
      <c r="U531">
        <v>-14.110869565217399</v>
      </c>
      <c r="V531">
        <v>-0.75</v>
      </c>
      <c r="W531">
        <v>-0.76086956521739102</v>
      </c>
      <c r="X531">
        <v>-13.6</v>
      </c>
      <c r="Y531">
        <v>0</v>
      </c>
      <c r="Z531">
        <v>1</v>
      </c>
      <c r="AA531">
        <v>0</v>
      </c>
    </row>
    <row r="532" spans="3:27" x14ac:dyDescent="0.2">
      <c r="C532" t="s">
        <v>25</v>
      </c>
      <c r="D532" t="s">
        <v>563</v>
      </c>
      <c r="E532">
        <v>240</v>
      </c>
      <c r="F532">
        <v>50</v>
      </c>
      <c r="G532">
        <v>6</v>
      </c>
      <c r="H532">
        <v>3.5</v>
      </c>
      <c r="I532">
        <v>0</v>
      </c>
      <c r="J532">
        <v>20</v>
      </c>
      <c r="K532">
        <v>85</v>
      </c>
      <c r="L532">
        <v>42</v>
      </c>
      <c r="M532">
        <v>0</v>
      </c>
      <c r="N532">
        <v>42</v>
      </c>
      <c r="O532">
        <v>6</v>
      </c>
      <c r="P532">
        <v>279.5</v>
      </c>
      <c r="Q532" s="3">
        <v>2.5</v>
      </c>
      <c r="R532">
        <v>0</v>
      </c>
      <c r="S532">
        <v>0</v>
      </c>
      <c r="U532">
        <v>-17.398913043478299</v>
      </c>
      <c r="V532">
        <v>-0.875</v>
      </c>
      <c r="W532">
        <v>-0.92391304347826098</v>
      </c>
      <c r="X532">
        <v>-16.8</v>
      </c>
      <c r="Y532">
        <v>0</v>
      </c>
      <c r="Z532">
        <v>1.2</v>
      </c>
      <c r="AA532">
        <v>0</v>
      </c>
    </row>
    <row r="533" spans="3:27" x14ac:dyDescent="0.2">
      <c r="C533" t="s">
        <v>25</v>
      </c>
      <c r="D533" t="s">
        <v>564</v>
      </c>
      <c r="E533">
        <v>400</v>
      </c>
      <c r="F533">
        <v>130</v>
      </c>
      <c r="G533">
        <v>14</v>
      </c>
      <c r="H533">
        <v>8</v>
      </c>
      <c r="I533">
        <v>0.5</v>
      </c>
      <c r="J533">
        <v>30</v>
      </c>
      <c r="K533">
        <v>190</v>
      </c>
      <c r="L533">
        <v>58</v>
      </c>
      <c r="M533">
        <v>0</v>
      </c>
      <c r="N533">
        <v>49</v>
      </c>
      <c r="O533">
        <v>10</v>
      </c>
      <c r="P533">
        <v>447</v>
      </c>
      <c r="Q533" s="3">
        <v>2.5</v>
      </c>
      <c r="R533">
        <v>0</v>
      </c>
      <c r="S533">
        <v>0</v>
      </c>
      <c r="U533">
        <v>-21.665717391304302</v>
      </c>
      <c r="V533">
        <v>-2</v>
      </c>
      <c r="W533">
        <v>-2.0652173913043499</v>
      </c>
      <c r="X533">
        <v>-19.600000000000001</v>
      </c>
      <c r="Y533">
        <v>-5.0000000000000001E-4</v>
      </c>
      <c r="Z533">
        <v>2</v>
      </c>
      <c r="AA533">
        <v>0</v>
      </c>
    </row>
    <row r="534" spans="3:27" x14ac:dyDescent="0.2">
      <c r="C534" t="s">
        <v>25</v>
      </c>
      <c r="D534" t="s">
        <v>565</v>
      </c>
      <c r="E534">
        <v>240</v>
      </c>
      <c r="F534">
        <v>100</v>
      </c>
      <c r="G534">
        <v>12</v>
      </c>
      <c r="H534">
        <v>7</v>
      </c>
      <c r="I534">
        <v>0</v>
      </c>
      <c r="J534">
        <v>25</v>
      </c>
      <c r="K534">
        <v>130</v>
      </c>
      <c r="L534">
        <v>29</v>
      </c>
      <c r="M534">
        <v>0</v>
      </c>
      <c r="N534">
        <v>26</v>
      </c>
      <c r="O534">
        <v>6</v>
      </c>
      <c r="P534">
        <v>267</v>
      </c>
      <c r="Q534" s="3">
        <v>2.5</v>
      </c>
      <c r="R534">
        <v>0</v>
      </c>
      <c r="S534">
        <v>0</v>
      </c>
      <c r="U534">
        <v>-12.3630434782609</v>
      </c>
      <c r="V534">
        <v>-1.75</v>
      </c>
      <c r="W534">
        <v>-1.4130434782608701</v>
      </c>
      <c r="X534">
        <v>-10.4</v>
      </c>
      <c r="Y534">
        <v>0</v>
      </c>
      <c r="Z534">
        <v>1.2</v>
      </c>
      <c r="AA534">
        <v>0</v>
      </c>
    </row>
    <row r="535" spans="3:27" x14ac:dyDescent="0.2">
      <c r="C535" t="s">
        <v>25</v>
      </c>
      <c r="D535" t="s">
        <v>566</v>
      </c>
      <c r="E535">
        <v>330</v>
      </c>
      <c r="F535">
        <v>90</v>
      </c>
      <c r="G535">
        <v>10</v>
      </c>
      <c r="H535">
        <v>7</v>
      </c>
      <c r="I535">
        <v>0</v>
      </c>
      <c r="J535">
        <v>25</v>
      </c>
      <c r="K535">
        <v>180</v>
      </c>
      <c r="L535">
        <v>54</v>
      </c>
      <c r="M535">
        <v>2</v>
      </c>
      <c r="N535">
        <v>48</v>
      </c>
      <c r="O535">
        <v>8</v>
      </c>
      <c r="P535">
        <v>377</v>
      </c>
      <c r="Q535" s="3">
        <v>2.4242424242424199</v>
      </c>
      <c r="R535">
        <v>0</v>
      </c>
      <c r="S535">
        <v>0</v>
      </c>
      <c r="U535">
        <v>-20.592236024844699</v>
      </c>
      <c r="V535">
        <v>-1.75</v>
      </c>
      <c r="W535">
        <v>-1.9565217391304399</v>
      </c>
      <c r="X535">
        <v>-19.2</v>
      </c>
      <c r="Y535">
        <v>0</v>
      </c>
      <c r="Z535">
        <v>1.6</v>
      </c>
      <c r="AA535">
        <v>0.71428571428571397</v>
      </c>
    </row>
    <row r="536" spans="3:27" x14ac:dyDescent="0.2">
      <c r="C536" t="s">
        <v>25</v>
      </c>
      <c r="D536" t="s">
        <v>567</v>
      </c>
      <c r="E536">
        <v>290</v>
      </c>
      <c r="F536">
        <v>70</v>
      </c>
      <c r="G536">
        <v>8</v>
      </c>
      <c r="H536">
        <v>4.5</v>
      </c>
      <c r="I536">
        <v>0</v>
      </c>
      <c r="J536">
        <v>25</v>
      </c>
      <c r="K536">
        <v>105</v>
      </c>
      <c r="L536">
        <v>51</v>
      </c>
      <c r="M536">
        <v>0</v>
      </c>
      <c r="N536">
        <v>51</v>
      </c>
      <c r="O536">
        <v>7</v>
      </c>
      <c r="P536">
        <v>338.5</v>
      </c>
      <c r="Q536" s="3">
        <v>2.4137931034482798</v>
      </c>
      <c r="R536">
        <v>0</v>
      </c>
      <c r="S536">
        <v>0</v>
      </c>
      <c r="U536">
        <v>-21.2663043478261</v>
      </c>
      <c r="V536">
        <v>-1.125</v>
      </c>
      <c r="W536">
        <v>-1.14130434782609</v>
      </c>
      <c r="X536">
        <v>-20.399999999999999</v>
      </c>
      <c r="Y536">
        <v>0</v>
      </c>
      <c r="Z536">
        <v>1.4</v>
      </c>
      <c r="AA536">
        <v>0</v>
      </c>
    </row>
    <row r="537" spans="3:27" x14ac:dyDescent="0.2">
      <c r="C537" t="s">
        <v>25</v>
      </c>
      <c r="D537" t="s">
        <v>568</v>
      </c>
      <c r="E537">
        <v>290</v>
      </c>
      <c r="F537">
        <v>70</v>
      </c>
      <c r="G537">
        <v>8</v>
      </c>
      <c r="H537">
        <v>4.5</v>
      </c>
      <c r="I537">
        <v>0</v>
      </c>
      <c r="J537">
        <v>25</v>
      </c>
      <c r="K537">
        <v>105</v>
      </c>
      <c r="L537">
        <v>51</v>
      </c>
      <c r="M537">
        <v>0</v>
      </c>
      <c r="N537">
        <v>51</v>
      </c>
      <c r="O537">
        <v>7</v>
      </c>
      <c r="P537">
        <v>338.5</v>
      </c>
      <c r="Q537" s="3">
        <v>2.4137931034482798</v>
      </c>
      <c r="R537">
        <v>0</v>
      </c>
      <c r="S537">
        <v>0</v>
      </c>
      <c r="U537">
        <v>-21.2663043478261</v>
      </c>
      <c r="V537">
        <v>-1.125</v>
      </c>
      <c r="W537">
        <v>-1.14130434782609</v>
      </c>
      <c r="X537">
        <v>-20.399999999999999</v>
      </c>
      <c r="Y537">
        <v>0</v>
      </c>
      <c r="Z537">
        <v>1.4</v>
      </c>
      <c r="AA537">
        <v>0</v>
      </c>
    </row>
    <row r="538" spans="3:27" x14ac:dyDescent="0.2">
      <c r="C538" t="s">
        <v>25</v>
      </c>
      <c r="D538" t="s">
        <v>571</v>
      </c>
      <c r="E538">
        <v>420</v>
      </c>
      <c r="F538">
        <v>90</v>
      </c>
      <c r="G538">
        <v>10</v>
      </c>
      <c r="H538">
        <v>6</v>
      </c>
      <c r="I538">
        <v>0.5</v>
      </c>
      <c r="J538">
        <v>40</v>
      </c>
      <c r="K538">
        <v>130</v>
      </c>
      <c r="L538">
        <v>73</v>
      </c>
      <c r="M538">
        <v>0</v>
      </c>
      <c r="N538">
        <v>63</v>
      </c>
      <c r="O538">
        <v>10</v>
      </c>
      <c r="P538">
        <v>479</v>
      </c>
      <c r="Q538" s="3">
        <v>2.38095238095238</v>
      </c>
      <c r="R538">
        <v>0</v>
      </c>
      <c r="S538">
        <v>0</v>
      </c>
      <c r="U538">
        <v>-26.113543478260901</v>
      </c>
      <c r="V538">
        <v>-1.5</v>
      </c>
      <c r="W538">
        <v>-1.4130434782608701</v>
      </c>
      <c r="X538">
        <v>-25.2</v>
      </c>
      <c r="Y538">
        <v>-5.0000000000000001E-4</v>
      </c>
      <c r="Z538">
        <v>2</v>
      </c>
      <c r="AA538">
        <v>0</v>
      </c>
    </row>
    <row r="539" spans="3:27" x14ac:dyDescent="0.2">
      <c r="C539" t="s">
        <v>25</v>
      </c>
      <c r="D539" t="s">
        <v>574</v>
      </c>
      <c r="E539">
        <v>550</v>
      </c>
      <c r="F539">
        <v>120</v>
      </c>
      <c r="G539">
        <v>13</v>
      </c>
      <c r="H539">
        <v>8</v>
      </c>
      <c r="I539">
        <v>1</v>
      </c>
      <c r="J539">
        <v>50</v>
      </c>
      <c r="K539">
        <v>190</v>
      </c>
      <c r="L539">
        <v>96</v>
      </c>
      <c r="M539">
        <v>0</v>
      </c>
      <c r="N539">
        <v>72</v>
      </c>
      <c r="O539">
        <v>13</v>
      </c>
      <c r="P539">
        <v>617</v>
      </c>
      <c r="Q539" s="3">
        <v>2.3636363636363602</v>
      </c>
      <c r="R539">
        <v>0</v>
      </c>
      <c r="S539">
        <v>0</v>
      </c>
      <c r="U539">
        <v>-30.266217391304298</v>
      </c>
      <c r="V539">
        <v>-2</v>
      </c>
      <c r="W539">
        <v>-2.0652173913043499</v>
      </c>
      <c r="X539">
        <v>-28.8</v>
      </c>
      <c r="Y539">
        <v>-1E-3</v>
      </c>
      <c r="Z539">
        <v>2.6</v>
      </c>
      <c r="AA539">
        <v>0</v>
      </c>
    </row>
    <row r="540" spans="3:27" x14ac:dyDescent="0.2">
      <c r="C540" t="s">
        <v>25</v>
      </c>
      <c r="D540" t="s">
        <v>575</v>
      </c>
      <c r="E540">
        <v>340</v>
      </c>
      <c r="F540">
        <v>100</v>
      </c>
      <c r="G540">
        <v>12</v>
      </c>
      <c r="H540">
        <v>6</v>
      </c>
      <c r="I540">
        <v>0</v>
      </c>
      <c r="J540">
        <v>30</v>
      </c>
      <c r="K540">
        <v>200</v>
      </c>
      <c r="L540">
        <v>53</v>
      </c>
      <c r="M540">
        <v>2</v>
      </c>
      <c r="N540">
        <v>43</v>
      </c>
      <c r="O540">
        <v>8</v>
      </c>
      <c r="P540">
        <v>381</v>
      </c>
      <c r="Q540" s="3">
        <v>2.3529411764705901</v>
      </c>
      <c r="R540">
        <v>0</v>
      </c>
      <c r="S540">
        <v>0</v>
      </c>
      <c r="U540">
        <v>-18.559627329192502</v>
      </c>
      <c r="V540">
        <v>-1.5</v>
      </c>
      <c r="W540">
        <v>-2.1739130434782599</v>
      </c>
      <c r="X540">
        <v>-17.2</v>
      </c>
      <c r="Y540">
        <v>0</v>
      </c>
      <c r="Z540">
        <v>1.6</v>
      </c>
      <c r="AA540">
        <v>0.71428571428571397</v>
      </c>
    </row>
    <row r="541" spans="3:27" x14ac:dyDescent="0.2">
      <c r="C541" t="s">
        <v>25</v>
      </c>
      <c r="D541" t="s">
        <v>580</v>
      </c>
      <c r="E541">
        <v>770</v>
      </c>
      <c r="F541">
        <v>160</v>
      </c>
      <c r="G541">
        <v>18</v>
      </c>
      <c r="H541">
        <v>11</v>
      </c>
      <c r="I541">
        <v>1</v>
      </c>
      <c r="J541">
        <v>70</v>
      </c>
      <c r="K541">
        <v>330</v>
      </c>
      <c r="L541">
        <v>134</v>
      </c>
      <c r="M541">
        <v>1</v>
      </c>
      <c r="N541">
        <v>111</v>
      </c>
      <c r="O541">
        <v>18</v>
      </c>
      <c r="P541">
        <v>874</v>
      </c>
      <c r="Q541" s="3">
        <v>2.3376623376623402</v>
      </c>
      <c r="R541">
        <v>0</v>
      </c>
      <c r="S541">
        <v>0</v>
      </c>
      <c r="U541">
        <v>-46.780813664596302</v>
      </c>
      <c r="V541">
        <v>-2.75</v>
      </c>
      <c r="W541">
        <v>-3.5869565217391299</v>
      </c>
      <c r="X541">
        <v>-44.4</v>
      </c>
      <c r="Y541">
        <v>-1E-3</v>
      </c>
      <c r="Z541">
        <v>3.6</v>
      </c>
      <c r="AA541">
        <v>0.35714285714285698</v>
      </c>
    </row>
    <row r="542" spans="3:27" x14ac:dyDescent="0.2">
      <c r="C542" t="s">
        <v>25</v>
      </c>
      <c r="D542" t="s">
        <v>583</v>
      </c>
      <c r="E542">
        <v>1160</v>
      </c>
      <c r="F542">
        <v>240</v>
      </c>
      <c r="G542">
        <v>27</v>
      </c>
      <c r="H542">
        <v>16</v>
      </c>
      <c r="I542">
        <v>2</v>
      </c>
      <c r="J542">
        <v>100</v>
      </c>
      <c r="K542">
        <v>510</v>
      </c>
      <c r="L542">
        <v>203</v>
      </c>
      <c r="M542">
        <v>2</v>
      </c>
      <c r="N542">
        <v>168</v>
      </c>
      <c r="O542">
        <v>27</v>
      </c>
      <c r="P542">
        <v>1317</v>
      </c>
      <c r="Q542" s="3">
        <v>2.3275862068965498</v>
      </c>
      <c r="R542">
        <v>1</v>
      </c>
      <c r="S542">
        <v>0</v>
      </c>
      <c r="U542">
        <v>-70.631192546583804</v>
      </c>
      <c r="V542">
        <v>-4</v>
      </c>
      <c r="W542">
        <v>-5.5434782608695699</v>
      </c>
      <c r="X542">
        <v>-67.2</v>
      </c>
      <c r="Y542">
        <v>-2E-3</v>
      </c>
      <c r="Z542">
        <v>5.4</v>
      </c>
      <c r="AA542">
        <v>0.71428571428571397</v>
      </c>
    </row>
    <row r="543" spans="3:27" x14ac:dyDescent="0.2">
      <c r="C543" t="s">
        <v>25</v>
      </c>
      <c r="D543" t="s">
        <v>584</v>
      </c>
      <c r="E543">
        <v>560</v>
      </c>
      <c r="F543">
        <v>120</v>
      </c>
      <c r="G543">
        <v>13</v>
      </c>
      <c r="H543">
        <v>8</v>
      </c>
      <c r="I543">
        <v>1</v>
      </c>
      <c r="J543">
        <v>50</v>
      </c>
      <c r="K543">
        <v>170</v>
      </c>
      <c r="L543">
        <v>97</v>
      </c>
      <c r="M543">
        <v>0</v>
      </c>
      <c r="N543">
        <v>84</v>
      </c>
      <c r="O543">
        <v>13</v>
      </c>
      <c r="P543">
        <v>639</v>
      </c>
      <c r="Q543" s="3">
        <v>2.3214285714285698</v>
      </c>
      <c r="R543">
        <v>0</v>
      </c>
      <c r="S543">
        <v>0</v>
      </c>
      <c r="U543">
        <v>-34.8488260869565</v>
      </c>
      <c r="V543">
        <v>-2</v>
      </c>
      <c r="W543">
        <v>-1.84782608695652</v>
      </c>
      <c r="X543">
        <v>-33.6</v>
      </c>
      <c r="Y543">
        <v>-1E-3</v>
      </c>
      <c r="Z543">
        <v>2.6</v>
      </c>
      <c r="AA543">
        <v>0</v>
      </c>
    </row>
    <row r="544" spans="3:27" x14ac:dyDescent="0.2">
      <c r="C544" t="s">
        <v>25</v>
      </c>
      <c r="D544" t="s">
        <v>586</v>
      </c>
      <c r="E544">
        <v>740</v>
      </c>
      <c r="F544">
        <v>160</v>
      </c>
      <c r="G544">
        <v>18</v>
      </c>
      <c r="H544">
        <v>11</v>
      </c>
      <c r="I544">
        <v>1</v>
      </c>
      <c r="J544">
        <v>70</v>
      </c>
      <c r="K544">
        <v>230</v>
      </c>
      <c r="L544">
        <v>128</v>
      </c>
      <c r="M544">
        <v>0</v>
      </c>
      <c r="N544">
        <v>111</v>
      </c>
      <c r="O544">
        <v>17</v>
      </c>
      <c r="P544">
        <v>845</v>
      </c>
      <c r="Q544" s="3">
        <v>2.2972972972973</v>
      </c>
      <c r="R544">
        <v>0</v>
      </c>
      <c r="S544">
        <v>0</v>
      </c>
      <c r="U544">
        <v>-46.250999999999998</v>
      </c>
      <c r="V544">
        <v>-2.75</v>
      </c>
      <c r="W544">
        <v>-2.5</v>
      </c>
      <c r="X544">
        <v>-44.4</v>
      </c>
      <c r="Y544">
        <v>-1E-3</v>
      </c>
      <c r="Z544">
        <v>3.4</v>
      </c>
      <c r="AA544">
        <v>0</v>
      </c>
    </row>
    <row r="545" spans="3:27" x14ac:dyDescent="0.2">
      <c r="C545" t="s">
        <v>25</v>
      </c>
      <c r="D545" t="s">
        <v>587</v>
      </c>
      <c r="E545">
        <v>740</v>
      </c>
      <c r="F545">
        <v>160</v>
      </c>
      <c r="G545">
        <v>18</v>
      </c>
      <c r="H545">
        <v>11</v>
      </c>
      <c r="I545">
        <v>1</v>
      </c>
      <c r="J545">
        <v>70</v>
      </c>
      <c r="K545">
        <v>250</v>
      </c>
      <c r="L545">
        <v>128</v>
      </c>
      <c r="M545">
        <v>0</v>
      </c>
      <c r="N545">
        <v>96</v>
      </c>
      <c r="O545">
        <v>17</v>
      </c>
      <c r="P545">
        <v>830</v>
      </c>
      <c r="Q545" s="3">
        <v>2.2972972972973</v>
      </c>
      <c r="R545">
        <v>0</v>
      </c>
      <c r="S545">
        <v>0</v>
      </c>
      <c r="U545">
        <v>-40.468391304347797</v>
      </c>
      <c r="V545">
        <v>-2.75</v>
      </c>
      <c r="W545">
        <v>-2.7173913043478302</v>
      </c>
      <c r="X545">
        <v>-38.4</v>
      </c>
      <c r="Y545">
        <v>-1E-3</v>
      </c>
      <c r="Z545">
        <v>3.4</v>
      </c>
      <c r="AA545">
        <v>0</v>
      </c>
    </row>
    <row r="546" spans="3:27" x14ac:dyDescent="0.2">
      <c r="C546" t="s">
        <v>25</v>
      </c>
      <c r="D546" t="s">
        <v>590</v>
      </c>
      <c r="E546">
        <v>480</v>
      </c>
      <c r="F546">
        <v>280</v>
      </c>
      <c r="G546">
        <v>31</v>
      </c>
      <c r="H546">
        <v>13</v>
      </c>
      <c r="I546">
        <v>0</v>
      </c>
      <c r="J546">
        <v>30</v>
      </c>
      <c r="K546">
        <v>1190</v>
      </c>
      <c r="L546">
        <v>39</v>
      </c>
      <c r="M546">
        <v>3</v>
      </c>
      <c r="N546">
        <v>3</v>
      </c>
      <c r="O546">
        <v>11</v>
      </c>
      <c r="P546">
        <v>485</v>
      </c>
      <c r="Q546" s="3">
        <v>2.2916666666666701</v>
      </c>
      <c r="R546">
        <v>1</v>
      </c>
      <c r="S546">
        <v>0</v>
      </c>
      <c r="U546">
        <v>-14.113354037267101</v>
      </c>
      <c r="V546">
        <v>-3.25</v>
      </c>
      <c r="W546">
        <v>-12.9347826086957</v>
      </c>
      <c r="X546">
        <v>-1.2</v>
      </c>
      <c r="Y546">
        <v>0</v>
      </c>
      <c r="Z546">
        <v>2.2000000000000002</v>
      </c>
      <c r="AA546">
        <v>1.0714285714285701</v>
      </c>
    </row>
    <row r="547" spans="3:27" x14ac:dyDescent="0.2">
      <c r="C547" t="s">
        <v>25</v>
      </c>
      <c r="D547" t="s">
        <v>591</v>
      </c>
      <c r="E547">
        <v>350</v>
      </c>
      <c r="F547">
        <v>80</v>
      </c>
      <c r="G547">
        <v>9</v>
      </c>
      <c r="H547">
        <v>2</v>
      </c>
      <c r="I547">
        <v>0</v>
      </c>
      <c r="J547">
        <v>20</v>
      </c>
      <c r="K547">
        <v>590</v>
      </c>
      <c r="L547">
        <v>60</v>
      </c>
      <c r="M547">
        <v>3</v>
      </c>
      <c r="N547">
        <v>14</v>
      </c>
      <c r="O547">
        <v>8</v>
      </c>
      <c r="P547">
        <v>358</v>
      </c>
      <c r="Q547" s="3">
        <v>2.28571428571429</v>
      </c>
      <c r="R547">
        <v>1</v>
      </c>
      <c r="S547">
        <v>0</v>
      </c>
      <c r="U547">
        <v>-9.8416149068322998</v>
      </c>
      <c r="V547">
        <v>-0.5</v>
      </c>
      <c r="W547">
        <v>-6.4130434782608701</v>
      </c>
      <c r="X547">
        <v>-5.6</v>
      </c>
      <c r="Y547">
        <v>0</v>
      </c>
      <c r="Z547">
        <v>1.6</v>
      </c>
      <c r="AA547">
        <v>1.0714285714285701</v>
      </c>
    </row>
    <row r="548" spans="3:27" x14ac:dyDescent="0.2">
      <c r="C548" t="s">
        <v>25</v>
      </c>
      <c r="D548" t="s">
        <v>592</v>
      </c>
      <c r="E548">
        <v>440</v>
      </c>
      <c r="F548">
        <v>90</v>
      </c>
      <c r="G548">
        <v>10</v>
      </c>
      <c r="H548">
        <v>6</v>
      </c>
      <c r="I548">
        <v>0.5</v>
      </c>
      <c r="J548">
        <v>40</v>
      </c>
      <c r="K548">
        <v>190</v>
      </c>
      <c r="L548">
        <v>76</v>
      </c>
      <c r="M548">
        <v>1</v>
      </c>
      <c r="N548">
        <v>63</v>
      </c>
      <c r="O548">
        <v>10</v>
      </c>
      <c r="P548">
        <v>499</v>
      </c>
      <c r="Q548" s="3">
        <v>2.2727272727272698</v>
      </c>
      <c r="R548">
        <v>0</v>
      </c>
      <c r="S548">
        <v>0</v>
      </c>
      <c r="U548">
        <v>-26.408574534161499</v>
      </c>
      <c r="V548">
        <v>-1.5</v>
      </c>
      <c r="W548">
        <v>-2.0652173913043499</v>
      </c>
      <c r="X548">
        <v>-25.2</v>
      </c>
      <c r="Y548">
        <v>-5.0000000000000001E-4</v>
      </c>
      <c r="Z548">
        <v>2</v>
      </c>
      <c r="AA548">
        <v>0.35714285714285698</v>
      </c>
    </row>
    <row r="549" spans="3:27" x14ac:dyDescent="0.2">
      <c r="C549" t="s">
        <v>25</v>
      </c>
      <c r="D549" t="s">
        <v>593</v>
      </c>
      <c r="E549">
        <v>310</v>
      </c>
      <c r="F549">
        <v>120</v>
      </c>
      <c r="G549">
        <v>13</v>
      </c>
      <c r="H549">
        <v>8</v>
      </c>
      <c r="I549">
        <v>0</v>
      </c>
      <c r="J549">
        <v>25</v>
      </c>
      <c r="K549">
        <v>140</v>
      </c>
      <c r="L549">
        <v>42</v>
      </c>
      <c r="M549">
        <v>0</v>
      </c>
      <c r="N549">
        <v>35</v>
      </c>
      <c r="O549">
        <v>7</v>
      </c>
      <c r="P549">
        <v>346</v>
      </c>
      <c r="Q549" s="3">
        <v>2.2580645161290298</v>
      </c>
      <c r="R549">
        <v>0</v>
      </c>
      <c r="S549">
        <v>0</v>
      </c>
      <c r="U549">
        <v>-16.121739130434801</v>
      </c>
      <c r="V549">
        <v>-2</v>
      </c>
      <c r="W549">
        <v>-1.52173913043478</v>
      </c>
      <c r="X549">
        <v>-14</v>
      </c>
      <c r="Y549">
        <v>0</v>
      </c>
      <c r="Z549">
        <v>1.4</v>
      </c>
      <c r="AA549">
        <v>0</v>
      </c>
    </row>
    <row r="550" spans="3:27" x14ac:dyDescent="0.2">
      <c r="C550" t="s">
        <v>25</v>
      </c>
      <c r="D550" t="s">
        <v>594</v>
      </c>
      <c r="E550">
        <v>1110</v>
      </c>
      <c r="F550">
        <v>240</v>
      </c>
      <c r="G550">
        <v>26</v>
      </c>
      <c r="H550">
        <v>16</v>
      </c>
      <c r="I550">
        <v>2</v>
      </c>
      <c r="J550">
        <v>100</v>
      </c>
      <c r="K550">
        <v>350</v>
      </c>
      <c r="L550">
        <v>194</v>
      </c>
      <c r="M550">
        <v>0</v>
      </c>
      <c r="N550">
        <v>168</v>
      </c>
      <c r="O550">
        <v>25</v>
      </c>
      <c r="P550">
        <v>1269</v>
      </c>
      <c r="Q550" s="3">
        <v>2.2522522522522501</v>
      </c>
      <c r="R550">
        <v>0</v>
      </c>
      <c r="S550">
        <v>0</v>
      </c>
      <c r="U550">
        <v>-70.006347826086994</v>
      </c>
      <c r="V550">
        <v>-4</v>
      </c>
      <c r="W550">
        <v>-3.8043478260869601</v>
      </c>
      <c r="X550">
        <v>-67.2</v>
      </c>
      <c r="Y550">
        <v>-2E-3</v>
      </c>
      <c r="Z550">
        <v>5</v>
      </c>
      <c r="AA550">
        <v>0</v>
      </c>
    </row>
    <row r="551" spans="3:27" x14ac:dyDescent="0.2">
      <c r="C551" t="s">
        <v>25</v>
      </c>
      <c r="D551" t="s">
        <v>595</v>
      </c>
      <c r="E551">
        <v>1110</v>
      </c>
      <c r="F551">
        <v>240</v>
      </c>
      <c r="G551">
        <v>26</v>
      </c>
      <c r="H551">
        <v>16</v>
      </c>
      <c r="I551">
        <v>2</v>
      </c>
      <c r="J551">
        <v>100</v>
      </c>
      <c r="K551">
        <v>370</v>
      </c>
      <c r="L551">
        <v>193</v>
      </c>
      <c r="M551">
        <v>0</v>
      </c>
      <c r="N551">
        <v>145</v>
      </c>
      <c r="O551">
        <v>25</v>
      </c>
      <c r="P551">
        <v>1246</v>
      </c>
      <c r="Q551" s="3">
        <v>2.2522522522522501</v>
      </c>
      <c r="R551">
        <v>0</v>
      </c>
      <c r="S551">
        <v>0</v>
      </c>
      <c r="U551">
        <v>-61.023739130434798</v>
      </c>
      <c r="V551">
        <v>-4</v>
      </c>
      <c r="W551">
        <v>-4.0217391304347796</v>
      </c>
      <c r="X551">
        <v>-58</v>
      </c>
      <c r="Y551">
        <v>-2E-3</v>
      </c>
      <c r="Z551">
        <v>5</v>
      </c>
      <c r="AA551">
        <v>0</v>
      </c>
    </row>
    <row r="552" spans="3:27" x14ac:dyDescent="0.2">
      <c r="C552" t="s">
        <v>25</v>
      </c>
      <c r="D552" t="s">
        <v>598</v>
      </c>
      <c r="E552">
        <v>580</v>
      </c>
      <c r="F552">
        <v>170</v>
      </c>
      <c r="G552">
        <v>19</v>
      </c>
      <c r="H552">
        <v>10</v>
      </c>
      <c r="I552">
        <v>1</v>
      </c>
      <c r="J552">
        <v>50</v>
      </c>
      <c r="K552">
        <v>320</v>
      </c>
      <c r="L552">
        <v>89</v>
      </c>
      <c r="M552">
        <v>3</v>
      </c>
      <c r="N552">
        <v>73</v>
      </c>
      <c r="O552">
        <v>13</v>
      </c>
      <c r="P552">
        <v>650</v>
      </c>
      <c r="Q552" s="3">
        <v>2.2413793103448301</v>
      </c>
      <c r="R552">
        <v>0</v>
      </c>
      <c r="S552">
        <v>0</v>
      </c>
      <c r="U552">
        <v>-31.507832298136599</v>
      </c>
      <c r="V552">
        <v>-2.5</v>
      </c>
      <c r="W552">
        <v>-3.47826086956522</v>
      </c>
      <c r="X552">
        <v>-29.2</v>
      </c>
      <c r="Y552">
        <v>-1E-3</v>
      </c>
      <c r="Z552">
        <v>2.6</v>
      </c>
      <c r="AA552">
        <v>1.0714285714285701</v>
      </c>
    </row>
    <row r="553" spans="3:27" x14ac:dyDescent="0.2">
      <c r="C553" t="s">
        <v>25</v>
      </c>
      <c r="D553" t="s">
        <v>599</v>
      </c>
      <c r="E553">
        <v>580</v>
      </c>
      <c r="F553">
        <v>120</v>
      </c>
      <c r="G553">
        <v>14</v>
      </c>
      <c r="H553">
        <v>8</v>
      </c>
      <c r="I553">
        <v>1</v>
      </c>
      <c r="J553">
        <v>50</v>
      </c>
      <c r="K553">
        <v>250</v>
      </c>
      <c r="L553">
        <v>102</v>
      </c>
      <c r="M553">
        <v>1</v>
      </c>
      <c r="N553">
        <v>84</v>
      </c>
      <c r="O553">
        <v>13</v>
      </c>
      <c r="P553">
        <v>659</v>
      </c>
      <c r="Q553" s="3">
        <v>2.2413793103448301</v>
      </c>
      <c r="R553">
        <v>0</v>
      </c>
      <c r="S553">
        <v>0</v>
      </c>
      <c r="U553">
        <v>-35.361248447205</v>
      </c>
      <c r="V553">
        <v>-2</v>
      </c>
      <c r="W553">
        <v>-2.7173913043478302</v>
      </c>
      <c r="X553">
        <v>-33.6</v>
      </c>
      <c r="Y553">
        <v>-1E-3</v>
      </c>
      <c r="Z553">
        <v>2.6</v>
      </c>
      <c r="AA553">
        <v>0.35714285714285698</v>
      </c>
    </row>
    <row r="554" spans="3:27" x14ac:dyDescent="0.2">
      <c r="C554" t="s">
        <v>25</v>
      </c>
      <c r="D554" t="s">
        <v>600</v>
      </c>
      <c r="E554">
        <v>45</v>
      </c>
      <c r="F554">
        <v>10</v>
      </c>
      <c r="G554">
        <v>1</v>
      </c>
      <c r="H554">
        <v>0.5</v>
      </c>
      <c r="I554">
        <v>0</v>
      </c>
      <c r="J554">
        <v>5</v>
      </c>
      <c r="K554">
        <v>20</v>
      </c>
      <c r="L554">
        <v>8</v>
      </c>
      <c r="M554">
        <v>0</v>
      </c>
      <c r="N554">
        <v>6</v>
      </c>
      <c r="O554">
        <v>1</v>
      </c>
      <c r="P554">
        <v>50.5</v>
      </c>
      <c r="Q554" s="3">
        <v>2.2222222222222201</v>
      </c>
      <c r="R554">
        <v>0</v>
      </c>
      <c r="S554">
        <v>0</v>
      </c>
      <c r="U554">
        <v>-2.5423913043478299</v>
      </c>
      <c r="V554">
        <v>-0.125</v>
      </c>
      <c r="W554">
        <v>-0.217391304347826</v>
      </c>
      <c r="X554">
        <v>-2.4</v>
      </c>
      <c r="Y554">
        <v>0</v>
      </c>
      <c r="Z554">
        <v>0.2</v>
      </c>
      <c r="AA554">
        <v>0</v>
      </c>
    </row>
    <row r="555" spans="3:27" x14ac:dyDescent="0.2">
      <c r="C555" t="s">
        <v>25</v>
      </c>
      <c r="D555" t="s">
        <v>601</v>
      </c>
      <c r="E555">
        <v>90</v>
      </c>
      <c r="F555">
        <v>70</v>
      </c>
      <c r="G555">
        <v>8</v>
      </c>
      <c r="H555">
        <v>5</v>
      </c>
      <c r="I555">
        <v>0</v>
      </c>
      <c r="J555">
        <v>30</v>
      </c>
      <c r="K555">
        <v>100</v>
      </c>
      <c r="L555">
        <v>11</v>
      </c>
      <c r="M555">
        <v>0</v>
      </c>
      <c r="N555">
        <v>2</v>
      </c>
      <c r="O555">
        <v>2</v>
      </c>
      <c r="P555">
        <v>95</v>
      </c>
      <c r="Q555" s="3">
        <v>2.2222222222222201</v>
      </c>
      <c r="R555">
        <v>0</v>
      </c>
      <c r="S555">
        <v>0</v>
      </c>
      <c r="U555">
        <v>-2.7369565217391298</v>
      </c>
      <c r="V555">
        <v>-1.25</v>
      </c>
      <c r="W555">
        <v>-1.0869565217391299</v>
      </c>
      <c r="X555">
        <v>-0.8</v>
      </c>
      <c r="Y555">
        <v>0</v>
      </c>
      <c r="Z555">
        <v>0.4</v>
      </c>
      <c r="AA555">
        <v>0</v>
      </c>
    </row>
    <row r="556" spans="3:27" x14ac:dyDescent="0.2">
      <c r="C556" t="s">
        <v>25</v>
      </c>
      <c r="D556" t="s">
        <v>602</v>
      </c>
      <c r="E556">
        <v>180</v>
      </c>
      <c r="F556">
        <v>40</v>
      </c>
      <c r="G556">
        <v>4.5</v>
      </c>
      <c r="H556">
        <v>2.5</v>
      </c>
      <c r="I556">
        <v>0</v>
      </c>
      <c r="J556">
        <v>15</v>
      </c>
      <c r="K556">
        <v>120</v>
      </c>
      <c r="L556">
        <v>31</v>
      </c>
      <c r="M556">
        <v>0</v>
      </c>
      <c r="N556">
        <v>31</v>
      </c>
      <c r="O556">
        <v>4</v>
      </c>
      <c r="P556">
        <v>209.5</v>
      </c>
      <c r="Q556" s="3">
        <v>2.2222222222222201</v>
      </c>
      <c r="R556">
        <v>0</v>
      </c>
      <c r="S556">
        <v>0</v>
      </c>
      <c r="U556">
        <v>-13.529347826086999</v>
      </c>
      <c r="V556">
        <v>-0.625</v>
      </c>
      <c r="W556">
        <v>-1.3043478260869601</v>
      </c>
      <c r="X556">
        <v>-12.4</v>
      </c>
      <c r="Y556">
        <v>0</v>
      </c>
      <c r="Z556">
        <v>0.8</v>
      </c>
      <c r="AA556">
        <v>0</v>
      </c>
    </row>
    <row r="557" spans="3:27" x14ac:dyDescent="0.2">
      <c r="C557" t="s">
        <v>25</v>
      </c>
      <c r="D557" t="s">
        <v>603</v>
      </c>
      <c r="E557">
        <v>180</v>
      </c>
      <c r="F557">
        <v>40</v>
      </c>
      <c r="G557">
        <v>4.5</v>
      </c>
      <c r="H557">
        <v>2.5</v>
      </c>
      <c r="I557">
        <v>0</v>
      </c>
      <c r="J557">
        <v>15</v>
      </c>
      <c r="K557">
        <v>65</v>
      </c>
      <c r="L557">
        <v>33</v>
      </c>
      <c r="M557">
        <v>0</v>
      </c>
      <c r="N557">
        <v>33</v>
      </c>
      <c r="O557">
        <v>4</v>
      </c>
      <c r="P557">
        <v>211.5</v>
      </c>
      <c r="Q557" s="3">
        <v>2.2222222222222201</v>
      </c>
      <c r="R557">
        <v>0</v>
      </c>
      <c r="S557">
        <v>0</v>
      </c>
      <c r="U557">
        <v>-13.7315217391304</v>
      </c>
      <c r="V557">
        <v>-0.625</v>
      </c>
      <c r="W557">
        <v>-0.70652173913043503</v>
      </c>
      <c r="X557">
        <v>-13.2</v>
      </c>
      <c r="Y557">
        <v>0</v>
      </c>
      <c r="Z557">
        <v>0.8</v>
      </c>
      <c r="AA557">
        <v>0</v>
      </c>
    </row>
    <row r="558" spans="3:27" x14ac:dyDescent="0.2">
      <c r="C558" t="s">
        <v>25</v>
      </c>
      <c r="D558" t="s">
        <v>610</v>
      </c>
      <c r="E558">
        <v>280</v>
      </c>
      <c r="F558">
        <v>60</v>
      </c>
      <c r="G558">
        <v>6</v>
      </c>
      <c r="H558">
        <v>4</v>
      </c>
      <c r="I558">
        <v>0</v>
      </c>
      <c r="J558">
        <v>25</v>
      </c>
      <c r="K558">
        <v>95</v>
      </c>
      <c r="L558">
        <v>49</v>
      </c>
      <c r="M558">
        <v>1</v>
      </c>
      <c r="N558">
        <v>45</v>
      </c>
      <c r="O558">
        <v>6</v>
      </c>
      <c r="P558">
        <v>323</v>
      </c>
      <c r="Q558" s="3">
        <v>2.1428571428571401</v>
      </c>
      <c r="R558">
        <v>0</v>
      </c>
      <c r="S558">
        <v>0</v>
      </c>
      <c r="U558">
        <v>-18.475465838509301</v>
      </c>
      <c r="V558">
        <v>-1</v>
      </c>
      <c r="W558">
        <v>-1.0326086956521701</v>
      </c>
      <c r="X558">
        <v>-18</v>
      </c>
      <c r="Y558">
        <v>0</v>
      </c>
      <c r="Z558">
        <v>1.2</v>
      </c>
      <c r="AA558">
        <v>0.35714285714285698</v>
      </c>
    </row>
    <row r="559" spans="3:27" x14ac:dyDescent="0.2">
      <c r="C559" t="s">
        <v>25</v>
      </c>
      <c r="D559" t="s">
        <v>611</v>
      </c>
      <c r="E559">
        <v>420</v>
      </c>
      <c r="F559">
        <v>90</v>
      </c>
      <c r="G559">
        <v>10</v>
      </c>
      <c r="H559">
        <v>6</v>
      </c>
      <c r="I559">
        <v>0.5</v>
      </c>
      <c r="J559">
        <v>40</v>
      </c>
      <c r="K559">
        <v>140</v>
      </c>
      <c r="L559">
        <v>72</v>
      </c>
      <c r="M559">
        <v>0</v>
      </c>
      <c r="N559">
        <v>54</v>
      </c>
      <c r="O559">
        <v>9</v>
      </c>
      <c r="P559">
        <v>471</v>
      </c>
      <c r="Q559" s="3">
        <v>2.1428571428571401</v>
      </c>
      <c r="R559">
        <v>0</v>
      </c>
      <c r="S559">
        <v>0</v>
      </c>
      <c r="U559">
        <v>-22.822239130434799</v>
      </c>
      <c r="V559">
        <v>-1.5</v>
      </c>
      <c r="W559">
        <v>-1.52173913043478</v>
      </c>
      <c r="X559">
        <v>-21.6</v>
      </c>
      <c r="Y559">
        <v>-5.0000000000000001E-4</v>
      </c>
      <c r="Z559">
        <v>1.8</v>
      </c>
      <c r="AA559">
        <v>0</v>
      </c>
    </row>
    <row r="560" spans="3:27" x14ac:dyDescent="0.2">
      <c r="C560" t="s">
        <v>25</v>
      </c>
      <c r="D560" t="s">
        <v>612</v>
      </c>
      <c r="E560">
        <v>140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105</v>
      </c>
      <c r="L560">
        <v>30</v>
      </c>
      <c r="M560">
        <v>0</v>
      </c>
      <c r="N560">
        <v>30</v>
      </c>
      <c r="O560">
        <v>3</v>
      </c>
      <c r="P560">
        <v>167</v>
      </c>
      <c r="Q560" s="3">
        <v>2.1428571428571401</v>
      </c>
      <c r="R560">
        <v>0</v>
      </c>
      <c r="S560">
        <v>0</v>
      </c>
      <c r="U560">
        <v>-12.541304347826101</v>
      </c>
      <c r="V560">
        <v>0</v>
      </c>
      <c r="W560">
        <v>-1.14130434782609</v>
      </c>
      <c r="X560">
        <v>-12</v>
      </c>
      <c r="Y560">
        <v>0</v>
      </c>
      <c r="Z560">
        <v>0.6</v>
      </c>
      <c r="AA560">
        <v>0</v>
      </c>
    </row>
    <row r="561" spans="3:27" x14ac:dyDescent="0.2">
      <c r="C561" t="s">
        <v>25</v>
      </c>
      <c r="D561" t="s">
        <v>613</v>
      </c>
      <c r="E561">
        <v>140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50</v>
      </c>
      <c r="L561">
        <v>32</v>
      </c>
      <c r="M561">
        <v>0</v>
      </c>
      <c r="N561">
        <v>32</v>
      </c>
      <c r="O561">
        <v>3</v>
      </c>
      <c r="P561">
        <v>169</v>
      </c>
      <c r="Q561" s="3">
        <v>2.1428571428571401</v>
      </c>
      <c r="R561">
        <v>0</v>
      </c>
      <c r="S561">
        <v>0</v>
      </c>
      <c r="U561">
        <v>-12.743478260869599</v>
      </c>
      <c r="V561">
        <v>0</v>
      </c>
      <c r="W561">
        <v>-0.54347826086956497</v>
      </c>
      <c r="X561">
        <v>-12.8</v>
      </c>
      <c r="Y561">
        <v>0</v>
      </c>
      <c r="Z561">
        <v>0.6</v>
      </c>
      <c r="AA561">
        <v>0</v>
      </c>
    </row>
    <row r="562" spans="3:27" x14ac:dyDescent="0.2">
      <c r="C562" t="s">
        <v>25</v>
      </c>
      <c r="D562" t="s">
        <v>614</v>
      </c>
      <c r="E562">
        <v>140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50</v>
      </c>
      <c r="L562">
        <v>31</v>
      </c>
      <c r="M562">
        <v>0</v>
      </c>
      <c r="N562">
        <v>31</v>
      </c>
      <c r="O562">
        <v>3</v>
      </c>
      <c r="P562">
        <v>168</v>
      </c>
      <c r="Q562" s="3">
        <v>2.1428571428571401</v>
      </c>
      <c r="R562">
        <v>0</v>
      </c>
      <c r="S562">
        <v>0</v>
      </c>
      <c r="U562">
        <v>-12.343478260869601</v>
      </c>
      <c r="V562">
        <v>0</v>
      </c>
      <c r="W562">
        <v>-0.54347826086956497</v>
      </c>
      <c r="X562">
        <v>-12.4</v>
      </c>
      <c r="Y562">
        <v>0</v>
      </c>
      <c r="Z562">
        <v>0.6</v>
      </c>
      <c r="AA562">
        <v>0</v>
      </c>
    </row>
    <row r="563" spans="3:27" x14ac:dyDescent="0.2">
      <c r="C563" t="s">
        <v>25</v>
      </c>
      <c r="D563" t="s">
        <v>615</v>
      </c>
      <c r="E563">
        <v>280</v>
      </c>
      <c r="F563">
        <v>100</v>
      </c>
      <c r="G563">
        <v>11</v>
      </c>
      <c r="H563">
        <v>6</v>
      </c>
      <c r="I563">
        <v>0</v>
      </c>
      <c r="J563">
        <v>20</v>
      </c>
      <c r="K563">
        <v>125</v>
      </c>
      <c r="L563">
        <v>40</v>
      </c>
      <c r="M563">
        <v>0</v>
      </c>
      <c r="N563">
        <v>33</v>
      </c>
      <c r="O563">
        <v>6</v>
      </c>
      <c r="P563">
        <v>313</v>
      </c>
      <c r="Q563" s="3">
        <v>2.1428571428571401</v>
      </c>
      <c r="R563">
        <v>0</v>
      </c>
      <c r="S563">
        <v>0</v>
      </c>
      <c r="U563">
        <v>-14.8586956521739</v>
      </c>
      <c r="V563">
        <v>-1.5</v>
      </c>
      <c r="W563">
        <v>-1.35869565217391</v>
      </c>
      <c r="X563">
        <v>-13.2</v>
      </c>
      <c r="Y563">
        <v>0</v>
      </c>
      <c r="Z563">
        <v>1.2</v>
      </c>
      <c r="AA563">
        <v>0</v>
      </c>
    </row>
    <row r="564" spans="3:27" x14ac:dyDescent="0.2">
      <c r="C564" t="s">
        <v>25</v>
      </c>
      <c r="D564" t="s">
        <v>616</v>
      </c>
      <c r="E564">
        <v>330</v>
      </c>
      <c r="F564">
        <v>110</v>
      </c>
      <c r="G564">
        <v>12</v>
      </c>
      <c r="H564">
        <v>7</v>
      </c>
      <c r="I564">
        <v>0</v>
      </c>
      <c r="J564">
        <v>25</v>
      </c>
      <c r="K564">
        <v>150</v>
      </c>
      <c r="L564">
        <v>48</v>
      </c>
      <c r="M564">
        <v>0</v>
      </c>
      <c r="N564">
        <v>41</v>
      </c>
      <c r="O564">
        <v>7</v>
      </c>
      <c r="P564">
        <v>371</v>
      </c>
      <c r="Q564" s="3">
        <v>2.1212121212121202</v>
      </c>
      <c r="R564">
        <v>0</v>
      </c>
      <c r="S564">
        <v>0</v>
      </c>
      <c r="U564">
        <v>-18.380434782608699</v>
      </c>
      <c r="V564">
        <v>-1.75</v>
      </c>
      <c r="W564">
        <v>-1.6304347826087</v>
      </c>
      <c r="X564">
        <v>-16.399999999999999</v>
      </c>
      <c r="Y564">
        <v>0</v>
      </c>
      <c r="Z564">
        <v>1.4</v>
      </c>
      <c r="AA564">
        <v>0</v>
      </c>
    </row>
    <row r="565" spans="3:27" x14ac:dyDescent="0.2">
      <c r="C565" t="s">
        <v>25</v>
      </c>
      <c r="D565" t="s">
        <v>617</v>
      </c>
      <c r="E565">
        <v>710</v>
      </c>
      <c r="F565">
        <v>230</v>
      </c>
      <c r="G565">
        <v>25</v>
      </c>
      <c r="H565">
        <v>16</v>
      </c>
      <c r="I565">
        <v>1</v>
      </c>
      <c r="J565">
        <v>60</v>
      </c>
      <c r="K565">
        <v>220</v>
      </c>
      <c r="L565">
        <v>105</v>
      </c>
      <c r="M565">
        <v>4</v>
      </c>
      <c r="N565">
        <v>97</v>
      </c>
      <c r="O565">
        <v>15</v>
      </c>
      <c r="P565">
        <v>808</v>
      </c>
      <c r="Q565" s="3">
        <v>2.1126760563380298</v>
      </c>
      <c r="R565">
        <v>0</v>
      </c>
      <c r="S565">
        <v>0</v>
      </c>
      <c r="U565">
        <v>-40.7637329192547</v>
      </c>
      <c r="V565">
        <v>-4</v>
      </c>
      <c r="W565">
        <v>-2.39130434782609</v>
      </c>
      <c r="X565">
        <v>-38.799999999999997</v>
      </c>
      <c r="Y565">
        <v>-1E-3</v>
      </c>
      <c r="Z565">
        <v>3</v>
      </c>
      <c r="AA565">
        <v>1.4285714285714299</v>
      </c>
    </row>
    <row r="566" spans="3:27" x14ac:dyDescent="0.2">
      <c r="C566" t="s">
        <v>25</v>
      </c>
      <c r="D566" t="s">
        <v>618</v>
      </c>
      <c r="E566">
        <v>430</v>
      </c>
      <c r="F566">
        <v>140</v>
      </c>
      <c r="G566">
        <v>16</v>
      </c>
      <c r="H566">
        <v>10</v>
      </c>
      <c r="I566">
        <v>0.5</v>
      </c>
      <c r="J566">
        <v>35</v>
      </c>
      <c r="K566">
        <v>130</v>
      </c>
      <c r="L566">
        <v>64</v>
      </c>
      <c r="M566">
        <v>2</v>
      </c>
      <c r="N566">
        <v>59</v>
      </c>
      <c r="O566">
        <v>9</v>
      </c>
      <c r="P566">
        <v>490</v>
      </c>
      <c r="Q566" s="3">
        <v>2.0930232558139501</v>
      </c>
      <c r="R566">
        <v>0</v>
      </c>
      <c r="S566">
        <v>0</v>
      </c>
      <c r="U566">
        <v>-24.999257763975201</v>
      </c>
      <c r="V566">
        <v>-2.5</v>
      </c>
      <c r="W566">
        <v>-1.4130434782608701</v>
      </c>
      <c r="X566">
        <v>-23.6</v>
      </c>
      <c r="Y566">
        <v>-5.0000000000000001E-4</v>
      </c>
      <c r="Z566">
        <v>1.8</v>
      </c>
      <c r="AA566">
        <v>0.71428571428571397</v>
      </c>
    </row>
    <row r="567" spans="3:27" x14ac:dyDescent="0.2">
      <c r="C567" t="s">
        <v>25</v>
      </c>
      <c r="D567" t="s">
        <v>619</v>
      </c>
      <c r="E567">
        <v>860</v>
      </c>
      <c r="F567">
        <v>220</v>
      </c>
      <c r="G567">
        <v>24</v>
      </c>
      <c r="H567">
        <v>15</v>
      </c>
      <c r="I567">
        <v>1.5</v>
      </c>
      <c r="J567">
        <v>75</v>
      </c>
      <c r="K567">
        <v>260</v>
      </c>
      <c r="L567">
        <v>144</v>
      </c>
      <c r="M567">
        <v>0</v>
      </c>
      <c r="N567">
        <v>124</v>
      </c>
      <c r="O567">
        <v>18</v>
      </c>
      <c r="P567">
        <v>981</v>
      </c>
      <c r="Q567" s="3">
        <v>2.0930232558139501</v>
      </c>
      <c r="R567">
        <v>0</v>
      </c>
      <c r="S567">
        <v>0</v>
      </c>
      <c r="U567">
        <v>-52.577586956521699</v>
      </c>
      <c r="V567">
        <v>-3.75</v>
      </c>
      <c r="W567">
        <v>-2.8260869565217401</v>
      </c>
      <c r="X567">
        <v>-49.6</v>
      </c>
      <c r="Y567">
        <v>-1.5E-3</v>
      </c>
      <c r="Z567">
        <v>3.6</v>
      </c>
      <c r="AA567">
        <v>0</v>
      </c>
    </row>
    <row r="568" spans="3:27" x14ac:dyDescent="0.2">
      <c r="C568" t="s">
        <v>25</v>
      </c>
      <c r="D568" t="s">
        <v>620</v>
      </c>
      <c r="E568">
        <v>720</v>
      </c>
      <c r="F568">
        <v>180</v>
      </c>
      <c r="G568">
        <v>20</v>
      </c>
      <c r="H568">
        <v>12</v>
      </c>
      <c r="I568">
        <v>1</v>
      </c>
      <c r="J568">
        <v>60</v>
      </c>
      <c r="K568">
        <v>300</v>
      </c>
      <c r="L568">
        <v>119</v>
      </c>
      <c r="M568">
        <v>1</v>
      </c>
      <c r="N568">
        <v>98</v>
      </c>
      <c r="O568">
        <v>15</v>
      </c>
      <c r="P568">
        <v>815</v>
      </c>
      <c r="Q568" s="3">
        <v>2.0833333333333299</v>
      </c>
      <c r="R568">
        <v>0</v>
      </c>
      <c r="S568">
        <v>0</v>
      </c>
      <c r="U568">
        <v>-42.104726708074502</v>
      </c>
      <c r="V568">
        <v>-3</v>
      </c>
      <c r="W568">
        <v>-3.2608695652173898</v>
      </c>
      <c r="X568">
        <v>-39.200000000000003</v>
      </c>
      <c r="Y568">
        <v>-1E-3</v>
      </c>
      <c r="Z568">
        <v>3</v>
      </c>
      <c r="AA568">
        <v>0.35714285714285698</v>
      </c>
    </row>
    <row r="569" spans="3:27" x14ac:dyDescent="0.2">
      <c r="C569" t="s">
        <v>25</v>
      </c>
      <c r="D569" t="s">
        <v>622</v>
      </c>
      <c r="E569">
        <v>340</v>
      </c>
      <c r="F569">
        <v>70</v>
      </c>
      <c r="G569">
        <v>8</v>
      </c>
      <c r="H569">
        <v>5</v>
      </c>
      <c r="I569">
        <v>0</v>
      </c>
      <c r="J569">
        <v>30</v>
      </c>
      <c r="K569">
        <v>160</v>
      </c>
      <c r="L569">
        <v>60</v>
      </c>
      <c r="M569">
        <v>1</v>
      </c>
      <c r="N569">
        <v>44</v>
      </c>
      <c r="O569">
        <v>7</v>
      </c>
      <c r="P569">
        <v>382</v>
      </c>
      <c r="Q569" s="3">
        <v>2.0588235294117601</v>
      </c>
      <c r="R569">
        <v>0</v>
      </c>
      <c r="S569">
        <v>0</v>
      </c>
      <c r="U569">
        <v>-18.831987577639801</v>
      </c>
      <c r="V569">
        <v>-1.25</v>
      </c>
      <c r="W569">
        <v>-1.73913043478261</v>
      </c>
      <c r="X569">
        <v>-17.600000000000001</v>
      </c>
      <c r="Y569">
        <v>0</v>
      </c>
      <c r="Z569">
        <v>1.4</v>
      </c>
      <c r="AA569">
        <v>0.35714285714285698</v>
      </c>
    </row>
    <row r="570" spans="3:27" x14ac:dyDescent="0.2">
      <c r="C570" t="s">
        <v>25</v>
      </c>
      <c r="D570" t="s">
        <v>623</v>
      </c>
      <c r="E570">
        <v>680</v>
      </c>
      <c r="F570">
        <v>180</v>
      </c>
      <c r="G570">
        <v>20</v>
      </c>
      <c r="H570">
        <v>12</v>
      </c>
      <c r="I570">
        <v>1</v>
      </c>
      <c r="J570">
        <v>60</v>
      </c>
      <c r="K570">
        <v>220</v>
      </c>
      <c r="L570">
        <v>111</v>
      </c>
      <c r="M570">
        <v>0</v>
      </c>
      <c r="N570">
        <v>82</v>
      </c>
      <c r="O570">
        <v>14</v>
      </c>
      <c r="P570">
        <v>760</v>
      </c>
      <c r="Q570" s="3">
        <v>2.0588235294117601</v>
      </c>
      <c r="R570">
        <v>0</v>
      </c>
      <c r="S570">
        <v>0</v>
      </c>
      <c r="U570">
        <v>-35.392304347826098</v>
      </c>
      <c r="V570">
        <v>-3</v>
      </c>
      <c r="W570">
        <v>-2.39130434782609</v>
      </c>
      <c r="X570">
        <v>-32.799999999999997</v>
      </c>
      <c r="Y570">
        <v>-1E-3</v>
      </c>
      <c r="Z570">
        <v>2.8</v>
      </c>
      <c r="AA570">
        <v>0</v>
      </c>
    </row>
    <row r="571" spans="3:27" x14ac:dyDescent="0.2">
      <c r="C571" t="s">
        <v>25</v>
      </c>
      <c r="D571" t="s">
        <v>624</v>
      </c>
      <c r="E571">
        <v>830</v>
      </c>
      <c r="F571">
        <v>210</v>
      </c>
      <c r="G571">
        <v>24</v>
      </c>
      <c r="H571">
        <v>14</v>
      </c>
      <c r="I571">
        <v>1.5</v>
      </c>
      <c r="J571">
        <v>75</v>
      </c>
      <c r="K571">
        <v>270</v>
      </c>
      <c r="L571">
        <v>138</v>
      </c>
      <c r="M571">
        <v>0</v>
      </c>
      <c r="N571">
        <v>103</v>
      </c>
      <c r="O571">
        <v>17</v>
      </c>
      <c r="P571">
        <v>930</v>
      </c>
      <c r="Q571" s="3">
        <v>2.0481927710843402</v>
      </c>
      <c r="R571">
        <v>0</v>
      </c>
      <c r="S571">
        <v>0</v>
      </c>
      <c r="U571">
        <v>-44.236282608695703</v>
      </c>
      <c r="V571">
        <v>-3.5</v>
      </c>
      <c r="W571">
        <v>-2.9347826086956501</v>
      </c>
      <c r="X571">
        <v>-41.2</v>
      </c>
      <c r="Y571">
        <v>-1.5E-3</v>
      </c>
      <c r="Z571">
        <v>3.4</v>
      </c>
      <c r="AA571">
        <v>0</v>
      </c>
    </row>
    <row r="572" spans="3:27" x14ac:dyDescent="0.2">
      <c r="C572" t="s">
        <v>25</v>
      </c>
      <c r="D572" t="s">
        <v>625</v>
      </c>
      <c r="E572">
        <v>880</v>
      </c>
      <c r="F572">
        <v>220</v>
      </c>
      <c r="G572">
        <v>24</v>
      </c>
      <c r="H572">
        <v>15</v>
      </c>
      <c r="I572">
        <v>1.5</v>
      </c>
      <c r="J572">
        <v>75</v>
      </c>
      <c r="K572">
        <v>370</v>
      </c>
      <c r="L572">
        <v>147</v>
      </c>
      <c r="M572">
        <v>1</v>
      </c>
      <c r="N572">
        <v>121</v>
      </c>
      <c r="O572">
        <v>18</v>
      </c>
      <c r="P572">
        <v>998</v>
      </c>
      <c r="Q572" s="3">
        <v>2.0454545454545499</v>
      </c>
      <c r="R572">
        <v>0</v>
      </c>
      <c r="S572">
        <v>0</v>
      </c>
      <c r="U572">
        <v>-52.216096273291903</v>
      </c>
      <c r="V572">
        <v>-3.75</v>
      </c>
      <c r="W572">
        <v>-4.0217391304347796</v>
      </c>
      <c r="X572">
        <v>-48.4</v>
      </c>
      <c r="Y572">
        <v>-1.5E-3</v>
      </c>
      <c r="Z572">
        <v>3.6</v>
      </c>
      <c r="AA572">
        <v>0.35714285714285698</v>
      </c>
    </row>
    <row r="573" spans="3:27" x14ac:dyDescent="0.2">
      <c r="C573" t="s">
        <v>25</v>
      </c>
      <c r="D573" t="s">
        <v>627</v>
      </c>
      <c r="E573">
        <v>710</v>
      </c>
      <c r="F573">
        <v>180</v>
      </c>
      <c r="G573">
        <v>20</v>
      </c>
      <c r="H573">
        <v>12</v>
      </c>
      <c r="I573">
        <v>1</v>
      </c>
      <c r="J573">
        <v>65</v>
      </c>
      <c r="K573">
        <v>210</v>
      </c>
      <c r="L573">
        <v>116</v>
      </c>
      <c r="M573">
        <v>0</v>
      </c>
      <c r="N573">
        <v>100</v>
      </c>
      <c r="O573">
        <v>14</v>
      </c>
      <c r="P573">
        <v>808</v>
      </c>
      <c r="Q573" s="3">
        <v>1.9718309859154901</v>
      </c>
      <c r="R573">
        <v>0</v>
      </c>
      <c r="S573">
        <v>0</v>
      </c>
      <c r="U573">
        <v>-42.483608695652201</v>
      </c>
      <c r="V573">
        <v>-3</v>
      </c>
      <c r="W573">
        <v>-2.2826086956521698</v>
      </c>
      <c r="X573">
        <v>-40</v>
      </c>
      <c r="Y573">
        <v>-1E-3</v>
      </c>
      <c r="Z573">
        <v>2.8</v>
      </c>
      <c r="AA573">
        <v>0</v>
      </c>
    </row>
    <row r="574" spans="3:27" x14ac:dyDescent="0.2">
      <c r="C574" t="s">
        <v>25</v>
      </c>
      <c r="D574" t="s">
        <v>630</v>
      </c>
      <c r="E574">
        <v>570</v>
      </c>
      <c r="F574">
        <v>150</v>
      </c>
      <c r="G574">
        <v>17</v>
      </c>
      <c r="H574">
        <v>10</v>
      </c>
      <c r="I574">
        <v>1</v>
      </c>
      <c r="J574">
        <v>50</v>
      </c>
      <c r="K574">
        <v>170</v>
      </c>
      <c r="L574">
        <v>92</v>
      </c>
      <c r="M574">
        <v>0</v>
      </c>
      <c r="N574">
        <v>79</v>
      </c>
      <c r="O574">
        <v>11</v>
      </c>
      <c r="P574">
        <v>648</v>
      </c>
      <c r="Q574" s="3">
        <v>1.9298245614035101</v>
      </c>
      <c r="R574">
        <v>0</v>
      </c>
      <c r="S574">
        <v>0</v>
      </c>
      <c r="U574">
        <v>-33.748826086956498</v>
      </c>
      <c r="V574">
        <v>-2.5</v>
      </c>
      <c r="W574">
        <v>-1.84782608695652</v>
      </c>
      <c r="X574">
        <v>-31.6</v>
      </c>
      <c r="Y574">
        <v>-1E-3</v>
      </c>
      <c r="Z574">
        <v>2.2000000000000002</v>
      </c>
      <c r="AA574">
        <v>0</v>
      </c>
    </row>
    <row r="575" spans="3:27" x14ac:dyDescent="0.2">
      <c r="C575" t="s">
        <v>25</v>
      </c>
      <c r="D575" t="s">
        <v>631</v>
      </c>
      <c r="E575">
        <v>260</v>
      </c>
      <c r="F575">
        <v>40</v>
      </c>
      <c r="G575">
        <v>4.5</v>
      </c>
      <c r="H575">
        <v>2</v>
      </c>
      <c r="I575">
        <v>0</v>
      </c>
      <c r="J575">
        <v>10</v>
      </c>
      <c r="K575">
        <v>115</v>
      </c>
      <c r="L575">
        <v>48</v>
      </c>
      <c r="M575">
        <v>5</v>
      </c>
      <c r="N575">
        <v>18</v>
      </c>
      <c r="O575">
        <v>5</v>
      </c>
      <c r="P575">
        <v>275</v>
      </c>
      <c r="Q575" s="3">
        <v>1.92307692307692</v>
      </c>
      <c r="R575">
        <v>0</v>
      </c>
      <c r="S575">
        <v>0</v>
      </c>
      <c r="U575">
        <v>-6.1642857142857101</v>
      </c>
      <c r="V575">
        <v>-0.5</v>
      </c>
      <c r="W575">
        <v>-1.25</v>
      </c>
      <c r="X575">
        <v>-7.2</v>
      </c>
      <c r="Y575">
        <v>0</v>
      </c>
      <c r="Z575">
        <v>1</v>
      </c>
      <c r="AA575">
        <v>1.78571428571429</v>
      </c>
    </row>
    <row r="576" spans="3:27" x14ac:dyDescent="0.2">
      <c r="C576" t="s">
        <v>25</v>
      </c>
      <c r="D576" t="s">
        <v>633</v>
      </c>
      <c r="E576">
        <v>210</v>
      </c>
      <c r="F576">
        <v>70</v>
      </c>
      <c r="G576">
        <v>8</v>
      </c>
      <c r="H576">
        <v>1.5</v>
      </c>
      <c r="I576">
        <v>0</v>
      </c>
      <c r="J576">
        <v>5</v>
      </c>
      <c r="K576">
        <v>60</v>
      </c>
      <c r="L576">
        <v>31</v>
      </c>
      <c r="M576">
        <v>2</v>
      </c>
      <c r="N576">
        <v>25</v>
      </c>
      <c r="O576">
        <v>4</v>
      </c>
      <c r="P576">
        <v>232.5</v>
      </c>
      <c r="Q576" s="3">
        <v>1.9047619047619</v>
      </c>
      <c r="R576">
        <v>0</v>
      </c>
      <c r="S576">
        <v>0</v>
      </c>
      <c r="U576">
        <v>-9.5128881987577607</v>
      </c>
      <c r="V576">
        <v>-0.375</v>
      </c>
      <c r="W576">
        <v>-0.65217391304347805</v>
      </c>
      <c r="X576">
        <v>-10</v>
      </c>
      <c r="Y576">
        <v>0</v>
      </c>
      <c r="Z576">
        <v>0.8</v>
      </c>
      <c r="AA576">
        <v>0.71428571428571397</v>
      </c>
    </row>
    <row r="577" spans="3:27" x14ac:dyDescent="0.2">
      <c r="C577" t="s">
        <v>25</v>
      </c>
      <c r="D577" t="s">
        <v>634</v>
      </c>
      <c r="E577">
        <v>580</v>
      </c>
      <c r="F577">
        <v>150</v>
      </c>
      <c r="G577">
        <v>17</v>
      </c>
      <c r="H577">
        <v>10</v>
      </c>
      <c r="I577">
        <v>1</v>
      </c>
      <c r="J577">
        <v>50</v>
      </c>
      <c r="K577">
        <v>240</v>
      </c>
      <c r="L577">
        <v>94</v>
      </c>
      <c r="M577">
        <v>1</v>
      </c>
      <c r="N577">
        <v>77</v>
      </c>
      <c r="O577">
        <v>11</v>
      </c>
      <c r="P577">
        <v>656</v>
      </c>
      <c r="Q577" s="3">
        <v>1.8965517241379299</v>
      </c>
      <c r="R577">
        <v>0</v>
      </c>
      <c r="S577">
        <v>0</v>
      </c>
      <c r="U577">
        <v>-33.352552795031102</v>
      </c>
      <c r="V577">
        <v>-2.5</v>
      </c>
      <c r="W577">
        <v>-2.60869565217391</v>
      </c>
      <c r="X577">
        <v>-30.8</v>
      </c>
      <c r="Y577">
        <v>-1E-3</v>
      </c>
      <c r="Z577">
        <v>2.2000000000000002</v>
      </c>
      <c r="AA577">
        <v>0.35714285714285698</v>
      </c>
    </row>
    <row r="578" spans="3:27" x14ac:dyDescent="0.2">
      <c r="C578" t="s">
        <v>25</v>
      </c>
      <c r="D578" t="s">
        <v>635</v>
      </c>
      <c r="E578">
        <v>160</v>
      </c>
      <c r="F578">
        <v>25</v>
      </c>
      <c r="G578">
        <v>3</v>
      </c>
      <c r="H578">
        <v>1.5</v>
      </c>
      <c r="I578">
        <v>0</v>
      </c>
      <c r="J578">
        <v>10</v>
      </c>
      <c r="K578">
        <v>100</v>
      </c>
      <c r="L578">
        <v>29</v>
      </c>
      <c r="M578">
        <v>0</v>
      </c>
      <c r="N578">
        <v>29</v>
      </c>
      <c r="O578">
        <v>3</v>
      </c>
      <c r="P578">
        <v>187.5</v>
      </c>
      <c r="Q578" s="3">
        <v>1.875</v>
      </c>
      <c r="R578">
        <v>0</v>
      </c>
      <c r="S578">
        <v>0</v>
      </c>
      <c r="U578">
        <v>-12.461956521739101</v>
      </c>
      <c r="V578">
        <v>-0.375</v>
      </c>
      <c r="W578">
        <v>-1.0869565217391299</v>
      </c>
      <c r="X578">
        <v>-11.6</v>
      </c>
      <c r="Y578">
        <v>0</v>
      </c>
      <c r="Z578">
        <v>0.6</v>
      </c>
      <c r="AA578">
        <v>0</v>
      </c>
    </row>
    <row r="579" spans="3:27" x14ac:dyDescent="0.2">
      <c r="C579" t="s">
        <v>25</v>
      </c>
      <c r="D579" t="s">
        <v>636</v>
      </c>
      <c r="E579">
        <v>160</v>
      </c>
      <c r="F579">
        <v>25</v>
      </c>
      <c r="G579">
        <v>3</v>
      </c>
      <c r="H579">
        <v>1.5</v>
      </c>
      <c r="I579">
        <v>0</v>
      </c>
      <c r="J579">
        <v>10</v>
      </c>
      <c r="K579">
        <v>45</v>
      </c>
      <c r="L579">
        <v>31</v>
      </c>
      <c r="M579">
        <v>0</v>
      </c>
      <c r="N579">
        <v>31</v>
      </c>
      <c r="O579">
        <v>3</v>
      </c>
      <c r="P579">
        <v>189.5</v>
      </c>
      <c r="Q579" s="3">
        <v>1.875</v>
      </c>
      <c r="R579">
        <v>0</v>
      </c>
      <c r="S579">
        <v>0</v>
      </c>
      <c r="U579">
        <v>-12.664130434782599</v>
      </c>
      <c r="V579">
        <v>-0.375</v>
      </c>
      <c r="W579">
        <v>-0.48913043478260898</v>
      </c>
      <c r="X579">
        <v>-12.4</v>
      </c>
      <c r="Y579">
        <v>0</v>
      </c>
      <c r="Z579">
        <v>0.6</v>
      </c>
      <c r="AA579">
        <v>0</v>
      </c>
    </row>
    <row r="580" spans="3:27" x14ac:dyDescent="0.2">
      <c r="C580" t="s">
        <v>25</v>
      </c>
      <c r="D580" t="s">
        <v>637</v>
      </c>
      <c r="E580">
        <v>160</v>
      </c>
      <c r="F580">
        <v>25</v>
      </c>
      <c r="G580">
        <v>3</v>
      </c>
      <c r="H580">
        <v>1.5</v>
      </c>
      <c r="I580">
        <v>0</v>
      </c>
      <c r="J580">
        <v>10</v>
      </c>
      <c r="K580">
        <v>45</v>
      </c>
      <c r="L580">
        <v>31</v>
      </c>
      <c r="M580">
        <v>0</v>
      </c>
      <c r="N580">
        <v>31</v>
      </c>
      <c r="O580">
        <v>3</v>
      </c>
      <c r="P580">
        <v>189.5</v>
      </c>
      <c r="Q580" s="3">
        <v>1.875</v>
      </c>
      <c r="R580">
        <v>0</v>
      </c>
      <c r="S580">
        <v>0</v>
      </c>
      <c r="U580">
        <v>-12.664130434782599</v>
      </c>
      <c r="V580">
        <v>-0.375</v>
      </c>
      <c r="W580">
        <v>-0.48913043478260898</v>
      </c>
      <c r="X580">
        <v>-12.4</v>
      </c>
      <c r="Y580">
        <v>0</v>
      </c>
      <c r="Z580">
        <v>0.6</v>
      </c>
      <c r="AA580">
        <v>0</v>
      </c>
    </row>
    <row r="581" spans="3:27" x14ac:dyDescent="0.2">
      <c r="C581" t="s">
        <v>25</v>
      </c>
      <c r="D581" t="s">
        <v>638</v>
      </c>
      <c r="E581">
        <v>540</v>
      </c>
      <c r="F581">
        <v>150</v>
      </c>
      <c r="G581">
        <v>16</v>
      </c>
      <c r="H581">
        <v>10</v>
      </c>
      <c r="I581">
        <v>1</v>
      </c>
      <c r="J581">
        <v>45</v>
      </c>
      <c r="K581">
        <v>170</v>
      </c>
      <c r="L581">
        <v>88</v>
      </c>
      <c r="M581">
        <v>0</v>
      </c>
      <c r="N581">
        <v>64</v>
      </c>
      <c r="O581">
        <v>10</v>
      </c>
      <c r="P581">
        <v>604</v>
      </c>
      <c r="Q581" s="3">
        <v>1.8518518518518501</v>
      </c>
      <c r="R581">
        <v>0</v>
      </c>
      <c r="S581">
        <v>0</v>
      </c>
      <c r="U581">
        <v>-27.948826086956501</v>
      </c>
      <c r="V581">
        <v>-2.5</v>
      </c>
      <c r="W581">
        <v>-1.84782608695652</v>
      </c>
      <c r="X581">
        <v>-25.6</v>
      </c>
      <c r="Y581">
        <v>-1E-3</v>
      </c>
      <c r="Z581">
        <v>2</v>
      </c>
      <c r="AA581">
        <v>0</v>
      </c>
    </row>
    <row r="582" spans="3:27" x14ac:dyDescent="0.2">
      <c r="C582" t="s">
        <v>25</v>
      </c>
      <c r="D582" t="s">
        <v>642</v>
      </c>
      <c r="E582">
        <v>290</v>
      </c>
      <c r="F582">
        <v>40</v>
      </c>
      <c r="G582">
        <v>4.5</v>
      </c>
      <c r="H582">
        <v>2</v>
      </c>
      <c r="I582">
        <v>0</v>
      </c>
      <c r="J582">
        <v>10</v>
      </c>
      <c r="K582">
        <v>160</v>
      </c>
      <c r="L582">
        <v>57</v>
      </c>
      <c r="M582">
        <v>5</v>
      </c>
      <c r="N582">
        <v>32</v>
      </c>
      <c r="O582">
        <v>5</v>
      </c>
      <c r="P582">
        <v>319</v>
      </c>
      <c r="Q582" s="3">
        <v>1.72413793103448</v>
      </c>
      <c r="R582">
        <v>0</v>
      </c>
      <c r="S582">
        <v>0</v>
      </c>
      <c r="U582">
        <v>-12.2534161490683</v>
      </c>
      <c r="V582">
        <v>-0.5</v>
      </c>
      <c r="W582">
        <v>-1.73913043478261</v>
      </c>
      <c r="X582">
        <v>-12.8</v>
      </c>
      <c r="Y582">
        <v>0</v>
      </c>
      <c r="Z582">
        <v>1</v>
      </c>
      <c r="AA582">
        <v>1.78571428571429</v>
      </c>
    </row>
    <row r="583" spans="3:27" x14ac:dyDescent="0.2">
      <c r="C583" t="s">
        <v>25</v>
      </c>
      <c r="D583" t="s">
        <v>644</v>
      </c>
      <c r="E583">
        <v>60</v>
      </c>
      <c r="F583">
        <v>20</v>
      </c>
      <c r="G583">
        <v>2.5</v>
      </c>
      <c r="H583">
        <v>0</v>
      </c>
      <c r="I583">
        <v>0</v>
      </c>
      <c r="J583">
        <v>5</v>
      </c>
      <c r="K583">
        <v>250</v>
      </c>
      <c r="L583">
        <v>9</v>
      </c>
      <c r="M583">
        <v>2</v>
      </c>
      <c r="N583">
        <v>6</v>
      </c>
      <c r="O583">
        <v>1</v>
      </c>
      <c r="P583">
        <v>65</v>
      </c>
      <c r="Q583" s="3">
        <v>1.6666666666666701</v>
      </c>
      <c r="R583">
        <v>0</v>
      </c>
      <c r="S583">
        <v>0</v>
      </c>
      <c r="U583">
        <v>-4.2031055900621102</v>
      </c>
      <c r="V583">
        <v>0</v>
      </c>
      <c r="W583">
        <v>-2.7173913043478302</v>
      </c>
      <c r="X583">
        <v>-2.4</v>
      </c>
      <c r="Y583">
        <v>0</v>
      </c>
      <c r="Z583">
        <v>0.2</v>
      </c>
      <c r="AA583">
        <v>0.71428571428571397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 <v>20</v>
      </c>
      <c r="G584">
        <v>2.5</v>
      </c>
      <c r="H584">
        <v>0</v>
      </c>
      <c r="I584">
        <v>0</v>
      </c>
      <c r="J584">
        <v>0</v>
      </c>
      <c r="K584">
        <v>730</v>
      </c>
      <c r="L584">
        <v>8</v>
      </c>
      <c r="M584">
        <v>0</v>
      </c>
      <c r="N584">
        <v>1</v>
      </c>
      <c r="O584">
        <v>1</v>
      </c>
      <c r="P584">
        <v>60</v>
      </c>
      <c r="Q584" s="3">
        <v>1.6666666666666701</v>
      </c>
      <c r="R584">
        <v>1</v>
      </c>
      <c r="S584">
        <v>0</v>
      </c>
      <c r="U584">
        <v>-8.1347826086956498</v>
      </c>
      <c r="V584">
        <v>0</v>
      </c>
      <c r="W584">
        <v>-7.9347826086956497</v>
      </c>
      <c r="X584">
        <v>-0.4</v>
      </c>
      <c r="Y584">
        <v>0</v>
      </c>
      <c r="Z584">
        <v>0.2</v>
      </c>
      <c r="AA584">
        <v>0</v>
      </c>
    </row>
    <row r="585" spans="3:27" x14ac:dyDescent="0.2">
      <c r="C585" t="s">
        <v>25</v>
      </c>
      <c r="D585" t="s">
        <v>646</v>
      </c>
      <c r="E585">
        <v>60</v>
      </c>
      <c r="F585">
        <v>50</v>
      </c>
      <c r="G585">
        <v>5</v>
      </c>
      <c r="H585">
        <v>3.5</v>
      </c>
      <c r="I585">
        <v>0</v>
      </c>
      <c r="J585">
        <v>20</v>
      </c>
      <c r="K585">
        <v>70</v>
      </c>
      <c r="L585">
        <v>8</v>
      </c>
      <c r="M585">
        <v>0</v>
      </c>
      <c r="N585">
        <v>1</v>
      </c>
      <c r="O585">
        <v>1</v>
      </c>
      <c r="P585">
        <v>63.5</v>
      </c>
      <c r="Q585" s="3">
        <v>1.6666666666666701</v>
      </c>
      <c r="R585">
        <v>0</v>
      </c>
      <c r="S585">
        <v>0</v>
      </c>
      <c r="U585">
        <v>-1.83586956521739</v>
      </c>
      <c r="V585">
        <v>-0.875</v>
      </c>
      <c r="W585">
        <v>-0.76086956521739102</v>
      </c>
      <c r="X585">
        <v>-0.4</v>
      </c>
      <c r="Y585">
        <v>0</v>
      </c>
      <c r="Z585">
        <v>0.2</v>
      </c>
      <c r="AA585">
        <v>0</v>
      </c>
    </row>
    <row r="586" spans="3:27" x14ac:dyDescent="0.2">
      <c r="C586" t="s">
        <v>25</v>
      </c>
      <c r="D586" t="s">
        <v>647</v>
      </c>
      <c r="E586">
        <v>120</v>
      </c>
      <c r="F586">
        <v>100</v>
      </c>
      <c r="G586">
        <v>11</v>
      </c>
      <c r="H586">
        <v>7</v>
      </c>
      <c r="I586">
        <v>0</v>
      </c>
      <c r="J586">
        <v>40</v>
      </c>
      <c r="K586">
        <v>140</v>
      </c>
      <c r="L586">
        <v>16</v>
      </c>
      <c r="M586">
        <v>0</v>
      </c>
      <c r="N586">
        <v>2</v>
      </c>
      <c r="O586">
        <v>2</v>
      </c>
      <c r="P586">
        <v>127</v>
      </c>
      <c r="Q586" s="3">
        <v>1.6666666666666701</v>
      </c>
      <c r="R586">
        <v>0</v>
      </c>
      <c r="S586">
        <v>0</v>
      </c>
      <c r="U586">
        <v>-3.67173913043478</v>
      </c>
      <c r="V586">
        <v>-1.75</v>
      </c>
      <c r="W586">
        <v>-1.52173913043478</v>
      </c>
      <c r="X586">
        <v>-0.8</v>
      </c>
      <c r="Y586">
        <v>0</v>
      </c>
      <c r="Z586">
        <v>0.4</v>
      </c>
      <c r="AA586">
        <v>0</v>
      </c>
    </row>
    <row r="587" spans="3:27" x14ac:dyDescent="0.2">
      <c r="C587" t="s">
        <v>25</v>
      </c>
      <c r="D587" t="s">
        <v>652</v>
      </c>
      <c r="E587">
        <v>190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39</v>
      </c>
      <c r="M587">
        <v>0</v>
      </c>
      <c r="N587">
        <v>39</v>
      </c>
      <c r="O587">
        <v>3</v>
      </c>
      <c r="P587">
        <v>226</v>
      </c>
      <c r="Q587" s="3">
        <v>1.57894736842105</v>
      </c>
      <c r="R587">
        <v>0</v>
      </c>
      <c r="S587">
        <v>0</v>
      </c>
      <c r="U587">
        <v>-15</v>
      </c>
      <c r="V587">
        <v>0</v>
      </c>
      <c r="W587">
        <v>0</v>
      </c>
      <c r="X587">
        <v>-15.6</v>
      </c>
      <c r="Y587">
        <v>0</v>
      </c>
      <c r="Z587">
        <v>0.6</v>
      </c>
      <c r="AA587">
        <v>0</v>
      </c>
    </row>
    <row r="588" spans="3:27" x14ac:dyDescent="0.2">
      <c r="C588" t="s">
        <v>25</v>
      </c>
      <c r="D588" t="s">
        <v>655</v>
      </c>
      <c r="E588">
        <v>450</v>
      </c>
      <c r="F588">
        <v>180</v>
      </c>
      <c r="G588">
        <v>20</v>
      </c>
      <c r="H588">
        <v>13</v>
      </c>
      <c r="I588">
        <v>1</v>
      </c>
      <c r="J588">
        <v>55</v>
      </c>
      <c r="K588">
        <v>130</v>
      </c>
      <c r="L588">
        <v>62</v>
      </c>
      <c r="M588">
        <v>1</v>
      </c>
      <c r="N588">
        <v>56</v>
      </c>
      <c r="O588">
        <v>7</v>
      </c>
      <c r="P588">
        <v>512</v>
      </c>
      <c r="Q588" s="3">
        <v>1.55555555555556</v>
      </c>
      <c r="R588">
        <v>0</v>
      </c>
      <c r="S588">
        <v>0</v>
      </c>
      <c r="U588">
        <v>-25.306900621118</v>
      </c>
      <c r="V588">
        <v>-3.25</v>
      </c>
      <c r="W588">
        <v>-1.4130434782608701</v>
      </c>
      <c r="X588">
        <v>-22.4</v>
      </c>
      <c r="Y588">
        <v>-1E-3</v>
      </c>
      <c r="Z588">
        <v>1.4</v>
      </c>
      <c r="AA588">
        <v>0.35714285714285698</v>
      </c>
    </row>
    <row r="589" spans="3:27" x14ac:dyDescent="0.2">
      <c r="C589" t="s">
        <v>25</v>
      </c>
      <c r="D589" t="s">
        <v>657</v>
      </c>
      <c r="E589">
        <v>260</v>
      </c>
      <c r="F589">
        <v>70</v>
      </c>
      <c r="G589">
        <v>8</v>
      </c>
      <c r="H589">
        <v>2.5</v>
      </c>
      <c r="I589">
        <v>0</v>
      </c>
      <c r="J589">
        <v>0</v>
      </c>
      <c r="K589">
        <v>300</v>
      </c>
      <c r="L589">
        <v>43</v>
      </c>
      <c r="M589">
        <v>1</v>
      </c>
      <c r="N589">
        <v>13</v>
      </c>
      <c r="O589">
        <v>4</v>
      </c>
      <c r="P589">
        <v>271.5</v>
      </c>
      <c r="Q589" s="3">
        <v>1.5384615384615401</v>
      </c>
      <c r="R589">
        <v>0</v>
      </c>
      <c r="S589">
        <v>0</v>
      </c>
      <c r="U589">
        <v>-7.9287267080745298</v>
      </c>
      <c r="V589">
        <v>-0.625</v>
      </c>
      <c r="W589">
        <v>-3.2608695652173898</v>
      </c>
      <c r="X589">
        <v>-5.2</v>
      </c>
      <c r="Y589">
        <v>0</v>
      </c>
      <c r="Z589">
        <v>0.8</v>
      </c>
      <c r="AA589">
        <v>0.35714285714285698</v>
      </c>
    </row>
    <row r="590" spans="3:27" x14ac:dyDescent="0.2">
      <c r="C590" t="s">
        <v>25</v>
      </c>
      <c r="D590" t="s">
        <v>658</v>
      </c>
      <c r="E590">
        <v>680</v>
      </c>
      <c r="F590">
        <v>260</v>
      </c>
      <c r="G590">
        <v>29</v>
      </c>
      <c r="H590">
        <v>18</v>
      </c>
      <c r="I590">
        <v>1.5</v>
      </c>
      <c r="J590">
        <v>85</v>
      </c>
      <c r="K590">
        <v>200</v>
      </c>
      <c r="L590">
        <v>94</v>
      </c>
      <c r="M590">
        <v>0</v>
      </c>
      <c r="N590">
        <v>88</v>
      </c>
      <c r="O590">
        <v>10</v>
      </c>
      <c r="P590">
        <v>776</v>
      </c>
      <c r="Q590" s="3">
        <v>1.47058823529412</v>
      </c>
      <c r="R590">
        <v>0</v>
      </c>
      <c r="S590">
        <v>0</v>
      </c>
      <c r="U590">
        <v>-39.875413043478297</v>
      </c>
      <c r="V590">
        <v>-4.5</v>
      </c>
      <c r="W590">
        <v>-2.1739130434782599</v>
      </c>
      <c r="X590">
        <v>-35.200000000000003</v>
      </c>
      <c r="Y590">
        <v>-1.5E-3</v>
      </c>
      <c r="Z590">
        <v>2</v>
      </c>
      <c r="AA590">
        <v>0</v>
      </c>
    </row>
    <row r="591" spans="3:27" x14ac:dyDescent="0.2">
      <c r="C591" t="s">
        <v>25</v>
      </c>
      <c r="D591" t="s">
        <v>659</v>
      </c>
      <c r="E591">
        <v>680</v>
      </c>
      <c r="F591">
        <v>250</v>
      </c>
      <c r="G591">
        <v>28</v>
      </c>
      <c r="H591">
        <v>18</v>
      </c>
      <c r="I591">
        <v>1</v>
      </c>
      <c r="J591">
        <v>80</v>
      </c>
      <c r="K591">
        <v>200</v>
      </c>
      <c r="L591">
        <v>96</v>
      </c>
      <c r="M591">
        <v>1</v>
      </c>
      <c r="N591">
        <v>87</v>
      </c>
      <c r="O591">
        <v>10</v>
      </c>
      <c r="P591">
        <v>775</v>
      </c>
      <c r="Q591" s="3">
        <v>1.47058823529412</v>
      </c>
      <c r="R591">
        <v>0</v>
      </c>
      <c r="S591">
        <v>0</v>
      </c>
      <c r="U591">
        <v>-39.117770186335399</v>
      </c>
      <c r="V591">
        <v>-4.5</v>
      </c>
      <c r="W591">
        <v>-2.1739130434782599</v>
      </c>
      <c r="X591">
        <v>-34.799999999999997</v>
      </c>
      <c r="Y591">
        <v>-1E-3</v>
      </c>
      <c r="Z591">
        <v>2</v>
      </c>
      <c r="AA591">
        <v>0.35714285714285698</v>
      </c>
    </row>
    <row r="592" spans="3:27" x14ac:dyDescent="0.2">
      <c r="C592" t="s">
        <v>25</v>
      </c>
      <c r="D592" t="s">
        <v>660</v>
      </c>
      <c r="E592">
        <v>550</v>
      </c>
      <c r="F592">
        <v>220</v>
      </c>
      <c r="G592">
        <v>24</v>
      </c>
      <c r="H592">
        <v>15</v>
      </c>
      <c r="I592">
        <v>1</v>
      </c>
      <c r="J592">
        <v>70</v>
      </c>
      <c r="K592">
        <v>160</v>
      </c>
      <c r="L592">
        <v>76</v>
      </c>
      <c r="M592">
        <v>0</v>
      </c>
      <c r="N592">
        <v>71</v>
      </c>
      <c r="O592">
        <v>8</v>
      </c>
      <c r="P592">
        <v>628</v>
      </c>
      <c r="Q592" s="3">
        <v>1.4545454545454499</v>
      </c>
      <c r="R592">
        <v>0</v>
      </c>
      <c r="S592">
        <v>0</v>
      </c>
      <c r="U592">
        <v>-32.290130434782597</v>
      </c>
      <c r="V592">
        <v>-3.75</v>
      </c>
      <c r="W592">
        <v>-1.73913043478261</v>
      </c>
      <c r="X592">
        <v>-28.4</v>
      </c>
      <c r="Y592">
        <v>-1E-3</v>
      </c>
      <c r="Z592">
        <v>1.6</v>
      </c>
      <c r="AA592">
        <v>0</v>
      </c>
    </row>
    <row r="593" spans="3:27" x14ac:dyDescent="0.2">
      <c r="C593" t="s">
        <v>25</v>
      </c>
      <c r="D593" t="s">
        <v>661</v>
      </c>
      <c r="E593">
        <v>280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5</v>
      </c>
      <c r="L593">
        <v>58</v>
      </c>
      <c r="M593">
        <v>0</v>
      </c>
      <c r="N593">
        <v>58</v>
      </c>
      <c r="O593">
        <v>4</v>
      </c>
      <c r="P593">
        <v>334</v>
      </c>
      <c r="Q593" s="3">
        <v>1.4285714285714299</v>
      </c>
      <c r="R593">
        <v>0</v>
      </c>
      <c r="S593">
        <v>0</v>
      </c>
      <c r="U593">
        <v>-22.454347826087002</v>
      </c>
      <c r="V593">
        <v>0</v>
      </c>
      <c r="W593">
        <v>-5.4347826086956499E-2</v>
      </c>
      <c r="X593">
        <v>-23.2</v>
      </c>
      <c r="Y593">
        <v>0</v>
      </c>
      <c r="Z593">
        <v>0.8</v>
      </c>
      <c r="AA593">
        <v>0</v>
      </c>
    </row>
    <row r="594" spans="3:27" x14ac:dyDescent="0.2">
      <c r="C594" t="s">
        <v>25</v>
      </c>
      <c r="D594" t="s">
        <v>662</v>
      </c>
      <c r="E594">
        <v>560</v>
      </c>
      <c r="F594">
        <v>210</v>
      </c>
      <c r="G594">
        <v>24</v>
      </c>
      <c r="H594">
        <v>15</v>
      </c>
      <c r="I594">
        <v>1</v>
      </c>
      <c r="J594">
        <v>65</v>
      </c>
      <c r="K594">
        <v>160</v>
      </c>
      <c r="L594">
        <v>78</v>
      </c>
      <c r="M594">
        <v>1</v>
      </c>
      <c r="N594">
        <v>70</v>
      </c>
      <c r="O594">
        <v>8</v>
      </c>
      <c r="P594">
        <v>637</v>
      </c>
      <c r="Q594" s="3">
        <v>1.4285714285714299</v>
      </c>
      <c r="R594">
        <v>0</v>
      </c>
      <c r="S594">
        <v>0</v>
      </c>
      <c r="U594">
        <v>-31.532987577639702</v>
      </c>
      <c r="V594">
        <v>-3.75</v>
      </c>
      <c r="W594">
        <v>-1.73913043478261</v>
      </c>
      <c r="X594">
        <v>-28</v>
      </c>
      <c r="Y594">
        <v>-1E-3</v>
      </c>
      <c r="Z594">
        <v>1.6</v>
      </c>
      <c r="AA594">
        <v>0.35714285714285698</v>
      </c>
    </row>
    <row r="595" spans="3:27" x14ac:dyDescent="0.2">
      <c r="C595" t="s">
        <v>25</v>
      </c>
      <c r="D595" t="s">
        <v>671</v>
      </c>
      <c r="E595">
        <v>150</v>
      </c>
      <c r="F595">
        <v>50</v>
      </c>
      <c r="G595">
        <v>6</v>
      </c>
      <c r="H595">
        <v>2.5</v>
      </c>
      <c r="I595">
        <v>0</v>
      </c>
      <c r="J595">
        <v>10</v>
      </c>
      <c r="K595">
        <v>135</v>
      </c>
      <c r="L595">
        <v>22</v>
      </c>
      <c r="M595">
        <v>1</v>
      </c>
      <c r="N595">
        <v>13</v>
      </c>
      <c r="O595">
        <v>2</v>
      </c>
      <c r="P595">
        <v>163.5</v>
      </c>
      <c r="Q595" s="3">
        <v>1.3333333333333299</v>
      </c>
      <c r="R595">
        <v>0</v>
      </c>
      <c r="S595">
        <v>0</v>
      </c>
      <c r="U595">
        <v>-6.5352484472049701</v>
      </c>
      <c r="V595">
        <v>-0.625</v>
      </c>
      <c r="W595">
        <v>-1.4673913043478299</v>
      </c>
      <c r="X595">
        <v>-5.2</v>
      </c>
      <c r="Y595">
        <v>0</v>
      </c>
      <c r="Z595">
        <v>0.4</v>
      </c>
      <c r="AA595">
        <v>0.35714285714285698</v>
      </c>
    </row>
    <row r="596" spans="3:27" x14ac:dyDescent="0.2">
      <c r="C596" t="s">
        <v>25</v>
      </c>
      <c r="D596" t="s">
        <v>672</v>
      </c>
      <c r="E596">
        <v>150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30</v>
      </c>
      <c r="M596">
        <v>0</v>
      </c>
      <c r="N596">
        <v>30</v>
      </c>
      <c r="O596">
        <v>2</v>
      </c>
      <c r="P596">
        <v>178</v>
      </c>
      <c r="Q596" s="3">
        <v>1.3333333333333299</v>
      </c>
      <c r="R596">
        <v>0</v>
      </c>
      <c r="S596">
        <v>0</v>
      </c>
      <c r="U596">
        <v>-11.6</v>
      </c>
      <c r="V596">
        <v>0</v>
      </c>
      <c r="W596">
        <v>0</v>
      </c>
      <c r="X596">
        <v>-12</v>
      </c>
      <c r="Y596">
        <v>0</v>
      </c>
      <c r="Z596">
        <v>0.4</v>
      </c>
      <c r="AA596">
        <v>0</v>
      </c>
    </row>
    <row r="597" spans="3:27" x14ac:dyDescent="0.2">
      <c r="C597" t="s">
        <v>25</v>
      </c>
      <c r="D597" t="s">
        <v>673</v>
      </c>
      <c r="E597">
        <v>450</v>
      </c>
      <c r="F597">
        <v>180</v>
      </c>
      <c r="G597">
        <v>20</v>
      </c>
      <c r="H597">
        <v>13</v>
      </c>
      <c r="I597">
        <v>1</v>
      </c>
      <c r="J597">
        <v>55</v>
      </c>
      <c r="K597">
        <v>135</v>
      </c>
      <c r="L597">
        <v>61</v>
      </c>
      <c r="M597">
        <v>0</v>
      </c>
      <c r="N597">
        <v>57</v>
      </c>
      <c r="O597">
        <v>6</v>
      </c>
      <c r="P597">
        <v>514</v>
      </c>
      <c r="Q597" s="3">
        <v>1.3333333333333299</v>
      </c>
      <c r="R597">
        <v>0</v>
      </c>
      <c r="S597">
        <v>0</v>
      </c>
      <c r="U597">
        <v>-26.318391304347799</v>
      </c>
      <c r="V597">
        <v>-3.25</v>
      </c>
      <c r="W597">
        <v>-1.4673913043478299</v>
      </c>
      <c r="X597">
        <v>-22.8</v>
      </c>
      <c r="Y597">
        <v>-1E-3</v>
      </c>
      <c r="Z597">
        <v>1.2</v>
      </c>
      <c r="AA597">
        <v>0</v>
      </c>
    </row>
    <row r="598" spans="3:27" x14ac:dyDescent="0.2">
      <c r="C598" t="s">
        <v>25</v>
      </c>
      <c r="D598" t="s">
        <v>677</v>
      </c>
      <c r="E598">
        <v>230</v>
      </c>
      <c r="F598">
        <v>100</v>
      </c>
      <c r="G598">
        <v>11</v>
      </c>
      <c r="H598">
        <v>1.5</v>
      </c>
      <c r="I598">
        <v>0</v>
      </c>
      <c r="J598">
        <v>0</v>
      </c>
      <c r="K598">
        <v>160</v>
      </c>
      <c r="L598">
        <v>29</v>
      </c>
      <c r="M598">
        <v>3</v>
      </c>
      <c r="N598">
        <v>0</v>
      </c>
      <c r="O598">
        <v>3</v>
      </c>
      <c r="P598">
        <v>228.5</v>
      </c>
      <c r="Q598" s="3">
        <v>1.3043478260869601</v>
      </c>
      <c r="R598">
        <v>0</v>
      </c>
      <c r="S598">
        <v>0</v>
      </c>
      <c r="U598">
        <v>-0.442701863354037</v>
      </c>
      <c r="V598">
        <v>-0.375</v>
      </c>
      <c r="W598">
        <v>-1.73913043478261</v>
      </c>
      <c r="X598">
        <v>0</v>
      </c>
      <c r="Y598">
        <v>0</v>
      </c>
      <c r="Z598">
        <v>0.6</v>
      </c>
      <c r="AA598">
        <v>1.0714285714285701</v>
      </c>
    </row>
    <row r="599" spans="3:27" x14ac:dyDescent="0.2">
      <c r="C599" t="s">
        <v>25</v>
      </c>
      <c r="D599" t="s">
        <v>678</v>
      </c>
      <c r="E599">
        <v>460</v>
      </c>
      <c r="F599">
        <v>170</v>
      </c>
      <c r="G599">
        <v>19</v>
      </c>
      <c r="H599">
        <v>9</v>
      </c>
      <c r="I599">
        <v>0</v>
      </c>
      <c r="J599">
        <v>15</v>
      </c>
      <c r="K599">
        <v>370</v>
      </c>
      <c r="L599">
        <v>66</v>
      </c>
      <c r="M599">
        <v>3</v>
      </c>
      <c r="N599">
        <v>32</v>
      </c>
      <c r="O599">
        <v>6</v>
      </c>
      <c r="P599">
        <v>495</v>
      </c>
      <c r="Q599" s="3">
        <v>1.3043478260869601</v>
      </c>
      <c r="R599">
        <v>0</v>
      </c>
      <c r="S599">
        <v>0</v>
      </c>
      <c r="U599">
        <v>-16.800310559006199</v>
      </c>
      <c r="V599">
        <v>-2.25</v>
      </c>
      <c r="W599">
        <v>-4.0217391304347796</v>
      </c>
      <c r="X599">
        <v>-12.8</v>
      </c>
      <c r="Y599">
        <v>0</v>
      </c>
      <c r="Z599">
        <v>1.2</v>
      </c>
      <c r="AA599">
        <v>1.0714285714285701</v>
      </c>
    </row>
    <row r="600" spans="3:27" x14ac:dyDescent="0.2">
      <c r="C600" t="s">
        <v>25</v>
      </c>
      <c r="D600" t="s">
        <v>683</v>
      </c>
      <c r="E600">
        <v>160</v>
      </c>
      <c r="F600">
        <v>70</v>
      </c>
      <c r="G600">
        <v>8</v>
      </c>
      <c r="H600">
        <v>3.5</v>
      </c>
      <c r="I600">
        <v>0</v>
      </c>
      <c r="J600">
        <v>10</v>
      </c>
      <c r="K600">
        <v>90</v>
      </c>
      <c r="L600">
        <v>21</v>
      </c>
      <c r="M600">
        <v>1</v>
      </c>
      <c r="N600">
        <v>15</v>
      </c>
      <c r="O600">
        <v>2</v>
      </c>
      <c r="P600">
        <v>176.5</v>
      </c>
      <c r="Q600" s="3">
        <v>1.25</v>
      </c>
      <c r="R600">
        <v>0</v>
      </c>
      <c r="S600">
        <v>0</v>
      </c>
      <c r="U600">
        <v>-7.0961180124223597</v>
      </c>
      <c r="V600">
        <v>-0.875</v>
      </c>
      <c r="W600">
        <v>-0.97826086956521796</v>
      </c>
      <c r="X600">
        <v>-6</v>
      </c>
      <c r="Y600">
        <v>0</v>
      </c>
      <c r="Z600">
        <v>0.4</v>
      </c>
      <c r="AA600">
        <v>0.35714285714285698</v>
      </c>
    </row>
    <row r="601" spans="3:27" x14ac:dyDescent="0.2">
      <c r="C601" t="s">
        <v>25</v>
      </c>
      <c r="D601" t="s">
        <v>684</v>
      </c>
      <c r="E601">
        <v>160</v>
      </c>
      <c r="F601">
        <v>60</v>
      </c>
      <c r="G601">
        <v>7</v>
      </c>
      <c r="H601">
        <v>3</v>
      </c>
      <c r="I601">
        <v>0</v>
      </c>
      <c r="J601">
        <v>5</v>
      </c>
      <c r="K601">
        <v>120</v>
      </c>
      <c r="L601">
        <v>21</v>
      </c>
      <c r="M601">
        <v>0</v>
      </c>
      <c r="N601">
        <v>11</v>
      </c>
      <c r="O601">
        <v>2</v>
      </c>
      <c r="P601">
        <v>172</v>
      </c>
      <c r="Q601" s="3">
        <v>1.25</v>
      </c>
      <c r="R601">
        <v>0</v>
      </c>
      <c r="S601">
        <v>0</v>
      </c>
      <c r="U601">
        <v>-6.0543478260869596</v>
      </c>
      <c r="V601">
        <v>-0.75</v>
      </c>
      <c r="W601">
        <v>-1.3043478260869601</v>
      </c>
      <c r="X601">
        <v>-4.4000000000000004</v>
      </c>
      <c r="Y601">
        <v>0</v>
      </c>
      <c r="Z601">
        <v>0.4</v>
      </c>
      <c r="AA601">
        <v>0</v>
      </c>
    </row>
    <row r="602" spans="3:27" x14ac:dyDescent="0.2">
      <c r="C602" t="s">
        <v>25</v>
      </c>
      <c r="D602" t="s">
        <v>694</v>
      </c>
      <c r="E602">
        <v>500</v>
      </c>
      <c r="F602">
        <v>220</v>
      </c>
      <c r="G602">
        <v>25</v>
      </c>
      <c r="H602">
        <v>3.5</v>
      </c>
      <c r="I602">
        <v>0</v>
      </c>
      <c r="J602">
        <v>0</v>
      </c>
      <c r="K602">
        <v>350</v>
      </c>
      <c r="L602">
        <v>63</v>
      </c>
      <c r="M602">
        <v>6</v>
      </c>
      <c r="N602">
        <v>0</v>
      </c>
      <c r="O602">
        <v>6</v>
      </c>
      <c r="P602">
        <v>497.5</v>
      </c>
      <c r="Q602" s="3">
        <v>1.2</v>
      </c>
      <c r="R602">
        <v>0</v>
      </c>
      <c r="S602">
        <v>0</v>
      </c>
      <c r="U602">
        <v>-1.33649068322981</v>
      </c>
      <c r="V602">
        <v>-0.875</v>
      </c>
      <c r="W602">
        <v>-3.8043478260869601</v>
      </c>
      <c r="X602">
        <v>0</v>
      </c>
      <c r="Y602">
        <v>0</v>
      </c>
      <c r="Z602">
        <v>1.2</v>
      </c>
      <c r="AA602">
        <v>2.1428571428571401</v>
      </c>
    </row>
    <row r="603" spans="3:27" x14ac:dyDescent="0.2">
      <c r="C603" t="s">
        <v>25</v>
      </c>
      <c r="D603" t="s">
        <v>699</v>
      </c>
      <c r="E603">
        <v>260</v>
      </c>
      <c r="F603">
        <v>5</v>
      </c>
      <c r="G603">
        <v>1</v>
      </c>
      <c r="H603">
        <v>0</v>
      </c>
      <c r="I603">
        <v>0</v>
      </c>
      <c r="J603">
        <v>5</v>
      </c>
      <c r="K603">
        <v>35</v>
      </c>
      <c r="L603">
        <v>60</v>
      </c>
      <c r="M603">
        <v>4</v>
      </c>
      <c r="N603">
        <v>55</v>
      </c>
      <c r="O603">
        <v>3</v>
      </c>
      <c r="P603">
        <v>312</v>
      </c>
      <c r="Q603" s="3">
        <v>1.15384615384615</v>
      </c>
      <c r="R603">
        <v>0</v>
      </c>
      <c r="S603">
        <v>0</v>
      </c>
      <c r="U603">
        <v>-20.351863354037299</v>
      </c>
      <c r="V603">
        <v>0</v>
      </c>
      <c r="W603">
        <v>-0.38043478260869601</v>
      </c>
      <c r="X603">
        <v>-22</v>
      </c>
      <c r="Y603">
        <v>0</v>
      </c>
      <c r="Z603">
        <v>0.6</v>
      </c>
      <c r="AA603">
        <v>1.4285714285714299</v>
      </c>
    </row>
    <row r="604" spans="3:27" x14ac:dyDescent="0.2">
      <c r="C604" t="s">
        <v>25</v>
      </c>
      <c r="D604" t="s">
        <v>703</v>
      </c>
      <c r="E604">
        <v>380</v>
      </c>
      <c r="F604">
        <v>170</v>
      </c>
      <c r="G604">
        <v>19</v>
      </c>
      <c r="H604">
        <v>2.5</v>
      </c>
      <c r="I604">
        <v>0</v>
      </c>
      <c r="J604">
        <v>0</v>
      </c>
      <c r="K604">
        <v>270</v>
      </c>
      <c r="L604">
        <v>48</v>
      </c>
      <c r="M604">
        <v>5</v>
      </c>
      <c r="N604">
        <v>0</v>
      </c>
      <c r="O604">
        <v>4</v>
      </c>
      <c r="P604">
        <v>378.5</v>
      </c>
      <c r="Q604" s="3">
        <v>1.0526315789473699</v>
      </c>
      <c r="R604">
        <v>0</v>
      </c>
      <c r="S604">
        <v>0</v>
      </c>
      <c r="U604">
        <v>-0.97406832298136603</v>
      </c>
      <c r="V604">
        <v>-0.625</v>
      </c>
      <c r="W604">
        <v>-2.9347826086956501</v>
      </c>
      <c r="X604">
        <v>0</v>
      </c>
      <c r="Y604">
        <v>0</v>
      </c>
      <c r="Z604">
        <v>0.8</v>
      </c>
      <c r="AA604">
        <v>1.78571428571429</v>
      </c>
    </row>
    <row r="605" spans="3:27" x14ac:dyDescent="0.2">
      <c r="C605" t="s">
        <v>25</v>
      </c>
      <c r="D605" t="s">
        <v>704</v>
      </c>
      <c r="E605">
        <v>190</v>
      </c>
      <c r="F605">
        <v>170</v>
      </c>
      <c r="G605">
        <v>18</v>
      </c>
      <c r="H605">
        <v>3.5</v>
      </c>
      <c r="I605">
        <v>0</v>
      </c>
      <c r="J605">
        <v>20</v>
      </c>
      <c r="K605">
        <v>500</v>
      </c>
      <c r="L605">
        <v>4</v>
      </c>
      <c r="M605">
        <v>0</v>
      </c>
      <c r="N605">
        <v>2</v>
      </c>
      <c r="O605">
        <v>2</v>
      </c>
      <c r="P605">
        <v>193.5</v>
      </c>
      <c r="Q605" s="3">
        <v>1.0526315789473699</v>
      </c>
      <c r="R605">
        <v>1</v>
      </c>
      <c r="S605">
        <v>0</v>
      </c>
      <c r="U605">
        <v>-6.70978260869565</v>
      </c>
      <c r="V605">
        <v>-0.875</v>
      </c>
      <c r="W605">
        <v>-5.4347826086956497</v>
      </c>
      <c r="X605">
        <v>-0.8</v>
      </c>
      <c r="Y605">
        <v>0</v>
      </c>
      <c r="Z605">
        <v>0.4</v>
      </c>
      <c r="AA605">
        <v>0</v>
      </c>
    </row>
    <row r="606" spans="3:27" x14ac:dyDescent="0.2">
      <c r="C606" t="s">
        <v>25</v>
      </c>
      <c r="D606" t="s">
        <v>705</v>
      </c>
      <c r="E606">
        <v>190</v>
      </c>
      <c r="F606">
        <v>70</v>
      </c>
      <c r="G606">
        <v>8</v>
      </c>
      <c r="H606">
        <v>5</v>
      </c>
      <c r="I606">
        <v>0</v>
      </c>
      <c r="J606">
        <v>30</v>
      </c>
      <c r="K606">
        <v>115</v>
      </c>
      <c r="L606">
        <v>27</v>
      </c>
      <c r="M606">
        <v>0</v>
      </c>
      <c r="N606">
        <v>27</v>
      </c>
      <c r="O606">
        <v>2</v>
      </c>
      <c r="P606">
        <v>220</v>
      </c>
      <c r="Q606" s="3">
        <v>1.0526315789473699</v>
      </c>
      <c r="R606">
        <v>0</v>
      </c>
      <c r="S606">
        <v>0</v>
      </c>
      <c r="U606">
        <v>-12.9</v>
      </c>
      <c r="V606">
        <v>-1.25</v>
      </c>
      <c r="W606">
        <v>-1.25</v>
      </c>
      <c r="X606">
        <v>-10.8</v>
      </c>
      <c r="Y606">
        <v>0</v>
      </c>
      <c r="Z606">
        <v>0.4</v>
      </c>
      <c r="AA606">
        <v>0</v>
      </c>
    </row>
    <row r="607" spans="3:27" x14ac:dyDescent="0.2">
      <c r="C607" t="s">
        <v>25</v>
      </c>
      <c r="D607" t="s">
        <v>706</v>
      </c>
      <c r="E607">
        <v>190</v>
      </c>
      <c r="F607">
        <v>70</v>
      </c>
      <c r="G607">
        <v>8</v>
      </c>
      <c r="H607">
        <v>5</v>
      </c>
      <c r="I607">
        <v>0</v>
      </c>
      <c r="J607">
        <v>30</v>
      </c>
      <c r="K607">
        <v>60</v>
      </c>
      <c r="L607">
        <v>29</v>
      </c>
      <c r="M607">
        <v>0</v>
      </c>
      <c r="N607">
        <v>29</v>
      </c>
      <c r="O607">
        <v>2</v>
      </c>
      <c r="P607">
        <v>222</v>
      </c>
      <c r="Q607" s="3">
        <v>1.0526315789473699</v>
      </c>
      <c r="R607">
        <v>0</v>
      </c>
      <c r="S607">
        <v>0</v>
      </c>
      <c r="U607">
        <v>-13.102173913043501</v>
      </c>
      <c r="V607">
        <v>-1.25</v>
      </c>
      <c r="W607">
        <v>-0.65217391304347805</v>
      </c>
      <c r="X607">
        <v>-11.6</v>
      </c>
      <c r="Y607">
        <v>0</v>
      </c>
      <c r="Z607">
        <v>0.4</v>
      </c>
      <c r="AA607">
        <v>0</v>
      </c>
    </row>
    <row r="608" spans="3:27" x14ac:dyDescent="0.2">
      <c r="C608" t="s">
        <v>25</v>
      </c>
      <c r="D608" t="s">
        <v>707</v>
      </c>
      <c r="E608">
        <v>190</v>
      </c>
      <c r="F608">
        <v>70</v>
      </c>
      <c r="G608">
        <v>8</v>
      </c>
      <c r="H608">
        <v>5</v>
      </c>
      <c r="I608">
        <v>0</v>
      </c>
      <c r="J608">
        <v>30</v>
      </c>
      <c r="K608">
        <v>60</v>
      </c>
      <c r="L608">
        <v>29</v>
      </c>
      <c r="M608">
        <v>0</v>
      </c>
      <c r="N608">
        <v>28</v>
      </c>
      <c r="O608">
        <v>2</v>
      </c>
      <c r="P608">
        <v>221</v>
      </c>
      <c r="Q608" s="3">
        <v>1.0526315789473699</v>
      </c>
      <c r="R608">
        <v>0</v>
      </c>
      <c r="S608">
        <v>0</v>
      </c>
      <c r="U608">
        <v>-12.702173913043501</v>
      </c>
      <c r="V608">
        <v>-1.25</v>
      </c>
      <c r="W608">
        <v>-0.65217391304347805</v>
      </c>
      <c r="X608">
        <v>-11.2</v>
      </c>
      <c r="Y608">
        <v>0</v>
      </c>
      <c r="Z608">
        <v>0.4</v>
      </c>
      <c r="AA608">
        <v>0</v>
      </c>
    </row>
    <row r="609" spans="3:27" x14ac:dyDescent="0.2">
      <c r="C609" t="s">
        <v>25</v>
      </c>
      <c r="D609" t="s">
        <v>709</v>
      </c>
      <c r="E609">
        <v>100</v>
      </c>
      <c r="F609">
        <v>50</v>
      </c>
      <c r="G609">
        <v>6</v>
      </c>
      <c r="H609">
        <v>1</v>
      </c>
      <c r="I609">
        <v>0</v>
      </c>
      <c r="J609">
        <v>20</v>
      </c>
      <c r="K609">
        <v>340</v>
      </c>
      <c r="L609">
        <v>11</v>
      </c>
      <c r="M609">
        <v>0</v>
      </c>
      <c r="N609">
        <v>3</v>
      </c>
      <c r="O609">
        <v>1</v>
      </c>
      <c r="P609">
        <v>103</v>
      </c>
      <c r="Q609" s="3">
        <v>1</v>
      </c>
      <c r="R609">
        <v>0</v>
      </c>
      <c r="S609">
        <v>0</v>
      </c>
      <c r="U609">
        <v>-4.9456521739130404</v>
      </c>
      <c r="V609">
        <v>-0.25</v>
      </c>
      <c r="W609">
        <v>-3.6956521739130399</v>
      </c>
      <c r="X609">
        <v>-1.2</v>
      </c>
      <c r="Y609">
        <v>0</v>
      </c>
      <c r="Z609">
        <v>0.2</v>
      </c>
      <c r="AA609">
        <v>0</v>
      </c>
    </row>
    <row r="610" spans="3:27" x14ac:dyDescent="0.2">
      <c r="C610" t="s">
        <v>25</v>
      </c>
      <c r="D610" t="s">
        <v>710</v>
      </c>
      <c r="E610">
        <v>200</v>
      </c>
      <c r="F610">
        <v>70</v>
      </c>
      <c r="G610">
        <v>8</v>
      </c>
      <c r="H610">
        <v>5</v>
      </c>
      <c r="I610">
        <v>0</v>
      </c>
      <c r="J610">
        <v>30</v>
      </c>
      <c r="K610">
        <v>60</v>
      </c>
      <c r="L610">
        <v>30</v>
      </c>
      <c r="M610">
        <v>0</v>
      </c>
      <c r="N610">
        <v>30</v>
      </c>
      <c r="O610">
        <v>2</v>
      </c>
      <c r="P610">
        <v>233</v>
      </c>
      <c r="Q610" s="3">
        <v>1</v>
      </c>
      <c r="R610">
        <v>0</v>
      </c>
      <c r="S610">
        <v>0</v>
      </c>
      <c r="U610">
        <v>-13.502173913043499</v>
      </c>
      <c r="V610">
        <v>-1.25</v>
      </c>
      <c r="W610">
        <v>-0.65217391304347805</v>
      </c>
      <c r="X610">
        <v>-12</v>
      </c>
      <c r="Y610">
        <v>0</v>
      </c>
      <c r="Z610">
        <v>0.4</v>
      </c>
      <c r="AA610">
        <v>0</v>
      </c>
    </row>
    <row r="611" spans="3:27" x14ac:dyDescent="0.2">
      <c r="C611" t="s">
        <v>25</v>
      </c>
      <c r="D611" t="s">
        <v>722</v>
      </c>
      <c r="E611">
        <v>210</v>
      </c>
      <c r="F611">
        <v>5</v>
      </c>
      <c r="G611">
        <v>0.5</v>
      </c>
      <c r="H611">
        <v>0</v>
      </c>
      <c r="I611">
        <v>0</v>
      </c>
      <c r="J611">
        <v>5</v>
      </c>
      <c r="K611">
        <v>35</v>
      </c>
      <c r="L611">
        <v>49</v>
      </c>
      <c r="M611">
        <v>2</v>
      </c>
      <c r="N611">
        <v>44</v>
      </c>
      <c r="O611">
        <v>2</v>
      </c>
      <c r="P611">
        <v>252</v>
      </c>
      <c r="Q611" s="3">
        <v>0.952380952380952</v>
      </c>
      <c r="R611">
        <v>0</v>
      </c>
      <c r="S611">
        <v>0</v>
      </c>
      <c r="U611">
        <v>-16.866149068323001</v>
      </c>
      <c r="V611">
        <v>0</v>
      </c>
      <c r="W611">
        <v>-0.38043478260869601</v>
      </c>
      <c r="X611">
        <v>-17.600000000000001</v>
      </c>
      <c r="Y611">
        <v>0</v>
      </c>
      <c r="Z611">
        <v>0.4</v>
      </c>
      <c r="AA611">
        <v>0.71428571428571397</v>
      </c>
    </row>
    <row r="612" spans="3:27" x14ac:dyDescent="0.2">
      <c r="C612" t="s">
        <v>25</v>
      </c>
      <c r="D612" t="s">
        <v>723</v>
      </c>
      <c r="E612">
        <v>210</v>
      </c>
      <c r="F612">
        <v>5</v>
      </c>
      <c r="G612">
        <v>0.5</v>
      </c>
      <c r="H612">
        <v>0</v>
      </c>
      <c r="I612">
        <v>0</v>
      </c>
      <c r="J612">
        <v>5</v>
      </c>
      <c r="K612">
        <v>30</v>
      </c>
      <c r="L612">
        <v>48</v>
      </c>
      <c r="M612">
        <v>3</v>
      </c>
      <c r="N612">
        <v>44</v>
      </c>
      <c r="O612">
        <v>2</v>
      </c>
      <c r="P612">
        <v>252</v>
      </c>
      <c r="Q612" s="3">
        <v>0.952380952380952</v>
      </c>
      <c r="R612">
        <v>0</v>
      </c>
      <c r="S612">
        <v>0</v>
      </c>
      <c r="U612">
        <v>-16.4546583850932</v>
      </c>
      <c r="V612">
        <v>0</v>
      </c>
      <c r="W612">
        <v>-0.32608695652173902</v>
      </c>
      <c r="X612">
        <v>-17.600000000000001</v>
      </c>
      <c r="Y612">
        <v>0</v>
      </c>
      <c r="Z612">
        <v>0.4</v>
      </c>
      <c r="AA612">
        <v>1.0714285714285701</v>
      </c>
    </row>
    <row r="613" spans="3:27" x14ac:dyDescent="0.2">
      <c r="C613" t="s">
        <v>25</v>
      </c>
      <c r="D613" t="s">
        <v>724</v>
      </c>
      <c r="E613">
        <v>320</v>
      </c>
      <c r="F613">
        <v>10</v>
      </c>
      <c r="G613">
        <v>1</v>
      </c>
      <c r="H613">
        <v>0.5</v>
      </c>
      <c r="I613">
        <v>0</v>
      </c>
      <c r="J613">
        <v>5</v>
      </c>
      <c r="K613">
        <v>45</v>
      </c>
      <c r="L613">
        <v>75</v>
      </c>
      <c r="M613">
        <v>4</v>
      </c>
      <c r="N613">
        <v>69</v>
      </c>
      <c r="O613">
        <v>3</v>
      </c>
      <c r="P613">
        <v>386.5</v>
      </c>
      <c r="Q613" s="3">
        <v>0.9375</v>
      </c>
      <c r="R613">
        <v>0</v>
      </c>
      <c r="S613">
        <v>0</v>
      </c>
      <c r="U613">
        <v>-26.1855590062112</v>
      </c>
      <c r="V613">
        <v>-0.125</v>
      </c>
      <c r="W613">
        <v>-0.48913043478260898</v>
      </c>
      <c r="X613">
        <v>-27.6</v>
      </c>
      <c r="Y613">
        <v>0</v>
      </c>
      <c r="Z613">
        <v>0.6</v>
      </c>
      <c r="AA613">
        <v>1.4285714285714299</v>
      </c>
    </row>
    <row r="614" spans="3:27" x14ac:dyDescent="0.2">
      <c r="C614" t="s">
        <v>25</v>
      </c>
      <c r="D614" t="s">
        <v>726</v>
      </c>
      <c r="E614">
        <v>330</v>
      </c>
      <c r="F614">
        <v>10</v>
      </c>
      <c r="G614">
        <v>1</v>
      </c>
      <c r="H614">
        <v>0.5</v>
      </c>
      <c r="I614">
        <v>0</v>
      </c>
      <c r="J614">
        <v>5</v>
      </c>
      <c r="K614">
        <v>55</v>
      </c>
      <c r="L614">
        <v>77</v>
      </c>
      <c r="M614">
        <v>4</v>
      </c>
      <c r="N614">
        <v>70</v>
      </c>
      <c r="O614">
        <v>3</v>
      </c>
      <c r="P614">
        <v>397.5</v>
      </c>
      <c r="Q614" s="3">
        <v>0.90909090909090895</v>
      </c>
      <c r="R614">
        <v>0</v>
      </c>
      <c r="S614">
        <v>0</v>
      </c>
      <c r="U614">
        <v>-26.694254658385098</v>
      </c>
      <c r="V614">
        <v>-0.125</v>
      </c>
      <c r="W614">
        <v>-0.59782608695652195</v>
      </c>
      <c r="X614">
        <v>-28</v>
      </c>
      <c r="Y614">
        <v>0</v>
      </c>
      <c r="Z614">
        <v>0.6</v>
      </c>
      <c r="AA614">
        <v>1.4285714285714299</v>
      </c>
    </row>
    <row r="615" spans="3:27" x14ac:dyDescent="0.2">
      <c r="C615" t="s">
        <v>25</v>
      </c>
      <c r="D615" t="s">
        <v>736</v>
      </c>
      <c r="E615">
        <v>250</v>
      </c>
      <c r="F615">
        <v>110</v>
      </c>
      <c r="G615">
        <v>13</v>
      </c>
      <c r="H615">
        <v>7</v>
      </c>
      <c r="I615">
        <v>0</v>
      </c>
      <c r="J615">
        <v>0</v>
      </c>
      <c r="K615">
        <v>170</v>
      </c>
      <c r="L615">
        <v>32</v>
      </c>
      <c r="M615">
        <v>4</v>
      </c>
      <c r="N615">
        <v>13</v>
      </c>
      <c r="O615">
        <v>2</v>
      </c>
      <c r="P615">
        <v>268</v>
      </c>
      <c r="Q615" s="3">
        <v>0.8</v>
      </c>
      <c r="R615">
        <v>0</v>
      </c>
      <c r="S615">
        <v>0</v>
      </c>
      <c r="U615">
        <v>-6.9692546583850898</v>
      </c>
      <c r="V615">
        <v>-1.75</v>
      </c>
      <c r="W615">
        <v>-1.84782608695652</v>
      </c>
      <c r="X615">
        <v>-5.2</v>
      </c>
      <c r="Y615">
        <v>0</v>
      </c>
      <c r="Z615">
        <v>0.4</v>
      </c>
      <c r="AA615">
        <v>1.4285714285714299</v>
      </c>
    </row>
    <row r="616" spans="3:27" x14ac:dyDescent="0.2">
      <c r="C616" t="s">
        <v>25</v>
      </c>
      <c r="D616" t="s">
        <v>739</v>
      </c>
      <c r="E616">
        <v>130</v>
      </c>
      <c r="F616">
        <v>50</v>
      </c>
      <c r="G616">
        <v>5</v>
      </c>
      <c r="H616">
        <v>3.5</v>
      </c>
      <c r="I616">
        <v>0</v>
      </c>
      <c r="J616">
        <v>20</v>
      </c>
      <c r="K616">
        <v>80</v>
      </c>
      <c r="L616">
        <v>21</v>
      </c>
      <c r="M616">
        <v>0</v>
      </c>
      <c r="N616">
        <v>20</v>
      </c>
      <c r="O616">
        <v>1</v>
      </c>
      <c r="P616">
        <v>152.5</v>
      </c>
      <c r="Q616" s="3">
        <v>0.76923076923076905</v>
      </c>
      <c r="R616">
        <v>0</v>
      </c>
      <c r="S616">
        <v>0</v>
      </c>
      <c r="U616">
        <v>-9.5445652173913107</v>
      </c>
      <c r="V616">
        <v>-0.875</v>
      </c>
      <c r="W616">
        <v>-0.86956521739130399</v>
      </c>
      <c r="X616">
        <v>-8</v>
      </c>
      <c r="Y616">
        <v>0</v>
      </c>
      <c r="Z616">
        <v>0.2</v>
      </c>
      <c r="AA616">
        <v>0</v>
      </c>
    </row>
    <row r="617" spans="3:27" x14ac:dyDescent="0.2">
      <c r="C617" t="s">
        <v>25</v>
      </c>
      <c r="D617" t="s">
        <v>740</v>
      </c>
      <c r="E617">
        <v>130</v>
      </c>
      <c r="F617">
        <v>50</v>
      </c>
      <c r="G617">
        <v>5</v>
      </c>
      <c r="H617">
        <v>3.5</v>
      </c>
      <c r="I617">
        <v>0</v>
      </c>
      <c r="J617">
        <v>20</v>
      </c>
      <c r="K617">
        <v>40</v>
      </c>
      <c r="L617">
        <v>21</v>
      </c>
      <c r="M617">
        <v>0</v>
      </c>
      <c r="N617">
        <v>21</v>
      </c>
      <c r="O617">
        <v>1</v>
      </c>
      <c r="P617">
        <v>153.5</v>
      </c>
      <c r="Q617" s="3">
        <v>0.76923076923076905</v>
      </c>
      <c r="R617">
        <v>0</v>
      </c>
      <c r="S617">
        <v>0</v>
      </c>
      <c r="U617">
        <v>-9.5097826086956498</v>
      </c>
      <c r="V617">
        <v>-0.875</v>
      </c>
      <c r="W617">
        <v>-0.434782608695652</v>
      </c>
      <c r="X617">
        <v>-8.4</v>
      </c>
      <c r="Y617">
        <v>0</v>
      </c>
      <c r="Z617">
        <v>0.2</v>
      </c>
      <c r="AA617">
        <v>0</v>
      </c>
    </row>
    <row r="618" spans="3:27" x14ac:dyDescent="0.2">
      <c r="C618" t="s">
        <v>25</v>
      </c>
      <c r="D618" t="s">
        <v>741</v>
      </c>
      <c r="E618">
        <v>130</v>
      </c>
      <c r="F618">
        <v>50</v>
      </c>
      <c r="G618">
        <v>5</v>
      </c>
      <c r="H618">
        <v>3.5</v>
      </c>
      <c r="I618">
        <v>0</v>
      </c>
      <c r="J618">
        <v>20</v>
      </c>
      <c r="K618">
        <v>40</v>
      </c>
      <c r="L618">
        <v>21</v>
      </c>
      <c r="M618">
        <v>0</v>
      </c>
      <c r="N618">
        <v>21</v>
      </c>
      <c r="O618">
        <v>1</v>
      </c>
      <c r="P618">
        <v>153.5</v>
      </c>
      <c r="Q618" s="3">
        <v>0.76923076923076905</v>
      </c>
      <c r="R618">
        <v>0</v>
      </c>
      <c r="S618">
        <v>0</v>
      </c>
      <c r="U618">
        <v>-9.5097826086956498</v>
      </c>
      <c r="V618">
        <v>-0.875</v>
      </c>
      <c r="W618">
        <v>-0.434782608695652</v>
      </c>
      <c r="X618">
        <v>-8.4</v>
      </c>
      <c r="Y618">
        <v>0</v>
      </c>
      <c r="Z618">
        <v>0.2</v>
      </c>
      <c r="AA618">
        <v>0</v>
      </c>
    </row>
    <row r="619" spans="3:27" x14ac:dyDescent="0.2">
      <c r="C619" t="s">
        <v>25</v>
      </c>
      <c r="D619" t="s">
        <v>742</v>
      </c>
      <c r="E619">
        <v>260</v>
      </c>
      <c r="F619">
        <v>5</v>
      </c>
      <c r="G619">
        <v>1</v>
      </c>
      <c r="H619">
        <v>0</v>
      </c>
      <c r="I619">
        <v>0</v>
      </c>
      <c r="J619">
        <v>5</v>
      </c>
      <c r="K619">
        <v>40</v>
      </c>
      <c r="L619">
        <v>60</v>
      </c>
      <c r="M619">
        <v>3</v>
      </c>
      <c r="N619">
        <v>54</v>
      </c>
      <c r="O619">
        <v>2</v>
      </c>
      <c r="P619">
        <v>312</v>
      </c>
      <c r="Q619" s="3">
        <v>0.76923076923076905</v>
      </c>
      <c r="R619">
        <v>0</v>
      </c>
      <c r="S619">
        <v>0</v>
      </c>
      <c r="U619">
        <v>-20.5633540372671</v>
      </c>
      <c r="V619">
        <v>0</v>
      </c>
      <c r="W619">
        <v>-0.434782608695652</v>
      </c>
      <c r="X619">
        <v>-21.6</v>
      </c>
      <c r="Y619">
        <v>0</v>
      </c>
      <c r="Z619">
        <v>0.4</v>
      </c>
      <c r="AA619">
        <v>1.0714285714285701</v>
      </c>
    </row>
    <row r="620" spans="3:27" x14ac:dyDescent="0.2">
      <c r="C620" t="s">
        <v>25</v>
      </c>
      <c r="D620" t="s">
        <v>746</v>
      </c>
      <c r="E620">
        <v>270</v>
      </c>
      <c r="F620">
        <v>100</v>
      </c>
      <c r="G620">
        <v>11</v>
      </c>
      <c r="H620">
        <v>7</v>
      </c>
      <c r="I620">
        <v>0</v>
      </c>
      <c r="J620">
        <v>40</v>
      </c>
      <c r="K620">
        <v>160</v>
      </c>
      <c r="L620">
        <v>41</v>
      </c>
      <c r="M620">
        <v>0</v>
      </c>
      <c r="N620">
        <v>41</v>
      </c>
      <c r="O620">
        <v>2</v>
      </c>
      <c r="P620">
        <v>316</v>
      </c>
      <c r="Q620" s="3">
        <v>0.74074074074074103</v>
      </c>
      <c r="R620">
        <v>0</v>
      </c>
      <c r="S620">
        <v>0</v>
      </c>
      <c r="U620">
        <v>-19.489130434782599</v>
      </c>
      <c r="V620">
        <v>-1.75</v>
      </c>
      <c r="W620">
        <v>-1.73913043478261</v>
      </c>
      <c r="X620">
        <v>-16.399999999999999</v>
      </c>
      <c r="Y620">
        <v>0</v>
      </c>
      <c r="Z620">
        <v>0.4</v>
      </c>
      <c r="AA620">
        <v>0</v>
      </c>
    </row>
    <row r="621" spans="3:27" x14ac:dyDescent="0.2">
      <c r="C621" t="s">
        <v>25</v>
      </c>
      <c r="D621" t="s">
        <v>747</v>
      </c>
      <c r="E621">
        <v>270</v>
      </c>
      <c r="F621">
        <v>100</v>
      </c>
      <c r="G621">
        <v>11</v>
      </c>
      <c r="H621">
        <v>7</v>
      </c>
      <c r="I621">
        <v>0</v>
      </c>
      <c r="J621">
        <v>40</v>
      </c>
      <c r="K621">
        <v>85</v>
      </c>
      <c r="L621">
        <v>43</v>
      </c>
      <c r="M621">
        <v>0</v>
      </c>
      <c r="N621">
        <v>43</v>
      </c>
      <c r="O621">
        <v>2</v>
      </c>
      <c r="P621">
        <v>318</v>
      </c>
      <c r="Q621" s="3">
        <v>0.74074074074074103</v>
      </c>
      <c r="R621">
        <v>0</v>
      </c>
      <c r="S621">
        <v>0</v>
      </c>
      <c r="U621">
        <v>-19.473913043478301</v>
      </c>
      <c r="V621">
        <v>-1.75</v>
      </c>
      <c r="W621">
        <v>-0.92391304347826098</v>
      </c>
      <c r="X621">
        <v>-17.2</v>
      </c>
      <c r="Y621">
        <v>0</v>
      </c>
      <c r="Z621">
        <v>0.4</v>
      </c>
      <c r="AA621">
        <v>0</v>
      </c>
    </row>
    <row r="622" spans="3:27" x14ac:dyDescent="0.2">
      <c r="C622" t="s">
        <v>25</v>
      </c>
      <c r="D622" t="s">
        <v>748</v>
      </c>
      <c r="E622">
        <v>270</v>
      </c>
      <c r="F622">
        <v>100</v>
      </c>
      <c r="G622">
        <v>11</v>
      </c>
      <c r="H622">
        <v>7</v>
      </c>
      <c r="I622">
        <v>0</v>
      </c>
      <c r="J622">
        <v>40</v>
      </c>
      <c r="K622">
        <v>80</v>
      </c>
      <c r="L622">
        <v>43</v>
      </c>
      <c r="M622">
        <v>0</v>
      </c>
      <c r="N622">
        <v>43</v>
      </c>
      <c r="O622">
        <v>2</v>
      </c>
      <c r="P622">
        <v>318</v>
      </c>
      <c r="Q622" s="3">
        <v>0.74074074074074103</v>
      </c>
      <c r="R622">
        <v>0</v>
      </c>
      <c r="S622">
        <v>0</v>
      </c>
      <c r="U622">
        <v>-19.419565217391298</v>
      </c>
      <c r="V622">
        <v>-1.75</v>
      </c>
      <c r="W622">
        <v>-0.86956521739130399</v>
      </c>
      <c r="X622">
        <v>-17.2</v>
      </c>
      <c r="Y622">
        <v>0</v>
      </c>
      <c r="Z622">
        <v>0.4</v>
      </c>
      <c r="AA622">
        <v>0</v>
      </c>
    </row>
    <row r="623" spans="3:27" x14ac:dyDescent="0.2">
      <c r="C623" t="s">
        <v>25</v>
      </c>
      <c r="D623" t="s">
        <v>749</v>
      </c>
      <c r="E623">
        <v>140</v>
      </c>
      <c r="F623">
        <v>50</v>
      </c>
      <c r="G623">
        <v>5</v>
      </c>
      <c r="H623">
        <v>3.5</v>
      </c>
      <c r="I623">
        <v>0</v>
      </c>
      <c r="J623">
        <v>20</v>
      </c>
      <c r="K623">
        <v>40</v>
      </c>
      <c r="L623">
        <v>22</v>
      </c>
      <c r="M623">
        <v>0</v>
      </c>
      <c r="N623">
        <v>22</v>
      </c>
      <c r="O623">
        <v>1</v>
      </c>
      <c r="P623">
        <v>164.5</v>
      </c>
      <c r="Q623" s="3">
        <v>0.71428571428571397</v>
      </c>
      <c r="R623">
        <v>0</v>
      </c>
      <c r="S623">
        <v>0</v>
      </c>
      <c r="U623">
        <v>-9.9097826086956502</v>
      </c>
      <c r="V623">
        <v>-0.875</v>
      </c>
      <c r="W623">
        <v>-0.434782608695652</v>
      </c>
      <c r="X623">
        <v>-8.8000000000000007</v>
      </c>
      <c r="Y623">
        <v>0</v>
      </c>
      <c r="Z623">
        <v>0.2</v>
      </c>
      <c r="AA623">
        <v>0</v>
      </c>
    </row>
    <row r="624" spans="3:27" x14ac:dyDescent="0.2">
      <c r="C624" t="s">
        <v>25</v>
      </c>
      <c r="D624" t="s">
        <v>750</v>
      </c>
      <c r="E624">
        <v>280</v>
      </c>
      <c r="F624">
        <v>100</v>
      </c>
      <c r="G624">
        <v>11</v>
      </c>
      <c r="H624">
        <v>7</v>
      </c>
      <c r="I624">
        <v>0</v>
      </c>
      <c r="J624">
        <v>40</v>
      </c>
      <c r="K624">
        <v>85</v>
      </c>
      <c r="L624">
        <v>45</v>
      </c>
      <c r="M624">
        <v>0</v>
      </c>
      <c r="N624">
        <v>45</v>
      </c>
      <c r="O624">
        <v>2</v>
      </c>
      <c r="P624">
        <v>330</v>
      </c>
      <c r="Q624" s="3">
        <v>0.71428571428571397</v>
      </c>
      <c r="R624">
        <v>0</v>
      </c>
      <c r="S624">
        <v>0</v>
      </c>
      <c r="U624">
        <v>-20.273913043478299</v>
      </c>
      <c r="V624">
        <v>-1.75</v>
      </c>
      <c r="W624">
        <v>-0.92391304347826098</v>
      </c>
      <c r="X624">
        <v>-18</v>
      </c>
      <c r="Y624">
        <v>0</v>
      </c>
      <c r="Z624">
        <v>0.4</v>
      </c>
      <c r="AA624">
        <v>0</v>
      </c>
    </row>
    <row r="625" spans="3:27" x14ac:dyDescent="0.2">
      <c r="C625" t="s">
        <v>25</v>
      </c>
      <c r="D625" t="s">
        <v>753</v>
      </c>
      <c r="E625">
        <v>150</v>
      </c>
      <c r="F625">
        <v>80</v>
      </c>
      <c r="G625">
        <v>9</v>
      </c>
      <c r="H625">
        <v>1.5</v>
      </c>
      <c r="I625">
        <v>0</v>
      </c>
      <c r="J625">
        <v>0</v>
      </c>
      <c r="K625">
        <v>310</v>
      </c>
      <c r="L625">
        <v>15</v>
      </c>
      <c r="M625">
        <v>2</v>
      </c>
      <c r="N625">
        <v>0</v>
      </c>
      <c r="O625">
        <v>1</v>
      </c>
      <c r="P625">
        <v>150.5</v>
      </c>
      <c r="Q625" s="3">
        <v>0.66666666666666696</v>
      </c>
      <c r="R625">
        <v>0</v>
      </c>
      <c r="S625">
        <v>0</v>
      </c>
      <c r="U625">
        <v>-2.8302795031055901</v>
      </c>
      <c r="V625">
        <v>-0.375</v>
      </c>
      <c r="W625">
        <v>-3.3695652173913002</v>
      </c>
      <c r="X625">
        <v>0</v>
      </c>
      <c r="Y625">
        <v>0</v>
      </c>
      <c r="Z625">
        <v>0.2</v>
      </c>
      <c r="AA625">
        <v>0.71428571428571397</v>
      </c>
    </row>
    <row r="626" spans="3:27" x14ac:dyDescent="0.2">
      <c r="C626" t="s">
        <v>25</v>
      </c>
      <c r="D626" t="s">
        <v>754</v>
      </c>
      <c r="E626">
        <v>150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10</v>
      </c>
      <c r="L626">
        <v>36</v>
      </c>
      <c r="M626">
        <v>0</v>
      </c>
      <c r="N626">
        <v>36</v>
      </c>
      <c r="O626">
        <v>1</v>
      </c>
      <c r="P626">
        <v>185</v>
      </c>
      <c r="Q626" s="3">
        <v>0.66666666666666696</v>
      </c>
      <c r="R626">
        <v>0</v>
      </c>
      <c r="S626">
        <v>0</v>
      </c>
      <c r="U626">
        <v>-14.308695652173901</v>
      </c>
      <c r="V626">
        <v>0</v>
      </c>
      <c r="W626">
        <v>-0.108695652173913</v>
      </c>
      <c r="X626">
        <v>-14.4</v>
      </c>
      <c r="Y626">
        <v>0</v>
      </c>
      <c r="Z626">
        <v>0.2</v>
      </c>
      <c r="AA626">
        <v>0</v>
      </c>
    </row>
    <row r="627" spans="3:27" x14ac:dyDescent="0.2">
      <c r="C627" t="s">
        <v>25</v>
      </c>
      <c r="D627" t="s">
        <v>761</v>
      </c>
      <c r="E627">
        <v>170</v>
      </c>
      <c r="F627">
        <v>130</v>
      </c>
      <c r="G627">
        <v>15</v>
      </c>
      <c r="H627">
        <v>2.5</v>
      </c>
      <c r="I627">
        <v>0</v>
      </c>
      <c r="J627">
        <v>20</v>
      </c>
      <c r="K627">
        <v>530</v>
      </c>
      <c r="L627">
        <v>9</v>
      </c>
      <c r="M627">
        <v>0</v>
      </c>
      <c r="N627">
        <v>4</v>
      </c>
      <c r="O627">
        <v>1</v>
      </c>
      <c r="P627">
        <v>175.5</v>
      </c>
      <c r="Q627" s="3">
        <v>0.58823529411764697</v>
      </c>
      <c r="R627">
        <v>1</v>
      </c>
      <c r="S627">
        <v>0</v>
      </c>
      <c r="U627">
        <v>-7.7858695652173902</v>
      </c>
      <c r="V627">
        <v>-0.625</v>
      </c>
      <c r="W627">
        <v>-5.7608695652173898</v>
      </c>
      <c r="X627">
        <v>-1.6</v>
      </c>
      <c r="Y627">
        <v>0</v>
      </c>
      <c r="Z627">
        <v>0.2</v>
      </c>
      <c r="AA627">
        <v>0</v>
      </c>
    </row>
    <row r="628" spans="3:27" x14ac:dyDescent="0.2">
      <c r="C628" t="s">
        <v>25</v>
      </c>
      <c r="D628" t="s">
        <v>767</v>
      </c>
      <c r="E628">
        <v>180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10</v>
      </c>
      <c r="L628">
        <v>45</v>
      </c>
      <c r="M628">
        <v>0</v>
      </c>
      <c r="N628">
        <v>45</v>
      </c>
      <c r="O628">
        <v>1</v>
      </c>
      <c r="P628">
        <v>224</v>
      </c>
      <c r="Q628" s="3">
        <v>0.55555555555555602</v>
      </c>
      <c r="R628">
        <v>0</v>
      </c>
      <c r="S628">
        <v>0</v>
      </c>
      <c r="U628">
        <v>-17.9086956521739</v>
      </c>
      <c r="V628">
        <v>0</v>
      </c>
      <c r="W628">
        <v>-0.108695652173913</v>
      </c>
      <c r="X628">
        <v>-18</v>
      </c>
      <c r="Y628">
        <v>0</v>
      </c>
      <c r="Z628">
        <v>0.2</v>
      </c>
      <c r="AA628">
        <v>0</v>
      </c>
    </row>
    <row r="629" spans="3:27" x14ac:dyDescent="0.2">
      <c r="C629" t="s">
        <v>25</v>
      </c>
      <c r="D629" t="s">
        <v>769</v>
      </c>
      <c r="E629">
        <v>280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15</v>
      </c>
      <c r="L629">
        <v>69</v>
      </c>
      <c r="M629">
        <v>0</v>
      </c>
      <c r="N629">
        <v>69</v>
      </c>
      <c r="O629">
        <v>1</v>
      </c>
      <c r="P629">
        <v>348</v>
      </c>
      <c r="Q629" s="3">
        <v>0.35714285714285698</v>
      </c>
      <c r="R629">
        <v>0</v>
      </c>
      <c r="S629">
        <v>0</v>
      </c>
      <c r="U629">
        <v>-27.563043478260902</v>
      </c>
      <c r="V629">
        <v>0</v>
      </c>
      <c r="W629">
        <v>-0.16304347826087001</v>
      </c>
      <c r="X629">
        <v>-27.6</v>
      </c>
      <c r="Y629">
        <v>0</v>
      </c>
      <c r="Z629">
        <v>0.2</v>
      </c>
      <c r="AA629">
        <v>0</v>
      </c>
    </row>
    <row r="630" spans="3:27" x14ac:dyDescent="0.2">
      <c r="C630" t="s">
        <v>25</v>
      </c>
      <c r="D630" t="s">
        <v>770</v>
      </c>
      <c r="E630">
        <v>15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110</v>
      </c>
      <c r="L630">
        <v>3</v>
      </c>
      <c r="M630">
        <v>0</v>
      </c>
      <c r="N630">
        <v>2</v>
      </c>
      <c r="O630">
        <v>0</v>
      </c>
      <c r="P630">
        <v>17</v>
      </c>
      <c r="Q630" s="3">
        <v>0</v>
      </c>
      <c r="R630">
        <v>0</v>
      </c>
      <c r="S630">
        <v>0</v>
      </c>
      <c r="U630">
        <v>-1.99565217391304</v>
      </c>
      <c r="V630">
        <v>0</v>
      </c>
      <c r="W630">
        <v>-1.1956521739130399</v>
      </c>
      <c r="X630">
        <v>-0.8</v>
      </c>
      <c r="Y630">
        <v>0</v>
      </c>
      <c r="Z630">
        <v>0</v>
      </c>
      <c r="AA630">
        <v>0</v>
      </c>
    </row>
    <row r="631" spans="3:27" x14ac:dyDescent="0.2">
      <c r="C631" t="s">
        <v>25</v>
      </c>
      <c r="D631" t="s">
        <v>771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270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>
        <v>-2.9347826086956501</v>
      </c>
      <c r="V631">
        <v>0</v>
      </c>
      <c r="W631">
        <v>-2.9347826086956501</v>
      </c>
      <c r="X631">
        <v>0</v>
      </c>
      <c r="Y631">
        <v>0</v>
      </c>
      <c r="Z631">
        <v>0</v>
      </c>
      <c r="AA631">
        <v>0</v>
      </c>
    </row>
    <row r="632" spans="3:27" x14ac:dyDescent="0.2">
      <c r="C632" t="s">
        <v>25</v>
      </c>
      <c r="D632" t="s">
        <v>772</v>
      </c>
      <c r="E632">
        <v>50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260</v>
      </c>
      <c r="L632">
        <v>12</v>
      </c>
      <c r="M632">
        <v>0</v>
      </c>
      <c r="N632">
        <v>10</v>
      </c>
      <c r="O632">
        <v>0</v>
      </c>
      <c r="P632">
        <v>60</v>
      </c>
      <c r="Q632" s="3">
        <v>0</v>
      </c>
      <c r="R632">
        <v>0</v>
      </c>
      <c r="S632">
        <v>0</v>
      </c>
      <c r="U632">
        <v>-6.8260869565217401</v>
      </c>
      <c r="V632">
        <v>0</v>
      </c>
      <c r="W632">
        <v>-2.8260869565217401</v>
      </c>
      <c r="X632">
        <v>-4</v>
      </c>
      <c r="Y632">
        <v>0</v>
      </c>
      <c r="Z632">
        <v>0</v>
      </c>
      <c r="AA632">
        <v>0</v>
      </c>
    </row>
    <row r="633" spans="3:27" x14ac:dyDescent="0.2">
      <c r="C633" t="s">
        <v>25</v>
      </c>
      <c r="D633" t="s">
        <v>773</v>
      </c>
      <c r="E633">
        <v>50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12</v>
      </c>
      <c r="M633">
        <v>0</v>
      </c>
      <c r="N633">
        <v>11</v>
      </c>
      <c r="O633">
        <v>0</v>
      </c>
      <c r="P633">
        <v>61</v>
      </c>
      <c r="Q633" s="3">
        <v>0</v>
      </c>
      <c r="R633">
        <v>0</v>
      </c>
      <c r="S633">
        <v>0</v>
      </c>
      <c r="U633">
        <v>-4.4000000000000004</v>
      </c>
      <c r="V633">
        <v>0</v>
      </c>
      <c r="W633">
        <v>0</v>
      </c>
      <c r="X633">
        <v>-4.4000000000000004</v>
      </c>
      <c r="Y633">
        <v>0</v>
      </c>
      <c r="Z633">
        <v>0</v>
      </c>
      <c r="AA633">
        <v>0</v>
      </c>
    </row>
    <row r="634" spans="3:27" x14ac:dyDescent="0.2">
      <c r="C634" t="s">
        <v>25</v>
      </c>
      <c r="D634" t="s">
        <v>774</v>
      </c>
      <c r="E634">
        <v>50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150</v>
      </c>
      <c r="L634">
        <v>12</v>
      </c>
      <c r="M634">
        <v>0</v>
      </c>
      <c r="N634">
        <v>10</v>
      </c>
      <c r="O634">
        <v>0</v>
      </c>
      <c r="P634">
        <v>60</v>
      </c>
      <c r="Q634" s="3">
        <v>0</v>
      </c>
      <c r="R634">
        <v>0</v>
      </c>
      <c r="S634">
        <v>0</v>
      </c>
      <c r="U634">
        <v>-5.6304347826086998</v>
      </c>
      <c r="V634">
        <v>0</v>
      </c>
      <c r="W634">
        <v>-1.6304347826087</v>
      </c>
      <c r="X634">
        <v>-4</v>
      </c>
      <c r="Y634">
        <v>0</v>
      </c>
      <c r="Z634">
        <v>0</v>
      </c>
      <c r="AA634">
        <v>0</v>
      </c>
    </row>
    <row r="635" spans="3:27" x14ac:dyDescent="0.2">
      <c r="C635" t="s">
        <v>25</v>
      </c>
      <c r="D635" t="s">
        <v>775</v>
      </c>
      <c r="E635">
        <v>60</v>
      </c>
      <c r="F635">
        <v>50</v>
      </c>
      <c r="G635">
        <v>6</v>
      </c>
      <c r="H635">
        <v>1</v>
      </c>
      <c r="I635">
        <v>0</v>
      </c>
      <c r="J635">
        <v>0</v>
      </c>
      <c r="K635">
        <v>800</v>
      </c>
      <c r="L635">
        <v>1</v>
      </c>
      <c r="M635">
        <v>1</v>
      </c>
      <c r="N635">
        <v>0</v>
      </c>
      <c r="O635">
        <v>0</v>
      </c>
      <c r="P635">
        <v>61</v>
      </c>
      <c r="Q635" s="3">
        <v>0</v>
      </c>
      <c r="R635">
        <v>1</v>
      </c>
      <c r="S635">
        <v>0</v>
      </c>
      <c r="U635">
        <v>-8.5885093167701907</v>
      </c>
      <c r="V635">
        <v>-0.25</v>
      </c>
      <c r="W635">
        <v>-8.6956521739130395</v>
      </c>
      <c r="X635">
        <v>0</v>
      </c>
      <c r="Y635">
        <v>0</v>
      </c>
      <c r="Z635">
        <v>0</v>
      </c>
      <c r="AA635">
        <v>0.35714285714285698</v>
      </c>
    </row>
    <row r="636" spans="3:27" x14ac:dyDescent="0.2">
      <c r="C636" t="s">
        <v>25</v>
      </c>
      <c r="D636" t="s">
        <v>776</v>
      </c>
      <c r="E636">
        <v>170</v>
      </c>
      <c r="F636">
        <v>160</v>
      </c>
      <c r="G636">
        <v>18</v>
      </c>
      <c r="H636">
        <v>3</v>
      </c>
      <c r="I636">
        <v>0</v>
      </c>
      <c r="J636">
        <v>10</v>
      </c>
      <c r="K636">
        <v>270</v>
      </c>
      <c r="L636">
        <v>2</v>
      </c>
      <c r="M636">
        <v>0</v>
      </c>
      <c r="N636">
        <v>1</v>
      </c>
      <c r="O636">
        <v>0</v>
      </c>
      <c r="P636">
        <v>174</v>
      </c>
      <c r="Q636" s="3">
        <v>0</v>
      </c>
      <c r="R636">
        <v>0</v>
      </c>
      <c r="S636">
        <v>0</v>
      </c>
      <c r="U636">
        <v>-4.08478260869565</v>
      </c>
      <c r="V636">
        <v>-0.75</v>
      </c>
      <c r="W636">
        <v>-2.9347826086956501</v>
      </c>
      <c r="X636">
        <v>-0.4</v>
      </c>
      <c r="Y636">
        <v>0</v>
      </c>
      <c r="Z636">
        <v>0</v>
      </c>
      <c r="AA636">
        <v>0</v>
      </c>
    </row>
    <row r="637" spans="3:27" x14ac:dyDescent="0.2">
      <c r="C637" t="s">
        <v>25</v>
      </c>
      <c r="D637" t="s">
        <v>777</v>
      </c>
      <c r="E637">
        <v>60</v>
      </c>
      <c r="F637">
        <v>20</v>
      </c>
      <c r="G637">
        <v>2</v>
      </c>
      <c r="H637">
        <v>0</v>
      </c>
      <c r="I637">
        <v>0</v>
      </c>
      <c r="J637">
        <v>5</v>
      </c>
      <c r="K637">
        <v>140</v>
      </c>
      <c r="L637">
        <v>10</v>
      </c>
      <c r="M637">
        <v>0</v>
      </c>
      <c r="N637">
        <v>8</v>
      </c>
      <c r="O637">
        <v>0</v>
      </c>
      <c r="P637">
        <v>68</v>
      </c>
      <c r="Q637" s="3">
        <v>0</v>
      </c>
      <c r="R637">
        <v>0</v>
      </c>
      <c r="S637">
        <v>0</v>
      </c>
      <c r="U637">
        <v>-4.7217391304347798</v>
      </c>
      <c r="V637">
        <v>0</v>
      </c>
      <c r="W637">
        <v>-1.52173913043478</v>
      </c>
      <c r="X637">
        <v>-3.2</v>
      </c>
      <c r="Y637">
        <v>0</v>
      </c>
      <c r="Z637">
        <v>0</v>
      </c>
      <c r="AA637">
        <v>0</v>
      </c>
    </row>
    <row r="638" spans="3:27" x14ac:dyDescent="0.2">
      <c r="C638" t="s">
        <v>25</v>
      </c>
      <c r="D638" t="s">
        <v>778</v>
      </c>
      <c r="E638">
        <v>60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210</v>
      </c>
      <c r="L638">
        <v>15</v>
      </c>
      <c r="M638">
        <v>1</v>
      </c>
      <c r="N638">
        <v>11</v>
      </c>
      <c r="O638">
        <v>0</v>
      </c>
      <c r="P638">
        <v>71</v>
      </c>
      <c r="Q638" s="3">
        <v>0</v>
      </c>
      <c r="R638">
        <v>0</v>
      </c>
      <c r="S638">
        <v>0</v>
      </c>
      <c r="U638">
        <v>-6.3254658385093201</v>
      </c>
      <c r="V638">
        <v>0</v>
      </c>
      <c r="W638">
        <v>-2.2826086956521698</v>
      </c>
      <c r="X638">
        <v>-4.4000000000000004</v>
      </c>
      <c r="Y638">
        <v>0</v>
      </c>
      <c r="Z638">
        <v>0</v>
      </c>
      <c r="AA638">
        <v>0.35714285714285698</v>
      </c>
    </row>
    <row r="639" spans="3:27" x14ac:dyDescent="0.2">
      <c r="C639" t="s">
        <v>25</v>
      </c>
      <c r="D639" t="s">
        <v>779</v>
      </c>
      <c r="E639">
        <v>40</v>
      </c>
      <c r="F639">
        <v>25</v>
      </c>
      <c r="G639">
        <v>3</v>
      </c>
      <c r="H639">
        <v>0</v>
      </c>
      <c r="I639">
        <v>0</v>
      </c>
      <c r="J639">
        <v>0</v>
      </c>
      <c r="K639">
        <v>730</v>
      </c>
      <c r="L639">
        <v>4</v>
      </c>
      <c r="M639">
        <v>0</v>
      </c>
      <c r="N639">
        <v>3</v>
      </c>
      <c r="O639">
        <v>0</v>
      </c>
      <c r="P639">
        <v>43</v>
      </c>
      <c r="Q639" s="3">
        <v>0</v>
      </c>
      <c r="R639">
        <v>1</v>
      </c>
      <c r="S639">
        <v>0</v>
      </c>
      <c r="U639">
        <v>-9.1347826086956498</v>
      </c>
      <c r="V639">
        <v>0</v>
      </c>
      <c r="W639">
        <v>-7.9347826086956497</v>
      </c>
      <c r="X639">
        <v>-1.2</v>
      </c>
      <c r="Y639">
        <v>0</v>
      </c>
      <c r="Z639">
        <v>0</v>
      </c>
      <c r="AA639">
        <v>0</v>
      </c>
    </row>
    <row r="640" spans="3:27" x14ac:dyDescent="0.2">
      <c r="C640" t="s">
        <v>25</v>
      </c>
      <c r="D640" t="s">
        <v>780</v>
      </c>
      <c r="E640">
        <v>180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20</v>
      </c>
      <c r="L640">
        <v>45</v>
      </c>
      <c r="M640">
        <v>0</v>
      </c>
      <c r="N640">
        <v>32</v>
      </c>
      <c r="O640">
        <v>0</v>
      </c>
      <c r="P640">
        <v>212</v>
      </c>
      <c r="Q640" s="3">
        <v>0</v>
      </c>
      <c r="R640">
        <v>0</v>
      </c>
      <c r="S640">
        <v>0</v>
      </c>
      <c r="U640">
        <v>-13.0173913043478</v>
      </c>
      <c r="V640">
        <v>0</v>
      </c>
      <c r="W640">
        <v>-0.217391304347826</v>
      </c>
      <c r="X640">
        <v>-12.8</v>
      </c>
      <c r="Y640">
        <v>0</v>
      </c>
      <c r="Z640">
        <v>0</v>
      </c>
      <c r="AA640">
        <v>0</v>
      </c>
    </row>
    <row r="641" spans="3:27" x14ac:dyDescent="0.2">
      <c r="C641" t="s">
        <v>25</v>
      </c>
      <c r="D641" t="s">
        <v>781</v>
      </c>
      <c r="E641">
        <v>40</v>
      </c>
      <c r="F641">
        <v>40</v>
      </c>
      <c r="G641">
        <v>4.5</v>
      </c>
      <c r="H641">
        <v>1.5</v>
      </c>
      <c r="I641">
        <v>0</v>
      </c>
      <c r="J641">
        <v>0</v>
      </c>
      <c r="K641">
        <v>55</v>
      </c>
      <c r="L641">
        <v>0</v>
      </c>
      <c r="M641">
        <v>0</v>
      </c>
      <c r="N641">
        <v>0</v>
      </c>
      <c r="O641">
        <v>0</v>
      </c>
      <c r="P641">
        <v>41.5</v>
      </c>
      <c r="Q641" s="3">
        <v>0</v>
      </c>
      <c r="R641">
        <v>0</v>
      </c>
      <c r="S641">
        <v>0</v>
      </c>
      <c r="U641">
        <v>-0.97282608695652195</v>
      </c>
      <c r="V641">
        <v>-0.375</v>
      </c>
      <c r="W641">
        <v>-0.59782608695652195</v>
      </c>
      <c r="X641">
        <v>0</v>
      </c>
      <c r="Y641">
        <v>0</v>
      </c>
      <c r="Z641">
        <v>0</v>
      </c>
      <c r="AA641">
        <v>0</v>
      </c>
    </row>
    <row r="642" spans="3:27" x14ac:dyDescent="0.2">
      <c r="C642" t="s">
        <v>25</v>
      </c>
      <c r="D642" t="s">
        <v>782</v>
      </c>
      <c r="E642">
        <v>35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9</v>
      </c>
      <c r="M642">
        <v>0</v>
      </c>
      <c r="N642">
        <v>9</v>
      </c>
      <c r="O642">
        <v>0</v>
      </c>
      <c r="P642">
        <v>44</v>
      </c>
      <c r="Q642" s="3">
        <v>0</v>
      </c>
      <c r="R642">
        <v>0</v>
      </c>
      <c r="S642">
        <v>0</v>
      </c>
      <c r="U642">
        <v>-3.6</v>
      </c>
      <c r="V642">
        <v>0</v>
      </c>
      <c r="W642">
        <v>0</v>
      </c>
      <c r="X642">
        <v>-3.6</v>
      </c>
      <c r="Y642">
        <v>0</v>
      </c>
      <c r="Z642">
        <v>0</v>
      </c>
      <c r="AA642">
        <v>0</v>
      </c>
    </row>
    <row r="643" spans="3:27" x14ac:dyDescent="0.2">
      <c r="C643" t="s">
        <v>25</v>
      </c>
      <c r="D643" t="s">
        <v>783</v>
      </c>
      <c r="E643">
        <v>35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9</v>
      </c>
      <c r="M643">
        <v>0</v>
      </c>
      <c r="N643">
        <v>9</v>
      </c>
      <c r="O643">
        <v>0</v>
      </c>
      <c r="P643">
        <v>44</v>
      </c>
      <c r="Q643" s="3">
        <v>0</v>
      </c>
      <c r="R643">
        <v>0</v>
      </c>
      <c r="S643">
        <v>0</v>
      </c>
      <c r="U643">
        <v>-3.6</v>
      </c>
      <c r="V643">
        <v>0</v>
      </c>
      <c r="W643">
        <v>0</v>
      </c>
      <c r="X643">
        <v>-3.6</v>
      </c>
      <c r="Y643">
        <v>0</v>
      </c>
      <c r="Z643">
        <v>0</v>
      </c>
      <c r="AA643">
        <v>0</v>
      </c>
    </row>
    <row r="644" spans="3:27" x14ac:dyDescent="0.2">
      <c r="C644" t="s">
        <v>25</v>
      </c>
      <c r="D644" t="s">
        <v>784</v>
      </c>
      <c r="E644">
        <v>70</v>
      </c>
      <c r="F644">
        <v>5</v>
      </c>
      <c r="G644">
        <v>0.5</v>
      </c>
      <c r="H644">
        <v>0</v>
      </c>
      <c r="I644">
        <v>0</v>
      </c>
      <c r="J644">
        <v>5</v>
      </c>
      <c r="K644">
        <v>35</v>
      </c>
      <c r="L644">
        <v>15</v>
      </c>
      <c r="M644">
        <v>0</v>
      </c>
      <c r="N644">
        <v>9</v>
      </c>
      <c r="O644">
        <v>0</v>
      </c>
      <c r="P644">
        <v>79</v>
      </c>
      <c r="Q644" s="3">
        <v>0</v>
      </c>
      <c r="R644">
        <v>0</v>
      </c>
      <c r="S644">
        <v>0</v>
      </c>
      <c r="U644">
        <v>-3.9804347826086999</v>
      </c>
      <c r="V644">
        <v>0</v>
      </c>
      <c r="W644">
        <v>-0.38043478260869601</v>
      </c>
      <c r="X644">
        <v>-3.6</v>
      </c>
      <c r="Y644">
        <v>0</v>
      </c>
      <c r="Z644">
        <v>0</v>
      </c>
      <c r="AA644">
        <v>0</v>
      </c>
    </row>
    <row r="645" spans="3:27" x14ac:dyDescent="0.2">
      <c r="C645" t="s">
        <v>25</v>
      </c>
      <c r="D645" t="s">
        <v>785</v>
      </c>
      <c r="E645">
        <v>100</v>
      </c>
      <c r="F645">
        <v>5</v>
      </c>
      <c r="G645">
        <v>0.5</v>
      </c>
      <c r="H645">
        <v>0</v>
      </c>
      <c r="I645">
        <v>0</v>
      </c>
      <c r="J645">
        <v>5</v>
      </c>
      <c r="K645">
        <v>35</v>
      </c>
      <c r="L645">
        <v>23</v>
      </c>
      <c r="M645">
        <v>0</v>
      </c>
      <c r="N645">
        <v>15</v>
      </c>
      <c r="O645">
        <v>0</v>
      </c>
      <c r="P645">
        <v>115</v>
      </c>
      <c r="Q645" s="3">
        <v>0</v>
      </c>
      <c r="R645">
        <v>0</v>
      </c>
      <c r="S645">
        <v>0</v>
      </c>
      <c r="U645">
        <v>-6.3804347826086998</v>
      </c>
      <c r="V645">
        <v>0</v>
      </c>
      <c r="W645">
        <v>-0.38043478260869601</v>
      </c>
      <c r="X645">
        <v>-6</v>
      </c>
      <c r="Y645">
        <v>0</v>
      </c>
      <c r="Z645">
        <v>0</v>
      </c>
      <c r="AA645">
        <v>0</v>
      </c>
    </row>
    <row r="646" spans="3:27" x14ac:dyDescent="0.2">
      <c r="C646" t="s">
        <v>25</v>
      </c>
      <c r="D646" t="s">
        <v>786</v>
      </c>
      <c r="E646">
        <v>100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15</v>
      </c>
      <c r="L646">
        <v>23</v>
      </c>
      <c r="M646">
        <v>0</v>
      </c>
      <c r="N646">
        <v>22</v>
      </c>
      <c r="O646">
        <v>0</v>
      </c>
      <c r="P646">
        <v>122</v>
      </c>
      <c r="Q646" s="3">
        <v>0</v>
      </c>
      <c r="R646">
        <v>0</v>
      </c>
      <c r="S646">
        <v>0</v>
      </c>
      <c r="U646">
        <v>-8.9630434782608699</v>
      </c>
      <c r="V646">
        <v>0</v>
      </c>
      <c r="W646">
        <v>-0.16304347826087001</v>
      </c>
      <c r="X646">
        <v>-8.8000000000000007</v>
      </c>
      <c r="Y646">
        <v>0</v>
      </c>
      <c r="Z646">
        <v>0</v>
      </c>
      <c r="AA646">
        <v>0</v>
      </c>
    </row>
    <row r="647" spans="3:27" x14ac:dyDescent="0.2">
      <c r="C647" t="s">
        <v>25</v>
      </c>
      <c r="D647" t="s">
        <v>788</v>
      </c>
      <c r="E647">
        <v>110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5</v>
      </c>
      <c r="L647">
        <v>29</v>
      </c>
      <c r="M647">
        <v>0</v>
      </c>
      <c r="N647">
        <v>29</v>
      </c>
      <c r="O647">
        <v>0</v>
      </c>
      <c r="P647">
        <v>139</v>
      </c>
      <c r="Q647" s="3">
        <v>0</v>
      </c>
      <c r="R647">
        <v>0</v>
      </c>
      <c r="S647">
        <v>0</v>
      </c>
      <c r="U647">
        <v>-11.654347826086999</v>
      </c>
      <c r="V647">
        <v>0</v>
      </c>
      <c r="W647">
        <v>-5.4347826086956499E-2</v>
      </c>
      <c r="X647">
        <v>-11.6</v>
      </c>
      <c r="Y647">
        <v>0</v>
      </c>
      <c r="Z647">
        <v>0</v>
      </c>
      <c r="AA647">
        <v>0</v>
      </c>
    </row>
    <row r="648" spans="3:27" x14ac:dyDescent="0.2">
      <c r="C648" t="s">
        <v>25</v>
      </c>
      <c r="D648" t="s">
        <v>789</v>
      </c>
      <c r="E648">
        <v>150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10</v>
      </c>
      <c r="L648">
        <v>40</v>
      </c>
      <c r="M648">
        <v>0</v>
      </c>
      <c r="N648">
        <v>40</v>
      </c>
      <c r="O648">
        <v>0</v>
      </c>
      <c r="P648">
        <v>190</v>
      </c>
      <c r="Q648" s="3">
        <v>0</v>
      </c>
      <c r="R648">
        <v>0</v>
      </c>
      <c r="S648">
        <v>0</v>
      </c>
      <c r="U648">
        <v>-16.1086956521739</v>
      </c>
      <c r="V648">
        <v>0</v>
      </c>
      <c r="W648">
        <v>-0.108695652173913</v>
      </c>
      <c r="X648">
        <v>-16</v>
      </c>
      <c r="Y648">
        <v>0</v>
      </c>
      <c r="Z648">
        <v>0</v>
      </c>
      <c r="AA648">
        <v>0</v>
      </c>
    </row>
    <row r="649" spans="3:27" x14ac:dyDescent="0.2">
      <c r="C649" t="s">
        <v>25</v>
      </c>
      <c r="D649" t="s">
        <v>790</v>
      </c>
      <c r="E649">
        <v>210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15</v>
      </c>
      <c r="L649">
        <v>58</v>
      </c>
      <c r="M649">
        <v>0</v>
      </c>
      <c r="N649">
        <v>58</v>
      </c>
      <c r="O649">
        <v>0</v>
      </c>
      <c r="P649">
        <v>268</v>
      </c>
      <c r="Q649" s="3">
        <v>0</v>
      </c>
      <c r="R649">
        <v>0</v>
      </c>
      <c r="S649">
        <v>0</v>
      </c>
      <c r="U649">
        <v>-23.363043478260899</v>
      </c>
      <c r="V649">
        <v>0</v>
      </c>
      <c r="W649">
        <v>-0.16304347826087001</v>
      </c>
      <c r="X649">
        <v>-23.2</v>
      </c>
      <c r="Y649">
        <v>0</v>
      </c>
      <c r="Z649">
        <v>0</v>
      </c>
      <c r="AA649">
        <v>0</v>
      </c>
    </row>
    <row r="650" spans="3:27" x14ac:dyDescent="0.2">
      <c r="C650" t="s">
        <v>25</v>
      </c>
      <c r="D650" t="s">
        <v>791</v>
      </c>
      <c r="E650">
        <v>310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20</v>
      </c>
      <c r="L650">
        <v>86</v>
      </c>
      <c r="M650">
        <v>0</v>
      </c>
      <c r="N650">
        <v>86</v>
      </c>
      <c r="O650">
        <v>0</v>
      </c>
      <c r="P650">
        <v>396</v>
      </c>
      <c r="Q650" s="3">
        <v>0</v>
      </c>
      <c r="R650">
        <v>0</v>
      </c>
      <c r="S650">
        <v>0</v>
      </c>
      <c r="U650">
        <v>-34.617391304347798</v>
      </c>
      <c r="V650">
        <v>0</v>
      </c>
      <c r="W650">
        <v>-0.217391304347826</v>
      </c>
      <c r="X650">
        <v>-34.4</v>
      </c>
      <c r="Y650">
        <v>0</v>
      </c>
      <c r="Z650">
        <v>0</v>
      </c>
      <c r="AA650">
        <v>0</v>
      </c>
    </row>
    <row r="651" spans="3:27" x14ac:dyDescent="0.2">
      <c r="C651" t="s">
        <v>25</v>
      </c>
      <c r="D651" t="s">
        <v>796</v>
      </c>
      <c r="E651">
        <v>110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30</v>
      </c>
      <c r="L651">
        <v>28</v>
      </c>
      <c r="M651">
        <v>0</v>
      </c>
      <c r="N651">
        <v>28</v>
      </c>
      <c r="O651">
        <v>0</v>
      </c>
      <c r="P651">
        <v>138</v>
      </c>
      <c r="Q651" s="3">
        <v>0</v>
      </c>
      <c r="R651">
        <v>0</v>
      </c>
      <c r="S651">
        <v>0</v>
      </c>
      <c r="U651">
        <v>-11.5260869565217</v>
      </c>
      <c r="V651">
        <v>0</v>
      </c>
      <c r="W651">
        <v>-0.32608695652173902</v>
      </c>
      <c r="X651">
        <v>-11.2</v>
      </c>
      <c r="Y651">
        <v>0</v>
      </c>
      <c r="Z651">
        <v>0</v>
      </c>
      <c r="AA651">
        <v>0</v>
      </c>
    </row>
    <row r="652" spans="3:27" x14ac:dyDescent="0.2">
      <c r="C652" t="s">
        <v>25</v>
      </c>
      <c r="D652" t="s">
        <v>797</v>
      </c>
      <c r="E652">
        <v>150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40</v>
      </c>
      <c r="L652">
        <v>39</v>
      </c>
      <c r="M652">
        <v>0</v>
      </c>
      <c r="N652">
        <v>39</v>
      </c>
      <c r="O652">
        <v>0</v>
      </c>
      <c r="P652">
        <v>189</v>
      </c>
      <c r="Q652" s="3">
        <v>0</v>
      </c>
      <c r="R652">
        <v>0</v>
      </c>
      <c r="S652">
        <v>0</v>
      </c>
      <c r="U652">
        <v>-16.0347826086957</v>
      </c>
      <c r="V652">
        <v>0</v>
      </c>
      <c r="W652">
        <v>-0.434782608695652</v>
      </c>
      <c r="X652">
        <v>-15.6</v>
      </c>
      <c r="Y652">
        <v>0</v>
      </c>
      <c r="Z652">
        <v>0</v>
      </c>
      <c r="AA652">
        <v>0</v>
      </c>
    </row>
    <row r="653" spans="3:27" x14ac:dyDescent="0.2">
      <c r="C653" t="s">
        <v>25</v>
      </c>
      <c r="D653" t="s">
        <v>798</v>
      </c>
      <c r="E653">
        <v>210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55</v>
      </c>
      <c r="L653">
        <v>56</v>
      </c>
      <c r="M653">
        <v>0</v>
      </c>
      <c r="N653">
        <v>56</v>
      </c>
      <c r="O653">
        <v>0</v>
      </c>
      <c r="P653">
        <v>266</v>
      </c>
      <c r="Q653" s="3">
        <v>0</v>
      </c>
      <c r="R653">
        <v>0</v>
      </c>
      <c r="S653">
        <v>0</v>
      </c>
      <c r="U653">
        <v>-22.997826086956501</v>
      </c>
      <c r="V653">
        <v>0</v>
      </c>
      <c r="W653">
        <v>-0.59782608695652195</v>
      </c>
      <c r="X653">
        <v>-22.4</v>
      </c>
      <c r="Y653">
        <v>0</v>
      </c>
      <c r="Z653">
        <v>0</v>
      </c>
      <c r="AA653">
        <v>0</v>
      </c>
    </row>
    <row r="654" spans="3:27" x14ac:dyDescent="0.2">
      <c r="C654" t="s">
        <v>25</v>
      </c>
      <c r="D654" t="s">
        <v>799</v>
      </c>
      <c r="E654">
        <v>310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80</v>
      </c>
      <c r="L654">
        <v>83</v>
      </c>
      <c r="M654">
        <v>0</v>
      </c>
      <c r="N654">
        <v>83</v>
      </c>
      <c r="O654">
        <v>0</v>
      </c>
      <c r="P654">
        <v>393</v>
      </c>
      <c r="Q654" s="3">
        <v>0</v>
      </c>
      <c r="R654">
        <v>0</v>
      </c>
      <c r="S654">
        <v>0</v>
      </c>
      <c r="U654">
        <v>-34.0695652173913</v>
      </c>
      <c r="V654">
        <v>0</v>
      </c>
      <c r="W654">
        <v>-0.86956521739130399</v>
      </c>
      <c r="X654">
        <v>-33.200000000000003</v>
      </c>
      <c r="Y654">
        <v>0</v>
      </c>
      <c r="Z654">
        <v>0</v>
      </c>
      <c r="AA654">
        <v>0</v>
      </c>
    </row>
    <row r="655" spans="3:27" x14ac:dyDescent="0.2">
      <c r="C655" t="s">
        <v>25</v>
      </c>
      <c r="D655" t="s">
        <v>800</v>
      </c>
      <c r="E655">
        <v>120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32</v>
      </c>
      <c r="M655">
        <v>0</v>
      </c>
      <c r="N655">
        <v>32</v>
      </c>
      <c r="O655">
        <v>0</v>
      </c>
      <c r="P655">
        <v>152</v>
      </c>
      <c r="Q655" s="3">
        <v>0</v>
      </c>
      <c r="R655">
        <v>0</v>
      </c>
      <c r="S655">
        <v>0</v>
      </c>
      <c r="U655">
        <v>-12.8</v>
      </c>
      <c r="V655">
        <v>0</v>
      </c>
      <c r="W655">
        <v>0</v>
      </c>
      <c r="X655">
        <v>-12.8</v>
      </c>
      <c r="Y655">
        <v>0</v>
      </c>
      <c r="Z655">
        <v>0</v>
      </c>
      <c r="AA655">
        <v>0</v>
      </c>
    </row>
    <row r="656" spans="3:27" x14ac:dyDescent="0.2">
      <c r="C656" t="s">
        <v>25</v>
      </c>
      <c r="D656" t="s">
        <v>801</v>
      </c>
      <c r="E656">
        <v>160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5</v>
      </c>
      <c r="L656">
        <v>44</v>
      </c>
      <c r="M656">
        <v>0</v>
      </c>
      <c r="N656">
        <v>44</v>
      </c>
      <c r="O656">
        <v>0</v>
      </c>
      <c r="P656">
        <v>204</v>
      </c>
      <c r="Q656" s="3">
        <v>0</v>
      </c>
      <c r="R656">
        <v>0</v>
      </c>
      <c r="S656">
        <v>0</v>
      </c>
      <c r="U656">
        <v>-17.654347826087001</v>
      </c>
      <c r="V656">
        <v>0</v>
      </c>
      <c r="W656">
        <v>-5.4347826086956499E-2</v>
      </c>
      <c r="X656">
        <v>-17.600000000000001</v>
      </c>
      <c r="Y656">
        <v>0</v>
      </c>
      <c r="Z656">
        <v>0</v>
      </c>
      <c r="AA656">
        <v>0</v>
      </c>
    </row>
    <row r="657" spans="3:27" x14ac:dyDescent="0.2">
      <c r="C657" t="s">
        <v>25</v>
      </c>
      <c r="D657" t="s">
        <v>802</v>
      </c>
      <c r="E657">
        <v>240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10</v>
      </c>
      <c r="L657">
        <v>64</v>
      </c>
      <c r="M657">
        <v>0</v>
      </c>
      <c r="N657">
        <v>64</v>
      </c>
      <c r="O657">
        <v>0</v>
      </c>
      <c r="P657">
        <v>304</v>
      </c>
      <c r="Q657" s="3">
        <v>0</v>
      </c>
      <c r="R657">
        <v>0</v>
      </c>
      <c r="S657">
        <v>0</v>
      </c>
      <c r="U657">
        <v>-25.708695652173901</v>
      </c>
      <c r="V657">
        <v>0</v>
      </c>
      <c r="W657">
        <v>-0.108695652173913</v>
      </c>
      <c r="X657">
        <v>-25.6</v>
      </c>
      <c r="Y657">
        <v>0</v>
      </c>
      <c r="Z657">
        <v>0</v>
      </c>
      <c r="AA657">
        <v>0</v>
      </c>
    </row>
    <row r="658" spans="3:27" x14ac:dyDescent="0.2">
      <c r="C658" t="s">
        <v>25</v>
      </c>
      <c r="D658" t="s">
        <v>803</v>
      </c>
      <c r="E658">
        <v>350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10</v>
      </c>
      <c r="L658">
        <v>94</v>
      </c>
      <c r="M658">
        <v>0</v>
      </c>
      <c r="N658">
        <v>94</v>
      </c>
      <c r="O658">
        <v>0</v>
      </c>
      <c r="P658">
        <v>444</v>
      </c>
      <c r="Q658" s="3">
        <v>0</v>
      </c>
      <c r="R658">
        <v>0</v>
      </c>
      <c r="S658">
        <v>0</v>
      </c>
      <c r="U658">
        <v>-37.708695652173901</v>
      </c>
      <c r="V658">
        <v>0</v>
      </c>
      <c r="W658">
        <v>-0.108695652173913</v>
      </c>
      <c r="X658">
        <v>-37.6</v>
      </c>
      <c r="Y658">
        <v>0</v>
      </c>
      <c r="Z658">
        <v>0</v>
      </c>
      <c r="AA658">
        <v>0</v>
      </c>
    </row>
    <row r="659" spans="3:27" x14ac:dyDescent="0.2">
      <c r="C659" t="s">
        <v>25</v>
      </c>
      <c r="D659" t="s">
        <v>804</v>
      </c>
      <c r="E659">
        <v>70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65</v>
      </c>
      <c r="L659">
        <v>20</v>
      </c>
      <c r="M659">
        <v>0</v>
      </c>
      <c r="N659">
        <v>16</v>
      </c>
      <c r="O659">
        <v>0</v>
      </c>
      <c r="P659">
        <v>86</v>
      </c>
      <c r="Q659" s="3">
        <v>0</v>
      </c>
      <c r="R659">
        <v>0</v>
      </c>
      <c r="S659">
        <v>0</v>
      </c>
      <c r="U659">
        <v>-7.1065217391304296</v>
      </c>
      <c r="V659">
        <v>0</v>
      </c>
      <c r="W659">
        <v>-0.70652173913043503</v>
      </c>
      <c r="X659">
        <v>-6.4</v>
      </c>
      <c r="Y659">
        <v>0</v>
      </c>
      <c r="Z659">
        <v>0</v>
      </c>
      <c r="AA659">
        <v>0</v>
      </c>
    </row>
    <row r="660" spans="3:27" x14ac:dyDescent="0.2">
      <c r="C660" t="s">
        <v>25</v>
      </c>
      <c r="D660" t="s">
        <v>805</v>
      </c>
      <c r="E660">
        <v>100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85</v>
      </c>
      <c r="L660">
        <v>27</v>
      </c>
      <c r="M660">
        <v>0</v>
      </c>
      <c r="N660">
        <v>21</v>
      </c>
      <c r="O660">
        <v>0</v>
      </c>
      <c r="P660">
        <v>121</v>
      </c>
      <c r="Q660" s="3">
        <v>0</v>
      </c>
      <c r="R660">
        <v>0</v>
      </c>
      <c r="S660">
        <v>0</v>
      </c>
      <c r="U660">
        <v>-9.3239130434782602</v>
      </c>
      <c r="V660">
        <v>0</v>
      </c>
      <c r="W660">
        <v>-0.92391304347826098</v>
      </c>
      <c r="X660">
        <v>-8.4</v>
      </c>
      <c r="Y660">
        <v>0</v>
      </c>
      <c r="Z660">
        <v>0</v>
      </c>
      <c r="AA660">
        <v>0</v>
      </c>
    </row>
    <row r="661" spans="3:27" x14ac:dyDescent="0.2">
      <c r="C661" t="s">
        <v>25</v>
      </c>
      <c r="D661" t="s">
        <v>806</v>
      </c>
      <c r="E661">
        <v>150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130</v>
      </c>
      <c r="L661">
        <v>39</v>
      </c>
      <c r="M661">
        <v>0</v>
      </c>
      <c r="N661">
        <v>31</v>
      </c>
      <c r="O661">
        <v>0</v>
      </c>
      <c r="P661">
        <v>181</v>
      </c>
      <c r="Q661" s="3">
        <v>0</v>
      </c>
      <c r="R661">
        <v>0</v>
      </c>
      <c r="S661">
        <v>0</v>
      </c>
      <c r="U661">
        <v>-13.8130434782609</v>
      </c>
      <c r="V661">
        <v>0</v>
      </c>
      <c r="W661">
        <v>-1.4130434782608701</v>
      </c>
      <c r="X661">
        <v>-12.4</v>
      </c>
      <c r="Y661">
        <v>0</v>
      </c>
      <c r="Z661">
        <v>0</v>
      </c>
      <c r="AA661">
        <v>0</v>
      </c>
    </row>
    <row r="662" spans="3:27" x14ac:dyDescent="0.2">
      <c r="C662" t="s">
        <v>25</v>
      </c>
      <c r="D662" t="s">
        <v>807</v>
      </c>
      <c r="E662">
        <v>220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190</v>
      </c>
      <c r="L662">
        <v>58</v>
      </c>
      <c r="M662">
        <v>0</v>
      </c>
      <c r="N662">
        <v>46</v>
      </c>
      <c r="O662">
        <v>0</v>
      </c>
      <c r="P662">
        <v>266</v>
      </c>
      <c r="Q662" s="3">
        <v>0</v>
      </c>
      <c r="R662">
        <v>0</v>
      </c>
      <c r="S662">
        <v>0</v>
      </c>
      <c r="U662">
        <v>-20.4652173913043</v>
      </c>
      <c r="V662">
        <v>0</v>
      </c>
      <c r="W662">
        <v>-2.0652173913043499</v>
      </c>
      <c r="X662">
        <v>-18.399999999999999</v>
      </c>
      <c r="Y662">
        <v>0</v>
      </c>
      <c r="Z662">
        <v>0</v>
      </c>
      <c r="AA662">
        <v>0</v>
      </c>
    </row>
    <row r="663" spans="3:27" x14ac:dyDescent="0.2">
      <c r="C663" t="s">
        <v>25</v>
      </c>
      <c r="D663" t="s">
        <v>811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20</v>
      </c>
      <c r="L663">
        <v>1</v>
      </c>
      <c r="M663">
        <v>0</v>
      </c>
      <c r="N663">
        <v>0</v>
      </c>
      <c r="O663">
        <v>0</v>
      </c>
      <c r="P663">
        <v>0</v>
      </c>
      <c r="Q663" s="3">
        <v>0</v>
      </c>
      <c r="R663">
        <v>0</v>
      </c>
      <c r="S663">
        <v>0</v>
      </c>
      <c r="U663">
        <v>-0.217391304347826</v>
      </c>
      <c r="V663">
        <v>0</v>
      </c>
      <c r="W663">
        <v>-0.217391304347826</v>
      </c>
      <c r="X663">
        <v>0</v>
      </c>
      <c r="Y663">
        <v>0</v>
      </c>
      <c r="Z663">
        <v>0</v>
      </c>
      <c r="AA663">
        <v>0</v>
      </c>
    </row>
    <row r="664" spans="3:27" x14ac:dyDescent="0.2">
      <c r="C664" t="s">
        <v>25</v>
      </c>
      <c r="D664" t="s">
        <v>814</v>
      </c>
      <c r="E664">
        <v>20</v>
      </c>
      <c r="F664">
        <v>20</v>
      </c>
      <c r="G664">
        <v>2</v>
      </c>
      <c r="H664">
        <v>1.5</v>
      </c>
      <c r="I664">
        <v>0</v>
      </c>
      <c r="J664">
        <v>10</v>
      </c>
      <c r="K664">
        <v>15</v>
      </c>
      <c r="L664">
        <v>0</v>
      </c>
      <c r="M664">
        <v>0</v>
      </c>
      <c r="N664">
        <v>0</v>
      </c>
      <c r="O664">
        <v>0</v>
      </c>
      <c r="P664">
        <v>21.5</v>
      </c>
      <c r="Q664" s="3">
        <v>0</v>
      </c>
      <c r="R664">
        <v>0</v>
      </c>
      <c r="S664">
        <v>0</v>
      </c>
      <c r="U664">
        <v>-0.53804347826086996</v>
      </c>
      <c r="V664">
        <v>-0.375</v>
      </c>
      <c r="W664">
        <v>-0.16304347826087001</v>
      </c>
      <c r="X664">
        <v>0</v>
      </c>
      <c r="Y664">
        <v>0</v>
      </c>
      <c r="Z664">
        <v>0</v>
      </c>
      <c r="AA664">
        <v>0</v>
      </c>
    </row>
    <row r="665" spans="3:27" x14ac:dyDescent="0.2">
      <c r="C665" t="s">
        <v>25</v>
      </c>
      <c r="D665" t="s">
        <v>815</v>
      </c>
      <c r="E665">
        <v>15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4</v>
      </c>
      <c r="M665">
        <v>0</v>
      </c>
      <c r="N665">
        <v>4</v>
      </c>
      <c r="O665">
        <v>0</v>
      </c>
      <c r="P665">
        <v>19</v>
      </c>
      <c r="Q665" s="3">
        <v>0</v>
      </c>
      <c r="R665">
        <v>0</v>
      </c>
      <c r="S665">
        <v>0</v>
      </c>
      <c r="U665">
        <v>-1.6</v>
      </c>
      <c r="V665">
        <v>0</v>
      </c>
      <c r="W665">
        <v>0</v>
      </c>
      <c r="X665">
        <v>-1.6</v>
      </c>
      <c r="Y665">
        <v>0</v>
      </c>
      <c r="Z665">
        <v>0</v>
      </c>
      <c r="AA665">
        <v>0</v>
      </c>
    </row>
    <row r="666" spans="3:27" ht="34" x14ac:dyDescent="0.2">
      <c r="C666" t="s">
        <v>25</v>
      </c>
      <c r="D666" s="1" t="s">
        <v>816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1</v>
      </c>
      <c r="Q666" s="3">
        <v>0</v>
      </c>
      <c r="R666">
        <v>0</v>
      </c>
      <c r="S666">
        <v>0</v>
      </c>
      <c r="U666">
        <v>-0.4</v>
      </c>
      <c r="V666">
        <v>0</v>
      </c>
      <c r="W666">
        <v>0</v>
      </c>
      <c r="X666">
        <v>-0.4</v>
      </c>
      <c r="Y666">
        <v>0</v>
      </c>
      <c r="Z666">
        <v>0</v>
      </c>
      <c r="AA666">
        <v>0</v>
      </c>
    </row>
    <row r="667" spans="3:27" ht="34" x14ac:dyDescent="0.2">
      <c r="C667" t="s">
        <v>25</v>
      </c>
      <c r="D667" s="1" t="s">
        <v>817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1</v>
      </c>
      <c r="Q667" s="3">
        <v>0</v>
      </c>
      <c r="R667">
        <v>0</v>
      </c>
      <c r="S667">
        <v>0</v>
      </c>
      <c r="U667">
        <v>-0.4</v>
      </c>
      <c r="V667">
        <v>0</v>
      </c>
      <c r="W667">
        <v>0</v>
      </c>
      <c r="X667">
        <v>-0.4</v>
      </c>
      <c r="Y667">
        <v>0</v>
      </c>
      <c r="Z667">
        <v>0</v>
      </c>
      <c r="AA667">
        <v>0</v>
      </c>
    </row>
    <row r="668" spans="3:27" x14ac:dyDescent="0.2">
      <c r="C668" t="s">
        <v>25</v>
      </c>
      <c r="D668" t="s">
        <v>818</v>
      </c>
      <c r="E668">
        <v>110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5</v>
      </c>
      <c r="L668">
        <v>27</v>
      </c>
      <c r="M668">
        <v>0</v>
      </c>
      <c r="N668">
        <v>27</v>
      </c>
      <c r="O668">
        <v>0</v>
      </c>
      <c r="P668">
        <v>137</v>
      </c>
      <c r="Q668" s="3">
        <v>0</v>
      </c>
      <c r="R668">
        <v>0</v>
      </c>
      <c r="S668">
        <v>0</v>
      </c>
      <c r="U668">
        <v>-10.854347826087</v>
      </c>
      <c r="V668">
        <v>0</v>
      </c>
      <c r="W668">
        <v>-5.4347826086956499E-2</v>
      </c>
      <c r="X668">
        <v>-10.8</v>
      </c>
      <c r="Y668">
        <v>0</v>
      </c>
      <c r="Z668">
        <v>0</v>
      </c>
      <c r="AA668">
        <v>0</v>
      </c>
    </row>
    <row r="669" spans="3:27" x14ac:dyDescent="0.2">
      <c r="C669" t="s">
        <v>159</v>
      </c>
      <c r="D669" t="s">
        <v>160</v>
      </c>
      <c r="E669">
        <v>130</v>
      </c>
      <c r="F669">
        <v>0</v>
      </c>
      <c r="G669">
        <v>4</v>
      </c>
      <c r="H669">
        <v>1.5</v>
      </c>
      <c r="I669">
        <v>0</v>
      </c>
      <c r="J669">
        <v>10</v>
      </c>
      <c r="K669">
        <v>270</v>
      </c>
      <c r="L669">
        <v>17</v>
      </c>
      <c r="M669">
        <v>1</v>
      </c>
      <c r="N669">
        <v>1</v>
      </c>
      <c r="O669">
        <v>7</v>
      </c>
      <c r="Q669" s="3">
        <v>5.3846153846153904</v>
      </c>
      <c r="R669">
        <v>0</v>
      </c>
      <c r="S669">
        <v>0</v>
      </c>
      <c r="U669">
        <v>-1.9526397515528</v>
      </c>
      <c r="V669">
        <v>-0.375</v>
      </c>
      <c r="W669">
        <v>-2.9347826086956501</v>
      </c>
      <c r="X669">
        <v>-0.4</v>
      </c>
      <c r="Y669">
        <v>0</v>
      </c>
      <c r="Z669">
        <v>1.4</v>
      </c>
      <c r="AA669">
        <v>0.35714285714285698</v>
      </c>
    </row>
    <row r="670" spans="3:27" x14ac:dyDescent="0.2">
      <c r="C670" t="s">
        <v>159</v>
      </c>
      <c r="D670" t="s">
        <v>164</v>
      </c>
      <c r="E670">
        <v>280</v>
      </c>
      <c r="F670">
        <v>0</v>
      </c>
      <c r="G670">
        <v>9</v>
      </c>
      <c r="H670">
        <v>4</v>
      </c>
      <c r="I670">
        <v>0</v>
      </c>
      <c r="J670">
        <v>30</v>
      </c>
      <c r="K670">
        <v>580</v>
      </c>
      <c r="L670">
        <v>36</v>
      </c>
      <c r="M670">
        <v>3</v>
      </c>
      <c r="N670">
        <v>3</v>
      </c>
      <c r="O670">
        <v>15</v>
      </c>
      <c r="Q670" s="3">
        <v>5.3571428571428603</v>
      </c>
      <c r="R670">
        <v>1</v>
      </c>
      <c r="S670">
        <v>0</v>
      </c>
      <c r="U670">
        <v>-4.4329192546583904</v>
      </c>
      <c r="V670">
        <v>-1</v>
      </c>
      <c r="W670">
        <v>-6.3043478260869596</v>
      </c>
      <c r="X670">
        <v>-1.2</v>
      </c>
      <c r="Y670">
        <v>0</v>
      </c>
      <c r="Z670">
        <v>3</v>
      </c>
      <c r="AA670">
        <v>1.0714285714285701</v>
      </c>
    </row>
    <row r="671" spans="3:27" x14ac:dyDescent="0.2">
      <c r="C671" t="s">
        <v>159</v>
      </c>
      <c r="D671" t="s">
        <v>169</v>
      </c>
      <c r="E671">
        <v>150</v>
      </c>
      <c r="F671">
        <v>0</v>
      </c>
      <c r="G671">
        <v>5</v>
      </c>
      <c r="H671">
        <v>2</v>
      </c>
      <c r="I671">
        <v>0</v>
      </c>
      <c r="J671">
        <v>15</v>
      </c>
      <c r="K671">
        <v>330</v>
      </c>
      <c r="L671">
        <v>18</v>
      </c>
      <c r="M671">
        <v>1</v>
      </c>
      <c r="N671">
        <v>3</v>
      </c>
      <c r="O671">
        <v>8</v>
      </c>
      <c r="Q671" s="3">
        <v>5.3333333333333304</v>
      </c>
      <c r="R671">
        <v>0</v>
      </c>
      <c r="S671">
        <v>0</v>
      </c>
      <c r="U671">
        <v>-3.3298136645962702</v>
      </c>
      <c r="V671">
        <v>-0.5</v>
      </c>
      <c r="W671">
        <v>-3.5869565217391299</v>
      </c>
      <c r="X671">
        <v>-1.2</v>
      </c>
      <c r="Y671">
        <v>0</v>
      </c>
      <c r="Z671">
        <v>1.6</v>
      </c>
      <c r="AA671">
        <v>0.35714285714285698</v>
      </c>
    </row>
    <row r="672" spans="3:27" x14ac:dyDescent="0.2">
      <c r="C672" t="s">
        <v>159</v>
      </c>
      <c r="D672" t="s">
        <v>188</v>
      </c>
      <c r="E672">
        <v>310</v>
      </c>
      <c r="F672">
        <v>0</v>
      </c>
      <c r="G672">
        <v>13</v>
      </c>
      <c r="H672">
        <v>5</v>
      </c>
      <c r="I672">
        <v>0</v>
      </c>
      <c r="J672">
        <v>35</v>
      </c>
      <c r="K672">
        <v>560</v>
      </c>
      <c r="L672">
        <v>33</v>
      </c>
      <c r="M672">
        <v>2</v>
      </c>
      <c r="N672">
        <v>1</v>
      </c>
      <c r="O672">
        <v>16</v>
      </c>
      <c r="Q672" s="3">
        <v>5.1612903225806503</v>
      </c>
      <c r="R672">
        <v>1</v>
      </c>
      <c r="S672">
        <v>0</v>
      </c>
      <c r="U672">
        <v>-3.8226708074534201</v>
      </c>
      <c r="V672">
        <v>-1.25</v>
      </c>
      <c r="W672">
        <v>-6.0869565217391299</v>
      </c>
      <c r="X672">
        <v>-0.4</v>
      </c>
      <c r="Y672">
        <v>0</v>
      </c>
      <c r="Z672">
        <v>3.2</v>
      </c>
      <c r="AA672">
        <v>0.71428571428571397</v>
      </c>
    </row>
    <row r="673" spans="3:27" x14ac:dyDescent="0.2">
      <c r="C673" t="s">
        <v>159</v>
      </c>
      <c r="D673" t="s">
        <v>217</v>
      </c>
      <c r="E673">
        <v>180</v>
      </c>
      <c r="F673">
        <v>0</v>
      </c>
      <c r="G673">
        <v>8</v>
      </c>
      <c r="H673">
        <v>3</v>
      </c>
      <c r="I673">
        <v>0</v>
      </c>
      <c r="J673">
        <v>20</v>
      </c>
      <c r="K673">
        <v>350</v>
      </c>
      <c r="L673">
        <v>17</v>
      </c>
      <c r="M673">
        <v>1</v>
      </c>
      <c r="N673">
        <v>2</v>
      </c>
      <c r="O673">
        <v>9</v>
      </c>
      <c r="Q673" s="3">
        <v>5</v>
      </c>
      <c r="R673">
        <v>0</v>
      </c>
      <c r="S673">
        <v>0</v>
      </c>
      <c r="U673">
        <v>-3.1972049689440998</v>
      </c>
      <c r="V673">
        <v>-0.75</v>
      </c>
      <c r="W673">
        <v>-3.8043478260869601</v>
      </c>
      <c r="X673">
        <v>-0.8</v>
      </c>
      <c r="Y673">
        <v>0</v>
      </c>
      <c r="Z673">
        <v>1.8</v>
      </c>
      <c r="AA673">
        <v>0.35714285714285698</v>
      </c>
    </row>
    <row r="674" spans="3:27" x14ac:dyDescent="0.2">
      <c r="C674" t="s">
        <v>159</v>
      </c>
      <c r="D674" t="s">
        <v>218</v>
      </c>
      <c r="E674">
        <v>240</v>
      </c>
      <c r="F674">
        <v>0</v>
      </c>
      <c r="G674">
        <v>9</v>
      </c>
      <c r="H674">
        <v>3.5</v>
      </c>
      <c r="I674">
        <v>0</v>
      </c>
      <c r="J674">
        <v>20</v>
      </c>
      <c r="K674">
        <v>480</v>
      </c>
      <c r="L674">
        <v>29</v>
      </c>
      <c r="M674">
        <v>2</v>
      </c>
      <c r="N674">
        <v>2</v>
      </c>
      <c r="O674">
        <v>12</v>
      </c>
      <c r="Q674" s="3">
        <v>5</v>
      </c>
      <c r="R674">
        <v>1</v>
      </c>
      <c r="S674">
        <v>0</v>
      </c>
      <c r="U674">
        <v>-3.7781055900621099</v>
      </c>
      <c r="V674">
        <v>-0.875</v>
      </c>
      <c r="W674">
        <v>-5.2173913043478297</v>
      </c>
      <c r="X674">
        <v>-0.8</v>
      </c>
      <c r="Y674">
        <v>0</v>
      </c>
      <c r="Z674">
        <v>2.4</v>
      </c>
      <c r="AA674">
        <v>0.71428571428571397</v>
      </c>
    </row>
    <row r="675" spans="3:27" x14ac:dyDescent="0.2">
      <c r="C675" t="s">
        <v>159</v>
      </c>
      <c r="D675" t="s">
        <v>222</v>
      </c>
      <c r="E675">
        <v>350</v>
      </c>
      <c r="F675">
        <v>0</v>
      </c>
      <c r="G675">
        <v>15</v>
      </c>
      <c r="H675">
        <v>5</v>
      </c>
      <c r="I675">
        <v>0</v>
      </c>
      <c r="J675">
        <v>30</v>
      </c>
      <c r="K675">
        <v>690</v>
      </c>
      <c r="L675">
        <v>38</v>
      </c>
      <c r="M675">
        <v>2</v>
      </c>
      <c r="N675">
        <v>3</v>
      </c>
      <c r="O675">
        <v>17</v>
      </c>
      <c r="Q675" s="3">
        <v>4.8571428571428603</v>
      </c>
      <c r="R675">
        <v>1</v>
      </c>
      <c r="S675">
        <v>0</v>
      </c>
      <c r="U675">
        <v>-5.8357142857142801</v>
      </c>
      <c r="V675">
        <v>-1.25</v>
      </c>
      <c r="W675">
        <v>-7.5</v>
      </c>
      <c r="X675">
        <v>-1.2</v>
      </c>
      <c r="Y675">
        <v>0</v>
      </c>
      <c r="Z675">
        <v>3.4</v>
      </c>
      <c r="AA675">
        <v>0.71428571428571397</v>
      </c>
    </row>
    <row r="676" spans="3:27" x14ac:dyDescent="0.2">
      <c r="C676" t="s">
        <v>159</v>
      </c>
      <c r="D676" t="s">
        <v>225</v>
      </c>
      <c r="E676">
        <v>310</v>
      </c>
      <c r="F676">
        <v>0</v>
      </c>
      <c r="G676">
        <v>13</v>
      </c>
      <c r="H676">
        <v>6</v>
      </c>
      <c r="I676">
        <v>0</v>
      </c>
      <c r="J676">
        <v>35</v>
      </c>
      <c r="K676">
        <v>540</v>
      </c>
      <c r="L676">
        <v>33</v>
      </c>
      <c r="M676">
        <v>2</v>
      </c>
      <c r="N676">
        <v>1</v>
      </c>
      <c r="O676">
        <v>15</v>
      </c>
      <c r="Q676" s="3">
        <v>4.8387096774193497</v>
      </c>
      <c r="R676">
        <v>1</v>
      </c>
      <c r="S676">
        <v>0</v>
      </c>
      <c r="U676">
        <v>-4.0552795031055897</v>
      </c>
      <c r="V676">
        <v>-1.5</v>
      </c>
      <c r="W676">
        <v>-5.8695652173913002</v>
      </c>
      <c r="X676">
        <v>-0.4</v>
      </c>
      <c r="Y676">
        <v>0</v>
      </c>
      <c r="Z676">
        <v>3</v>
      </c>
      <c r="AA676">
        <v>0.71428571428571397</v>
      </c>
    </row>
    <row r="677" spans="3:27" x14ac:dyDescent="0.2">
      <c r="C677" t="s">
        <v>159</v>
      </c>
      <c r="D677" t="s">
        <v>228</v>
      </c>
      <c r="E677">
        <v>270</v>
      </c>
      <c r="F677">
        <v>0</v>
      </c>
      <c r="G677">
        <v>8</v>
      </c>
      <c r="H677">
        <v>4</v>
      </c>
      <c r="I677">
        <v>0</v>
      </c>
      <c r="J677">
        <v>30</v>
      </c>
      <c r="K677">
        <v>740</v>
      </c>
      <c r="L677">
        <v>37</v>
      </c>
      <c r="M677">
        <v>2</v>
      </c>
      <c r="N677">
        <v>2</v>
      </c>
      <c r="O677">
        <v>13</v>
      </c>
      <c r="Q677" s="3">
        <v>4.8148148148148104</v>
      </c>
      <c r="R677">
        <v>1</v>
      </c>
      <c r="S677">
        <v>0</v>
      </c>
      <c r="U677">
        <v>-6.5291925465838503</v>
      </c>
      <c r="V677">
        <v>-1</v>
      </c>
      <c r="W677">
        <v>-8.0434782608695592</v>
      </c>
      <c r="X677">
        <v>-0.8</v>
      </c>
      <c r="Y677">
        <v>0</v>
      </c>
      <c r="Z677">
        <v>2.6</v>
      </c>
      <c r="AA677">
        <v>0.71428571428571397</v>
      </c>
    </row>
    <row r="678" spans="3:27" x14ac:dyDescent="0.2">
      <c r="C678" t="s">
        <v>159</v>
      </c>
      <c r="D678" t="s">
        <v>231</v>
      </c>
      <c r="E678">
        <v>230</v>
      </c>
      <c r="F678">
        <v>0</v>
      </c>
      <c r="G678">
        <v>9</v>
      </c>
      <c r="H678">
        <v>4</v>
      </c>
      <c r="I678">
        <v>0</v>
      </c>
      <c r="J678">
        <v>25</v>
      </c>
      <c r="K678">
        <v>410</v>
      </c>
      <c r="L678">
        <v>25</v>
      </c>
      <c r="M678">
        <v>2</v>
      </c>
      <c r="N678">
        <v>1</v>
      </c>
      <c r="O678">
        <v>11</v>
      </c>
      <c r="Q678" s="3">
        <v>4.7826086956521703</v>
      </c>
      <c r="R678">
        <v>0</v>
      </c>
      <c r="S678">
        <v>0</v>
      </c>
      <c r="U678">
        <v>-2.9422360248447199</v>
      </c>
      <c r="V678">
        <v>-1</v>
      </c>
      <c r="W678">
        <v>-4.4565217391304301</v>
      </c>
      <c r="X678">
        <v>-0.4</v>
      </c>
      <c r="Y678">
        <v>0</v>
      </c>
      <c r="Z678">
        <v>2.2000000000000002</v>
      </c>
      <c r="AA678">
        <v>0.71428571428571397</v>
      </c>
    </row>
    <row r="679" spans="3:27" x14ac:dyDescent="0.2">
      <c r="C679" t="s">
        <v>159</v>
      </c>
      <c r="D679" t="s">
        <v>232</v>
      </c>
      <c r="E679">
        <v>230</v>
      </c>
      <c r="F679">
        <v>0</v>
      </c>
      <c r="G679">
        <v>10</v>
      </c>
      <c r="H679">
        <v>4.5</v>
      </c>
      <c r="I679">
        <v>0</v>
      </c>
      <c r="J679">
        <v>25</v>
      </c>
      <c r="K679">
        <v>390</v>
      </c>
      <c r="L679">
        <v>25</v>
      </c>
      <c r="M679">
        <v>2</v>
      </c>
      <c r="N679">
        <v>1</v>
      </c>
      <c r="O679">
        <v>11</v>
      </c>
      <c r="Q679" s="3">
        <v>4.7826086956521703</v>
      </c>
      <c r="R679">
        <v>0</v>
      </c>
      <c r="S679">
        <v>0</v>
      </c>
      <c r="U679">
        <v>-2.8498447204968902</v>
      </c>
      <c r="V679">
        <v>-1.125</v>
      </c>
      <c r="W679">
        <v>-4.2391304347826102</v>
      </c>
      <c r="X679">
        <v>-0.4</v>
      </c>
      <c r="Y679">
        <v>0</v>
      </c>
      <c r="Z679">
        <v>2.2000000000000002</v>
      </c>
      <c r="AA679">
        <v>0.71428571428571397</v>
      </c>
    </row>
    <row r="680" spans="3:27" x14ac:dyDescent="0.2">
      <c r="C680" t="s">
        <v>159</v>
      </c>
      <c r="D680" t="s">
        <v>235</v>
      </c>
      <c r="E680">
        <v>210</v>
      </c>
      <c r="F680">
        <v>0</v>
      </c>
      <c r="G680">
        <v>8</v>
      </c>
      <c r="H680">
        <v>3.5</v>
      </c>
      <c r="I680">
        <v>0</v>
      </c>
      <c r="J680">
        <v>20</v>
      </c>
      <c r="K680">
        <v>390</v>
      </c>
      <c r="L680">
        <v>26</v>
      </c>
      <c r="M680">
        <v>2</v>
      </c>
      <c r="N680">
        <v>1</v>
      </c>
      <c r="O680">
        <v>10</v>
      </c>
      <c r="Q680" s="3">
        <v>4.7619047619047601</v>
      </c>
      <c r="R680">
        <v>0</v>
      </c>
      <c r="S680">
        <v>0</v>
      </c>
      <c r="U680">
        <v>-2.7998447204968899</v>
      </c>
      <c r="V680">
        <v>-0.875</v>
      </c>
      <c r="W680">
        <v>-4.2391304347826102</v>
      </c>
      <c r="X680">
        <v>-0.4</v>
      </c>
      <c r="Y680">
        <v>0</v>
      </c>
      <c r="Z680">
        <v>2</v>
      </c>
      <c r="AA680">
        <v>0.71428571428571397</v>
      </c>
    </row>
    <row r="681" spans="3:27" x14ac:dyDescent="0.2">
      <c r="C681" t="s">
        <v>159</v>
      </c>
      <c r="D681" t="s">
        <v>236</v>
      </c>
      <c r="E681">
        <v>210</v>
      </c>
      <c r="F681">
        <v>0</v>
      </c>
      <c r="G681">
        <v>6</v>
      </c>
      <c r="H681">
        <v>3</v>
      </c>
      <c r="I681">
        <v>0</v>
      </c>
      <c r="J681">
        <v>20</v>
      </c>
      <c r="K681">
        <v>420</v>
      </c>
      <c r="L681">
        <v>27</v>
      </c>
      <c r="M681">
        <v>2</v>
      </c>
      <c r="N681">
        <v>2</v>
      </c>
      <c r="O681">
        <v>10</v>
      </c>
      <c r="Q681" s="3">
        <v>4.7619047619047601</v>
      </c>
      <c r="R681">
        <v>0</v>
      </c>
      <c r="S681">
        <v>0</v>
      </c>
      <c r="U681">
        <v>-3.40093167701863</v>
      </c>
      <c r="V681">
        <v>-0.75</v>
      </c>
      <c r="W681">
        <v>-4.5652173913043503</v>
      </c>
      <c r="X681">
        <v>-0.8</v>
      </c>
      <c r="Y681">
        <v>0</v>
      </c>
      <c r="Z681">
        <v>2</v>
      </c>
      <c r="AA681">
        <v>0.71428571428571397</v>
      </c>
    </row>
    <row r="682" spans="3:27" x14ac:dyDescent="0.2">
      <c r="C682" t="s">
        <v>159</v>
      </c>
      <c r="D682" t="s">
        <v>248</v>
      </c>
      <c r="E682">
        <v>170</v>
      </c>
      <c r="F682">
        <v>0</v>
      </c>
      <c r="G682">
        <v>8</v>
      </c>
      <c r="H682">
        <v>3.5</v>
      </c>
      <c r="I682">
        <v>0</v>
      </c>
      <c r="J682">
        <v>15</v>
      </c>
      <c r="K682">
        <v>330</v>
      </c>
      <c r="L682">
        <v>17</v>
      </c>
      <c r="M682">
        <v>1</v>
      </c>
      <c r="N682">
        <v>2</v>
      </c>
      <c r="O682">
        <v>8</v>
      </c>
      <c r="Q682" s="3">
        <v>4.7058823529411802</v>
      </c>
      <c r="R682">
        <v>0</v>
      </c>
      <c r="S682">
        <v>0</v>
      </c>
      <c r="U682">
        <v>-3.3048136645962698</v>
      </c>
      <c r="V682">
        <v>-0.875</v>
      </c>
      <c r="W682">
        <v>-3.5869565217391299</v>
      </c>
      <c r="X682">
        <v>-0.8</v>
      </c>
      <c r="Y682">
        <v>0</v>
      </c>
      <c r="Z682">
        <v>1.6</v>
      </c>
      <c r="AA682">
        <v>0.35714285714285698</v>
      </c>
    </row>
    <row r="683" spans="3:27" x14ac:dyDescent="0.2">
      <c r="C683" t="s">
        <v>159</v>
      </c>
      <c r="D683" t="s">
        <v>254</v>
      </c>
      <c r="E683">
        <v>150</v>
      </c>
      <c r="F683">
        <v>0</v>
      </c>
      <c r="G683">
        <v>6</v>
      </c>
      <c r="H683">
        <v>2.5</v>
      </c>
      <c r="I683">
        <v>0</v>
      </c>
      <c r="J683">
        <v>15</v>
      </c>
      <c r="K683">
        <v>310</v>
      </c>
      <c r="L683">
        <v>17</v>
      </c>
      <c r="M683">
        <v>1</v>
      </c>
      <c r="N683">
        <v>2</v>
      </c>
      <c r="O683">
        <v>7</v>
      </c>
      <c r="Q683" s="3">
        <v>4.6666666666666696</v>
      </c>
      <c r="R683">
        <v>0</v>
      </c>
      <c r="S683">
        <v>0</v>
      </c>
      <c r="U683">
        <v>-3.03742236024845</v>
      </c>
      <c r="V683">
        <v>-0.625</v>
      </c>
      <c r="W683">
        <v>-3.3695652173913002</v>
      </c>
      <c r="X683">
        <v>-0.8</v>
      </c>
      <c r="Y683">
        <v>0</v>
      </c>
      <c r="Z683">
        <v>1.4</v>
      </c>
      <c r="AA683">
        <v>0.35714285714285698</v>
      </c>
    </row>
    <row r="684" spans="3:27" x14ac:dyDescent="0.2">
      <c r="C684" t="s">
        <v>159</v>
      </c>
      <c r="D684" t="s">
        <v>255</v>
      </c>
      <c r="E684">
        <v>300</v>
      </c>
      <c r="F684">
        <v>0</v>
      </c>
      <c r="G684">
        <v>10</v>
      </c>
      <c r="H684">
        <v>4.5</v>
      </c>
      <c r="I684">
        <v>0</v>
      </c>
      <c r="J684">
        <v>30</v>
      </c>
      <c r="K684">
        <v>530</v>
      </c>
      <c r="L684">
        <v>40</v>
      </c>
      <c r="M684">
        <v>2</v>
      </c>
      <c r="N684">
        <v>7</v>
      </c>
      <c r="O684">
        <v>14</v>
      </c>
      <c r="Q684" s="3">
        <v>4.6666666666666696</v>
      </c>
      <c r="R684">
        <v>1</v>
      </c>
      <c r="S684">
        <v>0</v>
      </c>
      <c r="U684">
        <v>-6.1715838509316798</v>
      </c>
      <c r="V684">
        <v>-1.125</v>
      </c>
      <c r="W684">
        <v>-5.7608695652173898</v>
      </c>
      <c r="X684">
        <v>-2.8</v>
      </c>
      <c r="Y684">
        <v>0</v>
      </c>
      <c r="Z684">
        <v>2.8</v>
      </c>
      <c r="AA684">
        <v>0.71428571428571397</v>
      </c>
    </row>
    <row r="685" spans="3:27" x14ac:dyDescent="0.2">
      <c r="C685" t="s">
        <v>159</v>
      </c>
      <c r="D685" t="s">
        <v>256</v>
      </c>
      <c r="E685">
        <v>150</v>
      </c>
      <c r="F685">
        <v>0</v>
      </c>
      <c r="G685">
        <v>6</v>
      </c>
      <c r="H685">
        <v>2.5</v>
      </c>
      <c r="I685">
        <v>0</v>
      </c>
      <c r="J685">
        <v>15</v>
      </c>
      <c r="K685">
        <v>270</v>
      </c>
      <c r="L685">
        <v>16</v>
      </c>
      <c r="M685">
        <v>1</v>
      </c>
      <c r="N685">
        <v>0</v>
      </c>
      <c r="O685">
        <v>7</v>
      </c>
      <c r="Q685" s="3">
        <v>4.6666666666666696</v>
      </c>
      <c r="R685">
        <v>0</v>
      </c>
      <c r="S685">
        <v>0</v>
      </c>
      <c r="U685">
        <v>-1.8026397515527901</v>
      </c>
      <c r="V685">
        <v>-0.625</v>
      </c>
      <c r="W685">
        <v>-2.9347826086956501</v>
      </c>
      <c r="X685">
        <v>0</v>
      </c>
      <c r="Y685">
        <v>0</v>
      </c>
      <c r="Z685">
        <v>1.4</v>
      </c>
      <c r="AA685">
        <v>0.35714285714285698</v>
      </c>
    </row>
    <row r="686" spans="3:27" x14ac:dyDescent="0.2">
      <c r="C686" t="s">
        <v>159</v>
      </c>
      <c r="D686" t="s">
        <v>261</v>
      </c>
      <c r="E686">
        <v>280</v>
      </c>
      <c r="F686">
        <v>0</v>
      </c>
      <c r="G686">
        <v>12</v>
      </c>
      <c r="H686">
        <v>6</v>
      </c>
      <c r="I686">
        <v>0</v>
      </c>
      <c r="J686">
        <v>30</v>
      </c>
      <c r="K686">
        <v>560</v>
      </c>
      <c r="L686">
        <v>31</v>
      </c>
      <c r="M686">
        <v>2</v>
      </c>
      <c r="N686">
        <v>2</v>
      </c>
      <c r="O686">
        <v>13</v>
      </c>
      <c r="Q686" s="3">
        <v>4.6428571428571397</v>
      </c>
      <c r="R686">
        <v>1</v>
      </c>
      <c r="S686">
        <v>0</v>
      </c>
      <c r="U686">
        <v>-5.0726708074534201</v>
      </c>
      <c r="V686">
        <v>-1.5</v>
      </c>
      <c r="W686">
        <v>-6.0869565217391299</v>
      </c>
      <c r="X686">
        <v>-0.8</v>
      </c>
      <c r="Y686">
        <v>0</v>
      </c>
      <c r="Z686">
        <v>2.6</v>
      </c>
      <c r="AA686">
        <v>0.71428571428571397</v>
      </c>
    </row>
    <row r="687" spans="3:27" x14ac:dyDescent="0.2">
      <c r="C687" t="s">
        <v>159</v>
      </c>
      <c r="D687" t="s">
        <v>266</v>
      </c>
      <c r="E687">
        <v>390</v>
      </c>
      <c r="F687">
        <v>0</v>
      </c>
      <c r="G687">
        <v>20</v>
      </c>
      <c r="H687">
        <v>7</v>
      </c>
      <c r="I687">
        <v>0</v>
      </c>
      <c r="J687">
        <v>40</v>
      </c>
      <c r="K687">
        <v>680</v>
      </c>
      <c r="L687">
        <v>35</v>
      </c>
      <c r="M687">
        <v>2</v>
      </c>
      <c r="N687">
        <v>2</v>
      </c>
      <c r="O687">
        <v>18</v>
      </c>
      <c r="Q687" s="3">
        <v>4.6153846153846203</v>
      </c>
      <c r="R687">
        <v>1</v>
      </c>
      <c r="S687">
        <v>0</v>
      </c>
      <c r="U687">
        <v>-5.62701863354037</v>
      </c>
      <c r="V687">
        <v>-1.75</v>
      </c>
      <c r="W687">
        <v>-7.3913043478260896</v>
      </c>
      <c r="X687">
        <v>-0.8</v>
      </c>
      <c r="Y687">
        <v>0</v>
      </c>
      <c r="Z687">
        <v>3.6</v>
      </c>
      <c r="AA687">
        <v>0.71428571428571397</v>
      </c>
    </row>
    <row r="688" spans="3:27" x14ac:dyDescent="0.2">
      <c r="C688" t="s">
        <v>159</v>
      </c>
      <c r="D688" t="s">
        <v>267</v>
      </c>
      <c r="E688">
        <v>130</v>
      </c>
      <c r="F688">
        <v>0</v>
      </c>
      <c r="G688">
        <v>3.5</v>
      </c>
      <c r="H688">
        <v>1.5</v>
      </c>
      <c r="I688">
        <v>0</v>
      </c>
      <c r="J688">
        <v>10</v>
      </c>
      <c r="K688">
        <v>380</v>
      </c>
      <c r="L688">
        <v>19</v>
      </c>
      <c r="M688">
        <v>0</v>
      </c>
      <c r="N688">
        <v>0</v>
      </c>
      <c r="O688">
        <v>6</v>
      </c>
      <c r="Q688" s="3">
        <v>4.6153846153846203</v>
      </c>
      <c r="R688">
        <v>0</v>
      </c>
      <c r="S688">
        <v>0</v>
      </c>
      <c r="U688">
        <v>-3.3054347826087001</v>
      </c>
      <c r="V688">
        <v>-0.375</v>
      </c>
      <c r="W688">
        <v>-4.1304347826086998</v>
      </c>
      <c r="X688">
        <v>0</v>
      </c>
      <c r="Y688">
        <v>0</v>
      </c>
      <c r="Z688">
        <v>1.2</v>
      </c>
      <c r="AA688">
        <v>0</v>
      </c>
    </row>
    <row r="689" spans="3:27" x14ac:dyDescent="0.2">
      <c r="C689" t="s">
        <v>159</v>
      </c>
      <c r="D689" t="s">
        <v>268</v>
      </c>
      <c r="E689">
        <v>130</v>
      </c>
      <c r="F689">
        <v>0</v>
      </c>
      <c r="G689">
        <v>4.5</v>
      </c>
      <c r="H689">
        <v>2</v>
      </c>
      <c r="I689">
        <v>0</v>
      </c>
      <c r="J689">
        <v>10</v>
      </c>
      <c r="K689">
        <v>250</v>
      </c>
      <c r="L689">
        <v>17</v>
      </c>
      <c r="M689">
        <v>1</v>
      </c>
      <c r="N689">
        <v>0</v>
      </c>
      <c r="O689">
        <v>6</v>
      </c>
      <c r="Q689" s="3">
        <v>4.6153846153846203</v>
      </c>
      <c r="R689">
        <v>0</v>
      </c>
      <c r="S689">
        <v>0</v>
      </c>
      <c r="U689">
        <v>-1.6602484472049699</v>
      </c>
      <c r="V689">
        <v>-0.5</v>
      </c>
      <c r="W689">
        <v>-2.7173913043478302</v>
      </c>
      <c r="X689">
        <v>0</v>
      </c>
      <c r="Y689">
        <v>0</v>
      </c>
      <c r="Z689">
        <v>1.2</v>
      </c>
      <c r="AA689">
        <v>0.35714285714285698</v>
      </c>
    </row>
    <row r="690" spans="3:27" x14ac:dyDescent="0.2">
      <c r="C690" t="s">
        <v>159</v>
      </c>
      <c r="D690" t="s">
        <v>269</v>
      </c>
      <c r="E690">
        <v>130</v>
      </c>
      <c r="F690">
        <v>0</v>
      </c>
      <c r="G690">
        <v>5</v>
      </c>
      <c r="H690">
        <v>2</v>
      </c>
      <c r="I690">
        <v>0</v>
      </c>
      <c r="J690">
        <v>10</v>
      </c>
      <c r="K690">
        <v>260</v>
      </c>
      <c r="L690">
        <v>16</v>
      </c>
      <c r="M690">
        <v>1</v>
      </c>
      <c r="N690">
        <v>0</v>
      </c>
      <c r="O690">
        <v>6</v>
      </c>
      <c r="Q690" s="3">
        <v>4.6153846153846203</v>
      </c>
      <c r="R690">
        <v>0</v>
      </c>
      <c r="S690">
        <v>0</v>
      </c>
      <c r="U690">
        <v>-1.7689440993788801</v>
      </c>
      <c r="V690">
        <v>-0.5</v>
      </c>
      <c r="W690">
        <v>-2.8260869565217401</v>
      </c>
      <c r="X690">
        <v>0</v>
      </c>
      <c r="Y690">
        <v>0</v>
      </c>
      <c r="Z690">
        <v>1.2</v>
      </c>
      <c r="AA690">
        <v>0.35714285714285698</v>
      </c>
    </row>
    <row r="691" spans="3:27" x14ac:dyDescent="0.2">
      <c r="C691" t="s">
        <v>159</v>
      </c>
      <c r="D691" t="s">
        <v>272</v>
      </c>
      <c r="E691">
        <v>370</v>
      </c>
      <c r="F691">
        <v>0</v>
      </c>
      <c r="G691">
        <v>18</v>
      </c>
      <c r="H691">
        <v>8</v>
      </c>
      <c r="I691">
        <v>0</v>
      </c>
      <c r="J691">
        <v>50</v>
      </c>
      <c r="K691">
        <v>740</v>
      </c>
      <c r="L691">
        <v>35</v>
      </c>
      <c r="M691">
        <v>3</v>
      </c>
      <c r="N691">
        <v>2</v>
      </c>
      <c r="O691">
        <v>17</v>
      </c>
      <c r="Q691" s="3">
        <v>4.5945945945945903</v>
      </c>
      <c r="R691">
        <v>1</v>
      </c>
      <c r="S691">
        <v>0</v>
      </c>
      <c r="U691">
        <v>-6.3720496894409902</v>
      </c>
      <c r="V691">
        <v>-2</v>
      </c>
      <c r="W691">
        <v>-8.0434782608695592</v>
      </c>
      <c r="X691">
        <v>-0.8</v>
      </c>
      <c r="Y691">
        <v>0</v>
      </c>
      <c r="Z691">
        <v>3.4</v>
      </c>
      <c r="AA691">
        <v>1.0714285714285701</v>
      </c>
    </row>
    <row r="692" spans="3:27" x14ac:dyDescent="0.2">
      <c r="C692" t="s">
        <v>159</v>
      </c>
      <c r="D692" t="s">
        <v>274</v>
      </c>
      <c r="E692">
        <v>240</v>
      </c>
      <c r="F692">
        <v>0</v>
      </c>
      <c r="G692">
        <v>9</v>
      </c>
      <c r="H692">
        <v>3.5</v>
      </c>
      <c r="I692">
        <v>0</v>
      </c>
      <c r="J692">
        <v>20</v>
      </c>
      <c r="K692">
        <v>680</v>
      </c>
      <c r="L692">
        <v>31</v>
      </c>
      <c r="M692">
        <v>2</v>
      </c>
      <c r="N692">
        <v>2</v>
      </c>
      <c r="O692">
        <v>11</v>
      </c>
      <c r="Q692" s="3">
        <v>4.5833333333333304</v>
      </c>
      <c r="R692">
        <v>1</v>
      </c>
      <c r="S692">
        <v>0</v>
      </c>
      <c r="U692">
        <v>-6.1520186335403704</v>
      </c>
      <c r="V692">
        <v>-0.875</v>
      </c>
      <c r="W692">
        <v>-7.3913043478260896</v>
      </c>
      <c r="X692">
        <v>-0.8</v>
      </c>
      <c r="Y692">
        <v>0</v>
      </c>
      <c r="Z692">
        <v>2.2000000000000002</v>
      </c>
      <c r="AA692">
        <v>0.71428571428571397</v>
      </c>
    </row>
    <row r="693" spans="3:27" x14ac:dyDescent="0.2">
      <c r="C693" t="s">
        <v>159</v>
      </c>
      <c r="D693" t="s">
        <v>280</v>
      </c>
      <c r="E693">
        <v>220</v>
      </c>
      <c r="F693">
        <v>0</v>
      </c>
      <c r="G693">
        <v>7</v>
      </c>
      <c r="H693">
        <v>3</v>
      </c>
      <c r="I693">
        <v>0</v>
      </c>
      <c r="J693">
        <v>20</v>
      </c>
      <c r="K693">
        <v>390</v>
      </c>
      <c r="L693">
        <v>31</v>
      </c>
      <c r="M693">
        <v>2</v>
      </c>
      <c r="N693">
        <v>6</v>
      </c>
      <c r="O693">
        <v>10</v>
      </c>
      <c r="Q693" s="3">
        <v>4.5454545454545503</v>
      </c>
      <c r="R693">
        <v>0</v>
      </c>
      <c r="S693">
        <v>0</v>
      </c>
      <c r="U693">
        <v>-4.6748447204968899</v>
      </c>
      <c r="V693">
        <v>-0.75</v>
      </c>
      <c r="W693">
        <v>-4.2391304347826102</v>
      </c>
      <c r="X693">
        <v>-2.4</v>
      </c>
      <c r="Y693">
        <v>0</v>
      </c>
      <c r="Z693">
        <v>2</v>
      </c>
      <c r="AA693">
        <v>0.71428571428571397</v>
      </c>
    </row>
    <row r="694" spans="3:27" x14ac:dyDescent="0.2">
      <c r="C694" t="s">
        <v>159</v>
      </c>
      <c r="D694" t="s">
        <v>283</v>
      </c>
      <c r="E694">
        <v>200</v>
      </c>
      <c r="F694">
        <v>0</v>
      </c>
      <c r="G694">
        <v>7</v>
      </c>
      <c r="H694">
        <v>3.5</v>
      </c>
      <c r="I694">
        <v>0</v>
      </c>
      <c r="J694">
        <v>15</v>
      </c>
      <c r="K694">
        <v>410</v>
      </c>
      <c r="L694">
        <v>26</v>
      </c>
      <c r="M694">
        <v>2</v>
      </c>
      <c r="N694">
        <v>1</v>
      </c>
      <c r="O694">
        <v>9</v>
      </c>
      <c r="Q694" s="3">
        <v>4.5</v>
      </c>
      <c r="R694">
        <v>0</v>
      </c>
      <c r="S694">
        <v>0</v>
      </c>
      <c r="U694">
        <v>-3.2172360248447198</v>
      </c>
      <c r="V694">
        <v>-0.875</v>
      </c>
      <c r="W694">
        <v>-4.4565217391304301</v>
      </c>
      <c r="X694">
        <v>-0.4</v>
      </c>
      <c r="Y694">
        <v>0</v>
      </c>
      <c r="Z694">
        <v>1.8</v>
      </c>
      <c r="AA694">
        <v>0.71428571428571397</v>
      </c>
    </row>
    <row r="695" spans="3:27" x14ac:dyDescent="0.2">
      <c r="C695" t="s">
        <v>159</v>
      </c>
      <c r="D695" t="s">
        <v>284</v>
      </c>
      <c r="E695">
        <v>200</v>
      </c>
      <c r="F695">
        <v>0</v>
      </c>
      <c r="G695">
        <v>5</v>
      </c>
      <c r="H695">
        <v>2.5</v>
      </c>
      <c r="I695">
        <v>0</v>
      </c>
      <c r="J695">
        <v>20</v>
      </c>
      <c r="K695">
        <v>560</v>
      </c>
      <c r="L695">
        <v>28</v>
      </c>
      <c r="M695">
        <v>2</v>
      </c>
      <c r="N695">
        <v>1</v>
      </c>
      <c r="O695">
        <v>9</v>
      </c>
      <c r="Q695" s="3">
        <v>4.5</v>
      </c>
      <c r="R695">
        <v>1</v>
      </c>
      <c r="S695">
        <v>0</v>
      </c>
      <c r="U695">
        <v>-4.5976708074534196</v>
      </c>
      <c r="V695">
        <v>-0.625</v>
      </c>
      <c r="W695">
        <v>-6.0869565217391299</v>
      </c>
      <c r="X695">
        <v>-0.4</v>
      </c>
      <c r="Y695">
        <v>0</v>
      </c>
      <c r="Z695">
        <v>1.8</v>
      </c>
      <c r="AA695">
        <v>0.71428571428571397</v>
      </c>
    </row>
    <row r="696" spans="3:27" x14ac:dyDescent="0.2">
      <c r="C696" t="s">
        <v>159</v>
      </c>
      <c r="D696" t="s">
        <v>286</v>
      </c>
      <c r="E696">
        <v>290</v>
      </c>
      <c r="F696">
        <v>0</v>
      </c>
      <c r="G696">
        <v>13</v>
      </c>
      <c r="H696">
        <v>6</v>
      </c>
      <c r="I696">
        <v>0</v>
      </c>
      <c r="J696">
        <v>30</v>
      </c>
      <c r="K696">
        <v>570</v>
      </c>
      <c r="L696">
        <v>31</v>
      </c>
      <c r="M696">
        <v>2</v>
      </c>
      <c r="N696">
        <v>2</v>
      </c>
      <c r="O696">
        <v>13</v>
      </c>
      <c r="Q696" s="3">
        <v>4.4827586206896504</v>
      </c>
      <c r="R696">
        <v>1</v>
      </c>
      <c r="S696">
        <v>0</v>
      </c>
      <c r="U696">
        <v>-5.1813664596273297</v>
      </c>
      <c r="V696">
        <v>-1.5</v>
      </c>
      <c r="W696">
        <v>-6.1956521739130404</v>
      </c>
      <c r="X696">
        <v>-0.8</v>
      </c>
      <c r="Y696">
        <v>0</v>
      </c>
      <c r="Z696">
        <v>2.6</v>
      </c>
      <c r="AA696">
        <v>0.71428571428571397</v>
      </c>
    </row>
    <row r="697" spans="3:27" x14ac:dyDescent="0.2">
      <c r="C697" t="s">
        <v>159</v>
      </c>
      <c r="D697" t="s">
        <v>287</v>
      </c>
      <c r="E697">
        <v>290</v>
      </c>
      <c r="F697">
        <v>0</v>
      </c>
      <c r="G697">
        <v>10</v>
      </c>
      <c r="H697">
        <v>5</v>
      </c>
      <c r="I697">
        <v>0</v>
      </c>
      <c r="J697">
        <v>30</v>
      </c>
      <c r="K697">
        <v>540</v>
      </c>
      <c r="L697">
        <v>34</v>
      </c>
      <c r="M697">
        <v>3</v>
      </c>
      <c r="N697">
        <v>2</v>
      </c>
      <c r="O697">
        <v>13</v>
      </c>
      <c r="Q697" s="3">
        <v>4.4827586206896504</v>
      </c>
      <c r="R697">
        <v>1</v>
      </c>
      <c r="S697">
        <v>0</v>
      </c>
      <c r="U697">
        <v>-4.2481366459627301</v>
      </c>
      <c r="V697">
        <v>-1.25</v>
      </c>
      <c r="W697">
        <v>-5.8695652173913002</v>
      </c>
      <c r="X697">
        <v>-0.8</v>
      </c>
      <c r="Y697">
        <v>0</v>
      </c>
      <c r="Z697">
        <v>2.6</v>
      </c>
      <c r="AA697">
        <v>1.0714285714285701</v>
      </c>
    </row>
    <row r="698" spans="3:27" x14ac:dyDescent="0.2">
      <c r="C698" t="s">
        <v>159</v>
      </c>
      <c r="D698" t="s">
        <v>291</v>
      </c>
      <c r="E698">
        <v>180</v>
      </c>
      <c r="F698">
        <v>0</v>
      </c>
      <c r="G698">
        <v>6</v>
      </c>
      <c r="H698">
        <v>2</v>
      </c>
      <c r="I698">
        <v>0</v>
      </c>
      <c r="J698">
        <v>15</v>
      </c>
      <c r="K698">
        <v>370</v>
      </c>
      <c r="L698">
        <v>25</v>
      </c>
      <c r="M698">
        <v>1</v>
      </c>
      <c r="N698">
        <v>8</v>
      </c>
      <c r="O698">
        <v>8</v>
      </c>
      <c r="Q698" s="3">
        <v>4.4444444444444402</v>
      </c>
      <c r="R698">
        <v>0</v>
      </c>
      <c r="S698">
        <v>0</v>
      </c>
      <c r="U698">
        <v>-5.7645962732919296</v>
      </c>
      <c r="V698">
        <v>-0.5</v>
      </c>
      <c r="W698">
        <v>-4.0217391304347796</v>
      </c>
      <c r="X698">
        <v>-3.2</v>
      </c>
      <c r="Y698">
        <v>0</v>
      </c>
      <c r="Z698">
        <v>1.6</v>
      </c>
      <c r="AA698">
        <v>0.35714285714285698</v>
      </c>
    </row>
    <row r="699" spans="3:27" x14ac:dyDescent="0.2">
      <c r="C699" t="s">
        <v>159</v>
      </c>
      <c r="D699" t="s">
        <v>292</v>
      </c>
      <c r="E699">
        <v>360</v>
      </c>
      <c r="F699">
        <v>0</v>
      </c>
      <c r="G699">
        <v>17</v>
      </c>
      <c r="H699">
        <v>7</v>
      </c>
      <c r="I699">
        <v>0</v>
      </c>
      <c r="J699">
        <v>35</v>
      </c>
      <c r="K699">
        <v>660</v>
      </c>
      <c r="L699">
        <v>37</v>
      </c>
      <c r="M699">
        <v>2</v>
      </c>
      <c r="N699">
        <v>2</v>
      </c>
      <c r="O699">
        <v>16</v>
      </c>
      <c r="Q699" s="3">
        <v>4.4444444444444402</v>
      </c>
      <c r="R699">
        <v>1</v>
      </c>
      <c r="S699">
        <v>0</v>
      </c>
      <c r="U699">
        <v>-5.8096273291925504</v>
      </c>
      <c r="V699">
        <v>-1.75</v>
      </c>
      <c r="W699">
        <v>-7.1739130434782599</v>
      </c>
      <c r="X699">
        <v>-0.8</v>
      </c>
      <c r="Y699">
        <v>0</v>
      </c>
      <c r="Z699">
        <v>3.2</v>
      </c>
      <c r="AA699">
        <v>0.71428571428571397</v>
      </c>
    </row>
    <row r="700" spans="3:27" x14ac:dyDescent="0.2">
      <c r="C700" t="s">
        <v>159</v>
      </c>
      <c r="D700" t="s">
        <v>293</v>
      </c>
      <c r="E700">
        <v>270</v>
      </c>
      <c r="F700">
        <v>0</v>
      </c>
      <c r="G700">
        <v>13</v>
      </c>
      <c r="H700">
        <v>4.5</v>
      </c>
      <c r="I700">
        <v>0</v>
      </c>
      <c r="J700">
        <v>30</v>
      </c>
      <c r="K700">
        <v>470</v>
      </c>
      <c r="L700">
        <v>27</v>
      </c>
      <c r="M700">
        <v>2</v>
      </c>
      <c r="N700">
        <v>1</v>
      </c>
      <c r="O700">
        <v>12</v>
      </c>
      <c r="Q700" s="3">
        <v>4.4444444444444402</v>
      </c>
      <c r="R700">
        <v>1</v>
      </c>
      <c r="S700">
        <v>0</v>
      </c>
      <c r="U700">
        <v>-3.5194099378882</v>
      </c>
      <c r="V700">
        <v>-1.125</v>
      </c>
      <c r="W700">
        <v>-5.1086956521739104</v>
      </c>
      <c r="X700">
        <v>-0.4</v>
      </c>
      <c r="Y700">
        <v>0</v>
      </c>
      <c r="Z700">
        <v>2.4</v>
      </c>
      <c r="AA700">
        <v>0.71428571428571397</v>
      </c>
    </row>
    <row r="701" spans="3:27" x14ac:dyDescent="0.2">
      <c r="C701" t="s">
        <v>159</v>
      </c>
      <c r="D701" t="s">
        <v>294</v>
      </c>
      <c r="E701">
        <v>180</v>
      </c>
      <c r="F701">
        <v>0</v>
      </c>
      <c r="G701">
        <v>9</v>
      </c>
      <c r="H701">
        <v>3.5</v>
      </c>
      <c r="I701">
        <v>0</v>
      </c>
      <c r="J701">
        <v>20</v>
      </c>
      <c r="K701">
        <v>370</v>
      </c>
      <c r="L701">
        <v>17</v>
      </c>
      <c r="M701">
        <v>1</v>
      </c>
      <c r="N701">
        <v>2</v>
      </c>
      <c r="O701">
        <v>8</v>
      </c>
      <c r="Q701" s="3">
        <v>4.4444444444444402</v>
      </c>
      <c r="R701">
        <v>0</v>
      </c>
      <c r="S701">
        <v>0</v>
      </c>
      <c r="U701">
        <v>-3.7395962732919301</v>
      </c>
      <c r="V701">
        <v>-0.875</v>
      </c>
      <c r="W701">
        <v>-4.0217391304347796</v>
      </c>
      <c r="X701">
        <v>-0.8</v>
      </c>
      <c r="Y701">
        <v>0</v>
      </c>
      <c r="Z701">
        <v>1.6</v>
      </c>
      <c r="AA701">
        <v>0.35714285714285698</v>
      </c>
    </row>
    <row r="702" spans="3:27" x14ac:dyDescent="0.2">
      <c r="C702" t="s">
        <v>159</v>
      </c>
      <c r="D702" t="s">
        <v>295</v>
      </c>
      <c r="E702">
        <v>270</v>
      </c>
      <c r="F702">
        <v>0</v>
      </c>
      <c r="G702">
        <v>13</v>
      </c>
      <c r="H702">
        <v>5</v>
      </c>
      <c r="I702">
        <v>0</v>
      </c>
      <c r="J702">
        <v>25</v>
      </c>
      <c r="K702">
        <v>470</v>
      </c>
      <c r="L702">
        <v>27</v>
      </c>
      <c r="M702">
        <v>2</v>
      </c>
      <c r="N702">
        <v>1</v>
      </c>
      <c r="O702">
        <v>12</v>
      </c>
      <c r="Q702" s="3">
        <v>4.4444444444444402</v>
      </c>
      <c r="R702">
        <v>1</v>
      </c>
      <c r="S702">
        <v>0</v>
      </c>
      <c r="U702">
        <v>-3.6444099378882</v>
      </c>
      <c r="V702">
        <v>-1.25</v>
      </c>
      <c r="W702">
        <v>-5.1086956521739104</v>
      </c>
      <c r="X702">
        <v>-0.4</v>
      </c>
      <c r="Y702">
        <v>0</v>
      </c>
      <c r="Z702">
        <v>2.4</v>
      </c>
      <c r="AA702">
        <v>0.71428571428571397</v>
      </c>
    </row>
    <row r="703" spans="3:27" x14ac:dyDescent="0.2">
      <c r="C703" t="s">
        <v>159</v>
      </c>
      <c r="D703" t="s">
        <v>296</v>
      </c>
      <c r="E703">
        <v>270</v>
      </c>
      <c r="F703">
        <v>0</v>
      </c>
      <c r="G703">
        <v>13</v>
      </c>
      <c r="H703">
        <v>6</v>
      </c>
      <c r="I703">
        <v>0</v>
      </c>
      <c r="J703">
        <v>35</v>
      </c>
      <c r="K703">
        <v>530</v>
      </c>
      <c r="L703">
        <v>26</v>
      </c>
      <c r="M703">
        <v>2</v>
      </c>
      <c r="N703">
        <v>1</v>
      </c>
      <c r="O703">
        <v>12</v>
      </c>
      <c r="Q703" s="3">
        <v>4.4444444444444402</v>
      </c>
      <c r="R703">
        <v>1</v>
      </c>
      <c r="S703">
        <v>0</v>
      </c>
      <c r="U703">
        <v>-4.5465838509316798</v>
      </c>
      <c r="V703">
        <v>-1.5</v>
      </c>
      <c r="W703">
        <v>-5.7608695652173898</v>
      </c>
      <c r="X703">
        <v>-0.4</v>
      </c>
      <c r="Y703">
        <v>0</v>
      </c>
      <c r="Z703">
        <v>2.4</v>
      </c>
      <c r="AA703">
        <v>0.71428571428571397</v>
      </c>
    </row>
    <row r="704" spans="3:27" x14ac:dyDescent="0.2">
      <c r="C704" t="s">
        <v>159</v>
      </c>
      <c r="D704" t="s">
        <v>303</v>
      </c>
      <c r="E704">
        <v>250</v>
      </c>
      <c r="F704">
        <v>0</v>
      </c>
      <c r="G704">
        <v>10</v>
      </c>
      <c r="H704">
        <v>4.5</v>
      </c>
      <c r="I704">
        <v>0</v>
      </c>
      <c r="J704">
        <v>25</v>
      </c>
      <c r="K704">
        <v>450</v>
      </c>
      <c r="L704">
        <v>28</v>
      </c>
      <c r="M704">
        <v>2</v>
      </c>
      <c r="N704">
        <v>1</v>
      </c>
      <c r="O704">
        <v>11</v>
      </c>
      <c r="Q704" s="3">
        <v>4.4000000000000004</v>
      </c>
      <c r="R704">
        <v>0</v>
      </c>
      <c r="S704">
        <v>0</v>
      </c>
      <c r="U704">
        <v>-3.50201863354037</v>
      </c>
      <c r="V704">
        <v>-1.125</v>
      </c>
      <c r="W704">
        <v>-4.8913043478260896</v>
      </c>
      <c r="X704">
        <v>-0.4</v>
      </c>
      <c r="Y704">
        <v>0</v>
      </c>
      <c r="Z704">
        <v>2.2000000000000002</v>
      </c>
      <c r="AA704">
        <v>0.71428571428571397</v>
      </c>
    </row>
    <row r="705" spans="3:27" x14ac:dyDescent="0.2">
      <c r="C705" t="s">
        <v>159</v>
      </c>
      <c r="D705" t="s">
        <v>307</v>
      </c>
      <c r="E705">
        <v>320</v>
      </c>
      <c r="F705">
        <v>0</v>
      </c>
      <c r="G705">
        <v>16</v>
      </c>
      <c r="H705">
        <v>6</v>
      </c>
      <c r="I705">
        <v>0</v>
      </c>
      <c r="J705">
        <v>35</v>
      </c>
      <c r="K705">
        <v>640</v>
      </c>
      <c r="L705">
        <v>31</v>
      </c>
      <c r="M705">
        <v>2</v>
      </c>
      <c r="N705">
        <v>2</v>
      </c>
      <c r="O705">
        <v>14</v>
      </c>
      <c r="Q705" s="3">
        <v>4.375</v>
      </c>
      <c r="R705">
        <v>1</v>
      </c>
      <c r="S705">
        <v>0</v>
      </c>
      <c r="U705">
        <v>-5.7422360248447202</v>
      </c>
      <c r="V705">
        <v>-1.5</v>
      </c>
      <c r="W705">
        <v>-6.9565217391304301</v>
      </c>
      <c r="X705">
        <v>-0.8</v>
      </c>
      <c r="Y705">
        <v>0</v>
      </c>
      <c r="Z705">
        <v>2.8</v>
      </c>
      <c r="AA705">
        <v>0.71428571428571397</v>
      </c>
    </row>
    <row r="706" spans="3:27" x14ac:dyDescent="0.2">
      <c r="C706" t="s">
        <v>159</v>
      </c>
      <c r="D706" t="s">
        <v>308</v>
      </c>
      <c r="E706">
        <v>160</v>
      </c>
      <c r="F706">
        <v>0</v>
      </c>
      <c r="G706">
        <v>5</v>
      </c>
      <c r="H706">
        <v>2</v>
      </c>
      <c r="I706">
        <v>0</v>
      </c>
      <c r="J706">
        <v>15</v>
      </c>
      <c r="K706">
        <v>570</v>
      </c>
      <c r="L706">
        <v>22</v>
      </c>
      <c r="M706">
        <v>1</v>
      </c>
      <c r="N706">
        <v>2</v>
      </c>
      <c r="O706">
        <v>7</v>
      </c>
      <c r="Q706" s="3">
        <v>4.375</v>
      </c>
      <c r="R706">
        <v>1</v>
      </c>
      <c r="S706">
        <v>0</v>
      </c>
      <c r="U706">
        <v>-5.7385093167701902</v>
      </c>
      <c r="V706">
        <v>-0.5</v>
      </c>
      <c r="W706">
        <v>-6.1956521739130404</v>
      </c>
      <c r="X706">
        <v>-0.8</v>
      </c>
      <c r="Y706">
        <v>0</v>
      </c>
      <c r="Z706">
        <v>1.4</v>
      </c>
      <c r="AA706">
        <v>0.35714285714285698</v>
      </c>
    </row>
    <row r="707" spans="3:27" x14ac:dyDescent="0.2">
      <c r="C707" t="s">
        <v>159</v>
      </c>
      <c r="D707" t="s">
        <v>309</v>
      </c>
      <c r="E707">
        <v>160</v>
      </c>
      <c r="F707">
        <v>0</v>
      </c>
      <c r="G707">
        <v>7</v>
      </c>
      <c r="H707">
        <v>3</v>
      </c>
      <c r="I707">
        <v>0</v>
      </c>
      <c r="J707">
        <v>20</v>
      </c>
      <c r="K707">
        <v>310</v>
      </c>
      <c r="L707">
        <v>17</v>
      </c>
      <c r="M707">
        <v>1</v>
      </c>
      <c r="N707">
        <v>0</v>
      </c>
      <c r="O707">
        <v>7</v>
      </c>
      <c r="Q707" s="3">
        <v>4.375</v>
      </c>
      <c r="R707">
        <v>0</v>
      </c>
      <c r="S707">
        <v>0</v>
      </c>
      <c r="U707">
        <v>-2.3624223602484502</v>
      </c>
      <c r="V707">
        <v>-0.75</v>
      </c>
      <c r="W707">
        <v>-3.3695652173913002</v>
      </c>
      <c r="X707">
        <v>0</v>
      </c>
      <c r="Y707">
        <v>0</v>
      </c>
      <c r="Z707">
        <v>1.4</v>
      </c>
      <c r="AA707">
        <v>0.35714285714285698</v>
      </c>
    </row>
    <row r="708" spans="3:27" x14ac:dyDescent="0.2">
      <c r="C708" t="s">
        <v>159</v>
      </c>
      <c r="D708" t="s">
        <v>310</v>
      </c>
      <c r="E708">
        <v>320</v>
      </c>
      <c r="F708">
        <v>0</v>
      </c>
      <c r="G708">
        <v>14</v>
      </c>
      <c r="H708">
        <v>6</v>
      </c>
      <c r="I708">
        <v>0</v>
      </c>
      <c r="J708">
        <v>35</v>
      </c>
      <c r="K708">
        <v>630</v>
      </c>
      <c r="L708">
        <v>35</v>
      </c>
      <c r="M708">
        <v>3</v>
      </c>
      <c r="N708">
        <v>2</v>
      </c>
      <c r="O708">
        <v>14</v>
      </c>
      <c r="Q708" s="3">
        <v>4.375</v>
      </c>
      <c r="R708">
        <v>1</v>
      </c>
      <c r="S708">
        <v>0</v>
      </c>
      <c r="U708">
        <v>-5.2763975155279503</v>
      </c>
      <c r="V708">
        <v>-1.5</v>
      </c>
      <c r="W708">
        <v>-6.8478260869565197</v>
      </c>
      <c r="X708">
        <v>-0.8</v>
      </c>
      <c r="Y708">
        <v>0</v>
      </c>
      <c r="Z708">
        <v>2.8</v>
      </c>
      <c r="AA708">
        <v>1.0714285714285701</v>
      </c>
    </row>
    <row r="709" spans="3:27" x14ac:dyDescent="0.2">
      <c r="C709" t="s">
        <v>159</v>
      </c>
      <c r="D709" t="s">
        <v>311</v>
      </c>
      <c r="E709">
        <v>390</v>
      </c>
      <c r="F709">
        <v>0</v>
      </c>
      <c r="G709">
        <v>20</v>
      </c>
      <c r="H709">
        <v>8</v>
      </c>
      <c r="I709">
        <v>0</v>
      </c>
      <c r="J709">
        <v>40</v>
      </c>
      <c r="K709">
        <v>670</v>
      </c>
      <c r="L709">
        <v>36</v>
      </c>
      <c r="M709">
        <v>2</v>
      </c>
      <c r="N709">
        <v>2</v>
      </c>
      <c r="O709">
        <v>17</v>
      </c>
      <c r="Q709" s="3">
        <v>4.3589743589743604</v>
      </c>
      <c r="R709">
        <v>1</v>
      </c>
      <c r="S709">
        <v>0</v>
      </c>
      <c r="U709">
        <v>-5.9683229813664598</v>
      </c>
      <c r="V709">
        <v>-2</v>
      </c>
      <c r="W709">
        <v>-7.2826086956521703</v>
      </c>
      <c r="X709">
        <v>-0.8</v>
      </c>
      <c r="Y709">
        <v>0</v>
      </c>
      <c r="Z709">
        <v>3.4</v>
      </c>
      <c r="AA709">
        <v>0.71428571428571397</v>
      </c>
    </row>
    <row r="710" spans="3:27" x14ac:dyDescent="0.2">
      <c r="C710" t="s">
        <v>159</v>
      </c>
      <c r="D710" t="s">
        <v>312</v>
      </c>
      <c r="E710">
        <v>390</v>
      </c>
      <c r="F710">
        <v>0</v>
      </c>
      <c r="G710">
        <v>21</v>
      </c>
      <c r="H710">
        <v>8</v>
      </c>
      <c r="I710">
        <v>0</v>
      </c>
      <c r="J710">
        <v>45</v>
      </c>
      <c r="K710">
        <v>830</v>
      </c>
      <c r="L710">
        <v>34</v>
      </c>
      <c r="M710">
        <v>3</v>
      </c>
      <c r="N710">
        <v>2</v>
      </c>
      <c r="O710">
        <v>17</v>
      </c>
      <c r="Q710" s="3">
        <v>4.3589743589743604</v>
      </c>
      <c r="R710">
        <v>1</v>
      </c>
      <c r="S710">
        <v>0</v>
      </c>
      <c r="U710">
        <v>-7.3503105590062097</v>
      </c>
      <c r="V710">
        <v>-2</v>
      </c>
      <c r="W710">
        <v>-9.0217391304347796</v>
      </c>
      <c r="X710">
        <v>-0.8</v>
      </c>
      <c r="Y710">
        <v>0</v>
      </c>
      <c r="Z710">
        <v>3.4</v>
      </c>
      <c r="AA710">
        <v>1.0714285714285701</v>
      </c>
    </row>
    <row r="711" spans="3:27" x14ac:dyDescent="0.2">
      <c r="C711" t="s">
        <v>159</v>
      </c>
      <c r="D711" t="s">
        <v>314</v>
      </c>
      <c r="E711">
        <v>300</v>
      </c>
      <c r="F711">
        <v>0</v>
      </c>
      <c r="G711">
        <v>15</v>
      </c>
      <c r="H711">
        <v>6</v>
      </c>
      <c r="I711">
        <v>0</v>
      </c>
      <c r="J711">
        <v>35</v>
      </c>
      <c r="K711">
        <v>580</v>
      </c>
      <c r="L711">
        <v>28</v>
      </c>
      <c r="M711">
        <v>2</v>
      </c>
      <c r="N711">
        <v>1</v>
      </c>
      <c r="O711">
        <v>13</v>
      </c>
      <c r="Q711" s="3">
        <v>4.3333333333333304</v>
      </c>
      <c r="R711">
        <v>1</v>
      </c>
      <c r="S711">
        <v>0</v>
      </c>
      <c r="U711">
        <v>-4.8900621118012397</v>
      </c>
      <c r="V711">
        <v>-1.5</v>
      </c>
      <c r="W711">
        <v>-6.3043478260869596</v>
      </c>
      <c r="X711">
        <v>-0.4</v>
      </c>
      <c r="Y711">
        <v>0</v>
      </c>
      <c r="Z711">
        <v>2.6</v>
      </c>
      <c r="AA711">
        <v>0.71428571428571397</v>
      </c>
    </row>
    <row r="712" spans="3:27" x14ac:dyDescent="0.2">
      <c r="C712" t="s">
        <v>159</v>
      </c>
      <c r="D712" t="s">
        <v>315</v>
      </c>
      <c r="E712">
        <v>300</v>
      </c>
      <c r="F712">
        <v>0</v>
      </c>
      <c r="G712">
        <v>13</v>
      </c>
      <c r="H712">
        <v>6</v>
      </c>
      <c r="I712">
        <v>0</v>
      </c>
      <c r="J712">
        <v>30</v>
      </c>
      <c r="K712">
        <v>590</v>
      </c>
      <c r="L712">
        <v>34</v>
      </c>
      <c r="M712">
        <v>3</v>
      </c>
      <c r="N712">
        <v>2</v>
      </c>
      <c r="O712">
        <v>13</v>
      </c>
      <c r="Q712" s="3">
        <v>4.3333333333333304</v>
      </c>
      <c r="R712">
        <v>1</v>
      </c>
      <c r="S712">
        <v>0</v>
      </c>
      <c r="U712">
        <v>-5.0416149068323</v>
      </c>
      <c r="V712">
        <v>-1.5</v>
      </c>
      <c r="W712">
        <v>-6.4130434782608701</v>
      </c>
      <c r="X712">
        <v>-0.8</v>
      </c>
      <c r="Y712">
        <v>0</v>
      </c>
      <c r="Z712">
        <v>2.6</v>
      </c>
      <c r="AA712">
        <v>1.0714285714285701</v>
      </c>
    </row>
    <row r="713" spans="3:27" x14ac:dyDescent="0.2">
      <c r="C713" t="s">
        <v>159</v>
      </c>
      <c r="D713" t="s">
        <v>318</v>
      </c>
      <c r="E713">
        <v>440</v>
      </c>
      <c r="F713">
        <v>0</v>
      </c>
      <c r="G713">
        <v>24</v>
      </c>
      <c r="H713">
        <v>9</v>
      </c>
      <c r="I713">
        <v>0.5</v>
      </c>
      <c r="J713">
        <v>50</v>
      </c>
      <c r="K713">
        <v>850</v>
      </c>
      <c r="L713">
        <v>37</v>
      </c>
      <c r="M713">
        <v>3</v>
      </c>
      <c r="N713">
        <v>2</v>
      </c>
      <c r="O713">
        <v>19</v>
      </c>
      <c r="Q713" s="3">
        <v>4.3181818181818201</v>
      </c>
      <c r="R713">
        <v>1</v>
      </c>
      <c r="S713">
        <v>0</v>
      </c>
      <c r="U713">
        <v>-7.4182018633540396</v>
      </c>
      <c r="V713">
        <v>-2.25</v>
      </c>
      <c r="W713">
        <v>-9.2391304347826093</v>
      </c>
      <c r="X713">
        <v>-0.8</v>
      </c>
      <c r="Y713">
        <v>-5.0000000000000001E-4</v>
      </c>
      <c r="Z713">
        <v>3.8</v>
      </c>
      <c r="AA713">
        <v>1.0714285714285701</v>
      </c>
    </row>
    <row r="714" spans="3:27" x14ac:dyDescent="0.2">
      <c r="C714" t="s">
        <v>159</v>
      </c>
      <c r="D714" t="s">
        <v>323</v>
      </c>
      <c r="E714">
        <v>350</v>
      </c>
      <c r="F714">
        <v>0</v>
      </c>
      <c r="G714">
        <v>14</v>
      </c>
      <c r="H714">
        <v>5</v>
      </c>
      <c r="I714">
        <v>0</v>
      </c>
      <c r="J714">
        <v>30</v>
      </c>
      <c r="K714">
        <v>850</v>
      </c>
      <c r="L714">
        <v>40</v>
      </c>
      <c r="M714">
        <v>2</v>
      </c>
      <c r="N714">
        <v>2</v>
      </c>
      <c r="O714">
        <v>15</v>
      </c>
      <c r="Q714" s="3">
        <v>4.28571428571429</v>
      </c>
      <c r="R714">
        <v>1</v>
      </c>
      <c r="S714">
        <v>0</v>
      </c>
      <c r="U714">
        <v>-7.5748447204968903</v>
      </c>
      <c r="V714">
        <v>-1.25</v>
      </c>
      <c r="W714">
        <v>-9.2391304347826093</v>
      </c>
      <c r="X714">
        <v>-0.8</v>
      </c>
      <c r="Y714">
        <v>0</v>
      </c>
      <c r="Z714">
        <v>3</v>
      </c>
      <c r="AA714">
        <v>0.71428571428571397</v>
      </c>
    </row>
    <row r="715" spans="3:27" x14ac:dyDescent="0.2">
      <c r="C715" t="s">
        <v>159</v>
      </c>
      <c r="D715" t="s">
        <v>324</v>
      </c>
      <c r="E715">
        <v>210</v>
      </c>
      <c r="F715">
        <v>0</v>
      </c>
      <c r="G715">
        <v>12</v>
      </c>
      <c r="H715">
        <v>4.5</v>
      </c>
      <c r="I715">
        <v>0</v>
      </c>
      <c r="J715">
        <v>25</v>
      </c>
      <c r="K715">
        <v>460</v>
      </c>
      <c r="L715">
        <v>18</v>
      </c>
      <c r="M715">
        <v>1</v>
      </c>
      <c r="N715">
        <v>2</v>
      </c>
      <c r="O715">
        <v>9</v>
      </c>
      <c r="Q715" s="3">
        <v>4.28571428571429</v>
      </c>
      <c r="R715">
        <v>0</v>
      </c>
      <c r="S715">
        <v>0</v>
      </c>
      <c r="U715">
        <v>-4.7678571428571397</v>
      </c>
      <c r="V715">
        <v>-1.125</v>
      </c>
      <c r="W715">
        <v>-5</v>
      </c>
      <c r="X715">
        <v>-0.8</v>
      </c>
      <c r="Y715">
        <v>0</v>
      </c>
      <c r="Z715">
        <v>1.8</v>
      </c>
      <c r="AA715">
        <v>0.35714285714285698</v>
      </c>
    </row>
    <row r="716" spans="3:27" x14ac:dyDescent="0.2">
      <c r="C716" t="s">
        <v>159</v>
      </c>
      <c r="D716" t="s">
        <v>325</v>
      </c>
      <c r="E716">
        <v>140</v>
      </c>
      <c r="F716">
        <v>0</v>
      </c>
      <c r="G716">
        <v>5</v>
      </c>
      <c r="H716">
        <v>2</v>
      </c>
      <c r="I716">
        <v>0</v>
      </c>
      <c r="J716">
        <v>10</v>
      </c>
      <c r="K716">
        <v>290</v>
      </c>
      <c r="L716">
        <v>18</v>
      </c>
      <c r="M716">
        <v>1</v>
      </c>
      <c r="N716">
        <v>2</v>
      </c>
      <c r="O716">
        <v>6</v>
      </c>
      <c r="Q716" s="3">
        <v>4.28571428571429</v>
      </c>
      <c r="R716">
        <v>0</v>
      </c>
      <c r="S716">
        <v>0</v>
      </c>
      <c r="U716">
        <v>-2.89503105590062</v>
      </c>
      <c r="V716">
        <v>-0.5</v>
      </c>
      <c r="W716">
        <v>-3.1521739130434798</v>
      </c>
      <c r="X716">
        <v>-0.8</v>
      </c>
      <c r="Y716">
        <v>0</v>
      </c>
      <c r="Z716">
        <v>1.2</v>
      </c>
      <c r="AA716">
        <v>0.35714285714285698</v>
      </c>
    </row>
    <row r="717" spans="3:27" x14ac:dyDescent="0.2">
      <c r="C717" t="s">
        <v>159</v>
      </c>
      <c r="D717" t="s">
        <v>326</v>
      </c>
      <c r="E717">
        <v>140</v>
      </c>
      <c r="F717">
        <v>0</v>
      </c>
      <c r="G717">
        <v>4</v>
      </c>
      <c r="H717">
        <v>2</v>
      </c>
      <c r="I717">
        <v>0</v>
      </c>
      <c r="J717">
        <v>15</v>
      </c>
      <c r="K717">
        <v>250</v>
      </c>
      <c r="L717">
        <v>20</v>
      </c>
      <c r="M717">
        <v>1</v>
      </c>
      <c r="N717">
        <v>4</v>
      </c>
      <c r="O717">
        <v>6</v>
      </c>
      <c r="Q717" s="3">
        <v>4.28571428571429</v>
      </c>
      <c r="R717">
        <v>0</v>
      </c>
      <c r="S717">
        <v>0</v>
      </c>
      <c r="U717">
        <v>-3.2602484472049702</v>
      </c>
      <c r="V717">
        <v>-0.5</v>
      </c>
      <c r="W717">
        <v>-2.7173913043478302</v>
      </c>
      <c r="X717">
        <v>-1.6</v>
      </c>
      <c r="Y717">
        <v>0</v>
      </c>
      <c r="Z717">
        <v>1.2</v>
      </c>
      <c r="AA717">
        <v>0.35714285714285698</v>
      </c>
    </row>
    <row r="718" spans="3:27" x14ac:dyDescent="0.2">
      <c r="C718" t="s">
        <v>159</v>
      </c>
      <c r="D718" t="s">
        <v>327</v>
      </c>
      <c r="E718">
        <v>280</v>
      </c>
      <c r="F718">
        <v>0</v>
      </c>
      <c r="G718">
        <v>10</v>
      </c>
      <c r="H718">
        <v>5</v>
      </c>
      <c r="I718">
        <v>0</v>
      </c>
      <c r="J718">
        <v>20</v>
      </c>
      <c r="K718">
        <v>560</v>
      </c>
      <c r="L718">
        <v>35</v>
      </c>
      <c r="M718">
        <v>3</v>
      </c>
      <c r="N718">
        <v>2</v>
      </c>
      <c r="O718">
        <v>12</v>
      </c>
      <c r="Q718" s="3">
        <v>4.28571428571429</v>
      </c>
      <c r="R718">
        <v>1</v>
      </c>
      <c r="S718">
        <v>0</v>
      </c>
      <c r="U718">
        <v>-4.66552795031056</v>
      </c>
      <c r="V718">
        <v>-1.25</v>
      </c>
      <c r="W718">
        <v>-6.0869565217391299</v>
      </c>
      <c r="X718">
        <v>-0.8</v>
      </c>
      <c r="Y718">
        <v>0</v>
      </c>
      <c r="Z718">
        <v>2.4</v>
      </c>
      <c r="AA718">
        <v>1.0714285714285701</v>
      </c>
    </row>
    <row r="719" spans="3:27" x14ac:dyDescent="0.2">
      <c r="C719" t="s">
        <v>159</v>
      </c>
      <c r="D719" t="s">
        <v>334</v>
      </c>
      <c r="E719">
        <v>330</v>
      </c>
      <c r="F719">
        <v>0</v>
      </c>
      <c r="G719">
        <v>17</v>
      </c>
      <c r="H719">
        <v>7</v>
      </c>
      <c r="I719">
        <v>0</v>
      </c>
      <c r="J719">
        <v>40</v>
      </c>
      <c r="K719">
        <v>720</v>
      </c>
      <c r="L719">
        <v>30</v>
      </c>
      <c r="M719">
        <v>2</v>
      </c>
      <c r="N719">
        <v>2</v>
      </c>
      <c r="O719">
        <v>14</v>
      </c>
      <c r="Q719" s="3">
        <v>4.2424242424242404</v>
      </c>
      <c r="R719">
        <v>1</v>
      </c>
      <c r="S719">
        <v>0</v>
      </c>
      <c r="U719">
        <v>-6.8618012422360302</v>
      </c>
      <c r="V719">
        <v>-1.75</v>
      </c>
      <c r="W719">
        <v>-7.8260869565217401</v>
      </c>
      <c r="X719">
        <v>-0.8</v>
      </c>
      <c r="Y719">
        <v>0</v>
      </c>
      <c r="Z719">
        <v>2.8</v>
      </c>
      <c r="AA719">
        <v>0.71428571428571397</v>
      </c>
    </row>
    <row r="720" spans="3:27" x14ac:dyDescent="0.2">
      <c r="C720" t="s">
        <v>159</v>
      </c>
      <c r="D720" t="s">
        <v>335</v>
      </c>
      <c r="E720">
        <v>330</v>
      </c>
      <c r="F720">
        <v>0</v>
      </c>
      <c r="G720">
        <v>15</v>
      </c>
      <c r="H720">
        <v>5</v>
      </c>
      <c r="I720">
        <v>0</v>
      </c>
      <c r="J720">
        <v>25</v>
      </c>
      <c r="K720">
        <v>620</v>
      </c>
      <c r="L720">
        <v>38</v>
      </c>
      <c r="M720">
        <v>3</v>
      </c>
      <c r="N720">
        <v>3</v>
      </c>
      <c r="O720">
        <v>14</v>
      </c>
      <c r="Q720" s="3">
        <v>4.2424242424242404</v>
      </c>
      <c r="R720">
        <v>1</v>
      </c>
      <c r="S720">
        <v>0</v>
      </c>
      <c r="U720">
        <v>-5.3177018633540403</v>
      </c>
      <c r="V720">
        <v>-1.25</v>
      </c>
      <c r="W720">
        <v>-6.7391304347826102</v>
      </c>
      <c r="X720">
        <v>-1.2</v>
      </c>
      <c r="Y720">
        <v>0</v>
      </c>
      <c r="Z720">
        <v>2.8</v>
      </c>
      <c r="AA720">
        <v>1.0714285714285701</v>
      </c>
    </row>
    <row r="721" spans="3:27" x14ac:dyDescent="0.2">
      <c r="C721" t="s">
        <v>159</v>
      </c>
      <c r="D721" t="s">
        <v>336</v>
      </c>
      <c r="E721">
        <v>260</v>
      </c>
      <c r="F721">
        <v>0</v>
      </c>
      <c r="G721">
        <v>9</v>
      </c>
      <c r="H721">
        <v>4</v>
      </c>
      <c r="I721">
        <v>0</v>
      </c>
      <c r="J721">
        <v>20</v>
      </c>
      <c r="K721">
        <v>510</v>
      </c>
      <c r="L721">
        <v>36</v>
      </c>
      <c r="M721">
        <v>3</v>
      </c>
      <c r="N721">
        <v>3</v>
      </c>
      <c r="O721">
        <v>11</v>
      </c>
      <c r="Q721" s="3">
        <v>4.2307692307692299</v>
      </c>
      <c r="R721">
        <v>1</v>
      </c>
      <c r="S721">
        <v>0</v>
      </c>
      <c r="U721">
        <v>-4.4720496894409898</v>
      </c>
      <c r="V721">
        <v>-1</v>
      </c>
      <c r="W721">
        <v>-5.5434782608695699</v>
      </c>
      <c r="X721">
        <v>-1.2</v>
      </c>
      <c r="Y721">
        <v>0</v>
      </c>
      <c r="Z721">
        <v>2.2000000000000002</v>
      </c>
      <c r="AA721">
        <v>1.0714285714285701</v>
      </c>
    </row>
    <row r="722" spans="3:27" x14ac:dyDescent="0.2">
      <c r="C722" t="s">
        <v>159</v>
      </c>
      <c r="D722" t="s">
        <v>340</v>
      </c>
      <c r="E722">
        <v>380</v>
      </c>
      <c r="F722">
        <v>0</v>
      </c>
      <c r="G722">
        <v>16</v>
      </c>
      <c r="H722">
        <v>6</v>
      </c>
      <c r="I722">
        <v>0</v>
      </c>
      <c r="J722">
        <v>35</v>
      </c>
      <c r="K722">
        <v>650</v>
      </c>
      <c r="L722">
        <v>43</v>
      </c>
      <c r="M722">
        <v>2</v>
      </c>
      <c r="N722">
        <v>7</v>
      </c>
      <c r="O722">
        <v>16</v>
      </c>
      <c r="Q722" s="3">
        <v>4.2105263157894699</v>
      </c>
      <c r="R722">
        <v>1</v>
      </c>
      <c r="S722">
        <v>0</v>
      </c>
      <c r="U722">
        <v>-7.4509316770186302</v>
      </c>
      <c r="V722">
        <v>-1.5</v>
      </c>
      <c r="W722">
        <v>-7.0652173913043503</v>
      </c>
      <c r="X722">
        <v>-2.8</v>
      </c>
      <c r="Y722">
        <v>0</v>
      </c>
      <c r="Z722">
        <v>3.2</v>
      </c>
      <c r="AA722">
        <v>0.71428571428571397</v>
      </c>
    </row>
    <row r="723" spans="3:27" x14ac:dyDescent="0.2">
      <c r="C723" t="s">
        <v>159</v>
      </c>
      <c r="D723" t="s">
        <v>342</v>
      </c>
      <c r="E723">
        <v>240</v>
      </c>
      <c r="F723">
        <v>0</v>
      </c>
      <c r="G723">
        <v>10</v>
      </c>
      <c r="H723">
        <v>4.5</v>
      </c>
      <c r="I723">
        <v>0</v>
      </c>
      <c r="J723">
        <v>15</v>
      </c>
      <c r="K723">
        <v>470</v>
      </c>
      <c r="L723">
        <v>29</v>
      </c>
      <c r="M723">
        <v>2</v>
      </c>
      <c r="N723">
        <v>1</v>
      </c>
      <c r="O723">
        <v>10</v>
      </c>
      <c r="Q723" s="3">
        <v>4.1666666666666696</v>
      </c>
      <c r="R723">
        <v>1</v>
      </c>
      <c r="S723">
        <v>0</v>
      </c>
      <c r="U723">
        <v>-3.9194099378881999</v>
      </c>
      <c r="V723">
        <v>-1.125</v>
      </c>
      <c r="W723">
        <v>-5.1086956521739104</v>
      </c>
      <c r="X723">
        <v>-0.4</v>
      </c>
      <c r="Y723">
        <v>0</v>
      </c>
      <c r="Z723">
        <v>2</v>
      </c>
      <c r="AA723">
        <v>0.71428571428571397</v>
      </c>
    </row>
    <row r="724" spans="3:27" x14ac:dyDescent="0.2">
      <c r="C724" t="s">
        <v>159</v>
      </c>
      <c r="D724" t="s">
        <v>343</v>
      </c>
      <c r="E724">
        <v>240</v>
      </c>
      <c r="F724">
        <v>0</v>
      </c>
      <c r="G724">
        <v>10</v>
      </c>
      <c r="H724">
        <v>4</v>
      </c>
      <c r="I724">
        <v>0</v>
      </c>
      <c r="J724">
        <v>25</v>
      </c>
      <c r="K724">
        <v>450</v>
      </c>
      <c r="L724">
        <v>26</v>
      </c>
      <c r="M724">
        <v>2</v>
      </c>
      <c r="N724">
        <v>2</v>
      </c>
      <c r="O724">
        <v>10</v>
      </c>
      <c r="Q724" s="3">
        <v>4.1666666666666696</v>
      </c>
      <c r="R724">
        <v>0</v>
      </c>
      <c r="S724">
        <v>0</v>
      </c>
      <c r="U724">
        <v>-3.9770186335403701</v>
      </c>
      <c r="V724">
        <v>-1</v>
      </c>
      <c r="W724">
        <v>-4.8913043478260896</v>
      </c>
      <c r="X724">
        <v>-0.8</v>
      </c>
      <c r="Y724">
        <v>0</v>
      </c>
      <c r="Z724">
        <v>2</v>
      </c>
      <c r="AA724">
        <v>0.71428571428571397</v>
      </c>
    </row>
    <row r="725" spans="3:27" x14ac:dyDescent="0.2">
      <c r="C725" t="s">
        <v>159</v>
      </c>
      <c r="D725" t="s">
        <v>344</v>
      </c>
      <c r="E725">
        <v>120</v>
      </c>
      <c r="F725">
        <v>0</v>
      </c>
      <c r="G725">
        <v>4</v>
      </c>
      <c r="H725">
        <v>1.5</v>
      </c>
      <c r="I725">
        <v>0</v>
      </c>
      <c r="J725">
        <v>10</v>
      </c>
      <c r="K725">
        <v>230</v>
      </c>
      <c r="L725">
        <v>17</v>
      </c>
      <c r="M725">
        <v>1</v>
      </c>
      <c r="N725">
        <v>1</v>
      </c>
      <c r="O725">
        <v>5</v>
      </c>
      <c r="Q725" s="3">
        <v>4.1666666666666696</v>
      </c>
      <c r="R725">
        <v>0</v>
      </c>
      <c r="S725">
        <v>0</v>
      </c>
      <c r="U725">
        <v>-1.91785714285714</v>
      </c>
      <c r="V725">
        <v>-0.375</v>
      </c>
      <c r="W725">
        <v>-2.5</v>
      </c>
      <c r="X725">
        <v>-0.4</v>
      </c>
      <c r="Y725">
        <v>0</v>
      </c>
      <c r="Z725">
        <v>1</v>
      </c>
      <c r="AA725">
        <v>0.35714285714285698</v>
      </c>
    </row>
    <row r="726" spans="3:27" x14ac:dyDescent="0.2">
      <c r="C726" t="s">
        <v>159</v>
      </c>
      <c r="D726" t="s">
        <v>346</v>
      </c>
      <c r="E726">
        <v>290</v>
      </c>
      <c r="F726">
        <v>0</v>
      </c>
      <c r="G726">
        <v>15</v>
      </c>
      <c r="H726">
        <v>6</v>
      </c>
      <c r="I726">
        <v>0</v>
      </c>
      <c r="J726">
        <v>30</v>
      </c>
      <c r="K726">
        <v>590</v>
      </c>
      <c r="L726">
        <v>26</v>
      </c>
      <c r="M726">
        <v>2</v>
      </c>
      <c r="N726">
        <v>1</v>
      </c>
      <c r="O726">
        <v>12</v>
      </c>
      <c r="Q726" s="3">
        <v>4.1379310344827598</v>
      </c>
      <c r="R726">
        <v>1</v>
      </c>
      <c r="S726">
        <v>0</v>
      </c>
      <c r="U726">
        <v>-5.1987577639751503</v>
      </c>
      <c r="V726">
        <v>-1.5</v>
      </c>
      <c r="W726">
        <v>-6.4130434782608701</v>
      </c>
      <c r="X726">
        <v>-0.4</v>
      </c>
      <c r="Y726">
        <v>0</v>
      </c>
      <c r="Z726">
        <v>2.4</v>
      </c>
      <c r="AA726">
        <v>0.71428571428571397</v>
      </c>
    </row>
    <row r="727" spans="3:27" x14ac:dyDescent="0.2">
      <c r="C727" t="s">
        <v>159</v>
      </c>
      <c r="D727" t="s">
        <v>351</v>
      </c>
      <c r="E727">
        <v>170</v>
      </c>
      <c r="F727">
        <v>0</v>
      </c>
      <c r="G727">
        <v>8</v>
      </c>
      <c r="H727">
        <v>3</v>
      </c>
      <c r="I727">
        <v>0</v>
      </c>
      <c r="J727">
        <v>15</v>
      </c>
      <c r="K727">
        <v>360</v>
      </c>
      <c r="L727">
        <v>18</v>
      </c>
      <c r="M727">
        <v>1</v>
      </c>
      <c r="N727">
        <v>2</v>
      </c>
      <c r="O727">
        <v>7</v>
      </c>
      <c r="Q727" s="3">
        <v>4.1176470588235299</v>
      </c>
      <c r="R727">
        <v>0</v>
      </c>
      <c r="S727">
        <v>0</v>
      </c>
      <c r="U727">
        <v>-3.7059006211180101</v>
      </c>
      <c r="V727">
        <v>-0.75</v>
      </c>
      <c r="W727">
        <v>-3.9130434782608701</v>
      </c>
      <c r="X727">
        <v>-0.8</v>
      </c>
      <c r="Y727">
        <v>0</v>
      </c>
      <c r="Z727">
        <v>1.4</v>
      </c>
      <c r="AA727">
        <v>0.35714285714285698</v>
      </c>
    </row>
    <row r="728" spans="3:27" x14ac:dyDescent="0.2">
      <c r="C728" t="s">
        <v>159</v>
      </c>
      <c r="D728" t="s">
        <v>355</v>
      </c>
      <c r="E728">
        <v>390</v>
      </c>
      <c r="F728">
        <v>0</v>
      </c>
      <c r="G728">
        <v>20</v>
      </c>
      <c r="H728">
        <v>7</v>
      </c>
      <c r="I728">
        <v>0</v>
      </c>
      <c r="J728">
        <v>40</v>
      </c>
      <c r="K728">
        <v>740</v>
      </c>
      <c r="L728">
        <v>37</v>
      </c>
      <c r="M728">
        <v>2</v>
      </c>
      <c r="N728">
        <v>2</v>
      </c>
      <c r="O728">
        <v>16</v>
      </c>
      <c r="Q728" s="3">
        <v>4.1025641025641004</v>
      </c>
      <c r="R728">
        <v>1</v>
      </c>
      <c r="S728">
        <v>0</v>
      </c>
      <c r="U728">
        <v>-6.6791925465838498</v>
      </c>
      <c r="V728">
        <v>-1.75</v>
      </c>
      <c r="W728">
        <v>-8.0434782608695592</v>
      </c>
      <c r="X728">
        <v>-0.8</v>
      </c>
      <c r="Y728">
        <v>0</v>
      </c>
      <c r="Z728">
        <v>3.2</v>
      </c>
      <c r="AA728">
        <v>0.71428571428571397</v>
      </c>
    </row>
    <row r="729" spans="3:27" x14ac:dyDescent="0.2">
      <c r="C729" t="s">
        <v>159</v>
      </c>
      <c r="D729" t="s">
        <v>359</v>
      </c>
      <c r="E729">
        <v>220</v>
      </c>
      <c r="F729">
        <v>0</v>
      </c>
      <c r="G729">
        <v>9</v>
      </c>
      <c r="H729">
        <v>4</v>
      </c>
      <c r="I729">
        <v>0</v>
      </c>
      <c r="J729">
        <v>20</v>
      </c>
      <c r="K729">
        <v>420</v>
      </c>
      <c r="L729">
        <v>25</v>
      </c>
      <c r="M729">
        <v>2</v>
      </c>
      <c r="N729">
        <v>1</v>
      </c>
      <c r="O729">
        <v>9</v>
      </c>
      <c r="Q729" s="3">
        <v>4.0909090909090899</v>
      </c>
      <c r="R729">
        <v>0</v>
      </c>
      <c r="S729">
        <v>0</v>
      </c>
      <c r="U729">
        <v>-3.4509316770186298</v>
      </c>
      <c r="V729">
        <v>-1</v>
      </c>
      <c r="W729">
        <v>-4.5652173913043503</v>
      </c>
      <c r="X729">
        <v>-0.4</v>
      </c>
      <c r="Y729">
        <v>0</v>
      </c>
      <c r="Z729">
        <v>1.8</v>
      </c>
      <c r="AA729">
        <v>0.71428571428571397</v>
      </c>
    </row>
    <row r="730" spans="3:27" x14ac:dyDescent="0.2">
      <c r="C730" t="s">
        <v>159</v>
      </c>
      <c r="D730" t="s">
        <v>362</v>
      </c>
      <c r="E730">
        <v>270</v>
      </c>
      <c r="F730">
        <v>0</v>
      </c>
      <c r="G730">
        <v>10</v>
      </c>
      <c r="H730">
        <v>4</v>
      </c>
      <c r="I730">
        <v>0</v>
      </c>
      <c r="J730">
        <v>25</v>
      </c>
      <c r="K730">
        <v>450</v>
      </c>
      <c r="L730">
        <v>33</v>
      </c>
      <c r="M730">
        <v>2</v>
      </c>
      <c r="N730">
        <v>6</v>
      </c>
      <c r="O730">
        <v>11</v>
      </c>
      <c r="Q730" s="3">
        <v>4.07407407407407</v>
      </c>
      <c r="R730">
        <v>0</v>
      </c>
      <c r="S730">
        <v>0</v>
      </c>
      <c r="U730">
        <v>-5.37701863354037</v>
      </c>
      <c r="V730">
        <v>-1</v>
      </c>
      <c r="W730">
        <v>-4.8913043478260896</v>
      </c>
      <c r="X730">
        <v>-2.4</v>
      </c>
      <c r="Y730">
        <v>0</v>
      </c>
      <c r="Z730">
        <v>2.2000000000000002</v>
      </c>
      <c r="AA730">
        <v>0.71428571428571397</v>
      </c>
    </row>
    <row r="731" spans="3:27" x14ac:dyDescent="0.2">
      <c r="C731" t="s">
        <v>159</v>
      </c>
      <c r="D731" t="s">
        <v>363</v>
      </c>
      <c r="E731">
        <v>270</v>
      </c>
      <c r="F731">
        <v>0</v>
      </c>
      <c r="G731">
        <v>13</v>
      </c>
      <c r="H731">
        <v>5</v>
      </c>
      <c r="I731">
        <v>0</v>
      </c>
      <c r="J731">
        <v>25</v>
      </c>
      <c r="K731">
        <v>500</v>
      </c>
      <c r="L731">
        <v>29</v>
      </c>
      <c r="M731">
        <v>2</v>
      </c>
      <c r="N731">
        <v>2</v>
      </c>
      <c r="O731">
        <v>11</v>
      </c>
      <c r="Q731" s="3">
        <v>4.07407407407407</v>
      </c>
      <c r="R731">
        <v>1</v>
      </c>
      <c r="S731">
        <v>0</v>
      </c>
      <c r="U731">
        <v>-4.5704968944099402</v>
      </c>
      <c r="V731">
        <v>-1.25</v>
      </c>
      <c r="W731">
        <v>-5.4347826086956497</v>
      </c>
      <c r="X731">
        <v>-0.8</v>
      </c>
      <c r="Y731">
        <v>0</v>
      </c>
      <c r="Z731">
        <v>2.2000000000000002</v>
      </c>
      <c r="AA731">
        <v>0.71428571428571397</v>
      </c>
    </row>
    <row r="732" spans="3:27" x14ac:dyDescent="0.2">
      <c r="C732" t="s">
        <v>159</v>
      </c>
      <c r="D732" t="s">
        <v>364</v>
      </c>
      <c r="E732">
        <v>320</v>
      </c>
      <c r="F732">
        <v>0</v>
      </c>
      <c r="G732">
        <v>17</v>
      </c>
      <c r="H732">
        <v>6</v>
      </c>
      <c r="I732">
        <v>0</v>
      </c>
      <c r="J732">
        <v>35</v>
      </c>
      <c r="K732">
        <v>640</v>
      </c>
      <c r="L732">
        <v>28</v>
      </c>
      <c r="M732">
        <v>2</v>
      </c>
      <c r="N732">
        <v>1</v>
      </c>
      <c r="O732">
        <v>13</v>
      </c>
      <c r="Q732" s="3">
        <v>4.0625</v>
      </c>
      <c r="R732">
        <v>1</v>
      </c>
      <c r="S732">
        <v>0</v>
      </c>
      <c r="U732">
        <v>-5.54223602484472</v>
      </c>
      <c r="V732">
        <v>-1.5</v>
      </c>
      <c r="W732">
        <v>-6.9565217391304301</v>
      </c>
      <c r="X732">
        <v>-0.4</v>
      </c>
      <c r="Y732">
        <v>0</v>
      </c>
      <c r="Z732">
        <v>2.6</v>
      </c>
      <c r="AA732">
        <v>0.71428571428571397</v>
      </c>
    </row>
    <row r="733" spans="3:27" x14ac:dyDescent="0.2">
      <c r="C733" t="s">
        <v>159</v>
      </c>
      <c r="D733" t="s">
        <v>366</v>
      </c>
      <c r="E733">
        <v>370</v>
      </c>
      <c r="F733">
        <v>0</v>
      </c>
      <c r="G733">
        <v>18</v>
      </c>
      <c r="H733">
        <v>6</v>
      </c>
      <c r="I733">
        <v>0</v>
      </c>
      <c r="J733">
        <v>35</v>
      </c>
      <c r="K733">
        <v>680</v>
      </c>
      <c r="L733">
        <v>36</v>
      </c>
      <c r="M733">
        <v>2</v>
      </c>
      <c r="N733">
        <v>2</v>
      </c>
      <c r="O733">
        <v>15</v>
      </c>
      <c r="Q733" s="3">
        <v>4.0540540540540499</v>
      </c>
      <c r="R733">
        <v>1</v>
      </c>
      <c r="S733">
        <v>0</v>
      </c>
      <c r="U733">
        <v>-5.9770186335403697</v>
      </c>
      <c r="V733">
        <v>-1.5</v>
      </c>
      <c r="W733">
        <v>-7.3913043478260896</v>
      </c>
      <c r="X733">
        <v>-0.8</v>
      </c>
      <c r="Y733">
        <v>0</v>
      </c>
      <c r="Z733">
        <v>3</v>
      </c>
      <c r="AA733">
        <v>0.71428571428571397</v>
      </c>
    </row>
    <row r="734" spans="3:27" x14ac:dyDescent="0.2">
      <c r="C734" t="s">
        <v>159</v>
      </c>
      <c r="D734" t="s">
        <v>370</v>
      </c>
      <c r="E734">
        <v>470</v>
      </c>
      <c r="F734">
        <v>0</v>
      </c>
      <c r="G734">
        <v>27</v>
      </c>
      <c r="H734">
        <v>10</v>
      </c>
      <c r="I734">
        <v>0</v>
      </c>
      <c r="J734">
        <v>50</v>
      </c>
      <c r="K734">
        <v>940</v>
      </c>
      <c r="L734">
        <v>37</v>
      </c>
      <c r="M734">
        <v>2</v>
      </c>
      <c r="N734">
        <v>2</v>
      </c>
      <c r="O734">
        <v>19</v>
      </c>
      <c r="Q734" s="3">
        <v>4.0425531914893602</v>
      </c>
      <c r="R734">
        <v>1</v>
      </c>
      <c r="S734">
        <v>0</v>
      </c>
      <c r="U734">
        <v>-9.0031055900621109</v>
      </c>
      <c r="V734">
        <v>-2.5</v>
      </c>
      <c r="W734">
        <v>-10.2173913043478</v>
      </c>
      <c r="X734">
        <v>-0.8</v>
      </c>
      <c r="Y734">
        <v>0</v>
      </c>
      <c r="Z734">
        <v>3.8</v>
      </c>
      <c r="AA734">
        <v>0.71428571428571397</v>
      </c>
    </row>
    <row r="735" spans="3:27" x14ac:dyDescent="0.2">
      <c r="C735" t="s">
        <v>159</v>
      </c>
      <c r="D735" t="s">
        <v>381</v>
      </c>
      <c r="E735">
        <v>350</v>
      </c>
      <c r="F735">
        <v>0</v>
      </c>
      <c r="G735">
        <v>16</v>
      </c>
      <c r="H735">
        <v>6</v>
      </c>
      <c r="I735">
        <v>0</v>
      </c>
      <c r="J735">
        <v>25</v>
      </c>
      <c r="K735">
        <v>680</v>
      </c>
      <c r="L735">
        <v>38</v>
      </c>
      <c r="M735">
        <v>3</v>
      </c>
      <c r="N735">
        <v>2</v>
      </c>
      <c r="O735">
        <v>14</v>
      </c>
      <c r="Q735" s="3">
        <v>4</v>
      </c>
      <c r="R735">
        <v>1</v>
      </c>
      <c r="S735">
        <v>0</v>
      </c>
      <c r="U735">
        <v>-5.8198757763975104</v>
      </c>
      <c r="V735">
        <v>-1.5</v>
      </c>
      <c r="W735">
        <v>-7.3913043478260896</v>
      </c>
      <c r="X735">
        <v>-0.8</v>
      </c>
      <c r="Y735">
        <v>0</v>
      </c>
      <c r="Z735">
        <v>2.8</v>
      </c>
      <c r="AA735">
        <v>1.0714285714285701</v>
      </c>
    </row>
    <row r="736" spans="3:27" x14ac:dyDescent="0.2">
      <c r="C736" t="s">
        <v>159</v>
      </c>
      <c r="D736" t="s">
        <v>382</v>
      </c>
      <c r="E736">
        <v>150</v>
      </c>
      <c r="F736">
        <v>0</v>
      </c>
      <c r="G736">
        <v>7</v>
      </c>
      <c r="H736">
        <v>2.5</v>
      </c>
      <c r="I736">
        <v>0</v>
      </c>
      <c r="J736">
        <v>15</v>
      </c>
      <c r="K736">
        <v>310</v>
      </c>
      <c r="L736">
        <v>17</v>
      </c>
      <c r="M736">
        <v>1</v>
      </c>
      <c r="N736">
        <v>2</v>
      </c>
      <c r="O736">
        <v>6</v>
      </c>
      <c r="Q736" s="3">
        <v>4</v>
      </c>
      <c r="R736">
        <v>0</v>
      </c>
      <c r="S736">
        <v>0</v>
      </c>
      <c r="U736">
        <v>-3.2374223602484502</v>
      </c>
      <c r="V736">
        <v>-0.625</v>
      </c>
      <c r="W736">
        <v>-3.3695652173913002</v>
      </c>
      <c r="X736">
        <v>-0.8</v>
      </c>
      <c r="Y736">
        <v>0</v>
      </c>
      <c r="Z736">
        <v>1.2</v>
      </c>
      <c r="AA736">
        <v>0.35714285714285698</v>
      </c>
    </row>
    <row r="737" spans="3:27" x14ac:dyDescent="0.2">
      <c r="C737" t="s">
        <v>159</v>
      </c>
      <c r="D737" t="s">
        <v>383</v>
      </c>
      <c r="E737">
        <v>250</v>
      </c>
      <c r="F737">
        <v>0</v>
      </c>
      <c r="G737">
        <v>11</v>
      </c>
      <c r="H737">
        <v>4.5</v>
      </c>
      <c r="I737">
        <v>0</v>
      </c>
      <c r="J737">
        <v>25</v>
      </c>
      <c r="K737">
        <v>470</v>
      </c>
      <c r="L737">
        <v>28</v>
      </c>
      <c r="M737">
        <v>2</v>
      </c>
      <c r="N737">
        <v>1</v>
      </c>
      <c r="O737">
        <v>10</v>
      </c>
      <c r="Q737" s="3">
        <v>4</v>
      </c>
      <c r="R737">
        <v>1</v>
      </c>
      <c r="S737">
        <v>0</v>
      </c>
      <c r="U737">
        <v>-3.9194099378881999</v>
      </c>
      <c r="V737">
        <v>-1.125</v>
      </c>
      <c r="W737">
        <v>-5.1086956521739104</v>
      </c>
      <c r="X737">
        <v>-0.4</v>
      </c>
      <c r="Y737">
        <v>0</v>
      </c>
      <c r="Z737">
        <v>2</v>
      </c>
      <c r="AA737">
        <v>0.71428571428571397</v>
      </c>
    </row>
    <row r="738" spans="3:27" x14ac:dyDescent="0.2">
      <c r="C738" t="s">
        <v>159</v>
      </c>
      <c r="D738" t="s">
        <v>384</v>
      </c>
      <c r="E738">
        <v>150</v>
      </c>
      <c r="F738">
        <v>0</v>
      </c>
      <c r="G738">
        <v>6</v>
      </c>
      <c r="H738">
        <v>2.5</v>
      </c>
      <c r="I738">
        <v>0</v>
      </c>
      <c r="J738">
        <v>15</v>
      </c>
      <c r="K738">
        <v>280</v>
      </c>
      <c r="L738">
        <v>17</v>
      </c>
      <c r="M738">
        <v>1</v>
      </c>
      <c r="N738">
        <v>1</v>
      </c>
      <c r="O738">
        <v>6</v>
      </c>
      <c r="Q738" s="3">
        <v>4</v>
      </c>
      <c r="R738">
        <v>0</v>
      </c>
      <c r="S738">
        <v>0</v>
      </c>
      <c r="U738">
        <v>-2.5113354037267102</v>
      </c>
      <c r="V738">
        <v>-0.625</v>
      </c>
      <c r="W738">
        <v>-3.0434782608695699</v>
      </c>
      <c r="X738">
        <v>-0.4</v>
      </c>
      <c r="Y738">
        <v>0</v>
      </c>
      <c r="Z738">
        <v>1.2</v>
      </c>
      <c r="AA738">
        <v>0.35714285714285698</v>
      </c>
    </row>
    <row r="739" spans="3:27" x14ac:dyDescent="0.2">
      <c r="C739" t="s">
        <v>159</v>
      </c>
      <c r="D739" t="s">
        <v>385</v>
      </c>
      <c r="E739">
        <v>150</v>
      </c>
      <c r="F739">
        <v>0</v>
      </c>
      <c r="G739">
        <v>6</v>
      </c>
      <c r="H739">
        <v>2.5</v>
      </c>
      <c r="I739">
        <v>0</v>
      </c>
      <c r="J739">
        <v>15</v>
      </c>
      <c r="K739">
        <v>250</v>
      </c>
      <c r="L739">
        <v>16</v>
      </c>
      <c r="M739">
        <v>1</v>
      </c>
      <c r="N739">
        <v>0</v>
      </c>
      <c r="O739">
        <v>6</v>
      </c>
      <c r="Q739" s="3">
        <v>4</v>
      </c>
      <c r="R739">
        <v>0</v>
      </c>
      <c r="S739">
        <v>0</v>
      </c>
      <c r="U739">
        <v>-1.7852484472049699</v>
      </c>
      <c r="V739">
        <v>-0.625</v>
      </c>
      <c r="W739">
        <v>-2.7173913043478302</v>
      </c>
      <c r="X739">
        <v>0</v>
      </c>
      <c r="Y739">
        <v>0</v>
      </c>
      <c r="Z739">
        <v>1.2</v>
      </c>
      <c r="AA739">
        <v>0.35714285714285698</v>
      </c>
    </row>
    <row r="740" spans="3:27" x14ac:dyDescent="0.2">
      <c r="C740" t="s">
        <v>159</v>
      </c>
      <c r="D740" t="s">
        <v>386</v>
      </c>
      <c r="E740">
        <v>200</v>
      </c>
      <c r="F740">
        <v>0</v>
      </c>
      <c r="G740">
        <v>6</v>
      </c>
      <c r="H740">
        <v>2.5</v>
      </c>
      <c r="I740">
        <v>0</v>
      </c>
      <c r="J740">
        <v>15</v>
      </c>
      <c r="K740">
        <v>370</v>
      </c>
      <c r="L740">
        <v>27</v>
      </c>
      <c r="M740">
        <v>2</v>
      </c>
      <c r="N740">
        <v>2</v>
      </c>
      <c r="O740">
        <v>8</v>
      </c>
      <c r="Q740" s="3">
        <v>4</v>
      </c>
      <c r="R740">
        <v>0</v>
      </c>
      <c r="S740">
        <v>0</v>
      </c>
      <c r="U740">
        <v>-3.1324534161490698</v>
      </c>
      <c r="V740">
        <v>-0.625</v>
      </c>
      <c r="W740">
        <v>-4.0217391304347796</v>
      </c>
      <c r="X740">
        <v>-0.8</v>
      </c>
      <c r="Y740">
        <v>0</v>
      </c>
      <c r="Z740">
        <v>1.6</v>
      </c>
      <c r="AA740">
        <v>0.71428571428571397</v>
      </c>
    </row>
    <row r="741" spans="3:27" x14ac:dyDescent="0.2">
      <c r="C741" t="s">
        <v>159</v>
      </c>
      <c r="D741" t="s">
        <v>391</v>
      </c>
      <c r="E741">
        <v>230</v>
      </c>
      <c r="F741">
        <v>0</v>
      </c>
      <c r="G741">
        <v>9</v>
      </c>
      <c r="H741">
        <v>3.5</v>
      </c>
      <c r="I741">
        <v>0</v>
      </c>
      <c r="J741">
        <v>15</v>
      </c>
      <c r="K741">
        <v>420</v>
      </c>
      <c r="L741">
        <v>29</v>
      </c>
      <c r="M741">
        <v>2</v>
      </c>
      <c r="N741">
        <v>2</v>
      </c>
      <c r="O741">
        <v>9</v>
      </c>
      <c r="Q741" s="3">
        <v>3.9130434782608701</v>
      </c>
      <c r="R741">
        <v>0</v>
      </c>
      <c r="S741">
        <v>0</v>
      </c>
      <c r="U741">
        <v>-3.7259316770186302</v>
      </c>
      <c r="V741">
        <v>-0.875</v>
      </c>
      <c r="W741">
        <v>-4.5652173913043503</v>
      </c>
      <c r="X741">
        <v>-0.8</v>
      </c>
      <c r="Y741">
        <v>0</v>
      </c>
      <c r="Z741">
        <v>1.8</v>
      </c>
      <c r="AA741">
        <v>0.71428571428571397</v>
      </c>
    </row>
    <row r="742" spans="3:27" x14ac:dyDescent="0.2">
      <c r="C742" t="s">
        <v>159</v>
      </c>
      <c r="D742" t="s">
        <v>395</v>
      </c>
      <c r="E742">
        <v>180</v>
      </c>
      <c r="F742">
        <v>0</v>
      </c>
      <c r="G742">
        <v>9</v>
      </c>
      <c r="H742">
        <v>3.5</v>
      </c>
      <c r="I742">
        <v>0</v>
      </c>
      <c r="J742">
        <v>20</v>
      </c>
      <c r="K742">
        <v>370</v>
      </c>
      <c r="L742">
        <v>17</v>
      </c>
      <c r="M742">
        <v>1</v>
      </c>
      <c r="N742">
        <v>0</v>
      </c>
      <c r="O742">
        <v>7</v>
      </c>
      <c r="Q742" s="3">
        <v>3.8888888888888902</v>
      </c>
      <c r="R742">
        <v>0</v>
      </c>
      <c r="S742">
        <v>0</v>
      </c>
      <c r="U742">
        <v>-3.1395962732919198</v>
      </c>
      <c r="V742">
        <v>-0.875</v>
      </c>
      <c r="W742">
        <v>-4.0217391304347796</v>
      </c>
      <c r="X742">
        <v>0</v>
      </c>
      <c r="Y742">
        <v>0</v>
      </c>
      <c r="Z742">
        <v>1.4</v>
      </c>
      <c r="AA742">
        <v>0.35714285714285698</v>
      </c>
    </row>
    <row r="743" spans="3:27" x14ac:dyDescent="0.2">
      <c r="C743" t="s">
        <v>17</v>
      </c>
      <c r="D743" t="s">
        <v>18</v>
      </c>
      <c r="E743">
        <v>10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Q743" s="3">
        <v>20</v>
      </c>
      <c r="R743">
        <v>0</v>
      </c>
      <c r="S743">
        <v>0</v>
      </c>
      <c r="U743">
        <v>0.4</v>
      </c>
      <c r="V743">
        <v>0</v>
      </c>
      <c r="W743">
        <v>0</v>
      </c>
      <c r="X743">
        <v>0</v>
      </c>
      <c r="Y743">
        <v>0</v>
      </c>
      <c r="Z743">
        <v>0.4</v>
      </c>
      <c r="AA743">
        <v>0</v>
      </c>
    </row>
    <row r="744" spans="3:27" x14ac:dyDescent="0.2">
      <c r="C744" t="s">
        <v>17</v>
      </c>
      <c r="D744" t="s">
        <v>19</v>
      </c>
      <c r="E744">
        <v>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Q744" s="3">
        <v>20</v>
      </c>
      <c r="R744">
        <v>0</v>
      </c>
      <c r="S744">
        <v>0</v>
      </c>
      <c r="U744">
        <v>0.4</v>
      </c>
      <c r="V744">
        <v>0</v>
      </c>
      <c r="W744">
        <v>0</v>
      </c>
      <c r="X744">
        <v>0</v>
      </c>
      <c r="Y744">
        <v>0</v>
      </c>
      <c r="Z744">
        <v>0.4</v>
      </c>
      <c r="AA744">
        <v>0</v>
      </c>
    </row>
    <row r="745" spans="3:27" x14ac:dyDescent="0.2">
      <c r="C745" t="s">
        <v>17</v>
      </c>
      <c r="D745" t="s">
        <v>62</v>
      </c>
      <c r="E745">
        <v>100</v>
      </c>
      <c r="F745">
        <v>20</v>
      </c>
      <c r="G745">
        <v>2</v>
      </c>
      <c r="H745">
        <v>1.5</v>
      </c>
      <c r="I745">
        <v>0</v>
      </c>
      <c r="J745">
        <v>10</v>
      </c>
      <c r="K745">
        <v>130</v>
      </c>
      <c r="L745">
        <v>13</v>
      </c>
      <c r="M745">
        <v>0</v>
      </c>
      <c r="N745">
        <v>12</v>
      </c>
      <c r="O745">
        <v>9</v>
      </c>
      <c r="Q745" s="3">
        <v>9</v>
      </c>
      <c r="R745">
        <v>0</v>
      </c>
      <c r="S745">
        <v>0</v>
      </c>
      <c r="U745">
        <v>-4.7880434782608701</v>
      </c>
      <c r="V745">
        <v>-0.375</v>
      </c>
      <c r="W745">
        <v>-1.4130434782608701</v>
      </c>
      <c r="X745">
        <v>-4.8</v>
      </c>
      <c r="Y745">
        <v>0</v>
      </c>
      <c r="Z745">
        <v>1.8</v>
      </c>
      <c r="AA745">
        <v>0</v>
      </c>
    </row>
    <row r="746" spans="3:27" x14ac:dyDescent="0.2">
      <c r="C746" t="s">
        <v>17</v>
      </c>
      <c r="D746" t="s">
        <v>66</v>
      </c>
      <c r="E746">
        <v>80</v>
      </c>
      <c r="F746">
        <v>20</v>
      </c>
      <c r="G746">
        <v>2</v>
      </c>
      <c r="H746">
        <v>1.5</v>
      </c>
      <c r="I746">
        <v>0</v>
      </c>
      <c r="J746">
        <v>10</v>
      </c>
      <c r="K746">
        <v>100</v>
      </c>
      <c r="L746">
        <v>10</v>
      </c>
      <c r="M746">
        <v>0</v>
      </c>
      <c r="N746">
        <v>9</v>
      </c>
      <c r="O746">
        <v>7</v>
      </c>
      <c r="Q746" s="3">
        <v>8.75</v>
      </c>
      <c r="R746">
        <v>0</v>
      </c>
      <c r="S746">
        <v>0</v>
      </c>
      <c r="U746">
        <v>-3.6619565217391301</v>
      </c>
      <c r="V746">
        <v>-0.375</v>
      </c>
      <c r="W746">
        <v>-1.0869565217391299</v>
      </c>
      <c r="X746">
        <v>-3.6</v>
      </c>
      <c r="Y746">
        <v>0</v>
      </c>
      <c r="Z746">
        <v>1.4</v>
      </c>
      <c r="AA746">
        <v>0</v>
      </c>
    </row>
    <row r="747" spans="3:27" x14ac:dyDescent="0.2">
      <c r="C747" t="s">
        <v>17</v>
      </c>
      <c r="D747" t="s">
        <v>82</v>
      </c>
      <c r="E747">
        <v>160</v>
      </c>
      <c r="F747">
        <v>50</v>
      </c>
      <c r="G747">
        <v>5</v>
      </c>
      <c r="H747">
        <v>2.5</v>
      </c>
      <c r="I747">
        <v>0</v>
      </c>
      <c r="J747">
        <v>30</v>
      </c>
      <c r="K747">
        <v>500</v>
      </c>
      <c r="L747">
        <v>16</v>
      </c>
      <c r="M747">
        <v>1</v>
      </c>
      <c r="N747">
        <v>1</v>
      </c>
      <c r="O747">
        <v>12</v>
      </c>
      <c r="Q747" s="3">
        <v>7.5</v>
      </c>
      <c r="R747">
        <v>1</v>
      </c>
      <c r="S747">
        <v>0</v>
      </c>
      <c r="U747">
        <v>-3.7026397515528</v>
      </c>
      <c r="V747">
        <v>-0.625</v>
      </c>
      <c r="W747">
        <v>-5.4347826086956497</v>
      </c>
      <c r="X747">
        <v>-0.4</v>
      </c>
      <c r="Y747">
        <v>0</v>
      </c>
      <c r="Z747">
        <v>2.4</v>
      </c>
      <c r="AA747">
        <v>0.35714285714285698</v>
      </c>
    </row>
    <row r="748" spans="3:27" x14ac:dyDescent="0.2">
      <c r="C748" t="s">
        <v>17</v>
      </c>
      <c r="D748" t="s">
        <v>82</v>
      </c>
      <c r="E748">
        <v>180</v>
      </c>
      <c r="F748">
        <v>60</v>
      </c>
      <c r="G748">
        <v>7</v>
      </c>
      <c r="H748">
        <v>3.5</v>
      </c>
      <c r="I748">
        <v>0</v>
      </c>
      <c r="J748">
        <v>35</v>
      </c>
      <c r="K748">
        <v>520</v>
      </c>
      <c r="L748">
        <v>18</v>
      </c>
      <c r="M748">
        <v>2</v>
      </c>
      <c r="N748">
        <v>2</v>
      </c>
      <c r="O748">
        <v>13</v>
      </c>
      <c r="Q748" s="3">
        <v>7.2222222222222197</v>
      </c>
      <c r="R748">
        <v>1</v>
      </c>
      <c r="S748">
        <v>0</v>
      </c>
      <c r="U748">
        <v>-4.0128881987577598</v>
      </c>
      <c r="V748">
        <v>-0.875</v>
      </c>
      <c r="W748">
        <v>-5.6521739130434803</v>
      </c>
      <c r="X748">
        <v>-0.8</v>
      </c>
      <c r="Y748">
        <v>0</v>
      </c>
      <c r="Z748">
        <v>2.6</v>
      </c>
      <c r="AA748">
        <v>0.71428571428571397</v>
      </c>
    </row>
    <row r="749" spans="3:27" x14ac:dyDescent="0.2">
      <c r="C749" t="s">
        <v>17</v>
      </c>
      <c r="D749" t="s">
        <v>108</v>
      </c>
      <c r="E749">
        <v>190</v>
      </c>
      <c r="F749">
        <v>80</v>
      </c>
      <c r="G749">
        <v>9</v>
      </c>
      <c r="H749">
        <v>3</v>
      </c>
      <c r="I749">
        <v>0</v>
      </c>
      <c r="J749">
        <v>35</v>
      </c>
      <c r="K749">
        <v>530</v>
      </c>
      <c r="L749">
        <v>15</v>
      </c>
      <c r="M749">
        <v>1</v>
      </c>
      <c r="N749">
        <v>0</v>
      </c>
      <c r="O749">
        <v>12</v>
      </c>
      <c r="Q749" s="3">
        <v>6.3157894736842097</v>
      </c>
      <c r="R749">
        <v>1</v>
      </c>
      <c r="S749">
        <v>0</v>
      </c>
      <c r="U749">
        <v>-3.75372670807453</v>
      </c>
      <c r="V749">
        <v>-0.75</v>
      </c>
      <c r="W749">
        <v>-5.7608695652173898</v>
      </c>
      <c r="X749">
        <v>0</v>
      </c>
      <c r="Y749">
        <v>0</v>
      </c>
      <c r="Z749">
        <v>2.4</v>
      </c>
      <c r="AA749">
        <v>0.35714285714285698</v>
      </c>
    </row>
    <row r="750" spans="3:27" x14ac:dyDescent="0.2">
      <c r="C750" t="s">
        <v>17</v>
      </c>
      <c r="D750" t="s">
        <v>149</v>
      </c>
      <c r="E750">
        <v>470</v>
      </c>
      <c r="F750">
        <v>170</v>
      </c>
      <c r="G750">
        <v>19</v>
      </c>
      <c r="H750">
        <v>6</v>
      </c>
      <c r="I750">
        <v>0</v>
      </c>
      <c r="J750">
        <v>70</v>
      </c>
      <c r="K750">
        <v>1200</v>
      </c>
      <c r="L750">
        <v>50</v>
      </c>
      <c r="M750">
        <v>7</v>
      </c>
      <c r="N750">
        <v>2</v>
      </c>
      <c r="O750">
        <v>26</v>
      </c>
      <c r="Q750" s="3">
        <v>5.5319148936170199</v>
      </c>
      <c r="R750">
        <v>1</v>
      </c>
      <c r="S750">
        <v>0</v>
      </c>
      <c r="U750">
        <v>-7.6434782608695597</v>
      </c>
      <c r="V750">
        <v>-1.5</v>
      </c>
      <c r="W750">
        <v>-13.0434782608696</v>
      </c>
      <c r="X750">
        <v>-0.8</v>
      </c>
      <c r="Y750">
        <v>0</v>
      </c>
      <c r="Z750">
        <v>5.2</v>
      </c>
      <c r="AA750">
        <v>2.5</v>
      </c>
    </row>
    <row r="751" spans="3:27" x14ac:dyDescent="0.2">
      <c r="C751" t="s">
        <v>17</v>
      </c>
      <c r="D751" t="s">
        <v>150</v>
      </c>
      <c r="E751">
        <v>470</v>
      </c>
      <c r="F751">
        <v>170</v>
      </c>
      <c r="G751">
        <v>19</v>
      </c>
      <c r="H751">
        <v>6</v>
      </c>
      <c r="I751">
        <v>0</v>
      </c>
      <c r="J751">
        <v>70</v>
      </c>
      <c r="K751">
        <v>1200</v>
      </c>
      <c r="L751">
        <v>50</v>
      </c>
      <c r="M751">
        <v>7</v>
      </c>
      <c r="N751">
        <v>2</v>
      </c>
      <c r="O751">
        <v>26</v>
      </c>
      <c r="Q751" s="3">
        <v>5.5319148936170199</v>
      </c>
      <c r="R751">
        <v>1</v>
      </c>
      <c r="S751">
        <v>0</v>
      </c>
      <c r="U751">
        <v>-7.6434782608695597</v>
      </c>
      <c r="V751">
        <v>-1.5</v>
      </c>
      <c r="W751">
        <v>-13.0434782608696</v>
      </c>
      <c r="X751">
        <v>-0.8</v>
      </c>
      <c r="Y751">
        <v>0</v>
      </c>
      <c r="Z751">
        <v>5.2</v>
      </c>
      <c r="AA751">
        <v>2.5</v>
      </c>
    </row>
    <row r="752" spans="3:27" x14ac:dyDescent="0.2">
      <c r="C752" t="s">
        <v>17</v>
      </c>
      <c r="D752" t="s">
        <v>177</v>
      </c>
      <c r="E752">
        <v>510</v>
      </c>
      <c r="F752">
        <v>240</v>
      </c>
      <c r="G752">
        <v>26</v>
      </c>
      <c r="H752">
        <v>12</v>
      </c>
      <c r="I752">
        <v>0.5</v>
      </c>
      <c r="J752">
        <v>75</v>
      </c>
      <c r="K752">
        <v>1250</v>
      </c>
      <c r="L752">
        <v>38</v>
      </c>
      <c r="M752">
        <v>4</v>
      </c>
      <c r="N752">
        <v>2</v>
      </c>
      <c r="O752">
        <v>27</v>
      </c>
      <c r="Q752" s="3">
        <v>5.2941176470588198</v>
      </c>
      <c r="R752">
        <v>1</v>
      </c>
      <c r="S752">
        <v>0</v>
      </c>
      <c r="U752">
        <v>-10.558885093167699</v>
      </c>
      <c r="V752">
        <v>-3</v>
      </c>
      <c r="W752">
        <v>-13.586956521739101</v>
      </c>
      <c r="X752">
        <v>-0.8</v>
      </c>
      <c r="Y752">
        <v>-5.0000000000000001E-4</v>
      </c>
      <c r="Z752">
        <v>5.4</v>
      </c>
      <c r="AA752">
        <v>1.4285714285714299</v>
      </c>
    </row>
    <row r="753" spans="3:27" x14ac:dyDescent="0.2">
      <c r="C753" t="s">
        <v>17</v>
      </c>
      <c r="D753" t="s">
        <v>185</v>
      </c>
      <c r="E753">
        <v>480</v>
      </c>
      <c r="F753">
        <v>180</v>
      </c>
      <c r="G753">
        <v>20</v>
      </c>
      <c r="H753">
        <v>7</v>
      </c>
      <c r="I753">
        <v>0</v>
      </c>
      <c r="J753">
        <v>60</v>
      </c>
      <c r="K753">
        <v>1150</v>
      </c>
      <c r="L753">
        <v>51</v>
      </c>
      <c r="M753">
        <v>7</v>
      </c>
      <c r="N753">
        <v>2</v>
      </c>
      <c r="O753">
        <v>25</v>
      </c>
      <c r="Q753" s="3">
        <v>5.2083333333333304</v>
      </c>
      <c r="R753">
        <v>1</v>
      </c>
      <c r="S753">
        <v>0</v>
      </c>
      <c r="U753">
        <v>-7.55</v>
      </c>
      <c r="V753">
        <v>-1.75</v>
      </c>
      <c r="W753">
        <v>-12.5</v>
      </c>
      <c r="X753">
        <v>-0.8</v>
      </c>
      <c r="Y753">
        <v>0</v>
      </c>
      <c r="Z753">
        <v>5</v>
      </c>
      <c r="AA753">
        <v>2.5</v>
      </c>
    </row>
    <row r="754" spans="3:27" x14ac:dyDescent="0.2">
      <c r="C754" t="s">
        <v>17</v>
      </c>
      <c r="D754" t="s">
        <v>187</v>
      </c>
      <c r="E754">
        <v>520</v>
      </c>
      <c r="F754">
        <v>240</v>
      </c>
      <c r="G754">
        <v>27</v>
      </c>
      <c r="H754">
        <v>12</v>
      </c>
      <c r="I754">
        <v>0.5</v>
      </c>
      <c r="J754">
        <v>70</v>
      </c>
      <c r="K754">
        <v>1230</v>
      </c>
      <c r="L754">
        <v>38</v>
      </c>
      <c r="M754">
        <v>4</v>
      </c>
      <c r="N754">
        <v>2</v>
      </c>
      <c r="O754">
        <v>27</v>
      </c>
      <c r="Q754" s="3">
        <v>5.1923076923076898</v>
      </c>
      <c r="R754">
        <v>1</v>
      </c>
      <c r="S754">
        <v>0</v>
      </c>
      <c r="U754">
        <v>-10.3414937888199</v>
      </c>
      <c r="V754">
        <v>-3</v>
      </c>
      <c r="W754">
        <v>-13.369565217391299</v>
      </c>
      <c r="X754">
        <v>-0.8</v>
      </c>
      <c r="Y754">
        <v>-5.0000000000000001E-4</v>
      </c>
      <c r="Z754">
        <v>5.4</v>
      </c>
      <c r="AA754">
        <v>1.4285714285714299</v>
      </c>
    </row>
    <row r="755" spans="3:27" x14ac:dyDescent="0.2">
      <c r="C755" t="s">
        <v>17</v>
      </c>
      <c r="D755" t="s">
        <v>189</v>
      </c>
      <c r="E755">
        <v>370</v>
      </c>
      <c r="F755">
        <v>100</v>
      </c>
      <c r="G755">
        <v>11</v>
      </c>
      <c r="H755">
        <v>4.5</v>
      </c>
      <c r="I755">
        <v>0</v>
      </c>
      <c r="J755">
        <v>35</v>
      </c>
      <c r="K755">
        <v>1110</v>
      </c>
      <c r="L755">
        <v>49</v>
      </c>
      <c r="M755">
        <v>8</v>
      </c>
      <c r="N755">
        <v>4</v>
      </c>
      <c r="O755">
        <v>19</v>
      </c>
      <c r="Q755" s="3">
        <v>5.1351351351351404</v>
      </c>
      <c r="R755">
        <v>1</v>
      </c>
      <c r="S755">
        <v>0</v>
      </c>
      <c r="U755">
        <v>-8.1330745341614907</v>
      </c>
      <c r="V755">
        <v>-1.125</v>
      </c>
      <c r="W755">
        <v>-12.0652173913043</v>
      </c>
      <c r="X755">
        <v>-1.6</v>
      </c>
      <c r="Y755">
        <v>0</v>
      </c>
      <c r="Z755">
        <v>3.8</v>
      </c>
      <c r="AA755">
        <v>2.8571428571428599</v>
      </c>
    </row>
    <row r="756" spans="3:27" x14ac:dyDescent="0.2">
      <c r="C756" t="s">
        <v>17</v>
      </c>
      <c r="D756" t="s">
        <v>212</v>
      </c>
      <c r="E756">
        <v>180</v>
      </c>
      <c r="F756">
        <v>80</v>
      </c>
      <c r="G756">
        <v>9</v>
      </c>
      <c r="H756">
        <v>4</v>
      </c>
      <c r="I756">
        <v>0</v>
      </c>
      <c r="J756">
        <v>25</v>
      </c>
      <c r="K756">
        <v>500</v>
      </c>
      <c r="L756">
        <v>17</v>
      </c>
      <c r="M756">
        <v>3</v>
      </c>
      <c r="N756">
        <v>1</v>
      </c>
      <c r="O756">
        <v>9</v>
      </c>
      <c r="Q756" s="3">
        <v>5</v>
      </c>
      <c r="R756">
        <v>1</v>
      </c>
      <c r="S756">
        <v>0</v>
      </c>
      <c r="U756">
        <v>-3.9633540372670799</v>
      </c>
      <c r="V756">
        <v>-1</v>
      </c>
      <c r="W756">
        <v>-5.4347826086956497</v>
      </c>
      <c r="X756">
        <v>-0.4</v>
      </c>
      <c r="Y756">
        <v>0</v>
      </c>
      <c r="Z756">
        <v>1.8</v>
      </c>
      <c r="AA756">
        <v>1.0714285714285701</v>
      </c>
    </row>
    <row r="757" spans="3:27" x14ac:dyDescent="0.2">
      <c r="C757" t="s">
        <v>17</v>
      </c>
      <c r="D757" t="s">
        <v>216</v>
      </c>
      <c r="E757">
        <v>180</v>
      </c>
      <c r="F757">
        <v>80</v>
      </c>
      <c r="G757">
        <v>9</v>
      </c>
      <c r="H757">
        <v>5</v>
      </c>
      <c r="I757">
        <v>0</v>
      </c>
      <c r="J757">
        <v>20</v>
      </c>
      <c r="K757">
        <v>430</v>
      </c>
      <c r="L757">
        <v>15</v>
      </c>
      <c r="M757">
        <v>2</v>
      </c>
      <c r="N757">
        <v>0</v>
      </c>
      <c r="O757">
        <v>9</v>
      </c>
      <c r="Q757" s="3">
        <v>5</v>
      </c>
      <c r="R757">
        <v>0</v>
      </c>
      <c r="S757">
        <v>0</v>
      </c>
      <c r="U757">
        <v>-3.4096273291925501</v>
      </c>
      <c r="V757">
        <v>-1.25</v>
      </c>
      <c r="W757">
        <v>-4.6739130434782599</v>
      </c>
      <c r="X757">
        <v>0</v>
      </c>
      <c r="Y757">
        <v>0</v>
      </c>
      <c r="Z757">
        <v>1.8</v>
      </c>
      <c r="AA757">
        <v>0.71428571428571397</v>
      </c>
    </row>
    <row r="758" spans="3:27" x14ac:dyDescent="0.2">
      <c r="C758" t="s">
        <v>17</v>
      </c>
      <c r="D758" t="s">
        <v>221</v>
      </c>
      <c r="E758">
        <v>370</v>
      </c>
      <c r="F758">
        <v>110</v>
      </c>
      <c r="G758">
        <v>12</v>
      </c>
      <c r="H758">
        <v>5</v>
      </c>
      <c r="I758">
        <v>0</v>
      </c>
      <c r="J758">
        <v>30</v>
      </c>
      <c r="K758">
        <v>1090</v>
      </c>
      <c r="L758">
        <v>49</v>
      </c>
      <c r="M758">
        <v>7</v>
      </c>
      <c r="N758">
        <v>4</v>
      </c>
      <c r="O758">
        <v>18</v>
      </c>
      <c r="Q758" s="3">
        <v>4.8648648648648596</v>
      </c>
      <c r="R758">
        <v>1</v>
      </c>
      <c r="S758">
        <v>0</v>
      </c>
      <c r="U758">
        <v>-8.5978260869565197</v>
      </c>
      <c r="V758">
        <v>-1.25</v>
      </c>
      <c r="W758">
        <v>-11.8478260869565</v>
      </c>
      <c r="X758">
        <v>-1.6</v>
      </c>
      <c r="Y758">
        <v>0</v>
      </c>
      <c r="Z758">
        <v>3.6</v>
      </c>
      <c r="AA758">
        <v>2.5</v>
      </c>
    </row>
    <row r="759" spans="3:27" x14ac:dyDescent="0.2">
      <c r="C759" t="s">
        <v>17</v>
      </c>
      <c r="D759" t="s">
        <v>224</v>
      </c>
      <c r="E759">
        <v>330</v>
      </c>
      <c r="F759">
        <v>140</v>
      </c>
      <c r="G759">
        <v>15</v>
      </c>
      <c r="H759">
        <v>3.5</v>
      </c>
      <c r="I759">
        <v>0</v>
      </c>
      <c r="J759">
        <v>35</v>
      </c>
      <c r="K759">
        <v>560</v>
      </c>
      <c r="L759">
        <v>31</v>
      </c>
      <c r="M759">
        <v>2</v>
      </c>
      <c r="N759">
        <v>3</v>
      </c>
      <c r="O759">
        <v>16</v>
      </c>
      <c r="Q759" s="3">
        <v>4.8484848484848504</v>
      </c>
      <c r="R759">
        <v>1</v>
      </c>
      <c r="S759">
        <v>0</v>
      </c>
      <c r="U759">
        <v>-4.24767080745342</v>
      </c>
      <c r="V759">
        <v>-0.875</v>
      </c>
      <c r="W759">
        <v>-6.0869565217391299</v>
      </c>
      <c r="X759">
        <v>-1.2</v>
      </c>
      <c r="Y759">
        <v>0</v>
      </c>
      <c r="Z759">
        <v>3.2</v>
      </c>
      <c r="AA759">
        <v>0.71428571428571397</v>
      </c>
    </row>
    <row r="760" spans="3:27" x14ac:dyDescent="0.2">
      <c r="C760" t="s">
        <v>17</v>
      </c>
      <c r="D760" t="s">
        <v>226</v>
      </c>
      <c r="E760">
        <v>560</v>
      </c>
      <c r="F760">
        <v>250</v>
      </c>
      <c r="G760">
        <v>28</v>
      </c>
      <c r="H760">
        <v>9</v>
      </c>
      <c r="I760">
        <v>0</v>
      </c>
      <c r="J760">
        <v>240</v>
      </c>
      <c r="K760">
        <v>1310</v>
      </c>
      <c r="L760">
        <v>50</v>
      </c>
      <c r="M760">
        <v>4</v>
      </c>
      <c r="N760">
        <v>3</v>
      </c>
      <c r="O760">
        <v>27</v>
      </c>
      <c r="Q760" s="3">
        <v>4.8214285714285703</v>
      </c>
      <c r="R760">
        <v>1</v>
      </c>
      <c r="S760">
        <v>0</v>
      </c>
      <c r="U760">
        <v>-10.860559006211201</v>
      </c>
      <c r="V760">
        <v>-2.25</v>
      </c>
      <c r="W760">
        <v>-14.2391304347826</v>
      </c>
      <c r="X760">
        <v>-1.2</v>
      </c>
      <c r="Y760">
        <v>0</v>
      </c>
      <c r="Z760">
        <v>5.4</v>
      </c>
      <c r="AA760">
        <v>1.4285714285714299</v>
      </c>
    </row>
    <row r="761" spans="3:27" x14ac:dyDescent="0.2">
      <c r="C761" t="s">
        <v>17</v>
      </c>
      <c r="D761" t="s">
        <v>212</v>
      </c>
      <c r="E761">
        <v>210</v>
      </c>
      <c r="F761">
        <v>90</v>
      </c>
      <c r="G761">
        <v>10</v>
      </c>
      <c r="H761">
        <v>5</v>
      </c>
      <c r="I761">
        <v>0</v>
      </c>
      <c r="J761">
        <v>25</v>
      </c>
      <c r="K761">
        <v>520</v>
      </c>
      <c r="L761">
        <v>20</v>
      </c>
      <c r="M761">
        <v>3</v>
      </c>
      <c r="N761">
        <v>2</v>
      </c>
      <c r="O761">
        <v>10</v>
      </c>
      <c r="Q761" s="3">
        <v>4.7619047619047601</v>
      </c>
      <c r="R761">
        <v>1</v>
      </c>
      <c r="S761">
        <v>0</v>
      </c>
      <c r="U761">
        <v>-4.6307453416149098</v>
      </c>
      <c r="V761">
        <v>-1.25</v>
      </c>
      <c r="W761">
        <v>-5.6521739130434803</v>
      </c>
      <c r="X761">
        <v>-0.8</v>
      </c>
      <c r="Y761">
        <v>0</v>
      </c>
      <c r="Z761">
        <v>2</v>
      </c>
      <c r="AA761">
        <v>1.0714285714285701</v>
      </c>
    </row>
    <row r="762" spans="3:27" x14ac:dyDescent="0.2">
      <c r="C762" t="s">
        <v>17</v>
      </c>
      <c r="D762" t="s">
        <v>234</v>
      </c>
      <c r="E762">
        <v>210</v>
      </c>
      <c r="F762">
        <v>90</v>
      </c>
      <c r="G762">
        <v>10</v>
      </c>
      <c r="H762">
        <v>5</v>
      </c>
      <c r="I762">
        <v>0</v>
      </c>
      <c r="J762">
        <v>25</v>
      </c>
      <c r="K762">
        <v>520</v>
      </c>
      <c r="L762">
        <v>20</v>
      </c>
      <c r="M762">
        <v>3</v>
      </c>
      <c r="N762">
        <v>2</v>
      </c>
      <c r="O762">
        <v>10</v>
      </c>
      <c r="Q762" s="3">
        <v>4.7619047619047601</v>
      </c>
      <c r="R762">
        <v>1</v>
      </c>
      <c r="S762">
        <v>0</v>
      </c>
      <c r="U762">
        <v>-4.6307453416149098</v>
      </c>
      <c r="V762">
        <v>-1.25</v>
      </c>
      <c r="W762">
        <v>-5.6521739130434803</v>
      </c>
      <c r="X762">
        <v>-0.8</v>
      </c>
      <c r="Y762">
        <v>0</v>
      </c>
      <c r="Z762">
        <v>2</v>
      </c>
      <c r="AA762">
        <v>1.0714285714285701</v>
      </c>
    </row>
    <row r="763" spans="3:27" x14ac:dyDescent="0.2">
      <c r="C763" t="s">
        <v>17</v>
      </c>
      <c r="D763" t="s">
        <v>244</v>
      </c>
      <c r="E763">
        <v>170</v>
      </c>
      <c r="F763">
        <v>80</v>
      </c>
      <c r="G763">
        <v>9</v>
      </c>
      <c r="H763">
        <v>3.5</v>
      </c>
      <c r="I763">
        <v>0</v>
      </c>
      <c r="J763">
        <v>25</v>
      </c>
      <c r="K763">
        <v>310</v>
      </c>
      <c r="L763">
        <v>13</v>
      </c>
      <c r="M763">
        <v>3</v>
      </c>
      <c r="N763">
        <v>0</v>
      </c>
      <c r="O763">
        <v>8</v>
      </c>
      <c r="Q763" s="3">
        <v>4.7058823529411802</v>
      </c>
      <c r="R763">
        <v>0</v>
      </c>
      <c r="S763">
        <v>0</v>
      </c>
      <c r="U763">
        <v>-1.5731366459627301</v>
      </c>
      <c r="V763">
        <v>-0.875</v>
      </c>
      <c r="W763">
        <v>-3.3695652173913002</v>
      </c>
      <c r="X763">
        <v>0</v>
      </c>
      <c r="Y763">
        <v>0</v>
      </c>
      <c r="Z763">
        <v>1.6</v>
      </c>
      <c r="AA763">
        <v>1.0714285714285701</v>
      </c>
    </row>
    <row r="764" spans="3:27" x14ac:dyDescent="0.2">
      <c r="C764" t="s">
        <v>17</v>
      </c>
      <c r="D764" t="s">
        <v>245</v>
      </c>
      <c r="E764">
        <v>170</v>
      </c>
      <c r="F764">
        <v>80</v>
      </c>
      <c r="G764">
        <v>9</v>
      </c>
      <c r="H764">
        <v>3.5</v>
      </c>
      <c r="I764">
        <v>0</v>
      </c>
      <c r="J764">
        <v>25</v>
      </c>
      <c r="K764">
        <v>360</v>
      </c>
      <c r="L764">
        <v>13</v>
      </c>
      <c r="M764">
        <v>3</v>
      </c>
      <c r="N764">
        <v>0</v>
      </c>
      <c r="O764">
        <v>8</v>
      </c>
      <c r="Q764" s="3">
        <v>4.7058823529411802</v>
      </c>
      <c r="R764">
        <v>0</v>
      </c>
      <c r="S764">
        <v>0</v>
      </c>
      <c r="U764">
        <v>-2.1166149068323001</v>
      </c>
      <c r="V764">
        <v>-0.875</v>
      </c>
      <c r="W764">
        <v>-3.9130434782608701</v>
      </c>
      <c r="X764">
        <v>0</v>
      </c>
      <c r="Y764">
        <v>0</v>
      </c>
      <c r="Z764">
        <v>1.6</v>
      </c>
      <c r="AA764">
        <v>1.0714285714285701</v>
      </c>
    </row>
    <row r="765" spans="3:27" x14ac:dyDescent="0.2">
      <c r="C765" t="s">
        <v>17</v>
      </c>
      <c r="D765" t="s">
        <v>277</v>
      </c>
      <c r="E765">
        <v>440</v>
      </c>
      <c r="F765">
        <v>240</v>
      </c>
      <c r="G765">
        <v>27</v>
      </c>
      <c r="H765">
        <v>5</v>
      </c>
      <c r="I765">
        <v>0</v>
      </c>
      <c r="J765">
        <v>50</v>
      </c>
      <c r="K765">
        <v>840</v>
      </c>
      <c r="L765">
        <v>31</v>
      </c>
      <c r="M765">
        <v>2</v>
      </c>
      <c r="N765">
        <v>3</v>
      </c>
      <c r="O765">
        <v>20</v>
      </c>
      <c r="Q765" s="3">
        <v>4.5454545454545503</v>
      </c>
      <c r="R765">
        <v>1</v>
      </c>
      <c r="S765">
        <v>0</v>
      </c>
      <c r="U765">
        <v>-6.8661490683229802</v>
      </c>
      <c r="V765">
        <v>-1.25</v>
      </c>
      <c r="W765">
        <v>-9.1304347826087007</v>
      </c>
      <c r="X765">
        <v>-1.2</v>
      </c>
      <c r="Y765">
        <v>0</v>
      </c>
      <c r="Z765">
        <v>4</v>
      </c>
      <c r="AA765">
        <v>0.71428571428571397</v>
      </c>
    </row>
    <row r="766" spans="3:27" x14ac:dyDescent="0.2">
      <c r="C766" t="s">
        <v>17</v>
      </c>
      <c r="D766" t="s">
        <v>278</v>
      </c>
      <c r="E766">
        <v>330</v>
      </c>
      <c r="F766">
        <v>140</v>
      </c>
      <c r="G766">
        <v>16</v>
      </c>
      <c r="H766">
        <v>4</v>
      </c>
      <c r="I766">
        <v>0</v>
      </c>
      <c r="J766">
        <v>30</v>
      </c>
      <c r="K766">
        <v>530</v>
      </c>
      <c r="L766">
        <v>32</v>
      </c>
      <c r="M766">
        <v>2</v>
      </c>
      <c r="N766">
        <v>3</v>
      </c>
      <c r="O766">
        <v>15</v>
      </c>
      <c r="Q766" s="3">
        <v>4.5454545454545503</v>
      </c>
      <c r="R766">
        <v>1</v>
      </c>
      <c r="S766">
        <v>0</v>
      </c>
      <c r="U766">
        <v>-4.24658385093168</v>
      </c>
      <c r="V766">
        <v>-1</v>
      </c>
      <c r="W766">
        <v>-5.7608695652173898</v>
      </c>
      <c r="X766">
        <v>-1.2</v>
      </c>
      <c r="Y766">
        <v>0</v>
      </c>
      <c r="Z766">
        <v>3</v>
      </c>
      <c r="AA766">
        <v>0.71428571428571397</v>
      </c>
    </row>
    <row r="767" spans="3:27" x14ac:dyDescent="0.2">
      <c r="C767" t="s">
        <v>17</v>
      </c>
      <c r="D767" t="s">
        <v>279</v>
      </c>
      <c r="E767">
        <v>440</v>
      </c>
      <c r="F767">
        <v>240</v>
      </c>
      <c r="G767">
        <v>27</v>
      </c>
      <c r="H767">
        <v>5</v>
      </c>
      <c r="I767">
        <v>0</v>
      </c>
      <c r="J767">
        <v>50</v>
      </c>
      <c r="K767">
        <v>840</v>
      </c>
      <c r="L767">
        <v>31</v>
      </c>
      <c r="M767">
        <v>2</v>
      </c>
      <c r="N767">
        <v>3</v>
      </c>
      <c r="O767">
        <v>20</v>
      </c>
      <c r="Q767" s="3">
        <v>4.5454545454545503</v>
      </c>
      <c r="R767">
        <v>1</v>
      </c>
      <c r="S767">
        <v>0</v>
      </c>
      <c r="U767">
        <v>-6.8661490683229802</v>
      </c>
      <c r="V767">
        <v>-1.25</v>
      </c>
      <c r="W767">
        <v>-9.1304347826087007</v>
      </c>
      <c r="X767">
        <v>-1.2</v>
      </c>
      <c r="Y767">
        <v>0</v>
      </c>
      <c r="Z767">
        <v>4</v>
      </c>
      <c r="AA767">
        <v>0.71428571428571397</v>
      </c>
    </row>
    <row r="768" spans="3:27" x14ac:dyDescent="0.2">
      <c r="C768" t="s">
        <v>17</v>
      </c>
      <c r="D768" t="s">
        <v>317</v>
      </c>
      <c r="E768">
        <v>370</v>
      </c>
      <c r="F768">
        <v>150</v>
      </c>
      <c r="G768">
        <v>17</v>
      </c>
      <c r="H768">
        <v>8</v>
      </c>
      <c r="I768">
        <v>0</v>
      </c>
      <c r="J768">
        <v>35</v>
      </c>
      <c r="K768">
        <v>970</v>
      </c>
      <c r="L768">
        <v>40</v>
      </c>
      <c r="M768">
        <v>4</v>
      </c>
      <c r="N768">
        <v>2</v>
      </c>
      <c r="O768">
        <v>16</v>
      </c>
      <c r="Q768" s="3">
        <v>4.3243243243243201</v>
      </c>
      <c r="R768">
        <v>1</v>
      </c>
      <c r="S768">
        <v>0</v>
      </c>
      <c r="U768">
        <v>-8.7149068322981407</v>
      </c>
      <c r="V768">
        <v>-2</v>
      </c>
      <c r="W768">
        <v>-10.5434782608696</v>
      </c>
      <c r="X768">
        <v>-0.8</v>
      </c>
      <c r="Y768">
        <v>0</v>
      </c>
      <c r="Z768">
        <v>3.2</v>
      </c>
      <c r="AA768">
        <v>1.4285714285714299</v>
      </c>
    </row>
    <row r="769" spans="3:27" x14ac:dyDescent="0.2">
      <c r="C769" t="s">
        <v>17</v>
      </c>
      <c r="D769" t="s">
        <v>322</v>
      </c>
      <c r="E769">
        <v>560</v>
      </c>
      <c r="F769">
        <v>270</v>
      </c>
      <c r="G769">
        <v>30</v>
      </c>
      <c r="H769">
        <v>10</v>
      </c>
      <c r="I769">
        <v>0</v>
      </c>
      <c r="J769">
        <v>230</v>
      </c>
      <c r="K769">
        <v>1290</v>
      </c>
      <c r="L769">
        <v>49</v>
      </c>
      <c r="M769">
        <v>4</v>
      </c>
      <c r="N769">
        <v>3</v>
      </c>
      <c r="O769">
        <v>24</v>
      </c>
      <c r="Q769" s="3">
        <v>4.28571428571429</v>
      </c>
      <c r="R769">
        <v>1</v>
      </c>
      <c r="S769">
        <v>0</v>
      </c>
      <c r="U769">
        <v>-11.493167701863401</v>
      </c>
      <c r="V769">
        <v>-2.5</v>
      </c>
      <c r="W769">
        <v>-14.021739130434799</v>
      </c>
      <c r="X769">
        <v>-1.2</v>
      </c>
      <c r="Y769">
        <v>0</v>
      </c>
      <c r="Z769">
        <v>4.8</v>
      </c>
      <c r="AA769">
        <v>1.4285714285714299</v>
      </c>
    </row>
    <row r="770" spans="3:27" x14ac:dyDescent="0.2">
      <c r="C770" t="s">
        <v>17</v>
      </c>
      <c r="D770" t="s">
        <v>337</v>
      </c>
      <c r="E770">
        <v>190</v>
      </c>
      <c r="F770">
        <v>100</v>
      </c>
      <c r="G770">
        <v>11</v>
      </c>
      <c r="H770">
        <v>4.5</v>
      </c>
      <c r="I770">
        <v>0</v>
      </c>
      <c r="J770">
        <v>25</v>
      </c>
      <c r="K770">
        <v>340</v>
      </c>
      <c r="L770">
        <v>15</v>
      </c>
      <c r="M770">
        <v>3</v>
      </c>
      <c r="N770">
        <v>2</v>
      </c>
      <c r="O770">
        <v>8</v>
      </c>
      <c r="Q770" s="3">
        <v>4.2105263157894699</v>
      </c>
      <c r="R770">
        <v>0</v>
      </c>
      <c r="S770">
        <v>0</v>
      </c>
      <c r="U770">
        <v>-2.9492236024844698</v>
      </c>
      <c r="V770">
        <v>-1.125</v>
      </c>
      <c r="W770">
        <v>-3.6956521739130399</v>
      </c>
      <c r="X770">
        <v>-0.8</v>
      </c>
      <c r="Y770">
        <v>0</v>
      </c>
      <c r="Z770">
        <v>1.6</v>
      </c>
      <c r="AA770">
        <v>1.0714285714285701</v>
      </c>
    </row>
    <row r="771" spans="3:27" x14ac:dyDescent="0.2">
      <c r="C771" t="s">
        <v>17</v>
      </c>
      <c r="D771" t="s">
        <v>338</v>
      </c>
      <c r="E771">
        <v>190</v>
      </c>
      <c r="F771">
        <v>100</v>
      </c>
      <c r="G771">
        <v>11</v>
      </c>
      <c r="H771">
        <v>4.5</v>
      </c>
      <c r="I771">
        <v>0</v>
      </c>
      <c r="J771">
        <v>30</v>
      </c>
      <c r="K771">
        <v>380</v>
      </c>
      <c r="L771">
        <v>15</v>
      </c>
      <c r="M771">
        <v>3</v>
      </c>
      <c r="N771">
        <v>2</v>
      </c>
      <c r="O771">
        <v>8</v>
      </c>
      <c r="Q771" s="3">
        <v>4.2105263157894699</v>
      </c>
      <c r="R771">
        <v>0</v>
      </c>
      <c r="S771">
        <v>0</v>
      </c>
      <c r="U771">
        <v>-3.3840062111801199</v>
      </c>
      <c r="V771">
        <v>-1.125</v>
      </c>
      <c r="W771">
        <v>-4.1304347826086998</v>
      </c>
      <c r="X771">
        <v>-0.8</v>
      </c>
      <c r="Y771">
        <v>0</v>
      </c>
      <c r="Z771">
        <v>1.6</v>
      </c>
      <c r="AA771">
        <v>1.0714285714285701</v>
      </c>
    </row>
    <row r="772" spans="3:27" x14ac:dyDescent="0.2">
      <c r="C772" t="s">
        <v>17</v>
      </c>
      <c r="D772" t="s">
        <v>339</v>
      </c>
      <c r="E772">
        <v>570</v>
      </c>
      <c r="F772">
        <v>270</v>
      </c>
      <c r="G772">
        <v>30</v>
      </c>
      <c r="H772">
        <v>9</v>
      </c>
      <c r="I772">
        <v>0</v>
      </c>
      <c r="J772">
        <v>140</v>
      </c>
      <c r="K772">
        <v>1290</v>
      </c>
      <c r="L772">
        <v>50</v>
      </c>
      <c r="M772">
        <v>4</v>
      </c>
      <c r="N772">
        <v>2</v>
      </c>
      <c r="O772">
        <v>24</v>
      </c>
      <c r="Q772" s="3">
        <v>4.2105263157894699</v>
      </c>
      <c r="R772">
        <v>1</v>
      </c>
      <c r="S772">
        <v>0</v>
      </c>
      <c r="U772">
        <v>-10.843167701863401</v>
      </c>
      <c r="V772">
        <v>-2.25</v>
      </c>
      <c r="W772">
        <v>-14.021739130434799</v>
      </c>
      <c r="X772">
        <v>-0.8</v>
      </c>
      <c r="Y772">
        <v>0</v>
      </c>
      <c r="Z772">
        <v>4.8</v>
      </c>
      <c r="AA772">
        <v>1.4285714285714299</v>
      </c>
    </row>
    <row r="773" spans="3:27" x14ac:dyDescent="0.2">
      <c r="C773" t="s">
        <v>17</v>
      </c>
      <c r="D773" t="s">
        <v>354</v>
      </c>
      <c r="E773">
        <v>390</v>
      </c>
      <c r="F773">
        <v>130</v>
      </c>
      <c r="G773">
        <v>14</v>
      </c>
      <c r="H773">
        <v>6</v>
      </c>
      <c r="I773">
        <v>0</v>
      </c>
      <c r="J773">
        <v>25</v>
      </c>
      <c r="K773">
        <v>1110</v>
      </c>
      <c r="L773">
        <v>51</v>
      </c>
      <c r="M773">
        <v>9</v>
      </c>
      <c r="N773">
        <v>4</v>
      </c>
      <c r="O773">
        <v>16</v>
      </c>
      <c r="Q773" s="3">
        <v>4.1025641025641004</v>
      </c>
      <c r="R773">
        <v>1</v>
      </c>
      <c r="S773">
        <v>0</v>
      </c>
      <c r="U773">
        <v>-8.7509316770186292</v>
      </c>
      <c r="V773">
        <v>-1.5</v>
      </c>
      <c r="W773">
        <v>-12.0652173913043</v>
      </c>
      <c r="X773">
        <v>-1.6</v>
      </c>
      <c r="Y773">
        <v>0</v>
      </c>
      <c r="Z773">
        <v>3.2</v>
      </c>
      <c r="AA773">
        <v>3.21428571428571</v>
      </c>
    </row>
    <row r="774" spans="3:27" x14ac:dyDescent="0.2">
      <c r="C774" t="s">
        <v>17</v>
      </c>
      <c r="D774" t="s">
        <v>369</v>
      </c>
      <c r="E774">
        <v>470</v>
      </c>
      <c r="F774">
        <v>230</v>
      </c>
      <c r="G774">
        <v>25</v>
      </c>
      <c r="H774">
        <v>12</v>
      </c>
      <c r="I774">
        <v>0.5</v>
      </c>
      <c r="J774">
        <v>50</v>
      </c>
      <c r="K774">
        <v>990</v>
      </c>
      <c r="L774">
        <v>37</v>
      </c>
      <c r="M774">
        <v>4</v>
      </c>
      <c r="N774">
        <v>2</v>
      </c>
      <c r="O774">
        <v>19</v>
      </c>
      <c r="Q774" s="3">
        <v>4.0425531914893602</v>
      </c>
      <c r="R774">
        <v>1</v>
      </c>
      <c r="S774">
        <v>0</v>
      </c>
      <c r="U774">
        <v>-9.3327981366459607</v>
      </c>
      <c r="V774">
        <v>-3</v>
      </c>
      <c r="W774">
        <v>-10.7608695652174</v>
      </c>
      <c r="X774">
        <v>-0.8</v>
      </c>
      <c r="Y774">
        <v>-5.0000000000000001E-4</v>
      </c>
      <c r="Z774">
        <v>3.8</v>
      </c>
      <c r="AA774">
        <v>1.4285714285714299</v>
      </c>
    </row>
    <row r="775" spans="3:27" x14ac:dyDescent="0.2">
      <c r="C775" t="s">
        <v>17</v>
      </c>
      <c r="D775" t="s">
        <v>371</v>
      </c>
      <c r="E775">
        <v>620</v>
      </c>
      <c r="F775">
        <v>270</v>
      </c>
      <c r="G775">
        <v>29</v>
      </c>
      <c r="H775">
        <v>11</v>
      </c>
      <c r="I775">
        <v>0</v>
      </c>
      <c r="J775">
        <v>65</v>
      </c>
      <c r="K775">
        <v>1390</v>
      </c>
      <c r="L775">
        <v>66</v>
      </c>
      <c r="M775">
        <v>4</v>
      </c>
      <c r="N775">
        <v>4</v>
      </c>
      <c r="O775">
        <v>25</v>
      </c>
      <c r="Q775" s="3">
        <v>4.0322580645161299</v>
      </c>
      <c r="R775">
        <v>1</v>
      </c>
      <c r="S775">
        <v>0</v>
      </c>
      <c r="U775">
        <v>-13.030124223602501</v>
      </c>
      <c r="V775">
        <v>-2.75</v>
      </c>
      <c r="W775">
        <v>-15.1086956521739</v>
      </c>
      <c r="X775">
        <v>-1.6</v>
      </c>
      <c r="Y775">
        <v>0</v>
      </c>
      <c r="Z775">
        <v>5</v>
      </c>
      <c r="AA775">
        <v>1.4285714285714299</v>
      </c>
    </row>
    <row r="776" spans="3:27" x14ac:dyDescent="0.2">
      <c r="C776" t="s">
        <v>17</v>
      </c>
      <c r="D776" t="s">
        <v>375</v>
      </c>
      <c r="E776">
        <v>250</v>
      </c>
      <c r="F776">
        <v>110</v>
      </c>
      <c r="G776">
        <v>12</v>
      </c>
      <c r="H776">
        <v>4.5</v>
      </c>
      <c r="I776">
        <v>0</v>
      </c>
      <c r="J776">
        <v>25</v>
      </c>
      <c r="K776">
        <v>610</v>
      </c>
      <c r="L776">
        <v>24</v>
      </c>
      <c r="M776">
        <v>3</v>
      </c>
      <c r="N776">
        <v>2</v>
      </c>
      <c r="O776">
        <v>10</v>
      </c>
      <c r="Q776" s="3">
        <v>4</v>
      </c>
      <c r="R776">
        <v>1</v>
      </c>
      <c r="S776">
        <v>0</v>
      </c>
      <c r="U776">
        <v>-5.4840062111801204</v>
      </c>
      <c r="V776">
        <v>-1.125</v>
      </c>
      <c r="W776">
        <v>-6.6304347826086998</v>
      </c>
      <c r="X776">
        <v>-0.8</v>
      </c>
      <c r="Y776">
        <v>0</v>
      </c>
      <c r="Z776">
        <v>2</v>
      </c>
      <c r="AA776">
        <v>1.0714285714285701</v>
      </c>
    </row>
    <row r="777" spans="3:27" x14ac:dyDescent="0.2">
      <c r="C777" t="s">
        <v>17</v>
      </c>
      <c r="D777" t="s">
        <v>376</v>
      </c>
      <c r="E777">
        <v>500</v>
      </c>
      <c r="F777">
        <v>250</v>
      </c>
      <c r="G777">
        <v>28</v>
      </c>
      <c r="H777">
        <v>10</v>
      </c>
      <c r="I777">
        <v>0.5</v>
      </c>
      <c r="J777">
        <v>55</v>
      </c>
      <c r="K777">
        <v>850</v>
      </c>
      <c r="L777">
        <v>41</v>
      </c>
      <c r="M777">
        <v>5</v>
      </c>
      <c r="N777">
        <v>4</v>
      </c>
      <c r="O777">
        <v>20</v>
      </c>
      <c r="Q777" s="3">
        <v>4</v>
      </c>
      <c r="R777">
        <v>1</v>
      </c>
      <c r="S777">
        <v>0</v>
      </c>
      <c r="U777">
        <v>-7.5539161490683204</v>
      </c>
      <c r="V777">
        <v>-2.5</v>
      </c>
      <c r="W777">
        <v>-9.2391304347826093</v>
      </c>
      <c r="X777">
        <v>-1.6</v>
      </c>
      <c r="Y777">
        <v>-5.0000000000000001E-4</v>
      </c>
      <c r="Z777">
        <v>4</v>
      </c>
      <c r="AA777">
        <v>1.78571428571429</v>
      </c>
    </row>
    <row r="778" spans="3:27" x14ac:dyDescent="0.2">
      <c r="C778" t="s">
        <v>17</v>
      </c>
      <c r="D778" t="s">
        <v>377</v>
      </c>
      <c r="E778">
        <v>250</v>
      </c>
      <c r="F778">
        <v>110</v>
      </c>
      <c r="G778">
        <v>12</v>
      </c>
      <c r="H778">
        <v>4.5</v>
      </c>
      <c r="I778">
        <v>0</v>
      </c>
      <c r="J778">
        <v>25</v>
      </c>
      <c r="K778">
        <v>610</v>
      </c>
      <c r="L778">
        <v>24</v>
      </c>
      <c r="M778">
        <v>3</v>
      </c>
      <c r="N778">
        <v>2</v>
      </c>
      <c r="O778">
        <v>10</v>
      </c>
      <c r="Q778" s="3">
        <v>4</v>
      </c>
      <c r="R778">
        <v>1</v>
      </c>
      <c r="S778">
        <v>0</v>
      </c>
      <c r="U778">
        <v>-5.4840062111801204</v>
      </c>
      <c r="V778">
        <v>-1.125</v>
      </c>
      <c r="W778">
        <v>-6.6304347826086998</v>
      </c>
      <c r="X778">
        <v>-0.8</v>
      </c>
      <c r="Y778">
        <v>0</v>
      </c>
      <c r="Z778">
        <v>2</v>
      </c>
      <c r="AA778">
        <v>1.0714285714285701</v>
      </c>
    </row>
    <row r="779" spans="3:27" x14ac:dyDescent="0.2">
      <c r="C779" t="s">
        <v>17</v>
      </c>
      <c r="D779" t="s">
        <v>379</v>
      </c>
      <c r="E779">
        <v>50</v>
      </c>
      <c r="F779">
        <v>10</v>
      </c>
      <c r="G779">
        <v>1</v>
      </c>
      <c r="H779">
        <v>0</v>
      </c>
      <c r="I779">
        <v>0</v>
      </c>
      <c r="J779">
        <v>0</v>
      </c>
      <c r="K779">
        <v>135</v>
      </c>
      <c r="L779">
        <v>8</v>
      </c>
      <c r="M779">
        <v>3</v>
      </c>
      <c r="N779">
        <v>0</v>
      </c>
      <c r="O779">
        <v>2</v>
      </c>
      <c r="Q779" s="3">
        <v>4</v>
      </c>
      <c r="R779">
        <v>0</v>
      </c>
      <c r="S779">
        <v>0</v>
      </c>
      <c r="U779">
        <v>4.0372670807451404E-3</v>
      </c>
      <c r="V779">
        <v>0</v>
      </c>
      <c r="W779">
        <v>-1.4673913043478299</v>
      </c>
      <c r="X779">
        <v>0</v>
      </c>
      <c r="Y779">
        <v>0</v>
      </c>
      <c r="Z779">
        <v>0.4</v>
      </c>
      <c r="AA779">
        <v>1.0714285714285701</v>
      </c>
    </row>
    <row r="780" spans="3:27" x14ac:dyDescent="0.2">
      <c r="C780" t="s">
        <v>17</v>
      </c>
      <c r="D780" t="s">
        <v>380</v>
      </c>
      <c r="E780">
        <v>250</v>
      </c>
      <c r="F780">
        <v>110</v>
      </c>
      <c r="G780">
        <v>12</v>
      </c>
      <c r="H780">
        <v>4.5</v>
      </c>
      <c r="I780">
        <v>0</v>
      </c>
      <c r="J780">
        <v>25</v>
      </c>
      <c r="K780">
        <v>610</v>
      </c>
      <c r="L780">
        <v>24</v>
      </c>
      <c r="M780">
        <v>3</v>
      </c>
      <c r="N780">
        <v>2</v>
      </c>
      <c r="O780">
        <v>10</v>
      </c>
      <c r="Q780" s="3">
        <v>4</v>
      </c>
      <c r="R780">
        <v>1</v>
      </c>
      <c r="S780">
        <v>0</v>
      </c>
      <c r="U780">
        <v>-5.4840062111801204</v>
      </c>
      <c r="V780">
        <v>-1.125</v>
      </c>
      <c r="W780">
        <v>-6.6304347826086998</v>
      </c>
      <c r="X780">
        <v>-0.8</v>
      </c>
      <c r="Y780">
        <v>0</v>
      </c>
      <c r="Z780">
        <v>2</v>
      </c>
      <c r="AA780">
        <v>1.0714285714285701</v>
      </c>
    </row>
    <row r="781" spans="3:27" x14ac:dyDescent="0.2">
      <c r="C781" t="s">
        <v>17</v>
      </c>
      <c r="D781" t="s">
        <v>390</v>
      </c>
      <c r="E781">
        <v>560</v>
      </c>
      <c r="F781">
        <v>280</v>
      </c>
      <c r="G781">
        <v>31</v>
      </c>
      <c r="H781">
        <v>10</v>
      </c>
      <c r="I781">
        <v>0</v>
      </c>
      <c r="J781">
        <v>230</v>
      </c>
      <c r="K781">
        <v>1150</v>
      </c>
      <c r="L781">
        <v>49</v>
      </c>
      <c r="M781">
        <v>4</v>
      </c>
      <c r="N781">
        <v>3</v>
      </c>
      <c r="O781">
        <v>22</v>
      </c>
      <c r="Q781" s="3">
        <v>3.9285714285714302</v>
      </c>
      <c r="R781">
        <v>1</v>
      </c>
      <c r="S781">
        <v>0</v>
      </c>
      <c r="U781">
        <v>-10.3714285714286</v>
      </c>
      <c r="V781">
        <v>-2.5</v>
      </c>
      <c r="W781">
        <v>-12.5</v>
      </c>
      <c r="X781">
        <v>-1.2</v>
      </c>
      <c r="Y781">
        <v>0</v>
      </c>
      <c r="Z781">
        <v>4.4000000000000004</v>
      </c>
      <c r="AA781">
        <v>1.4285714285714299</v>
      </c>
    </row>
    <row r="782" spans="3:27" x14ac:dyDescent="0.2">
      <c r="C782" t="s">
        <v>17</v>
      </c>
      <c r="D782" t="s">
        <v>403</v>
      </c>
      <c r="E782">
        <v>630</v>
      </c>
      <c r="F782">
        <v>270</v>
      </c>
      <c r="G782">
        <v>30</v>
      </c>
      <c r="H782">
        <v>11</v>
      </c>
      <c r="I782">
        <v>0</v>
      </c>
      <c r="J782">
        <v>60</v>
      </c>
      <c r="K782">
        <v>1370</v>
      </c>
      <c r="L782">
        <v>66</v>
      </c>
      <c r="M782">
        <v>4</v>
      </c>
      <c r="N782">
        <v>4</v>
      </c>
      <c r="O782">
        <v>24</v>
      </c>
      <c r="Q782" s="3">
        <v>3.8095238095238102</v>
      </c>
      <c r="R782">
        <v>1</v>
      </c>
      <c r="S782">
        <v>0</v>
      </c>
      <c r="U782">
        <v>-13.012732919254701</v>
      </c>
      <c r="V782">
        <v>-2.75</v>
      </c>
      <c r="W782">
        <v>-14.8913043478261</v>
      </c>
      <c r="X782">
        <v>-1.6</v>
      </c>
      <c r="Y782">
        <v>0</v>
      </c>
      <c r="Z782">
        <v>4.8</v>
      </c>
      <c r="AA782">
        <v>1.4285714285714299</v>
      </c>
    </row>
    <row r="783" spans="3:27" x14ac:dyDescent="0.2">
      <c r="C783" t="s">
        <v>17</v>
      </c>
      <c r="D783" t="s">
        <v>415</v>
      </c>
      <c r="E783">
        <v>350</v>
      </c>
      <c r="F783">
        <v>170</v>
      </c>
      <c r="G783">
        <v>18</v>
      </c>
      <c r="H783">
        <v>5</v>
      </c>
      <c r="I783">
        <v>0</v>
      </c>
      <c r="J783">
        <v>25</v>
      </c>
      <c r="K783">
        <v>560</v>
      </c>
      <c r="L783">
        <v>33</v>
      </c>
      <c r="M783">
        <v>4</v>
      </c>
      <c r="N783">
        <v>3</v>
      </c>
      <c r="O783">
        <v>13</v>
      </c>
      <c r="Q783" s="3">
        <v>3.71428571428571</v>
      </c>
      <c r="R783">
        <v>1</v>
      </c>
      <c r="S783">
        <v>0</v>
      </c>
      <c r="U783">
        <v>-4.5083850931676999</v>
      </c>
      <c r="V783">
        <v>-1.25</v>
      </c>
      <c r="W783">
        <v>-6.0869565217391299</v>
      </c>
      <c r="X783">
        <v>-1.2</v>
      </c>
      <c r="Y783">
        <v>0</v>
      </c>
      <c r="Z783">
        <v>2.6</v>
      </c>
      <c r="AA783">
        <v>1.4285714285714299</v>
      </c>
    </row>
    <row r="784" spans="3:27" x14ac:dyDescent="0.2">
      <c r="C784" t="s">
        <v>17</v>
      </c>
      <c r="D784" t="s">
        <v>418</v>
      </c>
      <c r="E784">
        <v>350</v>
      </c>
      <c r="F784">
        <v>80</v>
      </c>
      <c r="G784">
        <v>9</v>
      </c>
      <c r="H784">
        <v>3.5</v>
      </c>
      <c r="I784">
        <v>0</v>
      </c>
      <c r="J784">
        <v>5</v>
      </c>
      <c r="K784">
        <v>1000</v>
      </c>
      <c r="L784">
        <v>54</v>
      </c>
      <c r="M784">
        <v>11</v>
      </c>
      <c r="N784">
        <v>3</v>
      </c>
      <c r="O784">
        <v>13</v>
      </c>
      <c r="Q784" s="3">
        <v>3.71428571428571</v>
      </c>
      <c r="R784">
        <v>1</v>
      </c>
      <c r="S784">
        <v>0</v>
      </c>
      <c r="U784">
        <v>-6.4159937888198799</v>
      </c>
      <c r="V784">
        <v>-0.875</v>
      </c>
      <c r="W784">
        <v>-10.869565217391299</v>
      </c>
      <c r="X784">
        <v>-1.2</v>
      </c>
      <c r="Y784">
        <v>0</v>
      </c>
      <c r="Z784">
        <v>2.6</v>
      </c>
      <c r="AA784">
        <v>3.9285714285714302</v>
      </c>
    </row>
    <row r="785" spans="3:27" x14ac:dyDescent="0.2">
      <c r="C785" t="s">
        <v>17</v>
      </c>
      <c r="D785" t="s">
        <v>419</v>
      </c>
      <c r="E785">
        <v>350</v>
      </c>
      <c r="F785">
        <v>150</v>
      </c>
      <c r="G785">
        <v>16</v>
      </c>
      <c r="H785">
        <v>4.5</v>
      </c>
      <c r="I785">
        <v>0</v>
      </c>
      <c r="J785">
        <v>115</v>
      </c>
      <c r="K785">
        <v>870</v>
      </c>
      <c r="L785">
        <v>36</v>
      </c>
      <c r="M785">
        <v>2</v>
      </c>
      <c r="N785">
        <v>3</v>
      </c>
      <c r="O785">
        <v>13</v>
      </c>
      <c r="Q785" s="3">
        <v>3.71428571428571</v>
      </c>
      <c r="R785">
        <v>1</v>
      </c>
      <c r="S785">
        <v>0</v>
      </c>
      <c r="U785">
        <v>-8.4672360248447198</v>
      </c>
      <c r="V785">
        <v>-1.125</v>
      </c>
      <c r="W785">
        <v>-9.4565217391304301</v>
      </c>
      <c r="X785">
        <v>-1.2</v>
      </c>
      <c r="Y785">
        <v>0</v>
      </c>
      <c r="Z785">
        <v>2.6</v>
      </c>
      <c r="AA785">
        <v>0.71428571428571397</v>
      </c>
    </row>
    <row r="786" spans="3:27" x14ac:dyDescent="0.2">
      <c r="C786" t="s">
        <v>17</v>
      </c>
      <c r="D786" t="s">
        <v>420</v>
      </c>
      <c r="E786">
        <v>570</v>
      </c>
      <c r="F786">
        <v>300</v>
      </c>
      <c r="G786">
        <v>33</v>
      </c>
      <c r="H786">
        <v>10</v>
      </c>
      <c r="I786">
        <v>0</v>
      </c>
      <c r="J786">
        <v>135</v>
      </c>
      <c r="K786">
        <v>1270</v>
      </c>
      <c r="L786">
        <v>49</v>
      </c>
      <c r="M786">
        <v>4</v>
      </c>
      <c r="N786">
        <v>2</v>
      </c>
      <c r="O786">
        <v>21</v>
      </c>
      <c r="Q786" s="3">
        <v>3.6842105263157898</v>
      </c>
      <c r="R786">
        <v>1</v>
      </c>
      <c r="S786">
        <v>0</v>
      </c>
      <c r="U786">
        <v>-11.475776397515499</v>
      </c>
      <c r="V786">
        <v>-2.5</v>
      </c>
      <c r="W786">
        <v>-13.804347826087</v>
      </c>
      <c r="X786">
        <v>-0.8</v>
      </c>
      <c r="Y786">
        <v>0</v>
      </c>
      <c r="Z786">
        <v>4.2</v>
      </c>
      <c r="AA786">
        <v>1.4285714285714299</v>
      </c>
    </row>
    <row r="787" spans="3:27" x14ac:dyDescent="0.2">
      <c r="C787" t="s">
        <v>17</v>
      </c>
      <c r="D787" t="s">
        <v>421</v>
      </c>
      <c r="E787">
        <v>490</v>
      </c>
      <c r="F787">
        <v>160</v>
      </c>
      <c r="G787">
        <v>18</v>
      </c>
      <c r="H787">
        <v>7</v>
      </c>
      <c r="I787">
        <v>0</v>
      </c>
      <c r="J787">
        <v>30</v>
      </c>
      <c r="K787">
        <v>1250</v>
      </c>
      <c r="L787">
        <v>63</v>
      </c>
      <c r="M787">
        <v>9</v>
      </c>
      <c r="N787">
        <v>5</v>
      </c>
      <c r="O787">
        <v>18</v>
      </c>
      <c r="Q787" s="3">
        <v>3.6734693877550999</v>
      </c>
      <c r="R787">
        <v>1</v>
      </c>
      <c r="S787">
        <v>0</v>
      </c>
      <c r="U787">
        <v>-10.5226708074534</v>
      </c>
      <c r="V787">
        <v>-1.75</v>
      </c>
      <c r="W787">
        <v>-13.586956521739101</v>
      </c>
      <c r="X787">
        <v>-2</v>
      </c>
      <c r="Y787">
        <v>0</v>
      </c>
      <c r="Z787">
        <v>3.6</v>
      </c>
      <c r="AA787">
        <v>3.21428571428571</v>
      </c>
    </row>
    <row r="788" spans="3:27" x14ac:dyDescent="0.2">
      <c r="C788" t="s">
        <v>17</v>
      </c>
      <c r="D788" t="s">
        <v>425</v>
      </c>
      <c r="E788">
        <v>660</v>
      </c>
      <c r="F788">
        <v>350</v>
      </c>
      <c r="G788">
        <v>38</v>
      </c>
      <c r="H788">
        <v>12</v>
      </c>
      <c r="I788">
        <v>0</v>
      </c>
      <c r="J788">
        <v>145</v>
      </c>
      <c r="K788">
        <v>1300</v>
      </c>
      <c r="L788">
        <v>51</v>
      </c>
      <c r="M788">
        <v>4</v>
      </c>
      <c r="N788">
        <v>3</v>
      </c>
      <c r="O788">
        <v>24</v>
      </c>
      <c r="Q788" s="3">
        <v>3.6363636363636398</v>
      </c>
      <c r="R788">
        <v>1</v>
      </c>
      <c r="S788">
        <v>0</v>
      </c>
      <c r="U788">
        <v>-12.101863354037301</v>
      </c>
      <c r="V788">
        <v>-3</v>
      </c>
      <c r="W788">
        <v>-14.130434782608701</v>
      </c>
      <c r="X788">
        <v>-1.2</v>
      </c>
      <c r="Y788">
        <v>0</v>
      </c>
      <c r="Z788">
        <v>4.8</v>
      </c>
      <c r="AA788">
        <v>1.4285714285714299</v>
      </c>
    </row>
    <row r="789" spans="3:27" x14ac:dyDescent="0.2">
      <c r="C789" t="s">
        <v>17</v>
      </c>
      <c r="D789" t="s">
        <v>446</v>
      </c>
      <c r="E789">
        <v>650</v>
      </c>
      <c r="F789">
        <v>300</v>
      </c>
      <c r="G789">
        <v>33</v>
      </c>
      <c r="H789">
        <v>12</v>
      </c>
      <c r="I789">
        <v>0.5</v>
      </c>
      <c r="J789">
        <v>55</v>
      </c>
      <c r="K789">
        <v>1390</v>
      </c>
      <c r="L789">
        <v>67</v>
      </c>
      <c r="M789">
        <v>6</v>
      </c>
      <c r="N789">
        <v>5</v>
      </c>
      <c r="O789">
        <v>22</v>
      </c>
      <c r="Q789" s="3">
        <v>3.3846153846153801</v>
      </c>
      <c r="R789">
        <v>1</v>
      </c>
      <c r="S789">
        <v>0</v>
      </c>
      <c r="U789">
        <v>-13.5663385093168</v>
      </c>
      <c r="V789">
        <v>-3</v>
      </c>
      <c r="W789">
        <v>-15.1086956521739</v>
      </c>
      <c r="X789">
        <v>-2</v>
      </c>
      <c r="Y789">
        <v>-5.0000000000000001E-4</v>
      </c>
      <c r="Z789">
        <v>4.4000000000000004</v>
      </c>
      <c r="AA789">
        <v>2.1428571428571401</v>
      </c>
    </row>
    <row r="790" spans="3:27" x14ac:dyDescent="0.2">
      <c r="C790" t="s">
        <v>17</v>
      </c>
      <c r="D790" t="s">
        <v>462</v>
      </c>
      <c r="E790">
        <v>340</v>
      </c>
      <c r="F790">
        <v>160</v>
      </c>
      <c r="G790">
        <v>17</v>
      </c>
      <c r="H790">
        <v>5</v>
      </c>
      <c r="I790">
        <v>0</v>
      </c>
      <c r="J790">
        <v>110</v>
      </c>
      <c r="K790">
        <v>730</v>
      </c>
      <c r="L790">
        <v>36</v>
      </c>
      <c r="M790">
        <v>2</v>
      </c>
      <c r="N790">
        <v>3</v>
      </c>
      <c r="O790">
        <v>11</v>
      </c>
      <c r="Q790" s="3">
        <v>3.2352941176470602</v>
      </c>
      <c r="R790">
        <v>1</v>
      </c>
      <c r="S790">
        <v>0</v>
      </c>
      <c r="U790">
        <v>-7.4704968944099397</v>
      </c>
      <c r="V790">
        <v>-1.25</v>
      </c>
      <c r="W790">
        <v>-7.9347826086956497</v>
      </c>
      <c r="X790">
        <v>-1.2</v>
      </c>
      <c r="Y790">
        <v>0</v>
      </c>
      <c r="Z790">
        <v>2.2000000000000002</v>
      </c>
      <c r="AA790">
        <v>0.71428571428571397</v>
      </c>
    </row>
    <row r="791" spans="3:27" x14ac:dyDescent="0.2">
      <c r="C791" t="s">
        <v>17</v>
      </c>
      <c r="D791" t="s">
        <v>473</v>
      </c>
      <c r="E791">
        <v>570</v>
      </c>
      <c r="F791">
        <v>300</v>
      </c>
      <c r="G791">
        <v>34</v>
      </c>
      <c r="H791">
        <v>10</v>
      </c>
      <c r="I791">
        <v>0</v>
      </c>
      <c r="J791">
        <v>130</v>
      </c>
      <c r="K791">
        <v>1130</v>
      </c>
      <c r="L791">
        <v>49</v>
      </c>
      <c r="M791">
        <v>4</v>
      </c>
      <c r="N791">
        <v>2</v>
      </c>
      <c r="O791">
        <v>18</v>
      </c>
      <c r="Q791" s="3">
        <v>3.1578947368421102</v>
      </c>
      <c r="R791">
        <v>1</v>
      </c>
      <c r="S791">
        <v>0</v>
      </c>
      <c r="U791">
        <v>-10.5540372670807</v>
      </c>
      <c r="V791">
        <v>-2.5</v>
      </c>
      <c r="W791">
        <v>-12.2826086956522</v>
      </c>
      <c r="X791">
        <v>-0.8</v>
      </c>
      <c r="Y791">
        <v>0</v>
      </c>
      <c r="Z791">
        <v>3.6</v>
      </c>
      <c r="AA791">
        <v>1.4285714285714299</v>
      </c>
    </row>
    <row r="792" spans="3:27" x14ac:dyDescent="0.2">
      <c r="C792" t="s">
        <v>17</v>
      </c>
      <c r="D792" t="s">
        <v>475</v>
      </c>
      <c r="E792">
        <v>670</v>
      </c>
      <c r="F792">
        <v>370</v>
      </c>
      <c r="G792">
        <v>41</v>
      </c>
      <c r="H792">
        <v>12</v>
      </c>
      <c r="I792">
        <v>0</v>
      </c>
      <c r="J792">
        <v>140</v>
      </c>
      <c r="K792">
        <v>1270</v>
      </c>
      <c r="L792">
        <v>50</v>
      </c>
      <c r="M792">
        <v>4</v>
      </c>
      <c r="N792">
        <v>3</v>
      </c>
      <c r="O792">
        <v>21</v>
      </c>
      <c r="Q792" s="3">
        <v>3.1343283582089501</v>
      </c>
      <c r="R792">
        <v>1</v>
      </c>
      <c r="S792">
        <v>0</v>
      </c>
      <c r="U792">
        <v>-12.3757763975155</v>
      </c>
      <c r="V792">
        <v>-3</v>
      </c>
      <c r="W792">
        <v>-13.804347826087</v>
      </c>
      <c r="X792">
        <v>-1.2</v>
      </c>
      <c r="Y792">
        <v>0</v>
      </c>
      <c r="Z792">
        <v>4.2</v>
      </c>
      <c r="AA792">
        <v>1.4285714285714299</v>
      </c>
    </row>
    <row r="793" spans="3:27" x14ac:dyDescent="0.2">
      <c r="C793" t="s">
        <v>17</v>
      </c>
      <c r="D793" t="s">
        <v>489</v>
      </c>
      <c r="E793">
        <v>330</v>
      </c>
      <c r="F793">
        <v>140</v>
      </c>
      <c r="G793">
        <v>15</v>
      </c>
      <c r="H793">
        <v>3</v>
      </c>
      <c r="I793">
        <v>0</v>
      </c>
      <c r="J793">
        <v>10</v>
      </c>
      <c r="K793">
        <v>430</v>
      </c>
      <c r="L793">
        <v>39</v>
      </c>
      <c r="M793">
        <v>5</v>
      </c>
      <c r="N793">
        <v>3</v>
      </c>
      <c r="O793">
        <v>10</v>
      </c>
      <c r="Q793" s="3">
        <v>3.0303030303030298</v>
      </c>
      <c r="R793">
        <v>0</v>
      </c>
      <c r="S793">
        <v>0</v>
      </c>
      <c r="U793">
        <v>-2.83819875776397</v>
      </c>
      <c r="V793">
        <v>-0.75</v>
      </c>
      <c r="W793">
        <v>-4.6739130434782599</v>
      </c>
      <c r="X793">
        <v>-1.2</v>
      </c>
      <c r="Y793">
        <v>0</v>
      </c>
      <c r="Z793">
        <v>2</v>
      </c>
      <c r="AA793">
        <v>1.78571428571429</v>
      </c>
    </row>
    <row r="794" spans="3:27" x14ac:dyDescent="0.2">
      <c r="C794" t="s">
        <v>17</v>
      </c>
      <c r="D794" t="s">
        <v>490</v>
      </c>
      <c r="E794">
        <v>530</v>
      </c>
      <c r="F794">
        <v>190</v>
      </c>
      <c r="G794">
        <v>21</v>
      </c>
      <c r="H794">
        <v>6</v>
      </c>
      <c r="I794">
        <v>0</v>
      </c>
      <c r="J794">
        <v>25</v>
      </c>
      <c r="K794">
        <v>1200</v>
      </c>
      <c r="L794">
        <v>71</v>
      </c>
      <c r="M794">
        <v>6</v>
      </c>
      <c r="N794">
        <v>6</v>
      </c>
      <c r="O794">
        <v>16</v>
      </c>
      <c r="Q794" s="3">
        <v>3.0188679245282999</v>
      </c>
      <c r="R794">
        <v>1</v>
      </c>
      <c r="S794">
        <v>0</v>
      </c>
      <c r="U794">
        <v>-11.6006211180124</v>
      </c>
      <c r="V794">
        <v>-1.5</v>
      </c>
      <c r="W794">
        <v>-13.0434782608696</v>
      </c>
      <c r="X794">
        <v>-2.4</v>
      </c>
      <c r="Y794">
        <v>0</v>
      </c>
      <c r="Z794">
        <v>3.2</v>
      </c>
      <c r="AA794">
        <v>2.1428571428571401</v>
      </c>
    </row>
    <row r="795" spans="3:27" x14ac:dyDescent="0.2">
      <c r="C795" t="s">
        <v>17</v>
      </c>
      <c r="D795" t="s">
        <v>494</v>
      </c>
      <c r="E795">
        <v>630</v>
      </c>
      <c r="F795">
        <v>270</v>
      </c>
      <c r="G795">
        <v>29</v>
      </c>
      <c r="H795">
        <v>10</v>
      </c>
      <c r="I795">
        <v>0</v>
      </c>
      <c r="J795">
        <v>35</v>
      </c>
      <c r="K795">
        <v>1260</v>
      </c>
      <c r="L795">
        <v>73</v>
      </c>
      <c r="M795">
        <v>7</v>
      </c>
      <c r="N795">
        <v>5</v>
      </c>
      <c r="O795">
        <v>19</v>
      </c>
      <c r="Q795" s="3">
        <v>3.0158730158730198</v>
      </c>
      <c r="R795">
        <v>1</v>
      </c>
      <c r="S795">
        <v>0</v>
      </c>
      <c r="U795">
        <v>-11.895652173913</v>
      </c>
      <c r="V795">
        <v>-2.5</v>
      </c>
      <c r="W795">
        <v>-13.695652173913</v>
      </c>
      <c r="X795">
        <v>-2</v>
      </c>
      <c r="Y795">
        <v>0</v>
      </c>
      <c r="Z795">
        <v>3.8</v>
      </c>
      <c r="AA795">
        <v>2.5</v>
      </c>
    </row>
    <row r="796" spans="3:27" x14ac:dyDescent="0.2">
      <c r="C796" t="s">
        <v>17</v>
      </c>
      <c r="D796" t="s">
        <v>500</v>
      </c>
      <c r="E796">
        <v>340</v>
      </c>
      <c r="F796">
        <v>130</v>
      </c>
      <c r="G796">
        <v>14</v>
      </c>
      <c r="H796">
        <v>3.5</v>
      </c>
      <c r="I796">
        <v>0</v>
      </c>
      <c r="J796">
        <v>100</v>
      </c>
      <c r="K796">
        <v>750</v>
      </c>
      <c r="L796">
        <v>43</v>
      </c>
      <c r="M796">
        <v>3</v>
      </c>
      <c r="N796">
        <v>3</v>
      </c>
      <c r="O796">
        <v>10</v>
      </c>
      <c r="Q796" s="3">
        <v>2.9411764705882399</v>
      </c>
      <c r="R796">
        <v>1</v>
      </c>
      <c r="S796">
        <v>0</v>
      </c>
      <c r="U796">
        <v>-7.1557453416149102</v>
      </c>
      <c r="V796">
        <v>-0.875</v>
      </c>
      <c r="W796">
        <v>-8.1521739130434803</v>
      </c>
      <c r="X796">
        <v>-1.2</v>
      </c>
      <c r="Y796">
        <v>0</v>
      </c>
      <c r="Z796">
        <v>2</v>
      </c>
      <c r="AA796">
        <v>1.0714285714285701</v>
      </c>
    </row>
    <row r="797" spans="3:27" x14ac:dyDescent="0.2">
      <c r="C797" t="s">
        <v>17</v>
      </c>
      <c r="D797" t="s">
        <v>502</v>
      </c>
      <c r="E797">
        <v>720</v>
      </c>
      <c r="F797">
        <v>430</v>
      </c>
      <c r="G797">
        <v>47</v>
      </c>
      <c r="H797">
        <v>15</v>
      </c>
      <c r="I797">
        <v>0</v>
      </c>
      <c r="J797">
        <v>145</v>
      </c>
      <c r="K797">
        <v>1210</v>
      </c>
      <c r="L797">
        <v>51</v>
      </c>
      <c r="M797">
        <v>4</v>
      </c>
      <c r="N797">
        <v>3</v>
      </c>
      <c r="O797">
        <v>21</v>
      </c>
      <c r="Q797" s="3">
        <v>2.9166666666666701</v>
      </c>
      <c r="R797">
        <v>1</v>
      </c>
      <c r="S797">
        <v>0</v>
      </c>
      <c r="U797">
        <v>-12.473602484472</v>
      </c>
      <c r="V797">
        <v>-3.75</v>
      </c>
      <c r="W797">
        <v>-13.1521739130435</v>
      </c>
      <c r="X797">
        <v>-1.2</v>
      </c>
      <c r="Y797">
        <v>0</v>
      </c>
      <c r="Z797">
        <v>4.2</v>
      </c>
      <c r="AA797">
        <v>1.4285714285714299</v>
      </c>
    </row>
    <row r="798" spans="3:27" x14ac:dyDescent="0.2">
      <c r="C798" t="s">
        <v>17</v>
      </c>
      <c r="D798" t="s">
        <v>519</v>
      </c>
      <c r="E798">
        <v>430</v>
      </c>
      <c r="F798">
        <v>160</v>
      </c>
      <c r="G798">
        <v>17</v>
      </c>
      <c r="H798">
        <v>5</v>
      </c>
      <c r="I798">
        <v>0</v>
      </c>
      <c r="J798">
        <v>20</v>
      </c>
      <c r="K798">
        <v>810</v>
      </c>
      <c r="L798">
        <v>57</v>
      </c>
      <c r="M798">
        <v>10</v>
      </c>
      <c r="N798">
        <v>2</v>
      </c>
      <c r="O798">
        <v>12</v>
      </c>
      <c r="Q798" s="3">
        <v>2.7906976744185998</v>
      </c>
      <c r="R798">
        <v>1</v>
      </c>
      <c r="S798">
        <v>0</v>
      </c>
      <c r="U798">
        <v>-4.8829192546583897</v>
      </c>
      <c r="V798">
        <v>-1.25</v>
      </c>
      <c r="W798">
        <v>-8.8043478260869605</v>
      </c>
      <c r="X798">
        <v>-0.8</v>
      </c>
      <c r="Y798">
        <v>0</v>
      </c>
      <c r="Z798">
        <v>2.4</v>
      </c>
      <c r="AA798">
        <v>3.5714285714285698</v>
      </c>
    </row>
    <row r="799" spans="3:27" x14ac:dyDescent="0.2">
      <c r="C799" t="s">
        <v>17</v>
      </c>
      <c r="D799" t="s">
        <v>520</v>
      </c>
      <c r="E799">
        <v>430</v>
      </c>
      <c r="F799">
        <v>170</v>
      </c>
      <c r="G799">
        <v>19</v>
      </c>
      <c r="H799">
        <v>5</v>
      </c>
      <c r="I799">
        <v>0</v>
      </c>
      <c r="J799">
        <v>20</v>
      </c>
      <c r="K799">
        <v>970</v>
      </c>
      <c r="L799">
        <v>51</v>
      </c>
      <c r="M799">
        <v>4</v>
      </c>
      <c r="N799">
        <v>3</v>
      </c>
      <c r="O799">
        <v>12</v>
      </c>
      <c r="Q799" s="3">
        <v>2.7906976744185998</v>
      </c>
      <c r="R799">
        <v>1</v>
      </c>
      <c r="S799">
        <v>0</v>
      </c>
      <c r="U799">
        <v>-9.16490683229814</v>
      </c>
      <c r="V799">
        <v>-1.25</v>
      </c>
      <c r="W799">
        <v>-10.5434782608696</v>
      </c>
      <c r="X799">
        <v>-1.2</v>
      </c>
      <c r="Y799">
        <v>0</v>
      </c>
      <c r="Z799">
        <v>2.4</v>
      </c>
      <c r="AA799">
        <v>1.4285714285714299</v>
      </c>
    </row>
    <row r="800" spans="3:27" x14ac:dyDescent="0.2">
      <c r="C800" t="s">
        <v>17</v>
      </c>
      <c r="D800" t="s">
        <v>522</v>
      </c>
      <c r="E800">
        <v>430</v>
      </c>
      <c r="F800">
        <v>160</v>
      </c>
      <c r="G800">
        <v>17</v>
      </c>
      <c r="H800">
        <v>5</v>
      </c>
      <c r="I800">
        <v>0</v>
      </c>
      <c r="J800">
        <v>20</v>
      </c>
      <c r="K800">
        <v>810</v>
      </c>
      <c r="L800">
        <v>57</v>
      </c>
      <c r="M800">
        <v>10</v>
      </c>
      <c r="N800">
        <v>2</v>
      </c>
      <c r="O800">
        <v>12</v>
      </c>
      <c r="Q800" s="3">
        <v>2.7906976744185998</v>
      </c>
      <c r="R800">
        <v>1</v>
      </c>
      <c r="S800">
        <v>0</v>
      </c>
      <c r="U800">
        <v>-4.8829192546583897</v>
      </c>
      <c r="V800">
        <v>-1.25</v>
      </c>
      <c r="W800">
        <v>-8.8043478260869605</v>
      </c>
      <c r="X800">
        <v>-0.8</v>
      </c>
      <c r="Y800">
        <v>0</v>
      </c>
      <c r="Z800">
        <v>2.4</v>
      </c>
      <c r="AA800">
        <v>3.5714285714285698</v>
      </c>
    </row>
    <row r="801" spans="3:27" x14ac:dyDescent="0.2">
      <c r="C801" t="s">
        <v>17</v>
      </c>
      <c r="D801" t="s">
        <v>539</v>
      </c>
      <c r="E801">
        <v>720</v>
      </c>
      <c r="F801">
        <v>320</v>
      </c>
      <c r="G801">
        <v>36</v>
      </c>
      <c r="H801">
        <v>6</v>
      </c>
      <c r="I801">
        <v>0</v>
      </c>
      <c r="J801">
        <v>30</v>
      </c>
      <c r="K801">
        <v>1030</v>
      </c>
      <c r="L801">
        <v>81</v>
      </c>
      <c r="M801">
        <v>14</v>
      </c>
      <c r="N801">
        <v>5</v>
      </c>
      <c r="O801">
        <v>19</v>
      </c>
      <c r="Q801" s="3">
        <v>2.6388888888888902</v>
      </c>
      <c r="R801">
        <v>1</v>
      </c>
      <c r="S801">
        <v>0</v>
      </c>
      <c r="U801">
        <v>-5.8956521739130396</v>
      </c>
      <c r="V801">
        <v>-1.5</v>
      </c>
      <c r="W801">
        <v>-11.195652173913</v>
      </c>
      <c r="X801">
        <v>-2</v>
      </c>
      <c r="Y801">
        <v>0</v>
      </c>
      <c r="Z801">
        <v>3.8</v>
      </c>
      <c r="AA801">
        <v>5</v>
      </c>
    </row>
    <row r="802" spans="3:27" x14ac:dyDescent="0.2">
      <c r="C802" t="s">
        <v>17</v>
      </c>
      <c r="D802" t="s">
        <v>556</v>
      </c>
      <c r="E802">
        <v>510</v>
      </c>
      <c r="F802">
        <v>160</v>
      </c>
      <c r="G802">
        <v>17</v>
      </c>
      <c r="H802">
        <v>4.5</v>
      </c>
      <c r="I802">
        <v>0</v>
      </c>
      <c r="J802">
        <v>5</v>
      </c>
      <c r="K802">
        <v>1080</v>
      </c>
      <c r="L802">
        <v>77</v>
      </c>
      <c r="M802">
        <v>8</v>
      </c>
      <c r="N802">
        <v>6</v>
      </c>
      <c r="O802">
        <v>13</v>
      </c>
      <c r="Q802" s="3">
        <v>2.5490196078431402</v>
      </c>
      <c r="R802">
        <v>1</v>
      </c>
      <c r="S802">
        <v>0</v>
      </c>
      <c r="U802">
        <v>-9.8069875776397506</v>
      </c>
      <c r="V802">
        <v>-1.125</v>
      </c>
      <c r="W802">
        <v>-11.7391304347826</v>
      </c>
      <c r="X802">
        <v>-2.4</v>
      </c>
      <c r="Y802">
        <v>0</v>
      </c>
      <c r="Z802">
        <v>2.6</v>
      </c>
      <c r="AA802">
        <v>2.8571428571428599</v>
      </c>
    </row>
    <row r="803" spans="3:27" x14ac:dyDescent="0.2">
      <c r="C803" t="s">
        <v>17</v>
      </c>
      <c r="D803" t="s">
        <v>573</v>
      </c>
      <c r="E803">
        <v>420</v>
      </c>
      <c r="F803">
        <v>140</v>
      </c>
      <c r="G803">
        <v>16</v>
      </c>
      <c r="H803">
        <v>4</v>
      </c>
      <c r="I803">
        <v>0</v>
      </c>
      <c r="J803">
        <v>0</v>
      </c>
      <c r="K803">
        <v>880</v>
      </c>
      <c r="L803">
        <v>56</v>
      </c>
      <c r="M803">
        <v>7</v>
      </c>
      <c r="N803">
        <v>3</v>
      </c>
      <c r="O803">
        <v>10</v>
      </c>
      <c r="Q803" s="3">
        <v>2.38095238095238</v>
      </c>
      <c r="R803">
        <v>1</v>
      </c>
      <c r="S803">
        <v>0</v>
      </c>
      <c r="U803">
        <v>-7.2652173913043496</v>
      </c>
      <c r="V803">
        <v>-1</v>
      </c>
      <c r="W803">
        <v>-9.5652173913043494</v>
      </c>
      <c r="X803">
        <v>-1.2</v>
      </c>
      <c r="Y803">
        <v>0</v>
      </c>
      <c r="Z803">
        <v>2</v>
      </c>
      <c r="AA803">
        <v>2.5</v>
      </c>
    </row>
    <row r="804" spans="3:27" x14ac:dyDescent="0.2">
      <c r="C804" t="s">
        <v>17</v>
      </c>
      <c r="D804" t="s">
        <v>579</v>
      </c>
      <c r="E804">
        <v>170</v>
      </c>
      <c r="F804">
        <v>30</v>
      </c>
      <c r="G804">
        <v>3.5</v>
      </c>
      <c r="H804">
        <v>0</v>
      </c>
      <c r="I804">
        <v>0</v>
      </c>
      <c r="J804">
        <v>0</v>
      </c>
      <c r="K804">
        <v>320</v>
      </c>
      <c r="L804">
        <v>31</v>
      </c>
      <c r="M804">
        <v>4</v>
      </c>
      <c r="N804">
        <v>0</v>
      </c>
      <c r="O804">
        <v>4</v>
      </c>
      <c r="Q804" s="3">
        <v>2.3529411764705901</v>
      </c>
      <c r="R804">
        <v>0</v>
      </c>
      <c r="S804">
        <v>0</v>
      </c>
      <c r="U804">
        <v>-1.24968944099379</v>
      </c>
      <c r="V804">
        <v>0</v>
      </c>
      <c r="W804">
        <v>-3.47826086956522</v>
      </c>
      <c r="X804">
        <v>0</v>
      </c>
      <c r="Y804">
        <v>0</v>
      </c>
      <c r="Z804">
        <v>0.8</v>
      </c>
      <c r="AA804">
        <v>1.4285714285714299</v>
      </c>
    </row>
    <row r="805" spans="3:27" x14ac:dyDescent="0.2">
      <c r="C805" t="s">
        <v>17</v>
      </c>
      <c r="D805" t="s">
        <v>608</v>
      </c>
      <c r="E805">
        <v>740</v>
      </c>
      <c r="F805">
        <v>340</v>
      </c>
      <c r="G805">
        <v>38</v>
      </c>
      <c r="H805">
        <v>7</v>
      </c>
      <c r="I805">
        <v>0</v>
      </c>
      <c r="J805">
        <v>25</v>
      </c>
      <c r="K805">
        <v>1050</v>
      </c>
      <c r="L805">
        <v>82</v>
      </c>
      <c r="M805">
        <v>15</v>
      </c>
      <c r="N805">
        <v>5</v>
      </c>
      <c r="O805">
        <v>16</v>
      </c>
      <c r="Q805" s="3">
        <v>2.1621621621621601</v>
      </c>
      <c r="R805">
        <v>1</v>
      </c>
      <c r="S805">
        <v>0</v>
      </c>
      <c r="U805">
        <v>-6.6059006211180096</v>
      </c>
      <c r="V805">
        <v>-1.75</v>
      </c>
      <c r="W805">
        <v>-11.413043478260899</v>
      </c>
      <c r="X805">
        <v>-2</v>
      </c>
      <c r="Y805">
        <v>0</v>
      </c>
      <c r="Z805">
        <v>3.2</v>
      </c>
      <c r="AA805">
        <v>5.3571428571428603</v>
      </c>
    </row>
    <row r="806" spans="3:27" x14ac:dyDescent="0.2">
      <c r="C806" t="s">
        <v>17</v>
      </c>
      <c r="D806" t="s">
        <v>640</v>
      </c>
      <c r="E806">
        <v>710</v>
      </c>
      <c r="F806">
        <v>360</v>
      </c>
      <c r="G806">
        <v>40</v>
      </c>
      <c r="H806">
        <v>6</v>
      </c>
      <c r="I806">
        <v>0</v>
      </c>
      <c r="J806">
        <v>30</v>
      </c>
      <c r="K806">
        <v>1440</v>
      </c>
      <c r="L806">
        <v>73</v>
      </c>
      <c r="M806">
        <v>10</v>
      </c>
      <c r="N806">
        <v>4</v>
      </c>
      <c r="O806">
        <v>13</v>
      </c>
      <c r="Q806" s="3">
        <v>1.83098591549296</v>
      </c>
      <c r="R806">
        <v>1</v>
      </c>
      <c r="S806">
        <v>0</v>
      </c>
      <c r="U806">
        <v>-12.5807453416149</v>
      </c>
      <c r="V806">
        <v>-1.5</v>
      </c>
      <c r="W806">
        <v>-15.6521739130435</v>
      </c>
      <c r="X806">
        <v>-1.6</v>
      </c>
      <c r="Y806">
        <v>0</v>
      </c>
      <c r="Z806">
        <v>2.6</v>
      </c>
      <c r="AA806">
        <v>3.5714285714285698</v>
      </c>
    </row>
    <row r="807" spans="3:27" x14ac:dyDescent="0.2">
      <c r="C807" t="s">
        <v>17</v>
      </c>
      <c r="D807" t="s">
        <v>667</v>
      </c>
      <c r="E807">
        <v>140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20</v>
      </c>
      <c r="L807">
        <v>33</v>
      </c>
      <c r="M807">
        <v>0</v>
      </c>
      <c r="N807">
        <v>28</v>
      </c>
      <c r="O807">
        <v>2</v>
      </c>
      <c r="Q807" s="3">
        <v>1.4285714285714299</v>
      </c>
      <c r="R807">
        <v>0</v>
      </c>
      <c r="S807">
        <v>0</v>
      </c>
      <c r="U807">
        <v>-11.0173913043478</v>
      </c>
      <c r="V807">
        <v>0</v>
      </c>
      <c r="W807">
        <v>-0.217391304347826</v>
      </c>
      <c r="X807">
        <v>-11.2</v>
      </c>
      <c r="Y807">
        <v>0</v>
      </c>
      <c r="Z807">
        <v>0.4</v>
      </c>
      <c r="AA807">
        <v>0</v>
      </c>
    </row>
    <row r="808" spans="3:27" x14ac:dyDescent="0.2">
      <c r="C808" t="s">
        <v>17</v>
      </c>
      <c r="D808" t="s">
        <v>689</v>
      </c>
      <c r="E808">
        <v>320</v>
      </c>
      <c r="F808">
        <v>160</v>
      </c>
      <c r="G808">
        <v>18</v>
      </c>
      <c r="H808">
        <v>1.5</v>
      </c>
      <c r="I808">
        <v>0</v>
      </c>
      <c r="J808">
        <v>0</v>
      </c>
      <c r="K808">
        <v>630</v>
      </c>
      <c r="L808">
        <v>35</v>
      </c>
      <c r="M808">
        <v>4</v>
      </c>
      <c r="N808">
        <v>2</v>
      </c>
      <c r="O808">
        <v>4</v>
      </c>
      <c r="Q808" s="3">
        <v>1.25</v>
      </c>
      <c r="R808">
        <v>1</v>
      </c>
      <c r="S808">
        <v>0</v>
      </c>
      <c r="U808">
        <v>-5.79425465838509</v>
      </c>
      <c r="V808">
        <v>-0.375</v>
      </c>
      <c r="W808">
        <v>-6.8478260869565197</v>
      </c>
      <c r="X808">
        <v>-0.8</v>
      </c>
      <c r="Y808">
        <v>0</v>
      </c>
      <c r="Z808">
        <v>0.8</v>
      </c>
      <c r="AA808">
        <v>1.4285714285714299</v>
      </c>
    </row>
    <row r="809" spans="3:27" x14ac:dyDescent="0.2">
      <c r="C809" t="s">
        <v>17</v>
      </c>
      <c r="D809" t="s">
        <v>691</v>
      </c>
      <c r="E809">
        <v>160</v>
      </c>
      <c r="F809">
        <v>80</v>
      </c>
      <c r="G809">
        <v>9</v>
      </c>
      <c r="H809">
        <v>2</v>
      </c>
      <c r="I809">
        <v>0</v>
      </c>
      <c r="J809">
        <v>5</v>
      </c>
      <c r="K809">
        <v>80</v>
      </c>
      <c r="L809">
        <v>17</v>
      </c>
      <c r="M809">
        <v>0</v>
      </c>
      <c r="N809">
        <v>10</v>
      </c>
      <c r="O809">
        <v>2</v>
      </c>
      <c r="Q809" s="3">
        <v>1.25</v>
      </c>
      <c r="R809">
        <v>0</v>
      </c>
      <c r="S809">
        <v>0</v>
      </c>
      <c r="U809">
        <v>-4.9695652173912999</v>
      </c>
      <c r="V809">
        <v>-0.5</v>
      </c>
      <c r="W809">
        <v>-0.86956521739130399</v>
      </c>
      <c r="X809">
        <v>-4</v>
      </c>
      <c r="Y809">
        <v>0</v>
      </c>
      <c r="Z809">
        <v>0.4</v>
      </c>
      <c r="AA809">
        <v>0</v>
      </c>
    </row>
    <row r="810" spans="3:27" x14ac:dyDescent="0.2">
      <c r="C810" t="s">
        <v>17</v>
      </c>
      <c r="D810" t="s">
        <v>719</v>
      </c>
      <c r="E810">
        <v>930</v>
      </c>
      <c r="F810">
        <v>480</v>
      </c>
      <c r="G810">
        <v>53</v>
      </c>
      <c r="H810">
        <v>13</v>
      </c>
      <c r="I810">
        <v>2</v>
      </c>
      <c r="J810">
        <v>40</v>
      </c>
      <c r="K810">
        <v>480</v>
      </c>
      <c r="L810">
        <v>104</v>
      </c>
      <c r="M810">
        <v>3</v>
      </c>
      <c r="N810">
        <v>59</v>
      </c>
      <c r="O810">
        <v>9</v>
      </c>
      <c r="Q810" s="3">
        <v>0.967741935483871</v>
      </c>
      <c r="R810">
        <v>1</v>
      </c>
      <c r="S810">
        <v>0</v>
      </c>
      <c r="U810">
        <v>-29.197962732919301</v>
      </c>
      <c r="V810">
        <v>-3.25</v>
      </c>
      <c r="W810">
        <v>-5.2173913043478297</v>
      </c>
      <c r="X810">
        <v>-23.6</v>
      </c>
      <c r="Y810">
        <v>-2E-3</v>
      </c>
      <c r="Z810">
        <v>1.8</v>
      </c>
      <c r="AA810">
        <v>1.0714285714285701</v>
      </c>
    </row>
    <row r="811" spans="3:27" x14ac:dyDescent="0.2">
      <c r="C811" t="s">
        <v>17</v>
      </c>
      <c r="D811" t="s">
        <v>731</v>
      </c>
      <c r="E811">
        <v>220</v>
      </c>
      <c r="F811">
        <v>120</v>
      </c>
      <c r="G811">
        <v>13</v>
      </c>
      <c r="H811">
        <v>1.5</v>
      </c>
      <c r="I811">
        <v>0</v>
      </c>
      <c r="J811">
        <v>0</v>
      </c>
      <c r="K811">
        <v>250</v>
      </c>
      <c r="L811">
        <v>24</v>
      </c>
      <c r="M811">
        <v>2</v>
      </c>
      <c r="N811">
        <v>2</v>
      </c>
      <c r="O811">
        <v>2</v>
      </c>
      <c r="Q811" s="3">
        <v>0.90909090909090895</v>
      </c>
      <c r="R811">
        <v>0</v>
      </c>
      <c r="S811">
        <v>0</v>
      </c>
      <c r="U811">
        <v>-2.7781055900621099</v>
      </c>
      <c r="V811">
        <v>-0.375</v>
      </c>
      <c r="W811">
        <v>-2.7173913043478302</v>
      </c>
      <c r="X811">
        <v>-0.8</v>
      </c>
      <c r="Y811">
        <v>0</v>
      </c>
      <c r="Z811">
        <v>0.4</v>
      </c>
      <c r="AA811">
        <v>0.71428571428571397</v>
      </c>
    </row>
    <row r="812" spans="3:27" x14ac:dyDescent="0.2">
      <c r="C812" t="s">
        <v>17</v>
      </c>
      <c r="D812" t="s">
        <v>753</v>
      </c>
      <c r="E812">
        <v>160</v>
      </c>
      <c r="F812">
        <v>100</v>
      </c>
      <c r="G812">
        <v>12</v>
      </c>
      <c r="H812">
        <v>1</v>
      </c>
      <c r="I812">
        <v>0</v>
      </c>
      <c r="J812">
        <v>0</v>
      </c>
      <c r="K812">
        <v>270</v>
      </c>
      <c r="L812">
        <v>13</v>
      </c>
      <c r="M812">
        <v>2</v>
      </c>
      <c r="N812">
        <v>0</v>
      </c>
      <c r="O812">
        <v>1</v>
      </c>
      <c r="Q812" s="3">
        <v>0.625</v>
      </c>
      <c r="R812">
        <v>0</v>
      </c>
      <c r="S812">
        <v>0</v>
      </c>
      <c r="U812">
        <v>-2.27049689440994</v>
      </c>
      <c r="V812">
        <v>-0.25</v>
      </c>
      <c r="W812">
        <v>-2.9347826086956501</v>
      </c>
      <c r="X812">
        <v>0</v>
      </c>
      <c r="Y812">
        <v>0</v>
      </c>
      <c r="Z812">
        <v>0.2</v>
      </c>
      <c r="AA812">
        <v>0.71428571428571397</v>
      </c>
    </row>
    <row r="813" spans="3:27" x14ac:dyDescent="0.2">
      <c r="C813" t="s">
        <v>17</v>
      </c>
      <c r="D813" t="s">
        <v>760</v>
      </c>
      <c r="E813">
        <v>160</v>
      </c>
      <c r="F813">
        <v>100</v>
      </c>
      <c r="G813">
        <v>12</v>
      </c>
      <c r="H813">
        <v>1</v>
      </c>
      <c r="I813">
        <v>0</v>
      </c>
      <c r="J813">
        <v>0</v>
      </c>
      <c r="K813">
        <v>270</v>
      </c>
      <c r="L813">
        <v>13</v>
      </c>
      <c r="M813">
        <v>2</v>
      </c>
      <c r="N813">
        <v>0</v>
      </c>
      <c r="O813">
        <v>1</v>
      </c>
      <c r="Q813" s="3">
        <v>0.625</v>
      </c>
      <c r="R813">
        <v>0</v>
      </c>
      <c r="S813">
        <v>0</v>
      </c>
      <c r="U813">
        <v>-2.27049689440994</v>
      </c>
      <c r="V813">
        <v>-0.25</v>
      </c>
      <c r="W813">
        <v>-2.9347826086956501</v>
      </c>
      <c r="X813">
        <v>0</v>
      </c>
      <c r="Y813">
        <v>0</v>
      </c>
      <c r="Z813">
        <v>0.2</v>
      </c>
      <c r="AA813">
        <v>0.71428571428571397</v>
      </c>
    </row>
    <row r="814" spans="3:27" x14ac:dyDescent="0.2">
      <c r="C814" t="s">
        <v>17</v>
      </c>
      <c r="D814" t="s">
        <v>766</v>
      </c>
      <c r="E814">
        <v>170</v>
      </c>
      <c r="F814">
        <v>50</v>
      </c>
      <c r="G814">
        <v>6</v>
      </c>
      <c r="H814">
        <v>0</v>
      </c>
      <c r="I814">
        <v>0</v>
      </c>
      <c r="J814">
        <v>0</v>
      </c>
      <c r="K814">
        <v>210</v>
      </c>
      <c r="L814">
        <v>27</v>
      </c>
      <c r="M814">
        <v>0</v>
      </c>
      <c r="N814">
        <v>13</v>
      </c>
      <c r="O814">
        <v>1</v>
      </c>
      <c r="Q814" s="3">
        <v>0.58823529411764697</v>
      </c>
      <c r="R814">
        <v>0</v>
      </c>
      <c r="S814">
        <v>0</v>
      </c>
      <c r="U814">
        <v>-7.2826086956521703</v>
      </c>
      <c r="V814">
        <v>0</v>
      </c>
      <c r="W814">
        <v>-2.2826086956521698</v>
      </c>
      <c r="X814">
        <v>-5.2</v>
      </c>
      <c r="Y814">
        <v>0</v>
      </c>
      <c r="Z814">
        <v>0.2</v>
      </c>
      <c r="AA814">
        <v>0</v>
      </c>
    </row>
    <row r="815" spans="3:27" x14ac:dyDescent="0.2">
      <c r="C815" t="s">
        <v>17</v>
      </c>
      <c r="D815" t="s">
        <v>1064</v>
      </c>
      <c r="E815">
        <v>120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35</v>
      </c>
      <c r="L815">
        <v>30</v>
      </c>
      <c r="M815">
        <v>0</v>
      </c>
      <c r="N815">
        <v>30</v>
      </c>
      <c r="O815">
        <v>0</v>
      </c>
      <c r="Q815" s="3">
        <v>0</v>
      </c>
      <c r="R815">
        <v>0</v>
      </c>
      <c r="S815">
        <v>0</v>
      </c>
      <c r="U815">
        <v>-12.380434782608701</v>
      </c>
      <c r="V815">
        <v>0</v>
      </c>
      <c r="W815">
        <v>-0.38043478260869601</v>
      </c>
      <c r="X815">
        <v>-12</v>
      </c>
      <c r="Y815">
        <v>0</v>
      </c>
      <c r="Z815">
        <v>0</v>
      </c>
      <c r="AA815">
        <v>0</v>
      </c>
    </row>
    <row r="816" spans="3:27" x14ac:dyDescent="0.2">
      <c r="C816" t="s">
        <v>17</v>
      </c>
      <c r="D816" t="s">
        <v>1065</v>
      </c>
      <c r="E816">
        <v>150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40</v>
      </c>
      <c r="L816">
        <v>38</v>
      </c>
      <c r="M816">
        <v>0</v>
      </c>
      <c r="N816">
        <v>38</v>
      </c>
      <c r="O816">
        <v>0</v>
      </c>
      <c r="Q816" s="3">
        <v>0</v>
      </c>
      <c r="R816">
        <v>0</v>
      </c>
      <c r="S816">
        <v>0</v>
      </c>
      <c r="U816">
        <v>-15.6347826086957</v>
      </c>
      <c r="V816">
        <v>0</v>
      </c>
      <c r="W816">
        <v>-0.434782608695652</v>
      </c>
      <c r="X816">
        <v>-15.2</v>
      </c>
      <c r="Y816">
        <v>0</v>
      </c>
      <c r="Z816">
        <v>0</v>
      </c>
      <c r="AA816">
        <v>0</v>
      </c>
    </row>
    <row r="817" spans="3:27" x14ac:dyDescent="0.2">
      <c r="C817" t="s">
        <v>17</v>
      </c>
      <c r="D817" t="s">
        <v>1066</v>
      </c>
      <c r="E817">
        <v>140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35</v>
      </c>
      <c r="L817">
        <v>35</v>
      </c>
      <c r="M817">
        <v>0</v>
      </c>
      <c r="N817">
        <v>34</v>
      </c>
      <c r="O817">
        <v>0</v>
      </c>
      <c r="Q817" s="3">
        <v>0</v>
      </c>
      <c r="R817">
        <v>0</v>
      </c>
      <c r="S817">
        <v>0</v>
      </c>
      <c r="U817">
        <v>-13.9804347826087</v>
      </c>
      <c r="V817">
        <v>0</v>
      </c>
      <c r="W817">
        <v>-0.38043478260869601</v>
      </c>
      <c r="X817">
        <v>-13.6</v>
      </c>
      <c r="Y817">
        <v>0</v>
      </c>
      <c r="Z817">
        <v>0</v>
      </c>
      <c r="AA817">
        <v>0</v>
      </c>
    </row>
    <row r="818" spans="3:27" x14ac:dyDescent="0.2">
      <c r="C818" t="s">
        <v>17</v>
      </c>
      <c r="D818" t="s">
        <v>1067</v>
      </c>
      <c r="E818">
        <v>170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40</v>
      </c>
      <c r="L818">
        <v>43</v>
      </c>
      <c r="M818">
        <v>0</v>
      </c>
      <c r="N818">
        <v>42</v>
      </c>
      <c r="O818">
        <v>0</v>
      </c>
      <c r="Q818" s="3">
        <v>0</v>
      </c>
      <c r="R818">
        <v>0</v>
      </c>
      <c r="S818">
        <v>0</v>
      </c>
      <c r="U818">
        <v>-17.234782608695699</v>
      </c>
      <c r="V818">
        <v>0</v>
      </c>
      <c r="W818">
        <v>-0.434782608695652</v>
      </c>
      <c r="X818">
        <v>-16.8</v>
      </c>
      <c r="Y818">
        <v>0</v>
      </c>
      <c r="Z818">
        <v>0</v>
      </c>
      <c r="AA818">
        <v>0</v>
      </c>
    </row>
    <row r="819" spans="3:27" x14ac:dyDescent="0.2">
      <c r="C819" t="s">
        <v>17</v>
      </c>
      <c r="D819" t="s">
        <v>1072</v>
      </c>
      <c r="E819">
        <v>120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35</v>
      </c>
      <c r="L819">
        <v>30</v>
      </c>
      <c r="M819">
        <v>0</v>
      </c>
      <c r="N819">
        <v>30</v>
      </c>
      <c r="O819">
        <v>0</v>
      </c>
      <c r="Q819" s="3">
        <v>0</v>
      </c>
      <c r="R819">
        <v>0</v>
      </c>
      <c r="S819">
        <v>0</v>
      </c>
      <c r="U819">
        <v>-12.380434782608701</v>
      </c>
      <c r="V819">
        <v>0</v>
      </c>
      <c r="W819">
        <v>-0.38043478260869601</v>
      </c>
      <c r="X819">
        <v>-12</v>
      </c>
      <c r="Y819">
        <v>0</v>
      </c>
      <c r="Z819">
        <v>0</v>
      </c>
      <c r="AA819">
        <v>0</v>
      </c>
    </row>
    <row r="820" spans="3:27" x14ac:dyDescent="0.2">
      <c r="C820" t="s">
        <v>17</v>
      </c>
      <c r="D820" t="s">
        <v>1073</v>
      </c>
      <c r="E820">
        <v>150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40</v>
      </c>
      <c r="L820">
        <v>38</v>
      </c>
      <c r="M820">
        <v>0</v>
      </c>
      <c r="N820">
        <v>38</v>
      </c>
      <c r="O820">
        <v>0</v>
      </c>
      <c r="Q820" s="3">
        <v>0</v>
      </c>
      <c r="R820">
        <v>0</v>
      </c>
      <c r="S820">
        <v>0</v>
      </c>
      <c r="U820">
        <v>-15.6347826086957</v>
      </c>
      <c r="V820">
        <v>0</v>
      </c>
      <c r="W820">
        <v>-0.434782608695652</v>
      </c>
      <c r="X820">
        <v>-15.2</v>
      </c>
      <c r="Y820">
        <v>0</v>
      </c>
      <c r="Z820">
        <v>0</v>
      </c>
      <c r="AA820">
        <v>0</v>
      </c>
    </row>
    <row r="821" spans="3:27" x14ac:dyDescent="0.2">
      <c r="C821" t="s">
        <v>17</v>
      </c>
      <c r="D821" t="s">
        <v>1074</v>
      </c>
      <c r="E821">
        <v>190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50</v>
      </c>
      <c r="L821">
        <v>49</v>
      </c>
      <c r="M821">
        <v>0</v>
      </c>
      <c r="N821">
        <v>47</v>
      </c>
      <c r="O821">
        <v>0</v>
      </c>
      <c r="Q821" s="3">
        <v>0</v>
      </c>
      <c r="R821">
        <v>0</v>
      </c>
      <c r="S821">
        <v>0</v>
      </c>
      <c r="U821">
        <v>-19.343478260869599</v>
      </c>
      <c r="V821">
        <v>0</v>
      </c>
      <c r="W821">
        <v>-0.54347826086956497</v>
      </c>
      <c r="X821">
        <v>-18.8</v>
      </c>
      <c r="Y821">
        <v>0</v>
      </c>
      <c r="Z821">
        <v>0</v>
      </c>
      <c r="AA821">
        <v>0</v>
      </c>
    </row>
    <row r="822" spans="3:27" x14ac:dyDescent="0.2">
      <c r="C822" t="s">
        <v>17</v>
      </c>
      <c r="D822" t="s">
        <v>1075</v>
      </c>
      <c r="E822">
        <v>230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60</v>
      </c>
      <c r="L822">
        <v>59</v>
      </c>
      <c r="M822">
        <v>0</v>
      </c>
      <c r="N822">
        <v>57</v>
      </c>
      <c r="O822">
        <v>0</v>
      </c>
      <c r="Q822" s="3">
        <v>0</v>
      </c>
      <c r="R822">
        <v>0</v>
      </c>
      <c r="S822">
        <v>0</v>
      </c>
      <c r="U822">
        <v>-23.452173913043499</v>
      </c>
      <c r="V822">
        <v>0</v>
      </c>
      <c r="W822">
        <v>-0.65217391304347805</v>
      </c>
      <c r="X822">
        <v>-22.8</v>
      </c>
      <c r="Y822">
        <v>0</v>
      </c>
      <c r="Z822">
        <v>0</v>
      </c>
      <c r="AA822">
        <v>0</v>
      </c>
    </row>
    <row r="823" spans="3:27" x14ac:dyDescent="0.2">
      <c r="C823" t="s">
        <v>17</v>
      </c>
      <c r="D823" t="s">
        <v>1076</v>
      </c>
      <c r="E823">
        <v>140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35</v>
      </c>
      <c r="L823">
        <v>35</v>
      </c>
      <c r="M823">
        <v>0</v>
      </c>
      <c r="N823">
        <v>34</v>
      </c>
      <c r="O823">
        <v>0</v>
      </c>
      <c r="Q823" s="3">
        <v>0</v>
      </c>
      <c r="R823">
        <v>0</v>
      </c>
      <c r="S823">
        <v>0</v>
      </c>
      <c r="U823">
        <v>-13.9804347826087</v>
      </c>
      <c r="V823">
        <v>0</v>
      </c>
      <c r="W823">
        <v>-0.38043478260869601</v>
      </c>
      <c r="X823">
        <v>-13.6</v>
      </c>
      <c r="Y823">
        <v>0</v>
      </c>
      <c r="Z823">
        <v>0</v>
      </c>
      <c r="AA823">
        <v>0</v>
      </c>
    </row>
    <row r="824" spans="3:27" x14ac:dyDescent="0.2">
      <c r="C824" t="s">
        <v>17</v>
      </c>
      <c r="D824" t="s">
        <v>1077</v>
      </c>
      <c r="E824">
        <v>170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40</v>
      </c>
      <c r="L824">
        <v>43</v>
      </c>
      <c r="M824">
        <v>0</v>
      </c>
      <c r="N824">
        <v>42</v>
      </c>
      <c r="O824">
        <v>0</v>
      </c>
      <c r="Q824" s="3">
        <v>0</v>
      </c>
      <c r="R824">
        <v>0</v>
      </c>
      <c r="S824">
        <v>0</v>
      </c>
      <c r="U824">
        <v>-17.234782608695699</v>
      </c>
      <c r="V824">
        <v>0</v>
      </c>
      <c r="W824">
        <v>-0.434782608695652</v>
      </c>
      <c r="X824">
        <v>-16.8</v>
      </c>
      <c r="Y824">
        <v>0</v>
      </c>
      <c r="Z824">
        <v>0</v>
      </c>
      <c r="AA824">
        <v>0</v>
      </c>
    </row>
    <row r="825" spans="3:27" x14ac:dyDescent="0.2">
      <c r="C825" t="s">
        <v>17</v>
      </c>
      <c r="D825" t="s">
        <v>1078</v>
      </c>
      <c r="E825">
        <v>150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45</v>
      </c>
      <c r="L825">
        <v>41</v>
      </c>
      <c r="M825">
        <v>0</v>
      </c>
      <c r="N825">
        <v>41</v>
      </c>
      <c r="O825">
        <v>0</v>
      </c>
      <c r="Q825" s="3">
        <v>0</v>
      </c>
      <c r="R825">
        <v>0</v>
      </c>
      <c r="S825">
        <v>0</v>
      </c>
      <c r="U825">
        <v>-16.889130434782601</v>
      </c>
      <c r="V825">
        <v>0</v>
      </c>
      <c r="W825">
        <v>-0.48913043478260898</v>
      </c>
      <c r="X825">
        <v>-16.399999999999999</v>
      </c>
      <c r="Y825">
        <v>0</v>
      </c>
      <c r="Z825">
        <v>0</v>
      </c>
      <c r="AA825">
        <v>0</v>
      </c>
    </row>
    <row r="826" spans="3:27" x14ac:dyDescent="0.2">
      <c r="C826" t="s">
        <v>17</v>
      </c>
      <c r="D826" t="s">
        <v>1079</v>
      </c>
      <c r="E826">
        <v>190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55</v>
      </c>
      <c r="L826">
        <v>51</v>
      </c>
      <c r="M826">
        <v>0</v>
      </c>
      <c r="N826">
        <v>51</v>
      </c>
      <c r="O826">
        <v>0</v>
      </c>
      <c r="Q826" s="3">
        <v>0</v>
      </c>
      <c r="R826">
        <v>0</v>
      </c>
      <c r="S826">
        <v>0</v>
      </c>
      <c r="U826">
        <v>-20.997826086956501</v>
      </c>
      <c r="V826">
        <v>0</v>
      </c>
      <c r="W826">
        <v>-0.59782608695652195</v>
      </c>
      <c r="X826">
        <v>-20.399999999999999</v>
      </c>
      <c r="Y826">
        <v>0</v>
      </c>
      <c r="Z826">
        <v>0</v>
      </c>
      <c r="AA826">
        <v>0</v>
      </c>
    </row>
    <row r="827" spans="3:27" x14ac:dyDescent="0.2">
      <c r="C827" t="s">
        <v>17</v>
      </c>
      <c r="D827" t="s">
        <v>1081</v>
      </c>
      <c r="E827">
        <v>150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40</v>
      </c>
      <c r="L827">
        <v>41</v>
      </c>
      <c r="M827">
        <v>0</v>
      </c>
      <c r="N827">
        <v>41</v>
      </c>
      <c r="O827">
        <v>0</v>
      </c>
      <c r="Q827" s="3">
        <v>0</v>
      </c>
      <c r="R827">
        <v>0</v>
      </c>
      <c r="S827">
        <v>0</v>
      </c>
      <c r="U827">
        <v>-16.834782608695701</v>
      </c>
      <c r="V827">
        <v>0</v>
      </c>
      <c r="W827">
        <v>-0.434782608695652</v>
      </c>
      <c r="X827">
        <v>-16.399999999999999</v>
      </c>
      <c r="Y827">
        <v>0</v>
      </c>
      <c r="Z827">
        <v>0</v>
      </c>
      <c r="AA827">
        <v>0</v>
      </c>
    </row>
    <row r="828" spans="3:27" x14ac:dyDescent="0.2">
      <c r="C828" t="s">
        <v>17</v>
      </c>
      <c r="D828" t="s">
        <v>1082</v>
      </c>
      <c r="E828">
        <v>190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55</v>
      </c>
      <c r="L828">
        <v>51</v>
      </c>
      <c r="M828">
        <v>0</v>
      </c>
      <c r="N828">
        <v>51</v>
      </c>
      <c r="O828">
        <v>0</v>
      </c>
      <c r="Q828" s="3">
        <v>0</v>
      </c>
      <c r="R828">
        <v>0</v>
      </c>
      <c r="S828">
        <v>0</v>
      </c>
      <c r="U828">
        <v>-20.997826086956501</v>
      </c>
      <c r="V828">
        <v>0</v>
      </c>
      <c r="W828">
        <v>-0.59782608695652195</v>
      </c>
      <c r="X828">
        <v>-20.399999999999999</v>
      </c>
      <c r="Y828">
        <v>0</v>
      </c>
      <c r="Z828">
        <v>0</v>
      </c>
      <c r="AA828">
        <v>0</v>
      </c>
    </row>
    <row r="829" spans="3:27" x14ac:dyDescent="0.2">
      <c r="C829" t="s">
        <v>58</v>
      </c>
      <c r="D829" t="s">
        <v>59</v>
      </c>
      <c r="E829">
        <v>250</v>
      </c>
      <c r="F829">
        <v>0</v>
      </c>
      <c r="G829">
        <v>7</v>
      </c>
      <c r="H829">
        <v>3</v>
      </c>
      <c r="I829">
        <v>0.5</v>
      </c>
      <c r="J829">
        <v>50</v>
      </c>
      <c r="K829">
        <v>1170</v>
      </c>
      <c r="L829">
        <v>23</v>
      </c>
      <c r="M829">
        <v>5</v>
      </c>
      <c r="N829">
        <v>9</v>
      </c>
      <c r="O829">
        <v>23</v>
      </c>
      <c r="P829">
        <v>239</v>
      </c>
      <c r="Q829" s="3">
        <v>9.1999999999999993</v>
      </c>
      <c r="R829">
        <v>1</v>
      </c>
      <c r="S829">
        <v>0</v>
      </c>
      <c r="U829">
        <v>-10.682177018633499</v>
      </c>
      <c r="V829">
        <v>-0.75</v>
      </c>
      <c r="W829">
        <v>-12.7173913043478</v>
      </c>
      <c r="X829">
        <v>-3.6</v>
      </c>
      <c r="Y829">
        <v>-5.0000000000000001E-4</v>
      </c>
      <c r="Z829">
        <v>4.5999999999999996</v>
      </c>
      <c r="AA829">
        <v>1.78571428571429</v>
      </c>
    </row>
    <row r="830" spans="3:27" x14ac:dyDescent="0.2">
      <c r="C830" t="s">
        <v>58</v>
      </c>
      <c r="D830" t="s">
        <v>60</v>
      </c>
      <c r="E830">
        <v>370</v>
      </c>
      <c r="F830">
        <v>0</v>
      </c>
      <c r="G830">
        <v>10</v>
      </c>
      <c r="H830">
        <v>2</v>
      </c>
      <c r="I830">
        <v>0</v>
      </c>
      <c r="J830">
        <v>90</v>
      </c>
      <c r="K830">
        <v>830</v>
      </c>
      <c r="L830">
        <v>38</v>
      </c>
      <c r="M830">
        <v>3</v>
      </c>
      <c r="N830">
        <v>8</v>
      </c>
      <c r="O830">
        <v>34</v>
      </c>
      <c r="P830">
        <v>346</v>
      </c>
      <c r="Q830" s="3">
        <v>9.1891891891891895</v>
      </c>
      <c r="R830">
        <v>1</v>
      </c>
      <c r="S830">
        <v>0</v>
      </c>
      <c r="U830">
        <v>-4.8503105590062097</v>
      </c>
      <c r="V830">
        <v>-0.5</v>
      </c>
      <c r="W830">
        <v>-9.0217391304347796</v>
      </c>
      <c r="X830">
        <v>-3.2</v>
      </c>
      <c r="Y830">
        <v>0</v>
      </c>
      <c r="Z830">
        <v>6.8</v>
      </c>
      <c r="AA830">
        <v>1.0714285714285701</v>
      </c>
    </row>
    <row r="831" spans="3:27" x14ac:dyDescent="0.2">
      <c r="C831" t="s">
        <v>58</v>
      </c>
      <c r="D831" t="s">
        <v>63</v>
      </c>
      <c r="E831">
        <v>460</v>
      </c>
      <c r="F831">
        <v>0</v>
      </c>
      <c r="G831">
        <v>17</v>
      </c>
      <c r="H831">
        <v>4.5</v>
      </c>
      <c r="I831">
        <v>0</v>
      </c>
      <c r="J831">
        <v>105</v>
      </c>
      <c r="K831">
        <v>1090</v>
      </c>
      <c r="L831">
        <v>41</v>
      </c>
      <c r="M831">
        <v>7</v>
      </c>
      <c r="N831">
        <v>29</v>
      </c>
      <c r="O831">
        <v>41</v>
      </c>
      <c r="P831">
        <v>453</v>
      </c>
      <c r="Q831" s="3">
        <v>8.9130434782608692</v>
      </c>
      <c r="R831">
        <v>1</v>
      </c>
      <c r="S831">
        <v>0</v>
      </c>
      <c r="U831">
        <v>-13.872826086956501</v>
      </c>
      <c r="V831">
        <v>-1.125</v>
      </c>
      <c r="W831">
        <v>-11.8478260869565</v>
      </c>
      <c r="X831">
        <v>-11.6</v>
      </c>
      <c r="Y831">
        <v>0</v>
      </c>
      <c r="Z831">
        <v>8.1999999999999993</v>
      </c>
      <c r="AA831">
        <v>2.5</v>
      </c>
    </row>
    <row r="832" spans="3:27" x14ac:dyDescent="0.2">
      <c r="C832" t="s">
        <v>58</v>
      </c>
      <c r="D832" t="s">
        <v>64</v>
      </c>
      <c r="E832">
        <v>170</v>
      </c>
      <c r="F832">
        <v>0</v>
      </c>
      <c r="G832">
        <v>5</v>
      </c>
      <c r="H832">
        <v>2</v>
      </c>
      <c r="I832">
        <v>0</v>
      </c>
      <c r="J832">
        <v>35</v>
      </c>
      <c r="K832">
        <v>780</v>
      </c>
      <c r="L832">
        <v>16</v>
      </c>
      <c r="M832">
        <v>4</v>
      </c>
      <c r="N832">
        <v>6</v>
      </c>
      <c r="O832">
        <v>15</v>
      </c>
      <c r="P832">
        <v>163</v>
      </c>
      <c r="Q832" s="3">
        <v>8.8235294117647101</v>
      </c>
      <c r="R832">
        <v>1</v>
      </c>
      <c r="S832">
        <v>0</v>
      </c>
      <c r="U832">
        <v>-6.9496894409937902</v>
      </c>
      <c r="V832">
        <v>-0.5</v>
      </c>
      <c r="W832">
        <v>-8.4782608695652204</v>
      </c>
      <c r="X832">
        <v>-2.4</v>
      </c>
      <c r="Y832">
        <v>0</v>
      </c>
      <c r="Z832">
        <v>3</v>
      </c>
      <c r="AA832">
        <v>1.4285714285714299</v>
      </c>
    </row>
    <row r="833" spans="3:27" x14ac:dyDescent="0.2">
      <c r="C833" t="s">
        <v>58</v>
      </c>
      <c r="D833" t="s">
        <v>69</v>
      </c>
      <c r="E833">
        <v>530</v>
      </c>
      <c r="F833">
        <v>0</v>
      </c>
      <c r="G833">
        <v>23</v>
      </c>
      <c r="H833">
        <v>7</v>
      </c>
      <c r="I833">
        <v>0</v>
      </c>
      <c r="J833">
        <v>120</v>
      </c>
      <c r="K833">
        <v>1220</v>
      </c>
      <c r="L833">
        <v>36</v>
      </c>
      <c r="M833">
        <v>3</v>
      </c>
      <c r="N833">
        <v>6</v>
      </c>
      <c r="O833">
        <v>43</v>
      </c>
      <c r="P833">
        <v>500</v>
      </c>
      <c r="Q833" s="3">
        <v>8.1132075471698109</v>
      </c>
      <c r="R833">
        <v>1</v>
      </c>
      <c r="S833">
        <v>0</v>
      </c>
      <c r="U833">
        <v>-7.7394409937888202</v>
      </c>
      <c r="V833">
        <v>-1.75</v>
      </c>
      <c r="W833">
        <v>-13.2608695652174</v>
      </c>
      <c r="X833">
        <v>-2.4</v>
      </c>
      <c r="Y833">
        <v>0</v>
      </c>
      <c r="Z833">
        <v>8.6</v>
      </c>
      <c r="AA833">
        <v>1.0714285714285701</v>
      </c>
    </row>
    <row r="834" spans="3:27" x14ac:dyDescent="0.2">
      <c r="C834" t="s">
        <v>58</v>
      </c>
      <c r="D834" t="s">
        <v>71</v>
      </c>
      <c r="E834">
        <v>290</v>
      </c>
      <c r="F834">
        <v>0</v>
      </c>
      <c r="G834">
        <v>13</v>
      </c>
      <c r="H834">
        <v>2.5</v>
      </c>
      <c r="I834">
        <v>0</v>
      </c>
      <c r="J834">
        <v>50</v>
      </c>
      <c r="K834">
        <v>570</v>
      </c>
      <c r="L834">
        <v>23</v>
      </c>
      <c r="M834">
        <v>5</v>
      </c>
      <c r="N834">
        <v>15</v>
      </c>
      <c r="O834">
        <v>23</v>
      </c>
      <c r="P834">
        <v>285</v>
      </c>
      <c r="Q834" s="3">
        <v>7.9310344827586201</v>
      </c>
      <c r="R834">
        <v>1</v>
      </c>
      <c r="S834">
        <v>0</v>
      </c>
      <c r="U834">
        <v>-6.4349378881987596</v>
      </c>
      <c r="V834">
        <v>-0.625</v>
      </c>
      <c r="W834">
        <v>-6.1956521739130404</v>
      </c>
      <c r="X834">
        <v>-6</v>
      </c>
      <c r="Y834">
        <v>0</v>
      </c>
      <c r="Z834">
        <v>4.5999999999999996</v>
      </c>
      <c r="AA834">
        <v>1.78571428571429</v>
      </c>
    </row>
    <row r="835" spans="3:27" x14ac:dyDescent="0.2">
      <c r="C835" t="s">
        <v>58</v>
      </c>
      <c r="D835" t="s">
        <v>75</v>
      </c>
      <c r="E835">
        <v>90</v>
      </c>
      <c r="F835">
        <v>0</v>
      </c>
      <c r="G835">
        <v>2</v>
      </c>
      <c r="H835">
        <v>1.5</v>
      </c>
      <c r="I835">
        <v>0</v>
      </c>
      <c r="J835">
        <v>10</v>
      </c>
      <c r="K835">
        <v>105</v>
      </c>
      <c r="L835">
        <v>10</v>
      </c>
      <c r="M835">
        <v>0</v>
      </c>
      <c r="N835">
        <v>10</v>
      </c>
      <c r="O835">
        <v>7</v>
      </c>
      <c r="P835">
        <v>95</v>
      </c>
      <c r="Q835" s="3">
        <v>7.7777777777777803</v>
      </c>
      <c r="R835">
        <v>0</v>
      </c>
      <c r="S835">
        <v>0</v>
      </c>
      <c r="U835">
        <v>-4.1163043478260901</v>
      </c>
      <c r="V835">
        <v>-0.375</v>
      </c>
      <c r="W835">
        <v>-1.14130434782609</v>
      </c>
      <c r="X835">
        <v>-4</v>
      </c>
      <c r="Y835">
        <v>0</v>
      </c>
      <c r="Z835">
        <v>1.4</v>
      </c>
      <c r="AA835">
        <v>0</v>
      </c>
    </row>
    <row r="836" spans="3:27" x14ac:dyDescent="0.2">
      <c r="C836" t="s">
        <v>58</v>
      </c>
      <c r="D836" t="s">
        <v>80</v>
      </c>
      <c r="E836">
        <v>200</v>
      </c>
      <c r="F836">
        <v>0</v>
      </c>
      <c r="G836">
        <v>10</v>
      </c>
      <c r="H836">
        <v>1.5</v>
      </c>
      <c r="I836">
        <v>0</v>
      </c>
      <c r="J836">
        <v>45</v>
      </c>
      <c r="K836">
        <v>620</v>
      </c>
      <c r="L836">
        <v>13</v>
      </c>
      <c r="M836">
        <v>0</v>
      </c>
      <c r="N836">
        <v>0</v>
      </c>
      <c r="O836">
        <v>15</v>
      </c>
      <c r="P836">
        <v>187</v>
      </c>
      <c r="Q836" s="3">
        <v>7.5</v>
      </c>
      <c r="R836">
        <v>1</v>
      </c>
      <c r="S836">
        <v>0</v>
      </c>
      <c r="U836">
        <v>-4.1141304347826102</v>
      </c>
      <c r="V836">
        <v>-0.375</v>
      </c>
      <c r="W836">
        <v>-6.7391304347826102</v>
      </c>
      <c r="X836">
        <v>0</v>
      </c>
      <c r="Y836">
        <v>0</v>
      </c>
      <c r="Z836">
        <v>3</v>
      </c>
      <c r="AA836">
        <v>0</v>
      </c>
    </row>
    <row r="837" spans="3:27" x14ac:dyDescent="0.2">
      <c r="C837" t="s">
        <v>58</v>
      </c>
      <c r="D837" t="s">
        <v>83</v>
      </c>
      <c r="E837">
        <v>430</v>
      </c>
      <c r="F837">
        <v>0</v>
      </c>
      <c r="G837">
        <v>21</v>
      </c>
      <c r="H837">
        <v>3.5</v>
      </c>
      <c r="I837">
        <v>0</v>
      </c>
      <c r="J837">
        <v>100</v>
      </c>
      <c r="K837">
        <v>1350</v>
      </c>
      <c r="L837">
        <v>29</v>
      </c>
      <c r="M837">
        <v>0</v>
      </c>
      <c r="N837">
        <v>1</v>
      </c>
      <c r="O837">
        <v>32</v>
      </c>
      <c r="P837">
        <v>403</v>
      </c>
      <c r="Q837" s="3">
        <v>7.4418604651162799</v>
      </c>
      <c r="R837">
        <v>1</v>
      </c>
      <c r="S837">
        <v>0</v>
      </c>
      <c r="U837">
        <v>-9.5489130434782599</v>
      </c>
      <c r="V837">
        <v>-0.875</v>
      </c>
      <c r="W837">
        <v>-14.673913043478301</v>
      </c>
      <c r="X837">
        <v>-0.4</v>
      </c>
      <c r="Y837">
        <v>0</v>
      </c>
      <c r="Z837">
        <v>6.4</v>
      </c>
      <c r="AA837">
        <v>0</v>
      </c>
    </row>
    <row r="838" spans="3:27" x14ac:dyDescent="0.2">
      <c r="C838" t="s">
        <v>58</v>
      </c>
      <c r="D838" t="s">
        <v>84</v>
      </c>
      <c r="E838">
        <v>270</v>
      </c>
      <c r="F838">
        <v>0</v>
      </c>
      <c r="G838">
        <v>10</v>
      </c>
      <c r="H838">
        <v>3.5</v>
      </c>
      <c r="I838">
        <v>0</v>
      </c>
      <c r="J838">
        <v>55</v>
      </c>
      <c r="K838">
        <v>640</v>
      </c>
      <c r="L838">
        <v>24</v>
      </c>
      <c r="M838">
        <v>2</v>
      </c>
      <c r="N838">
        <v>3</v>
      </c>
      <c r="O838">
        <v>20</v>
      </c>
      <c r="P838">
        <v>257</v>
      </c>
      <c r="Q838" s="3">
        <v>7.4074074074074101</v>
      </c>
      <c r="R838">
        <v>1</v>
      </c>
      <c r="S838">
        <v>0</v>
      </c>
      <c r="U838">
        <v>-4.3172360248447204</v>
      </c>
      <c r="V838">
        <v>-0.875</v>
      </c>
      <c r="W838">
        <v>-6.9565217391304301</v>
      </c>
      <c r="X838">
        <v>-1.2</v>
      </c>
      <c r="Y838">
        <v>0</v>
      </c>
      <c r="Z838">
        <v>4</v>
      </c>
      <c r="AA838">
        <v>0.71428571428571397</v>
      </c>
    </row>
    <row r="839" spans="3:27" x14ac:dyDescent="0.2">
      <c r="C839" t="s">
        <v>58</v>
      </c>
      <c r="D839" t="s">
        <v>85</v>
      </c>
      <c r="E839">
        <v>270</v>
      </c>
      <c r="F839">
        <v>0</v>
      </c>
      <c r="G839">
        <v>10</v>
      </c>
      <c r="H839">
        <v>3.5</v>
      </c>
      <c r="I839">
        <v>0</v>
      </c>
      <c r="J839">
        <v>55</v>
      </c>
      <c r="K839">
        <v>640</v>
      </c>
      <c r="L839">
        <v>24</v>
      </c>
      <c r="M839">
        <v>2</v>
      </c>
      <c r="N839">
        <v>3</v>
      </c>
      <c r="O839">
        <v>20</v>
      </c>
      <c r="P839">
        <v>257</v>
      </c>
      <c r="Q839" s="3">
        <v>7.4074074074074101</v>
      </c>
      <c r="R839">
        <v>1</v>
      </c>
      <c r="S839">
        <v>0</v>
      </c>
      <c r="U839">
        <v>-4.3172360248447204</v>
      </c>
      <c r="V839">
        <v>-0.875</v>
      </c>
      <c r="W839">
        <v>-6.9565217391304301</v>
      </c>
      <c r="X839">
        <v>-1.2</v>
      </c>
      <c r="Y839">
        <v>0</v>
      </c>
      <c r="Z839">
        <v>4</v>
      </c>
      <c r="AA839">
        <v>0.71428571428571397</v>
      </c>
    </row>
    <row r="840" spans="3:27" x14ac:dyDescent="0.2">
      <c r="C840" t="s">
        <v>58</v>
      </c>
      <c r="D840" t="s">
        <v>87</v>
      </c>
      <c r="E840">
        <v>650</v>
      </c>
      <c r="F840">
        <v>0</v>
      </c>
      <c r="G840">
        <v>32</v>
      </c>
      <c r="H840">
        <v>5</v>
      </c>
      <c r="I840">
        <v>0</v>
      </c>
      <c r="J840">
        <v>150</v>
      </c>
      <c r="K840">
        <v>2020</v>
      </c>
      <c r="L840">
        <v>43</v>
      </c>
      <c r="M840">
        <v>0</v>
      </c>
      <c r="N840">
        <v>1</v>
      </c>
      <c r="O840">
        <v>48</v>
      </c>
      <c r="P840">
        <v>608</v>
      </c>
      <c r="Q840" s="3">
        <v>7.3846153846153904</v>
      </c>
      <c r="R840">
        <v>1</v>
      </c>
      <c r="S840">
        <v>0</v>
      </c>
      <c r="U840">
        <v>-14.006521739130401</v>
      </c>
      <c r="V840">
        <v>-1.25</v>
      </c>
      <c r="W840">
        <v>-21.956521739130402</v>
      </c>
      <c r="X840">
        <v>-0.4</v>
      </c>
      <c r="Y840">
        <v>0</v>
      </c>
      <c r="Z840">
        <v>9.6</v>
      </c>
      <c r="AA840">
        <v>0</v>
      </c>
    </row>
    <row r="841" spans="3:27" x14ac:dyDescent="0.2">
      <c r="C841" t="s">
        <v>58</v>
      </c>
      <c r="D841" t="s">
        <v>89</v>
      </c>
      <c r="E841">
        <v>330</v>
      </c>
      <c r="F841">
        <v>0</v>
      </c>
      <c r="G841">
        <v>16</v>
      </c>
      <c r="H841">
        <v>2.5</v>
      </c>
      <c r="I841">
        <v>0</v>
      </c>
      <c r="J841">
        <v>75</v>
      </c>
      <c r="K841">
        <v>1010</v>
      </c>
      <c r="L841">
        <v>22</v>
      </c>
      <c r="M841">
        <v>0</v>
      </c>
      <c r="N841">
        <v>0</v>
      </c>
      <c r="O841">
        <v>24</v>
      </c>
      <c r="P841">
        <v>309</v>
      </c>
      <c r="Q841" s="3">
        <v>7.2727272727272698</v>
      </c>
      <c r="R841">
        <v>1</v>
      </c>
      <c r="S841">
        <v>0</v>
      </c>
      <c r="U841">
        <v>-6.8032608695652197</v>
      </c>
      <c r="V841">
        <v>-0.625</v>
      </c>
      <c r="W841">
        <v>-10.978260869565201</v>
      </c>
      <c r="X841">
        <v>0</v>
      </c>
      <c r="Y841">
        <v>0</v>
      </c>
      <c r="Z841">
        <v>4.8</v>
      </c>
      <c r="AA841">
        <v>0</v>
      </c>
    </row>
    <row r="842" spans="3:27" x14ac:dyDescent="0.2">
      <c r="C842" t="s">
        <v>58</v>
      </c>
      <c r="D842" t="s">
        <v>90</v>
      </c>
      <c r="E842">
        <v>600</v>
      </c>
      <c r="F842">
        <v>0</v>
      </c>
      <c r="G842">
        <v>41</v>
      </c>
      <c r="H842">
        <v>11</v>
      </c>
      <c r="I842">
        <v>0</v>
      </c>
      <c r="J842">
        <v>135</v>
      </c>
      <c r="K842">
        <v>1220</v>
      </c>
      <c r="L842">
        <v>18</v>
      </c>
      <c r="M842">
        <v>7</v>
      </c>
      <c r="N842">
        <v>7</v>
      </c>
      <c r="O842">
        <v>42</v>
      </c>
      <c r="P842">
        <v>576</v>
      </c>
      <c r="Q842" s="3">
        <v>7</v>
      </c>
      <c r="R842">
        <v>1</v>
      </c>
      <c r="S842">
        <v>0</v>
      </c>
      <c r="U842">
        <v>-7.9108695652173902</v>
      </c>
      <c r="V842">
        <v>-2.75</v>
      </c>
      <c r="W842">
        <v>-13.2608695652174</v>
      </c>
      <c r="X842">
        <v>-2.8</v>
      </c>
      <c r="Y842">
        <v>0</v>
      </c>
      <c r="Z842">
        <v>8.4</v>
      </c>
      <c r="AA842">
        <v>2.5</v>
      </c>
    </row>
    <row r="843" spans="3:27" x14ac:dyDescent="0.2">
      <c r="C843" t="s">
        <v>58</v>
      </c>
      <c r="D843" t="s">
        <v>91</v>
      </c>
      <c r="E843">
        <v>300</v>
      </c>
      <c r="F843">
        <v>0</v>
      </c>
      <c r="G843">
        <v>20</v>
      </c>
      <c r="H843">
        <v>6</v>
      </c>
      <c r="I843">
        <v>0</v>
      </c>
      <c r="J843">
        <v>70</v>
      </c>
      <c r="K843">
        <v>620</v>
      </c>
      <c r="L843">
        <v>10</v>
      </c>
      <c r="M843">
        <v>4</v>
      </c>
      <c r="N843">
        <v>4</v>
      </c>
      <c r="O843">
        <v>21</v>
      </c>
      <c r="P843">
        <v>289</v>
      </c>
      <c r="Q843" s="3">
        <v>7</v>
      </c>
      <c r="R843">
        <v>1</v>
      </c>
      <c r="S843">
        <v>0</v>
      </c>
      <c r="U843">
        <v>-4.21055900621118</v>
      </c>
      <c r="V843">
        <v>-1.5</v>
      </c>
      <c r="W843">
        <v>-6.7391304347826102</v>
      </c>
      <c r="X843">
        <v>-1.6</v>
      </c>
      <c r="Y843">
        <v>0</v>
      </c>
      <c r="Z843">
        <v>4.2</v>
      </c>
      <c r="AA843">
        <v>1.4285714285714299</v>
      </c>
    </row>
    <row r="844" spans="3:27" x14ac:dyDescent="0.2">
      <c r="C844" t="s">
        <v>58</v>
      </c>
      <c r="D844" t="s">
        <v>96</v>
      </c>
      <c r="E844">
        <v>560</v>
      </c>
      <c r="F844">
        <v>0</v>
      </c>
      <c r="G844">
        <v>24</v>
      </c>
      <c r="H844">
        <v>7</v>
      </c>
      <c r="I844">
        <v>0</v>
      </c>
      <c r="J844">
        <v>115</v>
      </c>
      <c r="K844">
        <v>1020</v>
      </c>
      <c r="L844">
        <v>52</v>
      </c>
      <c r="M844">
        <v>7</v>
      </c>
      <c r="N844">
        <v>40</v>
      </c>
      <c r="O844">
        <v>38</v>
      </c>
      <c r="P844">
        <v>569</v>
      </c>
      <c r="Q844" s="3">
        <v>6.78571428571429</v>
      </c>
      <c r="R844">
        <v>1</v>
      </c>
      <c r="S844">
        <v>0</v>
      </c>
      <c r="U844">
        <v>-18.736956521739099</v>
      </c>
      <c r="V844">
        <v>-1.75</v>
      </c>
      <c r="W844">
        <v>-11.086956521739101</v>
      </c>
      <c r="X844">
        <v>-16</v>
      </c>
      <c r="Y844">
        <v>0</v>
      </c>
      <c r="Z844">
        <v>7.6</v>
      </c>
      <c r="AA844">
        <v>2.5</v>
      </c>
    </row>
    <row r="845" spans="3:27" x14ac:dyDescent="0.2">
      <c r="C845" t="s">
        <v>58</v>
      </c>
      <c r="D845" t="s">
        <v>104</v>
      </c>
      <c r="E845">
        <v>1090</v>
      </c>
      <c r="F845">
        <v>0</v>
      </c>
      <c r="G845">
        <v>72</v>
      </c>
      <c r="H845">
        <v>30</v>
      </c>
      <c r="I845">
        <v>4</v>
      </c>
      <c r="J845">
        <v>260</v>
      </c>
      <c r="K845">
        <v>1650</v>
      </c>
      <c r="L845">
        <v>43</v>
      </c>
      <c r="M845">
        <v>3</v>
      </c>
      <c r="N845">
        <v>9</v>
      </c>
      <c r="O845">
        <v>71</v>
      </c>
      <c r="P845">
        <v>1058</v>
      </c>
      <c r="Q845" s="3">
        <v>6.5137614678899096</v>
      </c>
      <c r="R845">
        <v>1</v>
      </c>
      <c r="S845">
        <v>0</v>
      </c>
      <c r="U845">
        <v>-13.767354037267101</v>
      </c>
      <c r="V845">
        <v>-7.5</v>
      </c>
      <c r="W845">
        <v>-17.934782608695699</v>
      </c>
      <c r="X845">
        <v>-3.6</v>
      </c>
      <c r="Y845">
        <v>-4.0000000000000001E-3</v>
      </c>
      <c r="Z845">
        <v>14.2</v>
      </c>
      <c r="AA845">
        <v>1.0714285714285701</v>
      </c>
    </row>
    <row r="846" spans="3:27" x14ac:dyDescent="0.2">
      <c r="C846" t="s">
        <v>58</v>
      </c>
      <c r="D846" t="s">
        <v>107</v>
      </c>
      <c r="E846">
        <v>390</v>
      </c>
      <c r="F846">
        <v>0</v>
      </c>
      <c r="G846">
        <v>21</v>
      </c>
      <c r="H846">
        <v>9</v>
      </c>
      <c r="I846">
        <v>1.5</v>
      </c>
      <c r="J846">
        <v>90</v>
      </c>
      <c r="K846">
        <v>740</v>
      </c>
      <c r="L846">
        <v>26</v>
      </c>
      <c r="M846">
        <v>1</v>
      </c>
      <c r="N846">
        <v>6</v>
      </c>
      <c r="O846">
        <v>25</v>
      </c>
      <c r="P846">
        <v>380</v>
      </c>
      <c r="Q846" s="3">
        <v>6.4102564102564097</v>
      </c>
      <c r="R846">
        <v>1</v>
      </c>
      <c r="S846">
        <v>0</v>
      </c>
      <c r="U846">
        <v>-7.3378354037267099</v>
      </c>
      <c r="V846">
        <v>-2.25</v>
      </c>
      <c r="W846">
        <v>-8.0434782608695592</v>
      </c>
      <c r="X846">
        <v>-2.4</v>
      </c>
      <c r="Y846">
        <v>-1.5E-3</v>
      </c>
      <c r="Z846">
        <v>5</v>
      </c>
      <c r="AA846">
        <v>0.35714285714285698</v>
      </c>
    </row>
    <row r="847" spans="3:27" x14ac:dyDescent="0.2">
      <c r="C847" t="s">
        <v>58</v>
      </c>
      <c r="D847" t="s">
        <v>111</v>
      </c>
      <c r="E847">
        <v>950</v>
      </c>
      <c r="F847">
        <v>0</v>
      </c>
      <c r="G847">
        <v>62</v>
      </c>
      <c r="H847">
        <v>24</v>
      </c>
      <c r="I847">
        <v>3</v>
      </c>
      <c r="J847">
        <v>205</v>
      </c>
      <c r="K847">
        <v>1630</v>
      </c>
      <c r="L847">
        <v>40</v>
      </c>
      <c r="M847">
        <v>2</v>
      </c>
      <c r="N847">
        <v>8</v>
      </c>
      <c r="O847">
        <v>59</v>
      </c>
      <c r="P847">
        <v>923</v>
      </c>
      <c r="Q847" s="3">
        <v>6.2105263157894699</v>
      </c>
      <c r="R847">
        <v>1</v>
      </c>
      <c r="S847">
        <v>0</v>
      </c>
      <c r="U847">
        <v>-14.406105590062101</v>
      </c>
      <c r="V847">
        <v>-6</v>
      </c>
      <c r="W847">
        <v>-17.7173913043478</v>
      </c>
      <c r="X847">
        <v>-3.2</v>
      </c>
      <c r="Y847">
        <v>-3.0000000000000001E-3</v>
      </c>
      <c r="Z847">
        <v>11.8</v>
      </c>
      <c r="AA847">
        <v>0.71428571428571397</v>
      </c>
    </row>
    <row r="848" spans="3:27" x14ac:dyDescent="0.2">
      <c r="C848" t="s">
        <v>58</v>
      </c>
      <c r="D848" t="s">
        <v>112</v>
      </c>
      <c r="E848">
        <v>810</v>
      </c>
      <c r="F848">
        <v>0</v>
      </c>
      <c r="G848">
        <v>51</v>
      </c>
      <c r="H848">
        <v>20</v>
      </c>
      <c r="I848">
        <v>3</v>
      </c>
      <c r="J848">
        <v>175</v>
      </c>
      <c r="K848">
        <v>1280</v>
      </c>
      <c r="L848">
        <v>41</v>
      </c>
      <c r="M848">
        <v>3</v>
      </c>
      <c r="N848">
        <v>8</v>
      </c>
      <c r="O848">
        <v>49</v>
      </c>
      <c r="P848">
        <v>789</v>
      </c>
      <c r="Q848" s="3">
        <v>6.0493827160493803</v>
      </c>
      <c r="R848">
        <v>1</v>
      </c>
      <c r="S848">
        <v>0</v>
      </c>
      <c r="U848">
        <v>-11.2446149068323</v>
      </c>
      <c r="V848">
        <v>-5</v>
      </c>
      <c r="W848">
        <v>-13.913043478260899</v>
      </c>
      <c r="X848">
        <v>-3.2</v>
      </c>
      <c r="Y848">
        <v>-3.0000000000000001E-3</v>
      </c>
      <c r="Z848">
        <v>9.8000000000000007</v>
      </c>
      <c r="AA848">
        <v>1.0714285714285701</v>
      </c>
    </row>
    <row r="849" spans="3:27" x14ac:dyDescent="0.2">
      <c r="C849" t="s">
        <v>58</v>
      </c>
      <c r="D849" t="s">
        <v>121</v>
      </c>
      <c r="E849">
        <v>340</v>
      </c>
      <c r="F849">
        <v>0</v>
      </c>
      <c r="G849">
        <v>17</v>
      </c>
      <c r="H849">
        <v>4</v>
      </c>
      <c r="I849">
        <v>0</v>
      </c>
      <c r="J849">
        <v>55</v>
      </c>
      <c r="K849">
        <v>550</v>
      </c>
      <c r="L849">
        <v>29</v>
      </c>
      <c r="M849">
        <v>4</v>
      </c>
      <c r="N849">
        <v>22</v>
      </c>
      <c r="O849">
        <v>20</v>
      </c>
      <c r="P849">
        <v>346</v>
      </c>
      <c r="Q849" s="3">
        <v>5.8823529411764701</v>
      </c>
      <c r="R849">
        <v>1</v>
      </c>
      <c r="S849">
        <v>0</v>
      </c>
      <c r="U849">
        <v>-10.349689440993799</v>
      </c>
      <c r="V849">
        <v>-1</v>
      </c>
      <c r="W849">
        <v>-5.9782608695652204</v>
      </c>
      <c r="X849">
        <v>-8.8000000000000007</v>
      </c>
      <c r="Y849">
        <v>0</v>
      </c>
      <c r="Z849">
        <v>4</v>
      </c>
      <c r="AA849">
        <v>1.4285714285714299</v>
      </c>
    </row>
    <row r="850" spans="3:27" x14ac:dyDescent="0.2">
      <c r="C850" t="s">
        <v>58</v>
      </c>
      <c r="D850" t="s">
        <v>124</v>
      </c>
      <c r="E850">
        <v>720</v>
      </c>
      <c r="F850">
        <v>0</v>
      </c>
      <c r="G850">
        <v>42</v>
      </c>
      <c r="H850">
        <v>12</v>
      </c>
      <c r="I850">
        <v>1</v>
      </c>
      <c r="J850">
        <v>150</v>
      </c>
      <c r="K850">
        <v>1680</v>
      </c>
      <c r="L850">
        <v>44</v>
      </c>
      <c r="M850">
        <v>8</v>
      </c>
      <c r="N850">
        <v>6</v>
      </c>
      <c r="O850">
        <v>42</v>
      </c>
      <c r="P850">
        <v>696</v>
      </c>
      <c r="Q850" s="3">
        <v>5.8333333333333304</v>
      </c>
      <c r="R850">
        <v>1</v>
      </c>
      <c r="S850">
        <v>0</v>
      </c>
      <c r="U850">
        <v>-12.404726708074501</v>
      </c>
      <c r="V850">
        <v>-3</v>
      </c>
      <c r="W850">
        <v>-18.260869565217401</v>
      </c>
      <c r="X850">
        <v>-2.4</v>
      </c>
      <c r="Y850">
        <v>-1E-3</v>
      </c>
      <c r="Z850">
        <v>8.4</v>
      </c>
      <c r="AA850">
        <v>2.8571428571428599</v>
      </c>
    </row>
    <row r="851" spans="3:27" x14ac:dyDescent="0.2">
      <c r="C851" t="s">
        <v>58</v>
      </c>
      <c r="D851" t="s">
        <v>130</v>
      </c>
      <c r="E851">
        <v>660</v>
      </c>
      <c r="F851">
        <v>0</v>
      </c>
      <c r="G851">
        <v>34</v>
      </c>
      <c r="H851">
        <v>9</v>
      </c>
      <c r="I851">
        <v>0</v>
      </c>
      <c r="J851">
        <v>100</v>
      </c>
      <c r="K851">
        <v>1650</v>
      </c>
      <c r="L851">
        <v>52</v>
      </c>
      <c r="M851">
        <v>3</v>
      </c>
      <c r="N851">
        <v>7</v>
      </c>
      <c r="O851">
        <v>38</v>
      </c>
      <c r="P851">
        <v>638</v>
      </c>
      <c r="Q851" s="3">
        <v>5.7575757575757596</v>
      </c>
      <c r="R851">
        <v>1</v>
      </c>
      <c r="S851">
        <v>0</v>
      </c>
      <c r="U851">
        <v>-14.3133540372671</v>
      </c>
      <c r="V851">
        <v>-2.25</v>
      </c>
      <c r="W851">
        <v>-17.934782608695699</v>
      </c>
      <c r="X851">
        <v>-2.8</v>
      </c>
      <c r="Y851">
        <v>0</v>
      </c>
      <c r="Z851">
        <v>7.6</v>
      </c>
      <c r="AA851">
        <v>1.0714285714285701</v>
      </c>
    </row>
    <row r="852" spans="3:27" x14ac:dyDescent="0.2">
      <c r="C852" t="s">
        <v>58</v>
      </c>
      <c r="D852" t="s">
        <v>135</v>
      </c>
      <c r="E852">
        <v>280</v>
      </c>
      <c r="F852">
        <v>0</v>
      </c>
      <c r="G852">
        <v>13</v>
      </c>
      <c r="H852">
        <v>6</v>
      </c>
      <c r="I852">
        <v>1</v>
      </c>
      <c r="J852">
        <v>50</v>
      </c>
      <c r="K852">
        <v>660</v>
      </c>
      <c r="L852">
        <v>26</v>
      </c>
      <c r="M852">
        <v>1</v>
      </c>
      <c r="N852">
        <v>6</v>
      </c>
      <c r="O852">
        <v>16</v>
      </c>
      <c r="P852">
        <v>276</v>
      </c>
      <c r="Q852" s="3">
        <v>5.71428571428571</v>
      </c>
      <c r="R852">
        <v>1</v>
      </c>
      <c r="S852">
        <v>0</v>
      </c>
      <c r="U852">
        <v>-7.5177701863354001</v>
      </c>
      <c r="V852">
        <v>-1.5</v>
      </c>
      <c r="W852">
        <v>-7.1739130434782599</v>
      </c>
      <c r="X852">
        <v>-2.4</v>
      </c>
      <c r="Y852">
        <v>-1E-3</v>
      </c>
      <c r="Z852">
        <v>3.2</v>
      </c>
      <c r="AA852">
        <v>0.35714285714285698</v>
      </c>
    </row>
    <row r="853" spans="3:27" x14ac:dyDescent="0.2">
      <c r="C853" t="s">
        <v>58</v>
      </c>
      <c r="D853" t="s">
        <v>138</v>
      </c>
      <c r="E853">
        <v>510</v>
      </c>
      <c r="F853">
        <v>0</v>
      </c>
      <c r="G853">
        <v>20</v>
      </c>
      <c r="H853">
        <v>3.5</v>
      </c>
      <c r="I853">
        <v>0</v>
      </c>
      <c r="J853">
        <v>65</v>
      </c>
      <c r="K853">
        <v>1030</v>
      </c>
      <c r="L853">
        <v>54</v>
      </c>
      <c r="M853">
        <v>4</v>
      </c>
      <c r="N853">
        <v>6</v>
      </c>
      <c r="O853">
        <v>29</v>
      </c>
      <c r="P853">
        <v>491</v>
      </c>
      <c r="Q853" s="3">
        <v>5.68627450980392</v>
      </c>
      <c r="R853">
        <v>1</v>
      </c>
      <c r="S853">
        <v>0</v>
      </c>
      <c r="U853">
        <v>-7.2420807453416201</v>
      </c>
      <c r="V853">
        <v>-0.875</v>
      </c>
      <c r="W853">
        <v>-11.195652173913</v>
      </c>
      <c r="X853">
        <v>-2.4</v>
      </c>
      <c r="Y853">
        <v>0</v>
      </c>
      <c r="Z853">
        <v>5.8</v>
      </c>
      <c r="AA853">
        <v>1.4285714285714299</v>
      </c>
    </row>
    <row r="854" spans="3:27" x14ac:dyDescent="0.2">
      <c r="C854" t="s">
        <v>58</v>
      </c>
      <c r="D854" t="s">
        <v>140</v>
      </c>
      <c r="E854">
        <v>670</v>
      </c>
      <c r="F854">
        <v>0</v>
      </c>
      <c r="G854">
        <v>32</v>
      </c>
      <c r="H854">
        <v>9</v>
      </c>
      <c r="I854">
        <v>0</v>
      </c>
      <c r="J854">
        <v>100</v>
      </c>
      <c r="K854">
        <v>1530</v>
      </c>
      <c r="L854">
        <v>55</v>
      </c>
      <c r="M854">
        <v>4</v>
      </c>
      <c r="N854">
        <v>6</v>
      </c>
      <c r="O854">
        <v>38</v>
      </c>
      <c r="P854">
        <v>647</v>
      </c>
      <c r="Q854" s="3">
        <v>5.6716417910447801</v>
      </c>
      <c r="R854">
        <v>1</v>
      </c>
      <c r="S854">
        <v>0</v>
      </c>
      <c r="U854">
        <v>-12.251863354037299</v>
      </c>
      <c r="V854">
        <v>-2.25</v>
      </c>
      <c r="W854">
        <v>-16.630434782608699</v>
      </c>
      <c r="X854">
        <v>-2.4</v>
      </c>
      <c r="Y854">
        <v>0</v>
      </c>
      <c r="Z854">
        <v>7.6</v>
      </c>
      <c r="AA854">
        <v>1.4285714285714299</v>
      </c>
    </row>
    <row r="855" spans="3:27" x14ac:dyDescent="0.2">
      <c r="C855" t="s">
        <v>58</v>
      </c>
      <c r="D855" t="s">
        <v>144</v>
      </c>
      <c r="E855">
        <v>320</v>
      </c>
      <c r="F855">
        <v>0</v>
      </c>
      <c r="G855">
        <v>17</v>
      </c>
      <c r="H855">
        <v>8</v>
      </c>
      <c r="I855">
        <v>0</v>
      </c>
      <c r="J855">
        <v>245</v>
      </c>
      <c r="K855">
        <v>750</v>
      </c>
      <c r="L855">
        <v>25</v>
      </c>
      <c r="M855">
        <v>1</v>
      </c>
      <c r="N855">
        <v>4</v>
      </c>
      <c r="O855">
        <v>18</v>
      </c>
      <c r="P855">
        <v>314</v>
      </c>
      <c r="Q855" s="3">
        <v>5.625</v>
      </c>
      <c r="R855">
        <v>1</v>
      </c>
      <c r="S855">
        <v>0</v>
      </c>
      <c r="U855">
        <v>-7.79503105590062</v>
      </c>
      <c r="V855">
        <v>-2</v>
      </c>
      <c r="W855">
        <v>-8.1521739130434803</v>
      </c>
      <c r="X855">
        <v>-1.6</v>
      </c>
      <c r="Y855">
        <v>0</v>
      </c>
      <c r="Z855">
        <v>3.6</v>
      </c>
      <c r="AA855">
        <v>0.35714285714285698</v>
      </c>
    </row>
    <row r="856" spans="3:27" x14ac:dyDescent="0.2">
      <c r="C856" t="s">
        <v>58</v>
      </c>
      <c r="D856" t="s">
        <v>145</v>
      </c>
      <c r="E856">
        <v>410</v>
      </c>
      <c r="F856">
        <v>0</v>
      </c>
      <c r="G856">
        <v>23</v>
      </c>
      <c r="H856">
        <v>6</v>
      </c>
      <c r="I856">
        <v>0.5</v>
      </c>
      <c r="J856">
        <v>75</v>
      </c>
      <c r="K856">
        <v>930</v>
      </c>
      <c r="L856">
        <v>30</v>
      </c>
      <c r="M856">
        <v>5</v>
      </c>
      <c r="N856">
        <v>4</v>
      </c>
      <c r="O856">
        <v>23</v>
      </c>
      <c r="P856">
        <v>397</v>
      </c>
      <c r="Q856" s="3">
        <v>5.6097560975609797</v>
      </c>
      <c r="R856">
        <v>1</v>
      </c>
      <c r="S856">
        <v>0</v>
      </c>
      <c r="U856">
        <v>-6.8234813664596299</v>
      </c>
      <c r="V856">
        <v>-1.5</v>
      </c>
      <c r="W856">
        <v>-10.1086956521739</v>
      </c>
      <c r="X856">
        <v>-1.6</v>
      </c>
      <c r="Y856">
        <v>-5.0000000000000001E-4</v>
      </c>
      <c r="Z856">
        <v>4.5999999999999996</v>
      </c>
      <c r="AA856">
        <v>1.78571428571429</v>
      </c>
    </row>
    <row r="857" spans="3:27" x14ac:dyDescent="0.2">
      <c r="C857" t="s">
        <v>58</v>
      </c>
      <c r="D857" t="s">
        <v>152</v>
      </c>
      <c r="E857">
        <v>510</v>
      </c>
      <c r="F857">
        <v>0</v>
      </c>
      <c r="G857">
        <v>22</v>
      </c>
      <c r="H857">
        <v>4</v>
      </c>
      <c r="I857">
        <v>0</v>
      </c>
      <c r="J857">
        <v>70</v>
      </c>
      <c r="K857">
        <v>1150</v>
      </c>
      <c r="L857">
        <v>51</v>
      </c>
      <c r="M857">
        <v>3</v>
      </c>
      <c r="N857">
        <v>6</v>
      </c>
      <c r="O857">
        <v>28</v>
      </c>
      <c r="P857">
        <v>492</v>
      </c>
      <c r="Q857" s="3">
        <v>5.4901960784313699</v>
      </c>
      <c r="R857">
        <v>1</v>
      </c>
      <c r="S857">
        <v>0</v>
      </c>
      <c r="U857">
        <v>-9.2285714285714295</v>
      </c>
      <c r="V857">
        <v>-1</v>
      </c>
      <c r="W857">
        <v>-12.5</v>
      </c>
      <c r="X857">
        <v>-2.4</v>
      </c>
      <c r="Y857">
        <v>0</v>
      </c>
      <c r="Z857">
        <v>5.6</v>
      </c>
      <c r="AA857">
        <v>1.0714285714285701</v>
      </c>
    </row>
    <row r="858" spans="3:27" x14ac:dyDescent="0.2">
      <c r="C858" t="s">
        <v>58</v>
      </c>
      <c r="D858" t="s">
        <v>155</v>
      </c>
      <c r="E858">
        <v>240</v>
      </c>
      <c r="F858">
        <v>0</v>
      </c>
      <c r="G858">
        <v>9</v>
      </c>
      <c r="H858">
        <v>3.5</v>
      </c>
      <c r="I858">
        <v>0.5</v>
      </c>
      <c r="J858">
        <v>40</v>
      </c>
      <c r="K858">
        <v>350</v>
      </c>
      <c r="L858">
        <v>24</v>
      </c>
      <c r="M858">
        <v>1</v>
      </c>
      <c r="N858">
        <v>5</v>
      </c>
      <c r="O858">
        <v>13</v>
      </c>
      <c r="P858">
        <v>236</v>
      </c>
      <c r="Q858" s="3">
        <v>5.4166666666666696</v>
      </c>
      <c r="R858">
        <v>0</v>
      </c>
      <c r="S858">
        <v>0</v>
      </c>
      <c r="U858">
        <v>-3.7227049689440999</v>
      </c>
      <c r="V858">
        <v>-0.875</v>
      </c>
      <c r="W858">
        <v>-3.8043478260869601</v>
      </c>
      <c r="X858">
        <v>-2</v>
      </c>
      <c r="Y858">
        <v>-5.0000000000000001E-4</v>
      </c>
      <c r="Z858">
        <v>2.6</v>
      </c>
      <c r="AA858">
        <v>0.35714285714285698</v>
      </c>
    </row>
    <row r="859" spans="3:27" x14ac:dyDescent="0.2">
      <c r="C859" t="s">
        <v>58</v>
      </c>
      <c r="D859" t="s">
        <v>156</v>
      </c>
      <c r="E859">
        <v>630</v>
      </c>
      <c r="F859">
        <v>0</v>
      </c>
      <c r="G859">
        <v>39</v>
      </c>
      <c r="H859">
        <v>15</v>
      </c>
      <c r="I859">
        <v>1.5</v>
      </c>
      <c r="J859">
        <v>125</v>
      </c>
      <c r="K859">
        <v>1280</v>
      </c>
      <c r="L859">
        <v>37</v>
      </c>
      <c r="M859">
        <v>2</v>
      </c>
      <c r="N859">
        <v>7</v>
      </c>
      <c r="O859">
        <v>34</v>
      </c>
      <c r="P859">
        <v>618</v>
      </c>
      <c r="Q859" s="3">
        <v>5.3968253968253999</v>
      </c>
      <c r="R859">
        <v>1</v>
      </c>
      <c r="S859">
        <v>0</v>
      </c>
      <c r="U859">
        <v>-12.9502577639752</v>
      </c>
      <c r="V859">
        <v>-3.75</v>
      </c>
      <c r="W859">
        <v>-13.913043478260899</v>
      </c>
      <c r="X859">
        <v>-2.8</v>
      </c>
      <c r="Y859">
        <v>-1.5E-3</v>
      </c>
      <c r="Z859">
        <v>6.8</v>
      </c>
      <c r="AA859">
        <v>0.71428571428571397</v>
      </c>
    </row>
    <row r="860" spans="3:27" x14ac:dyDescent="0.2">
      <c r="C860" t="s">
        <v>58</v>
      </c>
      <c r="D860" t="s">
        <v>163</v>
      </c>
      <c r="E860">
        <v>280</v>
      </c>
      <c r="F860">
        <v>0</v>
      </c>
      <c r="G860">
        <v>13</v>
      </c>
      <c r="H860">
        <v>6</v>
      </c>
      <c r="I860">
        <v>0.5</v>
      </c>
      <c r="J860">
        <v>50</v>
      </c>
      <c r="K860">
        <v>540</v>
      </c>
      <c r="L860">
        <v>25</v>
      </c>
      <c r="M860">
        <v>1</v>
      </c>
      <c r="N860">
        <v>5</v>
      </c>
      <c r="O860">
        <v>15</v>
      </c>
      <c r="P860">
        <v>276</v>
      </c>
      <c r="Q860" s="3">
        <v>5.3571428571428603</v>
      </c>
      <c r="R860">
        <v>1</v>
      </c>
      <c r="S860">
        <v>0</v>
      </c>
      <c r="U860">
        <v>-6.0129223602484503</v>
      </c>
      <c r="V860">
        <v>-1.5</v>
      </c>
      <c r="W860">
        <v>-5.8695652173913002</v>
      </c>
      <c r="X860">
        <v>-2</v>
      </c>
      <c r="Y860">
        <v>-5.0000000000000001E-4</v>
      </c>
      <c r="Z860">
        <v>3</v>
      </c>
      <c r="AA860">
        <v>0.35714285714285698</v>
      </c>
    </row>
    <row r="861" spans="3:27" x14ac:dyDescent="0.2">
      <c r="C861" t="s">
        <v>58</v>
      </c>
      <c r="D861" t="s">
        <v>175</v>
      </c>
      <c r="E861">
        <v>170</v>
      </c>
      <c r="F861">
        <v>0</v>
      </c>
      <c r="G861">
        <v>11</v>
      </c>
      <c r="H861">
        <v>2</v>
      </c>
      <c r="I861">
        <v>0</v>
      </c>
      <c r="J861">
        <v>35</v>
      </c>
      <c r="K861">
        <v>340</v>
      </c>
      <c r="L861">
        <v>10</v>
      </c>
      <c r="M861">
        <v>0</v>
      </c>
      <c r="N861">
        <v>0</v>
      </c>
      <c r="O861">
        <v>9</v>
      </c>
      <c r="P861">
        <v>163</v>
      </c>
      <c r="Q861" s="3">
        <v>5.2941176470588198</v>
      </c>
      <c r="R861">
        <v>0</v>
      </c>
      <c r="S861">
        <v>0</v>
      </c>
      <c r="U861">
        <v>-2.3956521739130401</v>
      </c>
      <c r="V861">
        <v>-0.5</v>
      </c>
      <c r="W861">
        <v>-3.6956521739130399</v>
      </c>
      <c r="X861">
        <v>0</v>
      </c>
      <c r="Y861">
        <v>0</v>
      </c>
      <c r="Z861">
        <v>1.8</v>
      </c>
      <c r="AA861">
        <v>0</v>
      </c>
    </row>
    <row r="862" spans="3:27" x14ac:dyDescent="0.2">
      <c r="C862" t="s">
        <v>58</v>
      </c>
      <c r="D862" t="s">
        <v>176</v>
      </c>
      <c r="E862">
        <v>170</v>
      </c>
      <c r="F862">
        <v>0</v>
      </c>
      <c r="G862">
        <v>11</v>
      </c>
      <c r="H862">
        <v>2</v>
      </c>
      <c r="I862">
        <v>0</v>
      </c>
      <c r="J862">
        <v>35</v>
      </c>
      <c r="K862">
        <v>340</v>
      </c>
      <c r="L862">
        <v>10</v>
      </c>
      <c r="M862">
        <v>0</v>
      </c>
      <c r="N862">
        <v>0</v>
      </c>
      <c r="O862">
        <v>9</v>
      </c>
      <c r="P862">
        <v>163</v>
      </c>
      <c r="Q862" s="3">
        <v>5.2941176470588198</v>
      </c>
      <c r="R862">
        <v>0</v>
      </c>
      <c r="S862">
        <v>0</v>
      </c>
      <c r="U862">
        <v>-2.3956521739130401</v>
      </c>
      <c r="V862">
        <v>-0.5</v>
      </c>
      <c r="W862">
        <v>-3.6956521739130399</v>
      </c>
      <c r="X862">
        <v>0</v>
      </c>
      <c r="Y862">
        <v>0</v>
      </c>
      <c r="Z862">
        <v>1.8</v>
      </c>
      <c r="AA862">
        <v>0</v>
      </c>
    </row>
    <row r="863" spans="3:27" x14ac:dyDescent="0.2">
      <c r="C863" t="s">
        <v>58</v>
      </c>
      <c r="D863" t="s">
        <v>179</v>
      </c>
      <c r="E863">
        <v>570</v>
      </c>
      <c r="F863">
        <v>0</v>
      </c>
      <c r="G863">
        <v>34</v>
      </c>
      <c r="H863">
        <v>13</v>
      </c>
      <c r="I863">
        <v>1.5</v>
      </c>
      <c r="J863">
        <v>100</v>
      </c>
      <c r="K863">
        <v>1110</v>
      </c>
      <c r="L863">
        <v>40</v>
      </c>
      <c r="M863">
        <v>3</v>
      </c>
      <c r="N863">
        <v>9</v>
      </c>
      <c r="O863">
        <v>30</v>
      </c>
      <c r="P863">
        <v>562</v>
      </c>
      <c r="Q863" s="3">
        <v>5.2631578947368398</v>
      </c>
      <c r="R863">
        <v>1</v>
      </c>
      <c r="S863">
        <v>0</v>
      </c>
      <c r="U863">
        <v>-11.845288819875799</v>
      </c>
      <c r="V863">
        <v>-3.25</v>
      </c>
      <c r="W863">
        <v>-12.0652173913043</v>
      </c>
      <c r="X863">
        <v>-3.6</v>
      </c>
      <c r="Y863">
        <v>-1.5E-3</v>
      </c>
      <c r="Z863">
        <v>6</v>
      </c>
      <c r="AA863">
        <v>1.0714285714285701</v>
      </c>
    </row>
    <row r="864" spans="3:27" x14ac:dyDescent="0.2">
      <c r="C864" t="s">
        <v>58</v>
      </c>
      <c r="D864" t="s">
        <v>182</v>
      </c>
      <c r="E864">
        <v>420</v>
      </c>
      <c r="F864">
        <v>0</v>
      </c>
      <c r="G864">
        <v>27</v>
      </c>
      <c r="H864">
        <v>5</v>
      </c>
      <c r="I864">
        <v>0</v>
      </c>
      <c r="J864">
        <v>80</v>
      </c>
      <c r="K864">
        <v>850</v>
      </c>
      <c r="L864">
        <v>24</v>
      </c>
      <c r="M864">
        <v>1</v>
      </c>
      <c r="N864">
        <v>0</v>
      </c>
      <c r="O864">
        <v>22</v>
      </c>
      <c r="P864">
        <v>403</v>
      </c>
      <c r="Q864" s="3">
        <v>5.2380952380952399</v>
      </c>
      <c r="R864">
        <v>1</v>
      </c>
      <c r="S864">
        <v>0</v>
      </c>
      <c r="U864">
        <v>-5.7319875776397504</v>
      </c>
      <c r="V864">
        <v>-1.25</v>
      </c>
      <c r="W864">
        <v>-9.2391304347826093</v>
      </c>
      <c r="X864">
        <v>0</v>
      </c>
      <c r="Y864">
        <v>0</v>
      </c>
      <c r="Z864">
        <v>4.4000000000000004</v>
      </c>
      <c r="AA864">
        <v>0.35714285714285698</v>
      </c>
    </row>
    <row r="865" spans="3:27" x14ac:dyDescent="0.2">
      <c r="C865" t="s">
        <v>58</v>
      </c>
      <c r="D865" t="s">
        <v>186</v>
      </c>
      <c r="E865">
        <v>250</v>
      </c>
      <c r="F865">
        <v>0</v>
      </c>
      <c r="G865">
        <v>16</v>
      </c>
      <c r="H865">
        <v>3.5</v>
      </c>
      <c r="I865">
        <v>0</v>
      </c>
      <c r="J865">
        <v>50</v>
      </c>
      <c r="K865">
        <v>510</v>
      </c>
      <c r="L865">
        <v>14</v>
      </c>
      <c r="M865">
        <v>1</v>
      </c>
      <c r="N865">
        <v>0</v>
      </c>
      <c r="O865">
        <v>13</v>
      </c>
      <c r="P865">
        <v>241</v>
      </c>
      <c r="Q865" s="3">
        <v>5.2</v>
      </c>
      <c r="R865">
        <v>1</v>
      </c>
      <c r="S865">
        <v>0</v>
      </c>
      <c r="U865">
        <v>-3.4613354037267099</v>
      </c>
      <c r="V865">
        <v>-0.875</v>
      </c>
      <c r="W865">
        <v>-5.5434782608695699</v>
      </c>
      <c r="X865">
        <v>0</v>
      </c>
      <c r="Y865">
        <v>0</v>
      </c>
      <c r="Z865">
        <v>2.6</v>
      </c>
      <c r="AA865">
        <v>0.35714285714285698</v>
      </c>
    </row>
    <row r="866" spans="3:27" x14ac:dyDescent="0.2">
      <c r="C866" t="s">
        <v>58</v>
      </c>
      <c r="D866" t="s">
        <v>208</v>
      </c>
      <c r="E866">
        <v>380</v>
      </c>
      <c r="F866">
        <v>0</v>
      </c>
      <c r="G866">
        <v>22</v>
      </c>
      <c r="H866">
        <v>8</v>
      </c>
      <c r="I866">
        <v>1</v>
      </c>
      <c r="J866">
        <v>65</v>
      </c>
      <c r="K866">
        <v>680</v>
      </c>
      <c r="L866">
        <v>25</v>
      </c>
      <c r="M866">
        <v>1</v>
      </c>
      <c r="N866">
        <v>5</v>
      </c>
      <c r="O866">
        <v>19</v>
      </c>
      <c r="P866">
        <v>374</v>
      </c>
      <c r="Q866" s="3">
        <v>5</v>
      </c>
      <c r="R866">
        <v>1</v>
      </c>
      <c r="S866">
        <v>0</v>
      </c>
      <c r="U866">
        <v>-7.2351614906832298</v>
      </c>
      <c r="V866">
        <v>-2</v>
      </c>
      <c r="W866">
        <v>-7.3913043478260896</v>
      </c>
      <c r="X866">
        <v>-2</v>
      </c>
      <c r="Y866">
        <v>-1E-3</v>
      </c>
      <c r="Z866">
        <v>3.8</v>
      </c>
      <c r="AA866">
        <v>0.35714285714285698</v>
      </c>
    </row>
    <row r="867" spans="3:27" x14ac:dyDescent="0.2">
      <c r="C867" t="s">
        <v>58</v>
      </c>
      <c r="D867" t="s">
        <v>220</v>
      </c>
      <c r="E867">
        <v>370</v>
      </c>
      <c r="F867">
        <v>0</v>
      </c>
      <c r="G867">
        <v>20</v>
      </c>
      <c r="H867">
        <v>5</v>
      </c>
      <c r="I867">
        <v>0</v>
      </c>
      <c r="J867">
        <v>50</v>
      </c>
      <c r="K867">
        <v>850</v>
      </c>
      <c r="L867">
        <v>30</v>
      </c>
      <c r="M867">
        <v>2</v>
      </c>
      <c r="N867">
        <v>2</v>
      </c>
      <c r="O867">
        <v>18</v>
      </c>
      <c r="P867">
        <v>359</v>
      </c>
      <c r="Q867" s="3">
        <v>4.8648648648648596</v>
      </c>
      <c r="R867">
        <v>1</v>
      </c>
      <c r="S867">
        <v>0</v>
      </c>
      <c r="U867">
        <v>-6.9748447204968897</v>
      </c>
      <c r="V867">
        <v>-1.25</v>
      </c>
      <c r="W867">
        <v>-9.2391304347826093</v>
      </c>
      <c r="X867">
        <v>-0.8</v>
      </c>
      <c r="Y867">
        <v>0</v>
      </c>
      <c r="Z867">
        <v>3.6</v>
      </c>
      <c r="AA867">
        <v>0.71428571428571397</v>
      </c>
    </row>
    <row r="868" spans="3:27" x14ac:dyDescent="0.2">
      <c r="C868" t="s">
        <v>58</v>
      </c>
      <c r="D868" t="s">
        <v>223</v>
      </c>
      <c r="E868">
        <v>660</v>
      </c>
      <c r="F868">
        <v>0</v>
      </c>
      <c r="G868">
        <v>32</v>
      </c>
      <c r="H868">
        <v>13</v>
      </c>
      <c r="I868">
        <v>1</v>
      </c>
      <c r="J868">
        <v>85</v>
      </c>
      <c r="K868">
        <v>1820</v>
      </c>
      <c r="L868">
        <v>63</v>
      </c>
      <c r="M868">
        <v>10</v>
      </c>
      <c r="N868">
        <v>18</v>
      </c>
      <c r="O868">
        <v>32</v>
      </c>
      <c r="P868">
        <v>659</v>
      </c>
      <c r="Q868" s="3">
        <v>4.8484848484848504</v>
      </c>
      <c r="R868">
        <v>1</v>
      </c>
      <c r="S868">
        <v>0</v>
      </c>
      <c r="U868">
        <v>-20.262180124223601</v>
      </c>
      <c r="V868">
        <v>-3.25</v>
      </c>
      <c r="W868">
        <v>-19.7826086956522</v>
      </c>
      <c r="X868">
        <v>-7.2</v>
      </c>
      <c r="Y868">
        <v>-1E-3</v>
      </c>
      <c r="Z868">
        <v>6.4</v>
      </c>
      <c r="AA868">
        <v>3.5714285714285698</v>
      </c>
    </row>
    <row r="869" spans="3:27" x14ac:dyDescent="0.2">
      <c r="C869" t="s">
        <v>58</v>
      </c>
      <c r="D869" t="s">
        <v>233</v>
      </c>
      <c r="E869">
        <v>420</v>
      </c>
      <c r="F869">
        <v>0</v>
      </c>
      <c r="G869">
        <v>23</v>
      </c>
      <c r="H869">
        <v>6</v>
      </c>
      <c r="I869">
        <v>0</v>
      </c>
      <c r="J869">
        <v>50</v>
      </c>
      <c r="K869">
        <v>950</v>
      </c>
      <c r="L869">
        <v>35</v>
      </c>
      <c r="M869">
        <v>2</v>
      </c>
      <c r="N869">
        <v>5</v>
      </c>
      <c r="O869">
        <v>20</v>
      </c>
      <c r="P869">
        <v>411</v>
      </c>
      <c r="Q869" s="3">
        <v>4.7619047619047601</v>
      </c>
      <c r="R869">
        <v>1</v>
      </c>
      <c r="S869">
        <v>0</v>
      </c>
      <c r="U869">
        <v>-9.1118012422360195</v>
      </c>
      <c r="V869">
        <v>-1.5</v>
      </c>
      <c r="W869">
        <v>-10.326086956521699</v>
      </c>
      <c r="X869">
        <v>-2</v>
      </c>
      <c r="Y869">
        <v>0</v>
      </c>
      <c r="Z869">
        <v>4</v>
      </c>
      <c r="AA869">
        <v>0.71428571428571397</v>
      </c>
    </row>
    <row r="870" spans="3:27" x14ac:dyDescent="0.2">
      <c r="C870" t="s">
        <v>58</v>
      </c>
      <c r="D870" t="s">
        <v>238</v>
      </c>
      <c r="E870">
        <v>360</v>
      </c>
      <c r="F870">
        <v>0</v>
      </c>
      <c r="G870">
        <v>20</v>
      </c>
      <c r="H870">
        <v>8</v>
      </c>
      <c r="I870">
        <v>0</v>
      </c>
      <c r="J870">
        <v>210</v>
      </c>
      <c r="K870">
        <v>920</v>
      </c>
      <c r="L870">
        <v>29</v>
      </c>
      <c r="M870">
        <v>1</v>
      </c>
      <c r="N870">
        <v>2</v>
      </c>
      <c r="O870">
        <v>17</v>
      </c>
      <c r="P870">
        <v>353</v>
      </c>
      <c r="Q870" s="3">
        <v>4.7222222222222197</v>
      </c>
      <c r="R870">
        <v>1</v>
      </c>
      <c r="S870">
        <v>0</v>
      </c>
      <c r="U870">
        <v>-9.0428571428571392</v>
      </c>
      <c r="V870">
        <v>-2</v>
      </c>
      <c r="W870">
        <v>-10</v>
      </c>
      <c r="X870">
        <v>-0.8</v>
      </c>
      <c r="Y870">
        <v>0</v>
      </c>
      <c r="Z870">
        <v>3.4</v>
      </c>
      <c r="AA870">
        <v>0.35714285714285698</v>
      </c>
    </row>
    <row r="871" spans="3:27" x14ac:dyDescent="0.2">
      <c r="C871" t="s">
        <v>58</v>
      </c>
      <c r="D871" t="s">
        <v>239</v>
      </c>
      <c r="E871">
        <v>720</v>
      </c>
      <c r="F871">
        <v>0</v>
      </c>
      <c r="G871">
        <v>41</v>
      </c>
      <c r="H871">
        <v>16</v>
      </c>
      <c r="I871">
        <v>0</v>
      </c>
      <c r="J871">
        <v>420</v>
      </c>
      <c r="K871">
        <v>1830</v>
      </c>
      <c r="L871">
        <v>59</v>
      </c>
      <c r="M871">
        <v>2</v>
      </c>
      <c r="N871">
        <v>5</v>
      </c>
      <c r="O871">
        <v>34</v>
      </c>
      <c r="P871">
        <v>707</v>
      </c>
      <c r="Q871" s="3">
        <v>4.7222222222222197</v>
      </c>
      <c r="R871">
        <v>1</v>
      </c>
      <c r="S871">
        <v>1</v>
      </c>
      <c r="U871">
        <v>-18.377018633540398</v>
      </c>
      <c r="V871">
        <v>-4</v>
      </c>
      <c r="W871">
        <v>-19.8913043478261</v>
      </c>
      <c r="X871">
        <v>-2</v>
      </c>
      <c r="Y871">
        <v>0</v>
      </c>
      <c r="Z871">
        <v>6.8</v>
      </c>
      <c r="AA871">
        <v>0.71428571428571397</v>
      </c>
    </row>
    <row r="872" spans="3:27" x14ac:dyDescent="0.2">
      <c r="C872" t="s">
        <v>58</v>
      </c>
      <c r="D872" t="s">
        <v>242</v>
      </c>
      <c r="E872">
        <v>340</v>
      </c>
      <c r="F872">
        <v>0</v>
      </c>
      <c r="G872">
        <v>19</v>
      </c>
      <c r="H872">
        <v>7</v>
      </c>
      <c r="I872">
        <v>1</v>
      </c>
      <c r="J872">
        <v>55</v>
      </c>
      <c r="K872">
        <v>660</v>
      </c>
      <c r="L872">
        <v>27</v>
      </c>
      <c r="M872">
        <v>2</v>
      </c>
      <c r="N872">
        <v>7</v>
      </c>
      <c r="O872">
        <v>16</v>
      </c>
      <c r="P872">
        <v>338</v>
      </c>
      <c r="Q872" s="3">
        <v>4.7058823529411802</v>
      </c>
      <c r="R872">
        <v>1</v>
      </c>
      <c r="S872">
        <v>0</v>
      </c>
      <c r="U872">
        <v>-7.8106273291925499</v>
      </c>
      <c r="V872">
        <v>-1.75</v>
      </c>
      <c r="W872">
        <v>-7.1739130434782599</v>
      </c>
      <c r="X872">
        <v>-2.8</v>
      </c>
      <c r="Y872">
        <v>-1E-3</v>
      </c>
      <c r="Z872">
        <v>3.2</v>
      </c>
      <c r="AA872">
        <v>0.71428571428571397</v>
      </c>
    </row>
    <row r="873" spans="3:27" x14ac:dyDescent="0.2">
      <c r="C873" t="s">
        <v>58</v>
      </c>
      <c r="D873" t="s">
        <v>251</v>
      </c>
      <c r="E873">
        <v>150</v>
      </c>
      <c r="F873">
        <v>0</v>
      </c>
      <c r="G873">
        <v>2.5</v>
      </c>
      <c r="H873">
        <v>1.5</v>
      </c>
      <c r="I873">
        <v>0</v>
      </c>
      <c r="J873">
        <v>10</v>
      </c>
      <c r="K873">
        <v>170</v>
      </c>
      <c r="L873">
        <v>26</v>
      </c>
      <c r="M873">
        <v>0</v>
      </c>
      <c r="N873">
        <v>23</v>
      </c>
      <c r="O873">
        <v>7</v>
      </c>
      <c r="P873">
        <v>168</v>
      </c>
      <c r="Q873" s="3">
        <v>4.6666666666666696</v>
      </c>
      <c r="R873">
        <v>0</v>
      </c>
      <c r="S873">
        <v>0</v>
      </c>
      <c r="U873">
        <v>-10.022826086956499</v>
      </c>
      <c r="V873">
        <v>-0.375</v>
      </c>
      <c r="W873">
        <v>-1.84782608695652</v>
      </c>
      <c r="X873">
        <v>-9.1999999999999993</v>
      </c>
      <c r="Y873">
        <v>0</v>
      </c>
      <c r="Z873">
        <v>1.4</v>
      </c>
      <c r="AA873">
        <v>0</v>
      </c>
    </row>
    <row r="874" spans="3:27" x14ac:dyDescent="0.2">
      <c r="C874" t="s">
        <v>58</v>
      </c>
      <c r="D874" t="s">
        <v>299</v>
      </c>
      <c r="E874">
        <v>610</v>
      </c>
      <c r="F874">
        <v>0</v>
      </c>
      <c r="G874">
        <v>40</v>
      </c>
      <c r="H874">
        <v>15</v>
      </c>
      <c r="I874">
        <v>0</v>
      </c>
      <c r="J874">
        <v>290</v>
      </c>
      <c r="K874">
        <v>1400</v>
      </c>
      <c r="L874">
        <v>37</v>
      </c>
      <c r="M874">
        <v>2</v>
      </c>
      <c r="N874">
        <v>7</v>
      </c>
      <c r="O874">
        <v>27</v>
      </c>
      <c r="P874">
        <v>605</v>
      </c>
      <c r="Q874" s="3">
        <v>4.4262295081967196</v>
      </c>
      <c r="R874">
        <v>1</v>
      </c>
      <c r="S874">
        <v>0</v>
      </c>
      <c r="U874">
        <v>-15.653105590062101</v>
      </c>
      <c r="V874">
        <v>-3.75</v>
      </c>
      <c r="W874">
        <v>-15.2173913043478</v>
      </c>
      <c r="X874">
        <v>-2.8</v>
      </c>
      <c r="Y874">
        <v>0</v>
      </c>
      <c r="Z874">
        <v>5.4</v>
      </c>
      <c r="AA874">
        <v>0.71428571428571397</v>
      </c>
    </row>
    <row r="875" spans="3:27" x14ac:dyDescent="0.2">
      <c r="C875" t="s">
        <v>58</v>
      </c>
      <c r="D875" t="s">
        <v>305</v>
      </c>
      <c r="E875">
        <v>480</v>
      </c>
      <c r="F875">
        <v>0</v>
      </c>
      <c r="G875">
        <v>33</v>
      </c>
      <c r="H875">
        <v>13</v>
      </c>
      <c r="I875">
        <v>0</v>
      </c>
      <c r="J875">
        <v>275</v>
      </c>
      <c r="K875">
        <v>980</v>
      </c>
      <c r="L875">
        <v>27</v>
      </c>
      <c r="M875">
        <v>1</v>
      </c>
      <c r="N875">
        <v>4</v>
      </c>
      <c r="O875">
        <v>21</v>
      </c>
      <c r="P875">
        <v>476</v>
      </c>
      <c r="Q875" s="3">
        <v>4.375</v>
      </c>
      <c r="R875">
        <v>1</v>
      </c>
      <c r="S875">
        <v>0</v>
      </c>
      <c r="U875">
        <v>-10.9450310559006</v>
      </c>
      <c r="V875">
        <v>-3.25</v>
      </c>
      <c r="W875">
        <v>-10.6521739130435</v>
      </c>
      <c r="X875">
        <v>-1.6</v>
      </c>
      <c r="Y875">
        <v>0</v>
      </c>
      <c r="Z875">
        <v>4.2</v>
      </c>
      <c r="AA875">
        <v>0.35714285714285698</v>
      </c>
    </row>
    <row r="876" spans="3:27" x14ac:dyDescent="0.2">
      <c r="C876" t="s">
        <v>58</v>
      </c>
      <c r="D876" t="s">
        <v>333</v>
      </c>
      <c r="E876">
        <v>330</v>
      </c>
      <c r="F876">
        <v>0</v>
      </c>
      <c r="G876">
        <v>16</v>
      </c>
      <c r="H876">
        <v>3</v>
      </c>
      <c r="I876">
        <v>0</v>
      </c>
      <c r="J876">
        <v>30</v>
      </c>
      <c r="K876">
        <v>600</v>
      </c>
      <c r="L876">
        <v>33</v>
      </c>
      <c r="M876">
        <v>2</v>
      </c>
      <c r="N876">
        <v>4</v>
      </c>
      <c r="O876">
        <v>14</v>
      </c>
      <c r="P876">
        <v>323</v>
      </c>
      <c r="Q876" s="3">
        <v>4.2424242424242404</v>
      </c>
      <c r="R876">
        <v>1</v>
      </c>
      <c r="S876">
        <v>0</v>
      </c>
      <c r="U876">
        <v>-5.3574534161490703</v>
      </c>
      <c r="V876">
        <v>-0.75</v>
      </c>
      <c r="W876">
        <v>-6.5217391304347796</v>
      </c>
      <c r="X876">
        <v>-1.6</v>
      </c>
      <c r="Y876">
        <v>0</v>
      </c>
      <c r="Z876">
        <v>2.8</v>
      </c>
      <c r="AA876">
        <v>0.71428571428571397</v>
      </c>
    </row>
    <row r="877" spans="3:27" x14ac:dyDescent="0.2">
      <c r="C877" t="s">
        <v>58</v>
      </c>
      <c r="D877" t="s">
        <v>347</v>
      </c>
      <c r="E877">
        <v>460</v>
      </c>
      <c r="F877">
        <v>0</v>
      </c>
      <c r="G877">
        <v>11</v>
      </c>
      <c r="H877">
        <v>5</v>
      </c>
      <c r="I877">
        <v>0</v>
      </c>
      <c r="J877">
        <v>35</v>
      </c>
      <c r="K877">
        <v>710</v>
      </c>
      <c r="L877">
        <v>71</v>
      </c>
      <c r="M877">
        <v>8</v>
      </c>
      <c r="N877">
        <v>7</v>
      </c>
      <c r="O877">
        <v>19</v>
      </c>
      <c r="P877">
        <v>453</v>
      </c>
      <c r="Q877" s="3">
        <v>4.1304347826086998</v>
      </c>
      <c r="R877">
        <v>1</v>
      </c>
      <c r="S877">
        <v>0</v>
      </c>
      <c r="U877">
        <v>-5.1102484472049703</v>
      </c>
      <c r="V877">
        <v>-1.25</v>
      </c>
      <c r="W877">
        <v>-7.7173913043478297</v>
      </c>
      <c r="X877">
        <v>-2.8</v>
      </c>
      <c r="Y877">
        <v>0</v>
      </c>
      <c r="Z877">
        <v>3.8</v>
      </c>
      <c r="AA877">
        <v>2.8571428571428599</v>
      </c>
    </row>
    <row r="878" spans="3:27" x14ac:dyDescent="0.2">
      <c r="C878" t="s">
        <v>58</v>
      </c>
      <c r="D878" t="s">
        <v>367</v>
      </c>
      <c r="E878">
        <v>470</v>
      </c>
      <c r="F878">
        <v>0</v>
      </c>
      <c r="G878">
        <v>23</v>
      </c>
      <c r="H878">
        <v>8</v>
      </c>
      <c r="I878">
        <v>0.5</v>
      </c>
      <c r="J878">
        <v>45</v>
      </c>
      <c r="K878">
        <v>1320</v>
      </c>
      <c r="L878">
        <v>49</v>
      </c>
      <c r="M878">
        <v>7</v>
      </c>
      <c r="N878">
        <v>12</v>
      </c>
      <c r="O878">
        <v>19</v>
      </c>
      <c r="P878">
        <v>471</v>
      </c>
      <c r="Q878" s="3">
        <v>4.0425531914893602</v>
      </c>
      <c r="R878">
        <v>1</v>
      </c>
      <c r="S878">
        <v>0</v>
      </c>
      <c r="U878">
        <v>-14.848326086956501</v>
      </c>
      <c r="V878">
        <v>-2</v>
      </c>
      <c r="W878">
        <v>-14.3478260869565</v>
      </c>
      <c r="X878">
        <v>-4.8</v>
      </c>
      <c r="Y878">
        <v>-5.0000000000000001E-4</v>
      </c>
      <c r="Z878">
        <v>3.8</v>
      </c>
      <c r="AA878">
        <v>2.5</v>
      </c>
    </row>
    <row r="879" spans="3:27" x14ac:dyDescent="0.2">
      <c r="C879" t="s">
        <v>58</v>
      </c>
      <c r="D879" t="s">
        <v>396</v>
      </c>
      <c r="E879">
        <v>440</v>
      </c>
      <c r="F879">
        <v>0</v>
      </c>
      <c r="G879">
        <v>14</v>
      </c>
      <c r="H879">
        <v>6</v>
      </c>
      <c r="I879">
        <v>0</v>
      </c>
      <c r="J879">
        <v>35</v>
      </c>
      <c r="K879">
        <v>550</v>
      </c>
      <c r="L879">
        <v>64</v>
      </c>
      <c r="M879">
        <v>7</v>
      </c>
      <c r="N879">
        <v>4</v>
      </c>
      <c r="O879">
        <v>17</v>
      </c>
      <c r="P879">
        <v>433</v>
      </c>
      <c r="Q879" s="3">
        <v>3.8636363636363602</v>
      </c>
      <c r="R879">
        <v>1</v>
      </c>
      <c r="S879">
        <v>0</v>
      </c>
      <c r="U879">
        <v>-3.1782608695652201</v>
      </c>
      <c r="V879">
        <v>-1.5</v>
      </c>
      <c r="W879">
        <v>-5.9782608695652204</v>
      </c>
      <c r="X879">
        <v>-1.6</v>
      </c>
      <c r="Y879">
        <v>0</v>
      </c>
      <c r="Z879">
        <v>3.4</v>
      </c>
      <c r="AA879">
        <v>2.5</v>
      </c>
    </row>
    <row r="880" spans="3:27" x14ac:dyDescent="0.2">
      <c r="C880" t="s">
        <v>58</v>
      </c>
      <c r="D880" t="s">
        <v>405</v>
      </c>
      <c r="E880">
        <v>500</v>
      </c>
      <c r="F880">
        <v>0</v>
      </c>
      <c r="G880">
        <v>26</v>
      </c>
      <c r="H880">
        <v>12</v>
      </c>
      <c r="I880">
        <v>0</v>
      </c>
      <c r="J880">
        <v>50</v>
      </c>
      <c r="K880">
        <v>1120</v>
      </c>
      <c r="L880">
        <v>48</v>
      </c>
      <c r="M880">
        <v>1</v>
      </c>
      <c r="N880">
        <v>9</v>
      </c>
      <c r="O880">
        <v>19</v>
      </c>
      <c r="P880">
        <v>502</v>
      </c>
      <c r="Q880" s="3">
        <v>3.8</v>
      </c>
      <c r="R880">
        <v>1</v>
      </c>
      <c r="S880">
        <v>0</v>
      </c>
      <c r="U880">
        <v>-14.616770186335399</v>
      </c>
      <c r="V880">
        <v>-3</v>
      </c>
      <c r="W880">
        <v>-12.173913043478301</v>
      </c>
      <c r="X880">
        <v>-3.6</v>
      </c>
      <c r="Y880">
        <v>0</v>
      </c>
      <c r="Z880">
        <v>3.8</v>
      </c>
      <c r="AA880">
        <v>0.35714285714285698</v>
      </c>
    </row>
    <row r="881" spans="3:27" x14ac:dyDescent="0.2">
      <c r="C881" t="s">
        <v>58</v>
      </c>
      <c r="D881" t="s">
        <v>414</v>
      </c>
      <c r="E881">
        <v>510</v>
      </c>
      <c r="F881">
        <v>0</v>
      </c>
      <c r="G881">
        <v>28</v>
      </c>
      <c r="H881">
        <v>9</v>
      </c>
      <c r="I881">
        <v>0</v>
      </c>
      <c r="J881">
        <v>245</v>
      </c>
      <c r="K881">
        <v>1390</v>
      </c>
      <c r="L881">
        <v>44</v>
      </c>
      <c r="M881">
        <v>4</v>
      </c>
      <c r="N881">
        <v>2</v>
      </c>
      <c r="O881">
        <v>19</v>
      </c>
      <c r="P881">
        <v>502</v>
      </c>
      <c r="Q881" s="3">
        <v>3.7254901960784301</v>
      </c>
      <c r="R881">
        <v>1</v>
      </c>
      <c r="S881">
        <v>0</v>
      </c>
      <c r="U881">
        <v>-12.930124223602499</v>
      </c>
      <c r="V881">
        <v>-2.25</v>
      </c>
      <c r="W881">
        <v>-15.1086956521739</v>
      </c>
      <c r="X881">
        <v>-0.8</v>
      </c>
      <c r="Y881">
        <v>0</v>
      </c>
      <c r="Z881">
        <v>3.8</v>
      </c>
      <c r="AA881">
        <v>1.4285714285714299</v>
      </c>
    </row>
    <row r="882" spans="3:27" x14ac:dyDescent="0.2">
      <c r="C882" t="s">
        <v>58</v>
      </c>
      <c r="D882" t="s">
        <v>424</v>
      </c>
      <c r="E882">
        <v>410</v>
      </c>
      <c r="F882">
        <v>0</v>
      </c>
      <c r="G882">
        <v>24</v>
      </c>
      <c r="H882">
        <v>13</v>
      </c>
      <c r="I882">
        <v>0</v>
      </c>
      <c r="J882">
        <v>235</v>
      </c>
      <c r="K882">
        <v>970</v>
      </c>
      <c r="L882">
        <v>34</v>
      </c>
      <c r="M882">
        <v>1</v>
      </c>
      <c r="N882">
        <v>5</v>
      </c>
      <c r="O882">
        <v>15</v>
      </c>
      <c r="P882">
        <v>413</v>
      </c>
      <c r="Q882" s="3">
        <v>3.6585365853658498</v>
      </c>
      <c r="R882">
        <v>1</v>
      </c>
      <c r="S882">
        <v>0</v>
      </c>
      <c r="U882">
        <v>-12.4363354037267</v>
      </c>
      <c r="V882">
        <v>-3.25</v>
      </c>
      <c r="W882">
        <v>-10.5434782608696</v>
      </c>
      <c r="X882">
        <v>-2</v>
      </c>
      <c r="Y882">
        <v>0</v>
      </c>
      <c r="Z882">
        <v>3</v>
      </c>
      <c r="AA882">
        <v>0.35714285714285698</v>
      </c>
    </row>
    <row r="883" spans="3:27" x14ac:dyDescent="0.2">
      <c r="C883" t="s">
        <v>58</v>
      </c>
      <c r="D883" t="s">
        <v>443</v>
      </c>
      <c r="E883">
        <v>590</v>
      </c>
      <c r="F883">
        <v>0</v>
      </c>
      <c r="G883">
        <v>41</v>
      </c>
      <c r="H883">
        <v>19</v>
      </c>
      <c r="I883">
        <v>0</v>
      </c>
      <c r="J883">
        <v>270</v>
      </c>
      <c r="K883">
        <v>1270</v>
      </c>
      <c r="L883">
        <v>36</v>
      </c>
      <c r="M883">
        <v>1</v>
      </c>
      <c r="N883">
        <v>6</v>
      </c>
      <c r="O883">
        <v>20</v>
      </c>
      <c r="P883">
        <v>595</v>
      </c>
      <c r="Q883" s="3">
        <v>3.3898305084745801</v>
      </c>
      <c r="R883">
        <v>1</v>
      </c>
      <c r="S883">
        <v>0</v>
      </c>
      <c r="U883">
        <v>-16.597204968944101</v>
      </c>
      <c r="V883">
        <v>-4.75</v>
      </c>
      <c r="W883">
        <v>-13.804347826087</v>
      </c>
      <c r="X883">
        <v>-2.4</v>
      </c>
      <c r="Y883">
        <v>0</v>
      </c>
      <c r="Z883">
        <v>4</v>
      </c>
      <c r="AA883">
        <v>0.35714285714285698</v>
      </c>
    </row>
    <row r="884" spans="3:27" x14ac:dyDescent="0.2">
      <c r="C884" t="s">
        <v>58</v>
      </c>
      <c r="D884" t="s">
        <v>81</v>
      </c>
      <c r="E884">
        <v>240</v>
      </c>
      <c r="F884">
        <v>0</v>
      </c>
      <c r="G884">
        <v>15</v>
      </c>
      <c r="H884">
        <v>4</v>
      </c>
      <c r="I884">
        <v>0</v>
      </c>
      <c r="J884">
        <v>30</v>
      </c>
      <c r="K884">
        <v>500</v>
      </c>
      <c r="L884">
        <v>19</v>
      </c>
      <c r="M884">
        <v>3</v>
      </c>
      <c r="N884">
        <v>4</v>
      </c>
      <c r="O884">
        <v>8</v>
      </c>
      <c r="P884">
        <v>240</v>
      </c>
      <c r="Q884" s="3">
        <v>3.3333333333333299</v>
      </c>
      <c r="R884">
        <v>1</v>
      </c>
      <c r="S884">
        <v>0</v>
      </c>
      <c r="U884">
        <v>-5.3633540372670803</v>
      </c>
      <c r="V884">
        <v>-1</v>
      </c>
      <c r="W884">
        <v>-5.4347826086956497</v>
      </c>
      <c r="X884">
        <v>-1.6</v>
      </c>
      <c r="Y884">
        <v>0</v>
      </c>
      <c r="Z884">
        <v>1.6</v>
      </c>
      <c r="AA884">
        <v>1.0714285714285701</v>
      </c>
    </row>
    <row r="885" spans="3:27" x14ac:dyDescent="0.2">
      <c r="C885" t="s">
        <v>58</v>
      </c>
      <c r="D885" t="s">
        <v>459</v>
      </c>
      <c r="E885">
        <v>640</v>
      </c>
      <c r="F885">
        <v>0</v>
      </c>
      <c r="G885">
        <v>42</v>
      </c>
      <c r="H885">
        <v>14</v>
      </c>
      <c r="I885">
        <v>0</v>
      </c>
      <c r="J885">
        <v>270</v>
      </c>
      <c r="K885">
        <v>1540</v>
      </c>
      <c r="L885">
        <v>46</v>
      </c>
      <c r="M885">
        <v>4</v>
      </c>
      <c r="N885">
        <v>3</v>
      </c>
      <c r="O885">
        <v>21</v>
      </c>
      <c r="P885">
        <v>636</v>
      </c>
      <c r="Q885" s="3">
        <v>3.28125</v>
      </c>
      <c r="R885">
        <v>1</v>
      </c>
      <c r="S885">
        <v>0</v>
      </c>
      <c r="U885">
        <v>-15.8105590062112</v>
      </c>
      <c r="V885">
        <v>-3.5</v>
      </c>
      <c r="W885">
        <v>-16.739130434782599</v>
      </c>
      <c r="X885">
        <v>-1.2</v>
      </c>
      <c r="Y885">
        <v>0</v>
      </c>
      <c r="Z885">
        <v>4.2</v>
      </c>
      <c r="AA885">
        <v>1.4285714285714299</v>
      </c>
    </row>
    <row r="886" spans="3:27" x14ac:dyDescent="0.2">
      <c r="C886" t="s">
        <v>58</v>
      </c>
      <c r="D886" t="s">
        <v>460</v>
      </c>
      <c r="E886">
        <v>430</v>
      </c>
      <c r="F886">
        <v>0</v>
      </c>
      <c r="G886">
        <v>13</v>
      </c>
      <c r="H886">
        <v>7</v>
      </c>
      <c r="I886">
        <v>0</v>
      </c>
      <c r="J886">
        <v>30</v>
      </c>
      <c r="K886">
        <v>560</v>
      </c>
      <c r="L886">
        <v>65</v>
      </c>
      <c r="M886">
        <v>7</v>
      </c>
      <c r="N886">
        <v>5</v>
      </c>
      <c r="O886">
        <v>14</v>
      </c>
      <c r="P886">
        <v>428</v>
      </c>
      <c r="Q886" s="3">
        <v>3.2558139534883699</v>
      </c>
      <c r="R886">
        <v>1</v>
      </c>
      <c r="S886">
        <v>0</v>
      </c>
      <c r="U886">
        <v>-4.5369565217391301</v>
      </c>
      <c r="V886">
        <v>-1.75</v>
      </c>
      <c r="W886">
        <v>-6.0869565217391299</v>
      </c>
      <c r="X886">
        <v>-2</v>
      </c>
      <c r="Y886">
        <v>0</v>
      </c>
      <c r="Z886">
        <v>2.8</v>
      </c>
      <c r="AA886">
        <v>2.5</v>
      </c>
    </row>
    <row r="887" spans="3:27" x14ac:dyDescent="0.2">
      <c r="C887" t="s">
        <v>58</v>
      </c>
      <c r="D887" t="s">
        <v>465</v>
      </c>
      <c r="E887">
        <v>500</v>
      </c>
      <c r="F887">
        <v>0</v>
      </c>
      <c r="G887">
        <v>25</v>
      </c>
      <c r="H887">
        <v>8</v>
      </c>
      <c r="I887">
        <v>0.5</v>
      </c>
      <c r="J887">
        <v>35</v>
      </c>
      <c r="K887">
        <v>710</v>
      </c>
      <c r="L887">
        <v>53</v>
      </c>
      <c r="M887">
        <v>6</v>
      </c>
      <c r="N887">
        <v>4</v>
      </c>
      <c r="O887">
        <v>16</v>
      </c>
      <c r="P887">
        <v>496</v>
      </c>
      <c r="Q887" s="3">
        <v>3.2</v>
      </c>
      <c r="R887">
        <v>1</v>
      </c>
      <c r="S887">
        <v>0</v>
      </c>
      <c r="U887">
        <v>-5.9750341614906803</v>
      </c>
      <c r="V887">
        <v>-2</v>
      </c>
      <c r="W887">
        <v>-7.7173913043478297</v>
      </c>
      <c r="X887">
        <v>-1.6</v>
      </c>
      <c r="Y887">
        <v>-5.0000000000000001E-4</v>
      </c>
      <c r="Z887">
        <v>3.2</v>
      </c>
      <c r="AA887">
        <v>2.1428571428571401</v>
      </c>
    </row>
    <row r="888" spans="3:27" x14ac:dyDescent="0.2">
      <c r="C888" t="s">
        <v>58</v>
      </c>
      <c r="D888" t="s">
        <v>496</v>
      </c>
      <c r="E888">
        <v>100</v>
      </c>
      <c r="F888">
        <v>0</v>
      </c>
      <c r="G888">
        <v>8</v>
      </c>
      <c r="H888">
        <v>5</v>
      </c>
      <c r="I888">
        <v>0</v>
      </c>
      <c r="J888">
        <v>25</v>
      </c>
      <c r="K888">
        <v>45</v>
      </c>
      <c r="L888">
        <v>14</v>
      </c>
      <c r="M888">
        <v>0</v>
      </c>
      <c r="N888">
        <v>0</v>
      </c>
      <c r="O888">
        <v>3</v>
      </c>
      <c r="P888">
        <v>102</v>
      </c>
      <c r="Q888" s="3">
        <v>3</v>
      </c>
      <c r="R888">
        <v>0</v>
      </c>
      <c r="S888">
        <v>0</v>
      </c>
      <c r="U888">
        <v>-1.1391304347826099</v>
      </c>
      <c r="V888">
        <v>-1.25</v>
      </c>
      <c r="W888">
        <v>-0.48913043478260898</v>
      </c>
      <c r="X888">
        <v>0</v>
      </c>
      <c r="Y888">
        <v>0</v>
      </c>
      <c r="Z888">
        <v>0.6</v>
      </c>
      <c r="AA888">
        <v>0</v>
      </c>
    </row>
    <row r="889" spans="3:27" x14ac:dyDescent="0.2">
      <c r="C889" t="s">
        <v>58</v>
      </c>
      <c r="D889" t="s">
        <v>497</v>
      </c>
      <c r="E889">
        <v>200</v>
      </c>
      <c r="F889">
        <v>0</v>
      </c>
      <c r="G889">
        <v>5</v>
      </c>
      <c r="H889">
        <v>3</v>
      </c>
      <c r="I889">
        <v>0</v>
      </c>
      <c r="J889">
        <v>20</v>
      </c>
      <c r="K889">
        <v>90</v>
      </c>
      <c r="L889">
        <v>33</v>
      </c>
      <c r="M889">
        <v>0</v>
      </c>
      <c r="N889">
        <v>27</v>
      </c>
      <c r="O889">
        <v>6</v>
      </c>
      <c r="P889">
        <v>224</v>
      </c>
      <c r="Q889" s="3">
        <v>3</v>
      </c>
      <c r="R889">
        <v>0</v>
      </c>
      <c r="S889">
        <v>0</v>
      </c>
      <c r="U889">
        <v>-11.328260869565201</v>
      </c>
      <c r="V889">
        <v>-0.75</v>
      </c>
      <c r="W889">
        <v>-0.97826086956521796</v>
      </c>
      <c r="X889">
        <v>-10.8</v>
      </c>
      <c r="Y889">
        <v>0</v>
      </c>
      <c r="Z889">
        <v>1.2</v>
      </c>
      <c r="AA889">
        <v>0</v>
      </c>
    </row>
    <row r="890" spans="3:27" x14ac:dyDescent="0.2">
      <c r="C890" t="s">
        <v>58</v>
      </c>
      <c r="D890" t="s">
        <v>504</v>
      </c>
      <c r="E890">
        <v>590</v>
      </c>
      <c r="F890">
        <v>0</v>
      </c>
      <c r="G890">
        <v>15</v>
      </c>
      <c r="H890">
        <v>10</v>
      </c>
      <c r="I890">
        <v>0.5</v>
      </c>
      <c r="J890">
        <v>60</v>
      </c>
      <c r="K890">
        <v>260</v>
      </c>
      <c r="L890">
        <v>99</v>
      </c>
      <c r="M890">
        <v>0</v>
      </c>
      <c r="N890">
        <v>81</v>
      </c>
      <c r="O890">
        <v>17</v>
      </c>
      <c r="P890">
        <v>664</v>
      </c>
      <c r="Q890" s="3">
        <v>2.8813559322033901</v>
      </c>
      <c r="R890">
        <v>0</v>
      </c>
      <c r="S890">
        <v>0</v>
      </c>
      <c r="U890">
        <v>-34.326586956521801</v>
      </c>
      <c r="V890">
        <v>-2.5</v>
      </c>
      <c r="W890">
        <v>-2.8260869565217401</v>
      </c>
      <c r="X890">
        <v>-32.4</v>
      </c>
      <c r="Y890">
        <v>-5.0000000000000001E-4</v>
      </c>
      <c r="Z890">
        <v>3.4</v>
      </c>
      <c r="AA890">
        <v>0</v>
      </c>
    </row>
    <row r="891" spans="3:27" x14ac:dyDescent="0.2">
      <c r="C891" t="s">
        <v>58</v>
      </c>
      <c r="D891" t="s">
        <v>510</v>
      </c>
      <c r="E891">
        <v>490</v>
      </c>
      <c r="F891">
        <v>0</v>
      </c>
      <c r="G891">
        <v>28</v>
      </c>
      <c r="H891">
        <v>9</v>
      </c>
      <c r="I891">
        <v>0</v>
      </c>
      <c r="J891">
        <v>35</v>
      </c>
      <c r="K891">
        <v>550</v>
      </c>
      <c r="L891">
        <v>45</v>
      </c>
      <c r="M891">
        <v>4</v>
      </c>
      <c r="N891">
        <v>2</v>
      </c>
      <c r="O891">
        <v>14</v>
      </c>
      <c r="P891">
        <v>487</v>
      </c>
      <c r="Q891" s="3">
        <v>2.8571428571428599</v>
      </c>
      <c r="R891">
        <v>1</v>
      </c>
      <c r="S891">
        <v>0</v>
      </c>
      <c r="U891">
        <v>-4.7996894409937898</v>
      </c>
      <c r="V891">
        <v>-2.25</v>
      </c>
      <c r="W891">
        <v>-5.9782608695652204</v>
      </c>
      <c r="X891">
        <v>-0.8</v>
      </c>
      <c r="Y891">
        <v>0</v>
      </c>
      <c r="Z891">
        <v>2.8</v>
      </c>
      <c r="AA891">
        <v>1.4285714285714299</v>
      </c>
    </row>
    <row r="892" spans="3:27" x14ac:dyDescent="0.2">
      <c r="C892" t="s">
        <v>58</v>
      </c>
      <c r="D892" t="s">
        <v>511</v>
      </c>
      <c r="E892">
        <v>70</v>
      </c>
      <c r="F892">
        <v>0</v>
      </c>
      <c r="G892">
        <v>5</v>
      </c>
      <c r="H892">
        <v>3.5</v>
      </c>
      <c r="I892">
        <v>0</v>
      </c>
      <c r="J892">
        <v>15</v>
      </c>
      <c r="K892">
        <v>30</v>
      </c>
      <c r="L892">
        <v>6</v>
      </c>
      <c r="M892">
        <v>0</v>
      </c>
      <c r="N892">
        <v>0</v>
      </c>
      <c r="O892">
        <v>2</v>
      </c>
      <c r="P892">
        <v>72</v>
      </c>
      <c r="Q892" s="3">
        <v>2.8571428571428599</v>
      </c>
      <c r="R892">
        <v>0</v>
      </c>
      <c r="S892">
        <v>0</v>
      </c>
      <c r="U892">
        <v>-0.801086956521739</v>
      </c>
      <c r="V892">
        <v>-0.875</v>
      </c>
      <c r="W892">
        <v>-0.32608695652173902</v>
      </c>
      <c r="X892">
        <v>0</v>
      </c>
      <c r="Y892">
        <v>0</v>
      </c>
      <c r="Z892">
        <v>0.4</v>
      </c>
      <c r="AA892">
        <v>0</v>
      </c>
    </row>
    <row r="893" spans="3:27" x14ac:dyDescent="0.2">
      <c r="C893" t="s">
        <v>58</v>
      </c>
      <c r="D893" t="s">
        <v>512</v>
      </c>
      <c r="E893">
        <v>350</v>
      </c>
      <c r="F893">
        <v>0</v>
      </c>
      <c r="G893">
        <v>9</v>
      </c>
      <c r="H893">
        <v>6</v>
      </c>
      <c r="I893">
        <v>0</v>
      </c>
      <c r="J893">
        <v>35</v>
      </c>
      <c r="K893">
        <v>150</v>
      </c>
      <c r="L893">
        <v>58</v>
      </c>
      <c r="M893">
        <v>0</v>
      </c>
      <c r="N893">
        <v>47</v>
      </c>
      <c r="O893">
        <v>10</v>
      </c>
      <c r="P893">
        <v>393</v>
      </c>
      <c r="Q893" s="3">
        <v>2.8571428571428599</v>
      </c>
      <c r="R893">
        <v>0</v>
      </c>
      <c r="S893">
        <v>0</v>
      </c>
      <c r="U893">
        <v>-19.9304347826087</v>
      </c>
      <c r="V893">
        <v>-1.5</v>
      </c>
      <c r="W893">
        <v>-1.6304347826087</v>
      </c>
      <c r="X893">
        <v>-18.8</v>
      </c>
      <c r="Y893">
        <v>0</v>
      </c>
      <c r="Z893">
        <v>2</v>
      </c>
      <c r="AA893">
        <v>0</v>
      </c>
    </row>
    <row r="894" spans="3:27" x14ac:dyDescent="0.2">
      <c r="C894" t="s">
        <v>58</v>
      </c>
      <c r="D894" t="s">
        <v>518</v>
      </c>
      <c r="E894">
        <v>250</v>
      </c>
      <c r="F894">
        <v>0</v>
      </c>
      <c r="G894">
        <v>18</v>
      </c>
      <c r="H894">
        <v>4</v>
      </c>
      <c r="I894">
        <v>0</v>
      </c>
      <c r="J894">
        <v>20</v>
      </c>
      <c r="K894">
        <v>460</v>
      </c>
      <c r="L894">
        <v>18</v>
      </c>
      <c r="M894">
        <v>2</v>
      </c>
      <c r="N894">
        <v>4</v>
      </c>
      <c r="O894">
        <v>7</v>
      </c>
      <c r="P894">
        <v>251</v>
      </c>
      <c r="Q894" s="3">
        <v>2.8</v>
      </c>
      <c r="R894">
        <v>0</v>
      </c>
      <c r="S894">
        <v>0</v>
      </c>
      <c r="U894">
        <v>-5.4857142857142804</v>
      </c>
      <c r="V894">
        <v>-1</v>
      </c>
      <c r="W894">
        <v>-5</v>
      </c>
      <c r="X894">
        <v>-1.6</v>
      </c>
      <c r="Y894">
        <v>0</v>
      </c>
      <c r="Z894">
        <v>1.4</v>
      </c>
      <c r="AA894">
        <v>0.71428571428571397</v>
      </c>
    </row>
    <row r="895" spans="3:27" x14ac:dyDescent="0.2">
      <c r="C895" t="s">
        <v>58</v>
      </c>
      <c r="D895" t="s">
        <v>526</v>
      </c>
      <c r="E895">
        <v>470</v>
      </c>
      <c r="F895">
        <v>0</v>
      </c>
      <c r="G895">
        <v>12</v>
      </c>
      <c r="H895">
        <v>8</v>
      </c>
      <c r="I895">
        <v>0.5</v>
      </c>
      <c r="J895">
        <v>50</v>
      </c>
      <c r="K895">
        <v>210</v>
      </c>
      <c r="L895">
        <v>79</v>
      </c>
      <c r="M895">
        <v>0</v>
      </c>
      <c r="N895">
        <v>65</v>
      </c>
      <c r="O895">
        <v>13</v>
      </c>
      <c r="P895">
        <v>530</v>
      </c>
      <c r="Q895" s="3">
        <v>2.76595744680851</v>
      </c>
      <c r="R895">
        <v>0</v>
      </c>
      <c r="S895">
        <v>0</v>
      </c>
      <c r="U895">
        <v>-27.683108695652201</v>
      </c>
      <c r="V895">
        <v>-2</v>
      </c>
      <c r="W895">
        <v>-2.2826086956521698</v>
      </c>
      <c r="X895">
        <v>-26</v>
      </c>
      <c r="Y895">
        <v>-5.0000000000000001E-4</v>
      </c>
      <c r="Z895">
        <v>2.6</v>
      </c>
      <c r="AA895">
        <v>0</v>
      </c>
    </row>
    <row r="896" spans="3:27" x14ac:dyDescent="0.2">
      <c r="C896" t="s">
        <v>58</v>
      </c>
      <c r="D896" t="s">
        <v>536</v>
      </c>
      <c r="E896">
        <v>450</v>
      </c>
      <c r="F896">
        <v>0</v>
      </c>
      <c r="G896">
        <v>12</v>
      </c>
      <c r="H896">
        <v>8</v>
      </c>
      <c r="I896">
        <v>0.5</v>
      </c>
      <c r="J896">
        <v>55</v>
      </c>
      <c r="K896">
        <v>210</v>
      </c>
      <c r="L896">
        <v>75</v>
      </c>
      <c r="M896">
        <v>0</v>
      </c>
      <c r="N896">
        <v>63</v>
      </c>
      <c r="O896">
        <v>12</v>
      </c>
      <c r="P896">
        <v>509</v>
      </c>
      <c r="Q896" s="3">
        <v>2.6666666666666701</v>
      </c>
      <c r="R896">
        <v>0</v>
      </c>
      <c r="S896">
        <v>0</v>
      </c>
      <c r="U896">
        <v>-27.0831086956522</v>
      </c>
      <c r="V896">
        <v>-2</v>
      </c>
      <c r="W896">
        <v>-2.2826086956521698</v>
      </c>
      <c r="X896">
        <v>-25.2</v>
      </c>
      <c r="Y896">
        <v>-5.0000000000000001E-4</v>
      </c>
      <c r="Z896">
        <v>2.4</v>
      </c>
      <c r="AA896">
        <v>0</v>
      </c>
    </row>
    <row r="897" spans="3:27" x14ac:dyDescent="0.2">
      <c r="C897" t="s">
        <v>58</v>
      </c>
      <c r="D897" t="s">
        <v>537</v>
      </c>
      <c r="E897">
        <v>450</v>
      </c>
      <c r="F897">
        <v>0</v>
      </c>
      <c r="G897">
        <v>22</v>
      </c>
      <c r="H897">
        <v>6</v>
      </c>
      <c r="I897">
        <v>0</v>
      </c>
      <c r="J897">
        <v>220</v>
      </c>
      <c r="K897">
        <v>1260</v>
      </c>
      <c r="L897">
        <v>50</v>
      </c>
      <c r="M897">
        <v>4</v>
      </c>
      <c r="N897">
        <v>2</v>
      </c>
      <c r="O897">
        <v>12</v>
      </c>
      <c r="P897">
        <v>446</v>
      </c>
      <c r="Q897" s="3">
        <v>2.6666666666666701</v>
      </c>
      <c r="R897">
        <v>1</v>
      </c>
      <c r="S897">
        <v>0</v>
      </c>
      <c r="U897">
        <v>-12.1670807453416</v>
      </c>
      <c r="V897">
        <v>-1.5</v>
      </c>
      <c r="W897">
        <v>-13.695652173913</v>
      </c>
      <c r="X897">
        <v>-0.8</v>
      </c>
      <c r="Y897">
        <v>0</v>
      </c>
      <c r="Z897">
        <v>2.4</v>
      </c>
      <c r="AA897">
        <v>1.4285714285714299</v>
      </c>
    </row>
    <row r="898" spans="3:27" x14ac:dyDescent="0.2">
      <c r="C898" t="s">
        <v>58</v>
      </c>
      <c r="D898" t="s">
        <v>538</v>
      </c>
      <c r="E898">
        <v>340</v>
      </c>
      <c r="F898">
        <v>0</v>
      </c>
      <c r="G898">
        <v>9</v>
      </c>
      <c r="H898">
        <v>6</v>
      </c>
      <c r="I898">
        <v>0</v>
      </c>
      <c r="J898">
        <v>45</v>
      </c>
      <c r="K898">
        <v>160</v>
      </c>
      <c r="L898">
        <v>56</v>
      </c>
      <c r="M898">
        <v>0</v>
      </c>
      <c r="N898">
        <v>47</v>
      </c>
      <c r="O898">
        <v>9</v>
      </c>
      <c r="P898">
        <v>384</v>
      </c>
      <c r="Q898" s="3">
        <v>2.6470588235294099</v>
      </c>
      <c r="R898">
        <v>0</v>
      </c>
      <c r="S898">
        <v>0</v>
      </c>
      <c r="U898">
        <v>-20.239130434782599</v>
      </c>
      <c r="V898">
        <v>-1.5</v>
      </c>
      <c r="W898">
        <v>-1.73913043478261</v>
      </c>
      <c r="X898">
        <v>-18.8</v>
      </c>
      <c r="Y898">
        <v>0</v>
      </c>
      <c r="Z898">
        <v>1.8</v>
      </c>
      <c r="AA898">
        <v>0</v>
      </c>
    </row>
    <row r="899" spans="3:27" x14ac:dyDescent="0.2">
      <c r="C899" t="s">
        <v>58</v>
      </c>
      <c r="D899" t="s">
        <v>544</v>
      </c>
      <c r="E899">
        <v>190</v>
      </c>
      <c r="F899">
        <v>0</v>
      </c>
      <c r="G899">
        <v>5</v>
      </c>
      <c r="H899">
        <v>3.5</v>
      </c>
      <c r="I899">
        <v>0</v>
      </c>
      <c r="J899">
        <v>25</v>
      </c>
      <c r="K899">
        <v>90</v>
      </c>
      <c r="L899">
        <v>32</v>
      </c>
      <c r="M899">
        <v>0</v>
      </c>
      <c r="N899">
        <v>27</v>
      </c>
      <c r="O899">
        <v>5</v>
      </c>
      <c r="P899">
        <v>216</v>
      </c>
      <c r="Q899" s="3">
        <v>2.6315789473684199</v>
      </c>
      <c r="R899">
        <v>0</v>
      </c>
      <c r="S899">
        <v>0</v>
      </c>
      <c r="U899">
        <v>-11.6532608695652</v>
      </c>
      <c r="V899">
        <v>-0.875</v>
      </c>
      <c r="W899">
        <v>-0.97826086956521796</v>
      </c>
      <c r="X899">
        <v>-10.8</v>
      </c>
      <c r="Y899">
        <v>0</v>
      </c>
      <c r="Z899">
        <v>1</v>
      </c>
      <c r="AA899">
        <v>0</v>
      </c>
    </row>
    <row r="900" spans="3:27" x14ac:dyDescent="0.2">
      <c r="C900" t="s">
        <v>58</v>
      </c>
      <c r="D900" t="s">
        <v>545</v>
      </c>
      <c r="E900">
        <v>570</v>
      </c>
      <c r="F900">
        <v>0</v>
      </c>
      <c r="G900">
        <v>15</v>
      </c>
      <c r="H900">
        <v>10</v>
      </c>
      <c r="I900">
        <v>0.5</v>
      </c>
      <c r="J900">
        <v>70</v>
      </c>
      <c r="K900">
        <v>260</v>
      </c>
      <c r="L900">
        <v>94</v>
      </c>
      <c r="M900">
        <v>0</v>
      </c>
      <c r="N900">
        <v>78</v>
      </c>
      <c r="O900">
        <v>15</v>
      </c>
      <c r="P900">
        <v>643</v>
      </c>
      <c r="Q900" s="3">
        <v>2.6315789473684199</v>
      </c>
      <c r="R900">
        <v>0</v>
      </c>
      <c r="S900">
        <v>0</v>
      </c>
      <c r="U900">
        <v>-33.526586956521697</v>
      </c>
      <c r="V900">
        <v>-2.5</v>
      </c>
      <c r="W900">
        <v>-2.8260869565217401</v>
      </c>
      <c r="X900">
        <v>-31.2</v>
      </c>
      <c r="Y900">
        <v>-5.0000000000000001E-4</v>
      </c>
      <c r="Z900">
        <v>3</v>
      </c>
      <c r="AA900">
        <v>0</v>
      </c>
    </row>
    <row r="901" spans="3:27" x14ac:dyDescent="0.2">
      <c r="C901" t="s">
        <v>58</v>
      </c>
      <c r="D901" t="s">
        <v>551</v>
      </c>
      <c r="E901">
        <v>270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25</v>
      </c>
      <c r="L901">
        <v>61</v>
      </c>
      <c r="M901">
        <v>7</v>
      </c>
      <c r="N901">
        <v>3</v>
      </c>
      <c r="O901">
        <v>7</v>
      </c>
      <c r="P901">
        <v>266</v>
      </c>
      <c r="Q901" s="3">
        <v>2.5925925925925899</v>
      </c>
      <c r="R901">
        <v>0</v>
      </c>
      <c r="S901">
        <v>0</v>
      </c>
      <c r="U901">
        <v>2.4282608695652201</v>
      </c>
      <c r="V901">
        <v>0</v>
      </c>
      <c r="W901">
        <v>-0.27173913043478298</v>
      </c>
      <c r="X901">
        <v>-1.2</v>
      </c>
      <c r="Y901">
        <v>0</v>
      </c>
      <c r="Z901">
        <v>1.4</v>
      </c>
      <c r="AA901">
        <v>2.5</v>
      </c>
    </row>
    <row r="902" spans="3:27" x14ac:dyDescent="0.2">
      <c r="C902" t="s">
        <v>58</v>
      </c>
      <c r="D902" t="s">
        <v>553</v>
      </c>
      <c r="E902">
        <v>310</v>
      </c>
      <c r="F902">
        <v>0</v>
      </c>
      <c r="G902">
        <v>2.5</v>
      </c>
      <c r="H902">
        <v>2.5</v>
      </c>
      <c r="I902">
        <v>0</v>
      </c>
      <c r="J902">
        <v>10</v>
      </c>
      <c r="K902">
        <v>35</v>
      </c>
      <c r="L902">
        <v>63</v>
      </c>
      <c r="M902">
        <v>7</v>
      </c>
      <c r="N902">
        <v>4</v>
      </c>
      <c r="O902">
        <v>8</v>
      </c>
      <c r="P902">
        <v>309</v>
      </c>
      <c r="Q902" s="3">
        <v>2.5806451612903198</v>
      </c>
      <c r="R902">
        <v>0</v>
      </c>
      <c r="S902">
        <v>0</v>
      </c>
      <c r="U902">
        <v>1.4945652173913</v>
      </c>
      <c r="V902">
        <v>-0.625</v>
      </c>
      <c r="W902">
        <v>-0.38043478260869601</v>
      </c>
      <c r="X902">
        <v>-1.6</v>
      </c>
      <c r="Y902">
        <v>0</v>
      </c>
      <c r="Z902">
        <v>1.6</v>
      </c>
      <c r="AA902">
        <v>2.5</v>
      </c>
    </row>
    <row r="903" spans="3:27" x14ac:dyDescent="0.2">
      <c r="C903" t="s">
        <v>58</v>
      </c>
      <c r="D903" t="s">
        <v>509</v>
      </c>
      <c r="E903">
        <v>480</v>
      </c>
      <c r="F903">
        <v>0</v>
      </c>
      <c r="G903">
        <v>33</v>
      </c>
      <c r="H903">
        <v>15</v>
      </c>
      <c r="I903">
        <v>0</v>
      </c>
      <c r="J903">
        <v>50</v>
      </c>
      <c r="K903">
        <v>1010</v>
      </c>
      <c r="L903">
        <v>35</v>
      </c>
      <c r="M903">
        <v>1</v>
      </c>
      <c r="N903">
        <v>5</v>
      </c>
      <c r="O903">
        <v>12</v>
      </c>
      <c r="P903">
        <v>488</v>
      </c>
      <c r="Q903" s="3">
        <v>2.5</v>
      </c>
      <c r="R903">
        <v>1</v>
      </c>
      <c r="S903">
        <v>0</v>
      </c>
      <c r="U903">
        <v>-13.9711180124224</v>
      </c>
      <c r="V903">
        <v>-3.75</v>
      </c>
      <c r="W903">
        <v>-10.978260869565201</v>
      </c>
      <c r="X903">
        <v>-2</v>
      </c>
      <c r="Y903">
        <v>0</v>
      </c>
      <c r="Z903">
        <v>2.4</v>
      </c>
      <c r="AA903">
        <v>0.35714285714285698</v>
      </c>
    </row>
    <row r="904" spans="3:27" x14ac:dyDescent="0.2">
      <c r="C904" t="s">
        <v>58</v>
      </c>
      <c r="D904" t="s">
        <v>570</v>
      </c>
      <c r="E904">
        <v>960</v>
      </c>
      <c r="F904">
        <v>0</v>
      </c>
      <c r="G904">
        <v>65</v>
      </c>
      <c r="H904">
        <v>31</v>
      </c>
      <c r="I904">
        <v>0</v>
      </c>
      <c r="J904">
        <v>95</v>
      </c>
      <c r="K904">
        <v>2020</v>
      </c>
      <c r="L904">
        <v>70</v>
      </c>
      <c r="M904">
        <v>3</v>
      </c>
      <c r="N904">
        <v>10</v>
      </c>
      <c r="O904">
        <v>23</v>
      </c>
      <c r="P904">
        <v>978</v>
      </c>
      <c r="Q904" s="3">
        <v>2.3958333333333299</v>
      </c>
      <c r="R904">
        <v>1</v>
      </c>
      <c r="S904">
        <v>0</v>
      </c>
      <c r="U904">
        <v>-28.035093167701898</v>
      </c>
      <c r="V904">
        <v>-7.75</v>
      </c>
      <c r="W904">
        <v>-21.956521739130402</v>
      </c>
      <c r="X904">
        <v>-4</v>
      </c>
      <c r="Y904">
        <v>0</v>
      </c>
      <c r="Z904">
        <v>4.5999999999999996</v>
      </c>
      <c r="AA904">
        <v>1.0714285714285701</v>
      </c>
    </row>
    <row r="905" spans="3:27" x14ac:dyDescent="0.2">
      <c r="C905" t="s">
        <v>58</v>
      </c>
      <c r="D905" t="s">
        <v>650</v>
      </c>
      <c r="E905">
        <v>490</v>
      </c>
      <c r="F905">
        <v>0</v>
      </c>
      <c r="G905">
        <v>29</v>
      </c>
      <c r="H905">
        <v>14</v>
      </c>
      <c r="I905">
        <v>0</v>
      </c>
      <c r="J905">
        <v>20</v>
      </c>
      <c r="K905">
        <v>1400</v>
      </c>
      <c r="L905">
        <v>49</v>
      </c>
      <c r="M905">
        <v>2</v>
      </c>
      <c r="N905">
        <v>6</v>
      </c>
      <c r="O905">
        <v>8</v>
      </c>
      <c r="P905">
        <v>502</v>
      </c>
      <c r="Q905" s="3">
        <v>1.6326530612244901</v>
      </c>
      <c r="R905">
        <v>1</v>
      </c>
      <c r="S905">
        <v>0</v>
      </c>
      <c r="U905">
        <v>-18.803105590062099</v>
      </c>
      <c r="V905">
        <v>-3.5</v>
      </c>
      <c r="W905">
        <v>-15.2173913043478</v>
      </c>
      <c r="X905">
        <v>-2.4</v>
      </c>
      <c r="Y905">
        <v>0</v>
      </c>
      <c r="Z905">
        <v>1.6</v>
      </c>
      <c r="AA905">
        <v>0.71428571428571397</v>
      </c>
    </row>
    <row r="906" spans="3:27" x14ac:dyDescent="0.2">
      <c r="C906" t="s">
        <v>58</v>
      </c>
      <c r="D906" t="s">
        <v>651</v>
      </c>
      <c r="E906">
        <v>250</v>
      </c>
      <c r="F906">
        <v>0</v>
      </c>
      <c r="G906">
        <v>9</v>
      </c>
      <c r="H906">
        <v>1.5</v>
      </c>
      <c r="I906">
        <v>0</v>
      </c>
      <c r="J906">
        <v>0</v>
      </c>
      <c r="K906">
        <v>750</v>
      </c>
      <c r="L906">
        <v>39</v>
      </c>
      <c r="M906">
        <v>4</v>
      </c>
      <c r="N906">
        <v>1</v>
      </c>
      <c r="O906">
        <v>4</v>
      </c>
      <c r="P906">
        <v>249</v>
      </c>
      <c r="Q906" s="3">
        <v>1.6</v>
      </c>
      <c r="R906">
        <v>1</v>
      </c>
      <c r="S906">
        <v>0</v>
      </c>
      <c r="U906">
        <v>-6.6986024844720502</v>
      </c>
      <c r="V906">
        <v>-0.375</v>
      </c>
      <c r="W906">
        <v>-8.1521739130434803</v>
      </c>
      <c r="X906">
        <v>-0.4</v>
      </c>
      <c r="Y906">
        <v>0</v>
      </c>
      <c r="Z906">
        <v>0.8</v>
      </c>
      <c r="AA906">
        <v>1.4285714285714299</v>
      </c>
    </row>
    <row r="907" spans="3:27" x14ac:dyDescent="0.2">
      <c r="C907" t="s">
        <v>58</v>
      </c>
      <c r="D907" t="s">
        <v>653</v>
      </c>
      <c r="E907">
        <v>320</v>
      </c>
      <c r="F907">
        <v>0</v>
      </c>
      <c r="G907">
        <v>15</v>
      </c>
      <c r="H907">
        <v>2.5</v>
      </c>
      <c r="I907">
        <v>0</v>
      </c>
      <c r="J907">
        <v>0</v>
      </c>
      <c r="K907">
        <v>320</v>
      </c>
      <c r="L907">
        <v>43</v>
      </c>
      <c r="M907">
        <v>4</v>
      </c>
      <c r="N907">
        <v>0</v>
      </c>
      <c r="O907">
        <v>5</v>
      </c>
      <c r="P907">
        <v>318</v>
      </c>
      <c r="Q907" s="3">
        <v>1.5625</v>
      </c>
      <c r="R907">
        <v>0</v>
      </c>
      <c r="S907">
        <v>0</v>
      </c>
      <c r="U907">
        <v>-1.67468944099379</v>
      </c>
      <c r="V907">
        <v>-0.625</v>
      </c>
      <c r="W907">
        <v>-3.47826086956522</v>
      </c>
      <c r="X907">
        <v>0</v>
      </c>
      <c r="Y907">
        <v>0</v>
      </c>
      <c r="Z907">
        <v>1</v>
      </c>
      <c r="AA907">
        <v>1.4285714285714299</v>
      </c>
    </row>
    <row r="908" spans="3:27" x14ac:dyDescent="0.2">
      <c r="C908" t="s">
        <v>58</v>
      </c>
      <c r="D908" t="s">
        <v>664</v>
      </c>
      <c r="E908">
        <v>420</v>
      </c>
      <c r="F908">
        <v>0</v>
      </c>
      <c r="G908">
        <v>19</v>
      </c>
      <c r="H908">
        <v>3.5</v>
      </c>
      <c r="I908">
        <v>0</v>
      </c>
      <c r="J908">
        <v>0</v>
      </c>
      <c r="K908">
        <v>420</v>
      </c>
      <c r="L908">
        <v>56</v>
      </c>
      <c r="M908">
        <v>5</v>
      </c>
      <c r="N908">
        <v>0</v>
      </c>
      <c r="O908">
        <v>6</v>
      </c>
      <c r="P908">
        <v>418</v>
      </c>
      <c r="Q908" s="3">
        <v>1.4285714285714299</v>
      </c>
      <c r="R908">
        <v>0</v>
      </c>
      <c r="S908">
        <v>0</v>
      </c>
      <c r="U908">
        <v>-2.4545031055900601</v>
      </c>
      <c r="V908">
        <v>-0.875</v>
      </c>
      <c r="W908">
        <v>-4.5652173913043503</v>
      </c>
      <c r="X908">
        <v>0</v>
      </c>
      <c r="Y908">
        <v>0</v>
      </c>
      <c r="Z908">
        <v>1.2</v>
      </c>
      <c r="AA908">
        <v>1.78571428571429</v>
      </c>
    </row>
    <row r="909" spans="3:27" x14ac:dyDescent="0.2">
      <c r="C909" t="s">
        <v>58</v>
      </c>
      <c r="D909" t="s">
        <v>665</v>
      </c>
      <c r="E909">
        <v>210</v>
      </c>
      <c r="F909">
        <v>0</v>
      </c>
      <c r="G909">
        <v>8</v>
      </c>
      <c r="H909">
        <v>5</v>
      </c>
      <c r="I909">
        <v>0</v>
      </c>
      <c r="J909">
        <v>25</v>
      </c>
      <c r="K909">
        <v>40</v>
      </c>
      <c r="L909">
        <v>32</v>
      </c>
      <c r="M909">
        <v>0</v>
      </c>
      <c r="N909">
        <v>28</v>
      </c>
      <c r="O909">
        <v>3</v>
      </c>
      <c r="P909">
        <v>240</v>
      </c>
      <c r="Q909" s="3">
        <v>1.4285714285714299</v>
      </c>
      <c r="R909">
        <v>0</v>
      </c>
      <c r="S909">
        <v>0</v>
      </c>
      <c r="U909">
        <v>-12.2847826086957</v>
      </c>
      <c r="V909">
        <v>-1.25</v>
      </c>
      <c r="W909">
        <v>-0.434782608695652</v>
      </c>
      <c r="X909">
        <v>-11.2</v>
      </c>
      <c r="Y909">
        <v>0</v>
      </c>
      <c r="Z909">
        <v>0.6</v>
      </c>
      <c r="AA909">
        <v>0</v>
      </c>
    </row>
    <row r="910" spans="3:27" x14ac:dyDescent="0.2">
      <c r="C910" t="s">
        <v>58</v>
      </c>
      <c r="D910" t="s">
        <v>668</v>
      </c>
      <c r="E910">
        <v>360</v>
      </c>
      <c r="F910">
        <v>0</v>
      </c>
      <c r="G910">
        <v>13</v>
      </c>
      <c r="H910">
        <v>2.5</v>
      </c>
      <c r="I910">
        <v>0</v>
      </c>
      <c r="J910">
        <v>0</v>
      </c>
      <c r="K910">
        <v>1080</v>
      </c>
      <c r="L910">
        <v>57</v>
      </c>
      <c r="M910">
        <v>6</v>
      </c>
      <c r="N910">
        <v>1</v>
      </c>
      <c r="O910">
        <v>5</v>
      </c>
      <c r="P910">
        <v>359</v>
      </c>
      <c r="Q910" s="3">
        <v>1.3888888888888899</v>
      </c>
      <c r="R910">
        <v>1</v>
      </c>
      <c r="S910">
        <v>0</v>
      </c>
      <c r="U910">
        <v>-9.6212732919254709</v>
      </c>
      <c r="V910">
        <v>-0.625</v>
      </c>
      <c r="W910">
        <v>-11.7391304347826</v>
      </c>
      <c r="X910">
        <v>-0.4</v>
      </c>
      <c r="Y910">
        <v>0</v>
      </c>
      <c r="Z910">
        <v>1</v>
      </c>
      <c r="AA910">
        <v>2.1428571428571401</v>
      </c>
    </row>
    <row r="911" spans="3:27" x14ac:dyDescent="0.2">
      <c r="C911" t="s">
        <v>58</v>
      </c>
      <c r="D911" t="s">
        <v>669</v>
      </c>
      <c r="E911">
        <v>290</v>
      </c>
      <c r="F911">
        <v>0</v>
      </c>
      <c r="G911">
        <v>14</v>
      </c>
      <c r="H911">
        <v>7</v>
      </c>
      <c r="I911">
        <v>0</v>
      </c>
      <c r="J911">
        <v>20</v>
      </c>
      <c r="K911">
        <v>230</v>
      </c>
      <c r="L911">
        <v>39</v>
      </c>
      <c r="M911">
        <v>4</v>
      </c>
      <c r="N911">
        <v>21</v>
      </c>
      <c r="O911">
        <v>4</v>
      </c>
      <c r="P911">
        <v>314</v>
      </c>
      <c r="Q911" s="3">
        <v>1.3793103448275901</v>
      </c>
      <c r="R911">
        <v>0</v>
      </c>
      <c r="S911">
        <v>0</v>
      </c>
      <c r="U911">
        <v>-10.421428571428599</v>
      </c>
      <c r="V911">
        <v>-1.75</v>
      </c>
      <c r="W911">
        <v>-2.5</v>
      </c>
      <c r="X911">
        <v>-8.4</v>
      </c>
      <c r="Y911">
        <v>0</v>
      </c>
      <c r="Z911">
        <v>0.8</v>
      </c>
      <c r="AA911">
        <v>1.4285714285714299</v>
      </c>
    </row>
    <row r="912" spans="3:27" x14ac:dyDescent="0.2">
      <c r="C912" t="s">
        <v>58</v>
      </c>
      <c r="D912" t="s">
        <v>675</v>
      </c>
      <c r="E912">
        <v>530</v>
      </c>
      <c r="F912">
        <v>0</v>
      </c>
      <c r="G912">
        <v>24</v>
      </c>
      <c r="H912">
        <v>4.5</v>
      </c>
      <c r="I912">
        <v>0</v>
      </c>
      <c r="J912">
        <v>0</v>
      </c>
      <c r="K912">
        <v>520</v>
      </c>
      <c r="L912">
        <v>70</v>
      </c>
      <c r="M912">
        <v>6</v>
      </c>
      <c r="N912">
        <v>0</v>
      </c>
      <c r="O912">
        <v>7</v>
      </c>
      <c r="P912">
        <v>528</v>
      </c>
      <c r="Q912" s="3">
        <v>1.32075471698113</v>
      </c>
      <c r="R912">
        <v>1</v>
      </c>
      <c r="S912">
        <v>0</v>
      </c>
      <c r="U912">
        <v>-3.2343167701863398</v>
      </c>
      <c r="V912">
        <v>-1.125</v>
      </c>
      <c r="W912">
        <v>-5.6521739130434803</v>
      </c>
      <c r="X912">
        <v>0</v>
      </c>
      <c r="Y912">
        <v>0</v>
      </c>
      <c r="Z912">
        <v>1.4</v>
      </c>
      <c r="AA912">
        <v>2.1428571428571401</v>
      </c>
    </row>
    <row r="913" spans="3:27" x14ac:dyDescent="0.2">
      <c r="C913" t="s">
        <v>58</v>
      </c>
      <c r="D913" t="s">
        <v>680</v>
      </c>
      <c r="E913">
        <v>230</v>
      </c>
      <c r="F913">
        <v>0</v>
      </c>
      <c r="G913">
        <v>10</v>
      </c>
      <c r="H913">
        <v>2</v>
      </c>
      <c r="I913">
        <v>0</v>
      </c>
      <c r="J913">
        <v>0</v>
      </c>
      <c r="K913">
        <v>15</v>
      </c>
      <c r="L913">
        <v>30</v>
      </c>
      <c r="M913">
        <v>3</v>
      </c>
      <c r="N913">
        <v>0</v>
      </c>
      <c r="O913">
        <v>3</v>
      </c>
      <c r="P913">
        <v>229</v>
      </c>
      <c r="Q913" s="3">
        <v>1.3043478260869601</v>
      </c>
      <c r="R913">
        <v>0</v>
      </c>
      <c r="S913">
        <v>0</v>
      </c>
      <c r="U913">
        <v>1.0083850931677001</v>
      </c>
      <c r="V913">
        <v>-0.5</v>
      </c>
      <c r="W913">
        <v>-0.16304347826087001</v>
      </c>
      <c r="X913">
        <v>0</v>
      </c>
      <c r="Y913">
        <v>0</v>
      </c>
      <c r="Z913">
        <v>0.6</v>
      </c>
      <c r="AA913">
        <v>1.0714285714285701</v>
      </c>
    </row>
    <row r="914" spans="3:27" x14ac:dyDescent="0.2">
      <c r="C914" t="s">
        <v>58</v>
      </c>
      <c r="D914" t="s">
        <v>681</v>
      </c>
      <c r="E914">
        <v>230</v>
      </c>
      <c r="F914">
        <v>0</v>
      </c>
      <c r="G914">
        <v>8</v>
      </c>
      <c r="H914">
        <v>1.5</v>
      </c>
      <c r="I914">
        <v>0</v>
      </c>
      <c r="J914">
        <v>0</v>
      </c>
      <c r="K914">
        <v>680</v>
      </c>
      <c r="L914">
        <v>35</v>
      </c>
      <c r="M914">
        <v>4</v>
      </c>
      <c r="N914">
        <v>0</v>
      </c>
      <c r="O914">
        <v>3</v>
      </c>
      <c r="P914">
        <v>229</v>
      </c>
      <c r="Q914" s="3">
        <v>1.3043478260869601</v>
      </c>
      <c r="R914">
        <v>1</v>
      </c>
      <c r="S914">
        <v>0</v>
      </c>
      <c r="U914">
        <v>-5.7377329192546602</v>
      </c>
      <c r="V914">
        <v>-0.375</v>
      </c>
      <c r="W914">
        <v>-7.3913043478260896</v>
      </c>
      <c r="X914">
        <v>0</v>
      </c>
      <c r="Y914">
        <v>0</v>
      </c>
      <c r="Z914">
        <v>0.6</v>
      </c>
      <c r="AA914">
        <v>1.4285714285714299</v>
      </c>
    </row>
    <row r="915" spans="3:27" x14ac:dyDescent="0.2">
      <c r="C915" t="s">
        <v>58</v>
      </c>
      <c r="D915" t="s">
        <v>687</v>
      </c>
      <c r="E915">
        <v>240</v>
      </c>
      <c r="F915">
        <v>0</v>
      </c>
      <c r="G915">
        <v>8</v>
      </c>
      <c r="H915">
        <v>5</v>
      </c>
      <c r="I915">
        <v>0</v>
      </c>
      <c r="J915">
        <v>25</v>
      </c>
      <c r="K915">
        <v>45</v>
      </c>
      <c r="L915">
        <v>40</v>
      </c>
      <c r="M915">
        <v>0</v>
      </c>
      <c r="N915">
        <v>36</v>
      </c>
      <c r="O915">
        <v>3</v>
      </c>
      <c r="P915">
        <v>278</v>
      </c>
      <c r="Q915" s="3">
        <v>1.25</v>
      </c>
      <c r="R915">
        <v>0</v>
      </c>
      <c r="S915">
        <v>0</v>
      </c>
      <c r="U915">
        <v>-15.539130434782599</v>
      </c>
      <c r="V915">
        <v>-1.25</v>
      </c>
      <c r="W915">
        <v>-0.48913043478260898</v>
      </c>
      <c r="X915">
        <v>-14.4</v>
      </c>
      <c r="Y915">
        <v>0</v>
      </c>
      <c r="Z915">
        <v>0.6</v>
      </c>
      <c r="AA915">
        <v>0</v>
      </c>
    </row>
    <row r="916" spans="3:27" x14ac:dyDescent="0.2">
      <c r="C916" t="s">
        <v>58</v>
      </c>
      <c r="D916" t="s">
        <v>688</v>
      </c>
      <c r="E916">
        <v>160</v>
      </c>
      <c r="F916">
        <v>0</v>
      </c>
      <c r="G916">
        <v>6</v>
      </c>
      <c r="H916">
        <v>3.5</v>
      </c>
      <c r="I916">
        <v>0</v>
      </c>
      <c r="J916">
        <v>20</v>
      </c>
      <c r="K916">
        <v>30</v>
      </c>
      <c r="L916">
        <v>26</v>
      </c>
      <c r="M916">
        <v>0</v>
      </c>
      <c r="N916">
        <v>24</v>
      </c>
      <c r="O916">
        <v>2</v>
      </c>
      <c r="P916">
        <v>186</v>
      </c>
      <c r="Q916" s="3">
        <v>1.25</v>
      </c>
      <c r="R916">
        <v>0</v>
      </c>
      <c r="S916">
        <v>0</v>
      </c>
      <c r="U916">
        <v>-10.4010869565217</v>
      </c>
      <c r="V916">
        <v>-0.875</v>
      </c>
      <c r="W916">
        <v>-0.32608695652173902</v>
      </c>
      <c r="X916">
        <v>-9.6</v>
      </c>
      <c r="Y916">
        <v>0</v>
      </c>
      <c r="Z916">
        <v>0.4</v>
      </c>
      <c r="AA916">
        <v>0</v>
      </c>
    </row>
    <row r="917" spans="3:27" x14ac:dyDescent="0.2">
      <c r="C917" t="s">
        <v>58</v>
      </c>
      <c r="D917" t="s">
        <v>695</v>
      </c>
      <c r="E917">
        <v>250</v>
      </c>
      <c r="F917">
        <v>0</v>
      </c>
      <c r="G917">
        <v>8</v>
      </c>
      <c r="H917">
        <v>5</v>
      </c>
      <c r="I917">
        <v>0</v>
      </c>
      <c r="J917">
        <v>25</v>
      </c>
      <c r="K917">
        <v>40</v>
      </c>
      <c r="L917">
        <v>42</v>
      </c>
      <c r="M917">
        <v>0</v>
      </c>
      <c r="N917">
        <v>39</v>
      </c>
      <c r="O917">
        <v>3</v>
      </c>
      <c r="P917">
        <v>291</v>
      </c>
      <c r="Q917" s="3">
        <v>1.2</v>
      </c>
      <c r="R917">
        <v>0</v>
      </c>
      <c r="S917">
        <v>0</v>
      </c>
      <c r="U917">
        <v>-16.684782608695699</v>
      </c>
      <c r="V917">
        <v>-1.25</v>
      </c>
      <c r="W917">
        <v>-0.434782608695652</v>
      </c>
      <c r="X917">
        <v>-15.6</v>
      </c>
      <c r="Y917">
        <v>0</v>
      </c>
      <c r="Z917">
        <v>0.6</v>
      </c>
      <c r="AA917">
        <v>0</v>
      </c>
    </row>
    <row r="918" spans="3:27" x14ac:dyDescent="0.2">
      <c r="C918" t="s">
        <v>58</v>
      </c>
      <c r="D918" t="s">
        <v>696</v>
      </c>
      <c r="E918">
        <v>170</v>
      </c>
      <c r="F918">
        <v>0</v>
      </c>
      <c r="G918">
        <v>6</v>
      </c>
      <c r="H918">
        <v>3.5</v>
      </c>
      <c r="I918">
        <v>0</v>
      </c>
      <c r="J918">
        <v>20</v>
      </c>
      <c r="K918">
        <v>30</v>
      </c>
      <c r="L918">
        <v>28</v>
      </c>
      <c r="M918">
        <v>0</v>
      </c>
      <c r="N918">
        <v>25</v>
      </c>
      <c r="O918">
        <v>2</v>
      </c>
      <c r="P918">
        <v>197</v>
      </c>
      <c r="Q918" s="3">
        <v>1.1764705882352899</v>
      </c>
      <c r="R918">
        <v>0</v>
      </c>
      <c r="S918">
        <v>0</v>
      </c>
      <c r="U918">
        <v>-10.801086956521701</v>
      </c>
      <c r="V918">
        <v>-0.875</v>
      </c>
      <c r="W918">
        <v>-0.32608695652173902</v>
      </c>
      <c r="X918">
        <v>-10</v>
      </c>
      <c r="Y918">
        <v>0</v>
      </c>
      <c r="Z918">
        <v>0.4</v>
      </c>
      <c r="AA918">
        <v>0</v>
      </c>
    </row>
    <row r="919" spans="3:27" x14ac:dyDescent="0.2">
      <c r="C919" t="s">
        <v>58</v>
      </c>
      <c r="D919" t="s">
        <v>697</v>
      </c>
      <c r="E919">
        <v>170</v>
      </c>
      <c r="F919">
        <v>0</v>
      </c>
      <c r="G919">
        <v>6</v>
      </c>
      <c r="H919">
        <v>3.5</v>
      </c>
      <c r="I919">
        <v>0</v>
      </c>
      <c r="J919">
        <v>20</v>
      </c>
      <c r="K919">
        <v>30</v>
      </c>
      <c r="L919">
        <v>28</v>
      </c>
      <c r="M919">
        <v>0</v>
      </c>
      <c r="N919">
        <v>26</v>
      </c>
      <c r="O919">
        <v>2</v>
      </c>
      <c r="P919">
        <v>198</v>
      </c>
      <c r="Q919" s="3">
        <v>1.1764705882352899</v>
      </c>
      <c r="R919">
        <v>0</v>
      </c>
      <c r="S919">
        <v>0</v>
      </c>
      <c r="U919">
        <v>-11.201086956521699</v>
      </c>
      <c r="V919">
        <v>-0.875</v>
      </c>
      <c r="W919">
        <v>-0.32608695652173902</v>
      </c>
      <c r="X919">
        <v>-10.4</v>
      </c>
      <c r="Y919">
        <v>0</v>
      </c>
      <c r="Z919">
        <v>0.4</v>
      </c>
      <c r="AA919">
        <v>0</v>
      </c>
    </row>
    <row r="920" spans="3:27" x14ac:dyDescent="0.2">
      <c r="C920" t="s">
        <v>58</v>
      </c>
      <c r="D920" t="s">
        <v>718</v>
      </c>
      <c r="E920">
        <v>310</v>
      </c>
      <c r="F920">
        <v>0</v>
      </c>
      <c r="G920">
        <v>16</v>
      </c>
      <c r="H920">
        <v>8</v>
      </c>
      <c r="I920">
        <v>0</v>
      </c>
      <c r="J920">
        <v>20</v>
      </c>
      <c r="K920">
        <v>210</v>
      </c>
      <c r="L920">
        <v>40</v>
      </c>
      <c r="M920">
        <v>2</v>
      </c>
      <c r="N920">
        <v>24</v>
      </c>
      <c r="O920">
        <v>3</v>
      </c>
      <c r="P920">
        <v>339</v>
      </c>
      <c r="Q920" s="3">
        <v>0.967741935483871</v>
      </c>
      <c r="R920">
        <v>0</v>
      </c>
      <c r="S920">
        <v>0</v>
      </c>
      <c r="U920">
        <v>-12.568322981366499</v>
      </c>
      <c r="V920">
        <v>-2</v>
      </c>
      <c r="W920">
        <v>-2.2826086956521698</v>
      </c>
      <c r="X920">
        <v>-9.6</v>
      </c>
      <c r="Y920">
        <v>0</v>
      </c>
      <c r="Z920">
        <v>0.6</v>
      </c>
      <c r="AA920">
        <v>0.71428571428571397</v>
      </c>
    </row>
    <row r="921" spans="3:27" x14ac:dyDescent="0.2">
      <c r="C921" t="s">
        <v>58</v>
      </c>
      <c r="D921" t="s">
        <v>684</v>
      </c>
      <c r="E921">
        <v>330</v>
      </c>
      <c r="F921">
        <v>0</v>
      </c>
      <c r="G921">
        <v>16</v>
      </c>
      <c r="H921">
        <v>8</v>
      </c>
      <c r="I921">
        <v>0</v>
      </c>
      <c r="J921">
        <v>25</v>
      </c>
      <c r="K921">
        <v>300</v>
      </c>
      <c r="L921">
        <v>43</v>
      </c>
      <c r="M921">
        <v>1</v>
      </c>
      <c r="N921">
        <v>24</v>
      </c>
      <c r="O921">
        <v>3</v>
      </c>
      <c r="P921">
        <v>359</v>
      </c>
      <c r="Q921" s="3">
        <v>0.90909090909090895</v>
      </c>
      <c r="R921">
        <v>0</v>
      </c>
      <c r="S921">
        <v>0</v>
      </c>
      <c r="U921">
        <v>-13.903726708074499</v>
      </c>
      <c r="V921">
        <v>-2</v>
      </c>
      <c r="W921">
        <v>-3.2608695652173898</v>
      </c>
      <c r="X921">
        <v>-9.6</v>
      </c>
      <c r="Y921">
        <v>0</v>
      </c>
      <c r="Z921">
        <v>0.6</v>
      </c>
      <c r="AA921">
        <v>0.35714285714285698</v>
      </c>
    </row>
    <row r="922" spans="3:27" x14ac:dyDescent="0.2">
      <c r="C922" t="s">
        <v>58</v>
      </c>
      <c r="D922" t="s">
        <v>735</v>
      </c>
      <c r="E922">
        <v>120</v>
      </c>
      <c r="F922">
        <v>0</v>
      </c>
      <c r="G922">
        <v>12</v>
      </c>
      <c r="H922">
        <v>2</v>
      </c>
      <c r="I922">
        <v>0</v>
      </c>
      <c r="J922">
        <v>0</v>
      </c>
      <c r="K922">
        <v>170</v>
      </c>
      <c r="L922">
        <v>4</v>
      </c>
      <c r="M922">
        <v>1</v>
      </c>
      <c r="N922">
        <v>3</v>
      </c>
      <c r="O922">
        <v>1</v>
      </c>
      <c r="P922">
        <v>124</v>
      </c>
      <c r="Q922" s="3">
        <v>0.83333333333333304</v>
      </c>
      <c r="R922">
        <v>0</v>
      </c>
      <c r="S922">
        <v>0</v>
      </c>
      <c r="U922">
        <v>-2.9906832298136599</v>
      </c>
      <c r="V922">
        <v>-0.5</v>
      </c>
      <c r="W922">
        <v>-1.84782608695652</v>
      </c>
      <c r="X922">
        <v>-1.2</v>
      </c>
      <c r="Y922">
        <v>0</v>
      </c>
      <c r="Z922">
        <v>0.2</v>
      </c>
      <c r="AA922">
        <v>0.35714285714285698</v>
      </c>
    </row>
    <row r="923" spans="3:27" x14ac:dyDescent="0.2">
      <c r="C923" t="s">
        <v>58</v>
      </c>
      <c r="D923" t="s">
        <v>881</v>
      </c>
      <c r="E923">
        <v>35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9</v>
      </c>
      <c r="M923">
        <v>2</v>
      </c>
      <c r="N923">
        <v>7</v>
      </c>
      <c r="O923">
        <v>0</v>
      </c>
      <c r="P923">
        <v>42</v>
      </c>
      <c r="Q923" s="3">
        <v>0</v>
      </c>
      <c r="R923">
        <v>0</v>
      </c>
      <c r="S923">
        <v>0</v>
      </c>
      <c r="U923">
        <v>-2.0857142857142899</v>
      </c>
      <c r="V923">
        <v>0</v>
      </c>
      <c r="W923">
        <v>0</v>
      </c>
      <c r="X923">
        <v>-2.8</v>
      </c>
      <c r="Y923">
        <v>0</v>
      </c>
      <c r="Z923">
        <v>0</v>
      </c>
      <c r="AA923">
        <v>0.71428571428571397</v>
      </c>
    </row>
    <row r="924" spans="3:27" x14ac:dyDescent="0.2">
      <c r="C924" t="s">
        <v>58</v>
      </c>
      <c r="D924" t="s">
        <v>882</v>
      </c>
      <c r="E924">
        <v>20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5</v>
      </c>
      <c r="M924">
        <v>1</v>
      </c>
      <c r="N924">
        <v>3</v>
      </c>
      <c r="O924">
        <v>0</v>
      </c>
      <c r="P924">
        <v>23</v>
      </c>
      <c r="Q924" s="3">
        <v>0</v>
      </c>
      <c r="R924">
        <v>0</v>
      </c>
      <c r="S924">
        <v>0</v>
      </c>
      <c r="U924">
        <v>-0.84285714285714297</v>
      </c>
      <c r="V924">
        <v>0</v>
      </c>
      <c r="W924">
        <v>0</v>
      </c>
      <c r="X924">
        <v>-1.2</v>
      </c>
      <c r="Y924">
        <v>0</v>
      </c>
      <c r="Z924">
        <v>0</v>
      </c>
      <c r="AA924">
        <v>0.35714285714285698</v>
      </c>
    </row>
    <row r="925" spans="3:27" x14ac:dyDescent="0.2">
      <c r="C925" t="s">
        <v>58</v>
      </c>
      <c r="D925" t="s">
        <v>883</v>
      </c>
      <c r="E925">
        <v>380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100</v>
      </c>
      <c r="M925">
        <v>0</v>
      </c>
      <c r="N925">
        <v>93</v>
      </c>
      <c r="O925">
        <v>0</v>
      </c>
      <c r="P925">
        <v>473</v>
      </c>
      <c r="Q925" s="3">
        <v>0</v>
      </c>
      <c r="R925">
        <v>0</v>
      </c>
      <c r="S925">
        <v>0</v>
      </c>
      <c r="U925">
        <v>-37.200000000000003</v>
      </c>
      <c r="V925">
        <v>0</v>
      </c>
      <c r="W925">
        <v>0</v>
      </c>
      <c r="X925">
        <v>-37.200000000000003</v>
      </c>
      <c r="Y925">
        <v>0</v>
      </c>
      <c r="Z925">
        <v>0</v>
      </c>
      <c r="AA925">
        <v>0</v>
      </c>
    </row>
    <row r="926" spans="3:27" x14ac:dyDescent="0.2">
      <c r="C926" t="s">
        <v>58</v>
      </c>
      <c r="D926" t="s">
        <v>884</v>
      </c>
      <c r="E926">
        <v>330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86</v>
      </c>
      <c r="M926">
        <v>0</v>
      </c>
      <c r="N926">
        <v>81</v>
      </c>
      <c r="O926">
        <v>0</v>
      </c>
      <c r="P926">
        <v>411</v>
      </c>
      <c r="Q926" s="3">
        <v>0</v>
      </c>
      <c r="R926">
        <v>0</v>
      </c>
      <c r="S926">
        <v>0</v>
      </c>
      <c r="U926">
        <v>-32.4</v>
      </c>
      <c r="V926">
        <v>0</v>
      </c>
      <c r="W926">
        <v>0</v>
      </c>
      <c r="X926">
        <v>-32.4</v>
      </c>
      <c r="Y926">
        <v>0</v>
      </c>
      <c r="Z926">
        <v>0</v>
      </c>
      <c r="AA926">
        <v>0</v>
      </c>
    </row>
    <row r="927" spans="3:27" x14ac:dyDescent="0.2">
      <c r="C927" t="s">
        <v>58</v>
      </c>
      <c r="D927" t="s">
        <v>885</v>
      </c>
      <c r="E927">
        <v>190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50</v>
      </c>
      <c r="M927">
        <v>0</v>
      </c>
      <c r="N927">
        <v>47</v>
      </c>
      <c r="O927">
        <v>0</v>
      </c>
      <c r="P927">
        <v>237</v>
      </c>
      <c r="Q927" s="3">
        <v>0</v>
      </c>
      <c r="R927">
        <v>0</v>
      </c>
      <c r="S927">
        <v>0</v>
      </c>
      <c r="U927">
        <v>-18.8</v>
      </c>
      <c r="V927">
        <v>0</v>
      </c>
      <c r="W927">
        <v>0</v>
      </c>
      <c r="X927">
        <v>-18.8</v>
      </c>
      <c r="Y927">
        <v>0</v>
      </c>
      <c r="Z927">
        <v>0</v>
      </c>
      <c r="AA927">
        <v>0</v>
      </c>
    </row>
    <row r="928" spans="3:27" x14ac:dyDescent="0.2">
      <c r="C928" t="s">
        <v>58</v>
      </c>
      <c r="D928" t="s">
        <v>886</v>
      </c>
      <c r="E928">
        <v>330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60</v>
      </c>
      <c r="L928">
        <v>83</v>
      </c>
      <c r="M928">
        <v>0</v>
      </c>
      <c r="N928">
        <v>80</v>
      </c>
      <c r="O928">
        <v>0</v>
      </c>
      <c r="P928">
        <v>410</v>
      </c>
      <c r="Q928" s="3">
        <v>0</v>
      </c>
      <c r="R928">
        <v>0</v>
      </c>
      <c r="S928">
        <v>0</v>
      </c>
      <c r="U928">
        <v>-32.652173913043498</v>
      </c>
      <c r="V928">
        <v>0</v>
      </c>
      <c r="W928">
        <v>-0.65217391304347805</v>
      </c>
      <c r="X928">
        <v>-32</v>
      </c>
      <c r="Y928">
        <v>0</v>
      </c>
      <c r="Z928">
        <v>0</v>
      </c>
      <c r="AA928">
        <v>0</v>
      </c>
    </row>
    <row r="929" spans="3:27" x14ac:dyDescent="0.2">
      <c r="C929" t="s">
        <v>58</v>
      </c>
      <c r="D929" t="s">
        <v>887</v>
      </c>
      <c r="E929">
        <v>300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50</v>
      </c>
      <c r="L929">
        <v>76</v>
      </c>
      <c r="M929">
        <v>0</v>
      </c>
      <c r="N929">
        <v>73</v>
      </c>
      <c r="O929">
        <v>0</v>
      </c>
      <c r="P929">
        <v>373</v>
      </c>
      <c r="Q929" s="3">
        <v>0</v>
      </c>
      <c r="R929">
        <v>0</v>
      </c>
      <c r="S929">
        <v>0</v>
      </c>
      <c r="U929">
        <v>-29.743478260869601</v>
      </c>
      <c r="V929">
        <v>0</v>
      </c>
      <c r="W929">
        <v>-0.54347826086956497</v>
      </c>
      <c r="X929">
        <v>-29.2</v>
      </c>
      <c r="Y929">
        <v>0</v>
      </c>
      <c r="Z929">
        <v>0</v>
      </c>
      <c r="AA929">
        <v>0</v>
      </c>
    </row>
    <row r="930" spans="3:27" x14ac:dyDescent="0.2">
      <c r="C930" t="s">
        <v>58</v>
      </c>
      <c r="D930" t="s">
        <v>888</v>
      </c>
      <c r="E930">
        <v>170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30</v>
      </c>
      <c r="L930">
        <v>44</v>
      </c>
      <c r="M930">
        <v>0</v>
      </c>
      <c r="N930">
        <v>42</v>
      </c>
      <c r="O930">
        <v>0</v>
      </c>
      <c r="P930">
        <v>212</v>
      </c>
      <c r="Q930" s="3">
        <v>0</v>
      </c>
      <c r="R930">
        <v>0</v>
      </c>
      <c r="S930">
        <v>0</v>
      </c>
      <c r="U930">
        <v>-17.1260869565217</v>
      </c>
      <c r="V930">
        <v>0</v>
      </c>
      <c r="W930">
        <v>-0.32608695652173902</v>
      </c>
      <c r="X930">
        <v>-16.8</v>
      </c>
      <c r="Y930">
        <v>0</v>
      </c>
      <c r="Z930">
        <v>0</v>
      </c>
      <c r="AA930">
        <v>0</v>
      </c>
    </row>
    <row r="931" spans="3:27" x14ac:dyDescent="0.2">
      <c r="C931" t="s">
        <v>58</v>
      </c>
      <c r="D931" t="s">
        <v>889</v>
      </c>
      <c r="E931">
        <v>450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180</v>
      </c>
      <c r="L931">
        <v>122</v>
      </c>
      <c r="M931">
        <v>0</v>
      </c>
      <c r="N931">
        <v>122</v>
      </c>
      <c r="O931">
        <v>0</v>
      </c>
      <c r="P931">
        <v>572</v>
      </c>
      <c r="Q931" s="3">
        <v>0</v>
      </c>
      <c r="R931">
        <v>0</v>
      </c>
      <c r="S931">
        <v>0</v>
      </c>
      <c r="U931">
        <v>-50.756521739130399</v>
      </c>
      <c r="V931">
        <v>0</v>
      </c>
      <c r="W931">
        <v>-1.9565217391304399</v>
      </c>
      <c r="X931">
        <v>-48.8</v>
      </c>
      <c r="Y931">
        <v>0</v>
      </c>
      <c r="Z931">
        <v>0</v>
      </c>
      <c r="AA931">
        <v>0</v>
      </c>
    </row>
    <row r="932" spans="3:27" x14ac:dyDescent="0.2">
      <c r="C932" t="s">
        <v>58</v>
      </c>
      <c r="D932" t="s">
        <v>890</v>
      </c>
      <c r="E932">
        <v>360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150</v>
      </c>
      <c r="L932">
        <v>98</v>
      </c>
      <c r="M932">
        <v>0</v>
      </c>
      <c r="N932">
        <v>98</v>
      </c>
      <c r="O932">
        <v>0</v>
      </c>
      <c r="P932">
        <v>458</v>
      </c>
      <c r="Q932" s="3">
        <v>0</v>
      </c>
      <c r="R932">
        <v>0</v>
      </c>
      <c r="S932">
        <v>0</v>
      </c>
      <c r="U932">
        <v>-40.830434782608698</v>
      </c>
      <c r="V932">
        <v>0</v>
      </c>
      <c r="W932">
        <v>-1.6304347826087</v>
      </c>
      <c r="X932">
        <v>-39.200000000000003</v>
      </c>
      <c r="Y932">
        <v>0</v>
      </c>
      <c r="Z932">
        <v>0</v>
      </c>
      <c r="AA932">
        <v>0</v>
      </c>
    </row>
    <row r="933" spans="3:27" x14ac:dyDescent="0.2">
      <c r="C933" t="s">
        <v>58</v>
      </c>
      <c r="D933" t="s">
        <v>891</v>
      </c>
      <c r="E933">
        <v>220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90</v>
      </c>
      <c r="L933">
        <v>61</v>
      </c>
      <c r="M933">
        <v>0</v>
      </c>
      <c r="N933">
        <v>61</v>
      </c>
      <c r="O933">
        <v>0</v>
      </c>
      <c r="P933">
        <v>281</v>
      </c>
      <c r="Q933" s="3">
        <v>0</v>
      </c>
      <c r="R933">
        <v>0</v>
      </c>
      <c r="S933">
        <v>0</v>
      </c>
      <c r="U933">
        <v>-25.378260869565199</v>
      </c>
      <c r="V933">
        <v>0</v>
      </c>
      <c r="W933">
        <v>-0.97826086956521796</v>
      </c>
      <c r="X933">
        <v>-24.4</v>
      </c>
      <c r="Y933">
        <v>0</v>
      </c>
      <c r="Z933">
        <v>0</v>
      </c>
      <c r="AA933">
        <v>0</v>
      </c>
    </row>
    <row r="934" spans="3:27" x14ac:dyDescent="0.2">
      <c r="C934" t="s">
        <v>58</v>
      </c>
      <c r="D934" t="s">
        <v>892</v>
      </c>
      <c r="E934">
        <v>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25</v>
      </c>
      <c r="L934">
        <v>2</v>
      </c>
      <c r="M934">
        <v>0</v>
      </c>
      <c r="N934">
        <v>0</v>
      </c>
      <c r="O934">
        <v>0</v>
      </c>
      <c r="P934">
        <v>5</v>
      </c>
      <c r="Q934" s="3">
        <v>0</v>
      </c>
      <c r="R934">
        <v>0</v>
      </c>
      <c r="S934">
        <v>0</v>
      </c>
      <c r="U934">
        <v>-0.27173913043478298</v>
      </c>
      <c r="V934">
        <v>0</v>
      </c>
      <c r="W934">
        <v>-0.27173913043478298</v>
      </c>
      <c r="X934">
        <v>0</v>
      </c>
      <c r="Y934">
        <v>0</v>
      </c>
      <c r="Z934">
        <v>0</v>
      </c>
      <c r="AA934">
        <v>0</v>
      </c>
    </row>
    <row r="935" spans="3:27" x14ac:dyDescent="0.2">
      <c r="C935" t="s">
        <v>58</v>
      </c>
      <c r="D935" t="s">
        <v>893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15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>
        <v>-0.16304347826087001</v>
      </c>
      <c r="V935">
        <v>0</v>
      </c>
      <c r="W935">
        <v>-0.16304347826087001</v>
      </c>
      <c r="X935">
        <v>0</v>
      </c>
      <c r="Y935">
        <v>0</v>
      </c>
      <c r="Z935">
        <v>0</v>
      </c>
      <c r="AA935">
        <v>0</v>
      </c>
    </row>
    <row r="936" spans="3:27" x14ac:dyDescent="0.2">
      <c r="C936" t="s">
        <v>58</v>
      </c>
      <c r="D936" t="s">
        <v>894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>
        <v>-0.108695652173913</v>
      </c>
      <c r="V936">
        <v>0</v>
      </c>
      <c r="W936">
        <v>-0.108695652173913</v>
      </c>
      <c r="X936">
        <v>0</v>
      </c>
      <c r="Y936">
        <v>0</v>
      </c>
      <c r="Z936">
        <v>0</v>
      </c>
      <c r="AA936">
        <v>0</v>
      </c>
    </row>
    <row r="937" spans="3:27" x14ac:dyDescent="0.2">
      <c r="C937" t="s">
        <v>58</v>
      </c>
      <c r="D937" t="s">
        <v>895</v>
      </c>
      <c r="E937">
        <v>400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90</v>
      </c>
      <c r="L937">
        <v>109</v>
      </c>
      <c r="M937">
        <v>0</v>
      </c>
      <c r="N937">
        <v>109</v>
      </c>
      <c r="O937">
        <v>0</v>
      </c>
      <c r="P937">
        <v>509</v>
      </c>
      <c r="Q937" s="3">
        <v>0</v>
      </c>
      <c r="R937">
        <v>0</v>
      </c>
      <c r="S937">
        <v>0</v>
      </c>
      <c r="U937">
        <v>-44.578260869565199</v>
      </c>
      <c r="V937">
        <v>0</v>
      </c>
      <c r="W937">
        <v>-0.97826086956521796</v>
      </c>
      <c r="X937">
        <v>-43.6</v>
      </c>
      <c r="Y937">
        <v>0</v>
      </c>
      <c r="Z937">
        <v>0</v>
      </c>
      <c r="AA937">
        <v>0</v>
      </c>
    </row>
    <row r="938" spans="3:27" x14ac:dyDescent="0.2">
      <c r="C938" t="s">
        <v>58</v>
      </c>
      <c r="D938" t="s">
        <v>896</v>
      </c>
      <c r="E938">
        <v>320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70</v>
      </c>
      <c r="L938">
        <v>87</v>
      </c>
      <c r="M938">
        <v>0</v>
      </c>
      <c r="N938">
        <v>87</v>
      </c>
      <c r="O938">
        <v>0</v>
      </c>
      <c r="P938">
        <v>407</v>
      </c>
      <c r="Q938" s="3">
        <v>0</v>
      </c>
      <c r="R938">
        <v>0</v>
      </c>
      <c r="S938">
        <v>0</v>
      </c>
      <c r="U938">
        <v>-35.560869565217402</v>
      </c>
      <c r="V938">
        <v>0</v>
      </c>
      <c r="W938">
        <v>-0.76086956521739102</v>
      </c>
      <c r="X938">
        <v>-34.799999999999997</v>
      </c>
      <c r="Y938">
        <v>0</v>
      </c>
      <c r="Z938">
        <v>0</v>
      </c>
      <c r="AA938">
        <v>0</v>
      </c>
    </row>
    <row r="939" spans="3:27" x14ac:dyDescent="0.2">
      <c r="C939" t="s">
        <v>58</v>
      </c>
      <c r="D939" t="s">
        <v>897</v>
      </c>
      <c r="E939">
        <v>200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45</v>
      </c>
      <c r="L939">
        <v>54</v>
      </c>
      <c r="M939">
        <v>0</v>
      </c>
      <c r="N939">
        <v>54</v>
      </c>
      <c r="O939">
        <v>0</v>
      </c>
      <c r="P939">
        <v>254</v>
      </c>
      <c r="Q939" s="3">
        <v>0</v>
      </c>
      <c r="R939">
        <v>0</v>
      </c>
      <c r="S939">
        <v>0</v>
      </c>
      <c r="U939">
        <v>-22.0891304347826</v>
      </c>
      <c r="V939">
        <v>0</v>
      </c>
      <c r="W939">
        <v>-0.48913043478260898</v>
      </c>
      <c r="X939">
        <v>-21.6</v>
      </c>
      <c r="Y939">
        <v>0</v>
      </c>
      <c r="Z939">
        <v>0</v>
      </c>
      <c r="AA939">
        <v>0</v>
      </c>
    </row>
    <row r="940" spans="3:27" x14ac:dyDescent="0.2">
      <c r="C940" t="s">
        <v>58</v>
      </c>
      <c r="D940" t="s">
        <v>898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100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>
        <v>-1.0869565217391299</v>
      </c>
      <c r="V940">
        <v>0</v>
      </c>
      <c r="W940">
        <v>-1.0869565217391299</v>
      </c>
      <c r="X940">
        <v>0</v>
      </c>
      <c r="Y940">
        <v>0</v>
      </c>
      <c r="Z940">
        <v>0</v>
      </c>
      <c r="AA940">
        <v>0</v>
      </c>
    </row>
    <row r="941" spans="3:27" x14ac:dyDescent="0.2">
      <c r="C941" t="s">
        <v>58</v>
      </c>
      <c r="D941" t="s">
        <v>899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80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>
        <v>-0.86956521739130399</v>
      </c>
      <c r="V941">
        <v>0</v>
      </c>
      <c r="W941">
        <v>-0.86956521739130399</v>
      </c>
      <c r="X941">
        <v>0</v>
      </c>
      <c r="Y941">
        <v>0</v>
      </c>
      <c r="Z941">
        <v>0</v>
      </c>
      <c r="AA941">
        <v>0</v>
      </c>
    </row>
    <row r="942" spans="3:27" x14ac:dyDescent="0.2">
      <c r="C942" t="s">
        <v>58</v>
      </c>
      <c r="D942" t="s">
        <v>900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50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>
        <v>-0.54347826086956497</v>
      </c>
      <c r="V942">
        <v>0</v>
      </c>
      <c r="W942">
        <v>-0.54347826086956497</v>
      </c>
      <c r="X942">
        <v>0</v>
      </c>
      <c r="Y942">
        <v>0</v>
      </c>
      <c r="Z942">
        <v>0</v>
      </c>
      <c r="AA942">
        <v>0</v>
      </c>
    </row>
    <row r="943" spans="3:27" x14ac:dyDescent="0.2">
      <c r="C943" t="s">
        <v>58</v>
      </c>
      <c r="D943" t="s">
        <v>901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125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>
        <v>-1.35869565217391</v>
      </c>
      <c r="V943">
        <v>0</v>
      </c>
      <c r="W943">
        <v>-1.35869565217391</v>
      </c>
      <c r="X943">
        <v>0</v>
      </c>
      <c r="Y943">
        <v>0</v>
      </c>
      <c r="Z943">
        <v>0</v>
      </c>
      <c r="AA943">
        <v>0</v>
      </c>
    </row>
    <row r="944" spans="3:27" x14ac:dyDescent="0.2">
      <c r="C944" t="s">
        <v>58</v>
      </c>
      <c r="D944" t="s">
        <v>902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100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>
        <v>-1.0869565217391299</v>
      </c>
      <c r="V944">
        <v>0</v>
      </c>
      <c r="W944">
        <v>-1.0869565217391299</v>
      </c>
      <c r="X944">
        <v>0</v>
      </c>
      <c r="Y944">
        <v>0</v>
      </c>
      <c r="Z944">
        <v>0</v>
      </c>
      <c r="AA944">
        <v>0</v>
      </c>
    </row>
    <row r="945" spans="3:27" x14ac:dyDescent="0.2">
      <c r="C945" t="s">
        <v>58</v>
      </c>
      <c r="D945" t="s">
        <v>903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45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>
        <v>-0.48913043478260898</v>
      </c>
      <c r="V945">
        <v>0</v>
      </c>
      <c r="W945">
        <v>-0.48913043478260898</v>
      </c>
      <c r="X945">
        <v>0</v>
      </c>
      <c r="Y945">
        <v>0</v>
      </c>
      <c r="Z945">
        <v>0</v>
      </c>
      <c r="AA945">
        <v>0</v>
      </c>
    </row>
    <row r="946" spans="3:27" x14ac:dyDescent="0.2">
      <c r="C946" t="s">
        <v>58</v>
      </c>
      <c r="D946" t="s">
        <v>904</v>
      </c>
      <c r="E946">
        <v>240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70</v>
      </c>
      <c r="L946">
        <v>66</v>
      </c>
      <c r="M946">
        <v>0</v>
      </c>
      <c r="N946">
        <v>64</v>
      </c>
      <c r="O946">
        <v>0</v>
      </c>
      <c r="P946">
        <v>304</v>
      </c>
      <c r="Q946" s="3">
        <v>0</v>
      </c>
      <c r="R946">
        <v>0</v>
      </c>
      <c r="S946">
        <v>0</v>
      </c>
      <c r="U946">
        <v>-26.360869565217399</v>
      </c>
      <c r="V946">
        <v>0</v>
      </c>
      <c r="W946">
        <v>-0.76086956521739102</v>
      </c>
      <c r="X946">
        <v>-25.6</v>
      </c>
      <c r="Y946">
        <v>0</v>
      </c>
      <c r="Z946">
        <v>0</v>
      </c>
      <c r="AA946">
        <v>0</v>
      </c>
    </row>
    <row r="947" spans="3:27" x14ac:dyDescent="0.2">
      <c r="C947" t="s">
        <v>58</v>
      </c>
      <c r="D947" t="s">
        <v>905</v>
      </c>
      <c r="E947">
        <v>190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55</v>
      </c>
      <c r="L947">
        <v>53</v>
      </c>
      <c r="M947">
        <v>0</v>
      </c>
      <c r="N947">
        <v>51</v>
      </c>
      <c r="O947">
        <v>0</v>
      </c>
      <c r="P947">
        <v>241</v>
      </c>
      <c r="Q947" s="3">
        <v>0</v>
      </c>
      <c r="R947">
        <v>0</v>
      </c>
      <c r="S947">
        <v>0</v>
      </c>
      <c r="U947">
        <v>-20.997826086956501</v>
      </c>
      <c r="V947">
        <v>0</v>
      </c>
      <c r="W947">
        <v>-0.59782608695652195</v>
      </c>
      <c r="X947">
        <v>-20.399999999999999</v>
      </c>
      <c r="Y947">
        <v>0</v>
      </c>
      <c r="Z947">
        <v>0</v>
      </c>
      <c r="AA947">
        <v>0</v>
      </c>
    </row>
    <row r="948" spans="3:27" x14ac:dyDescent="0.2">
      <c r="C948" t="s">
        <v>58</v>
      </c>
      <c r="D948" t="s">
        <v>906</v>
      </c>
      <c r="E948">
        <v>120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35</v>
      </c>
      <c r="L948">
        <v>33</v>
      </c>
      <c r="M948">
        <v>0</v>
      </c>
      <c r="N948">
        <v>32</v>
      </c>
      <c r="O948">
        <v>0</v>
      </c>
      <c r="P948">
        <v>152</v>
      </c>
      <c r="Q948" s="3">
        <v>0</v>
      </c>
      <c r="R948">
        <v>0</v>
      </c>
      <c r="S948">
        <v>0</v>
      </c>
      <c r="U948">
        <v>-13.1804347826087</v>
      </c>
      <c r="V948">
        <v>0</v>
      </c>
      <c r="W948">
        <v>-0.38043478260869601</v>
      </c>
      <c r="X948">
        <v>-12.8</v>
      </c>
      <c r="Y948">
        <v>0</v>
      </c>
      <c r="Z948">
        <v>0</v>
      </c>
      <c r="AA948">
        <v>0</v>
      </c>
    </row>
    <row r="949" spans="3:27" x14ac:dyDescent="0.2">
      <c r="C949" t="s">
        <v>58</v>
      </c>
      <c r="D949" t="s">
        <v>907</v>
      </c>
      <c r="E949">
        <v>430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110</v>
      </c>
      <c r="L949">
        <v>117</v>
      </c>
      <c r="M949">
        <v>0</v>
      </c>
      <c r="N949">
        <v>115</v>
      </c>
      <c r="O949">
        <v>0</v>
      </c>
      <c r="P949">
        <v>545</v>
      </c>
      <c r="Q949" s="3">
        <v>0</v>
      </c>
      <c r="R949">
        <v>0</v>
      </c>
      <c r="S949">
        <v>0</v>
      </c>
      <c r="U949">
        <v>-47.195652173912997</v>
      </c>
      <c r="V949">
        <v>0</v>
      </c>
      <c r="W949">
        <v>-1.1956521739130399</v>
      </c>
      <c r="X949">
        <v>-46</v>
      </c>
      <c r="Y949">
        <v>0</v>
      </c>
      <c r="Z949">
        <v>0</v>
      </c>
      <c r="AA949">
        <v>0</v>
      </c>
    </row>
    <row r="950" spans="3:27" x14ac:dyDescent="0.2">
      <c r="C950" t="s">
        <v>58</v>
      </c>
      <c r="D950" t="s">
        <v>908</v>
      </c>
      <c r="E950">
        <v>340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85</v>
      </c>
      <c r="L950">
        <v>94</v>
      </c>
      <c r="M950">
        <v>0</v>
      </c>
      <c r="N950">
        <v>92</v>
      </c>
      <c r="O950">
        <v>0</v>
      </c>
      <c r="P950">
        <v>432</v>
      </c>
      <c r="Q950" s="3">
        <v>0</v>
      </c>
      <c r="R950">
        <v>0</v>
      </c>
      <c r="S950">
        <v>0</v>
      </c>
      <c r="U950">
        <v>-37.723913043478298</v>
      </c>
      <c r="V950">
        <v>0</v>
      </c>
      <c r="W950">
        <v>-0.92391304347826098</v>
      </c>
      <c r="X950">
        <v>-36.799999999999997</v>
      </c>
      <c r="Y950">
        <v>0</v>
      </c>
      <c r="Z950">
        <v>0</v>
      </c>
      <c r="AA950">
        <v>0</v>
      </c>
    </row>
    <row r="951" spans="3:27" x14ac:dyDescent="0.2">
      <c r="C951" t="s">
        <v>58</v>
      </c>
      <c r="D951" t="s">
        <v>909</v>
      </c>
      <c r="E951">
        <v>210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55</v>
      </c>
      <c r="L951">
        <v>59</v>
      </c>
      <c r="M951">
        <v>0</v>
      </c>
      <c r="N951">
        <v>58</v>
      </c>
      <c r="O951">
        <v>0</v>
      </c>
      <c r="P951">
        <v>268</v>
      </c>
      <c r="Q951" s="3">
        <v>0</v>
      </c>
      <c r="R951">
        <v>0</v>
      </c>
      <c r="S951">
        <v>0</v>
      </c>
      <c r="U951">
        <v>-23.797826086956501</v>
      </c>
      <c r="V951">
        <v>0</v>
      </c>
      <c r="W951">
        <v>-0.59782608695652195</v>
      </c>
      <c r="X951">
        <v>-23.2</v>
      </c>
      <c r="Y951">
        <v>0</v>
      </c>
      <c r="Z951">
        <v>0</v>
      </c>
      <c r="AA951">
        <v>0</v>
      </c>
    </row>
    <row r="952" spans="3:27" x14ac:dyDescent="0.2">
      <c r="C952" t="s">
        <v>58</v>
      </c>
      <c r="D952" t="s">
        <v>910</v>
      </c>
      <c r="E952">
        <v>420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140</v>
      </c>
      <c r="L952">
        <v>115</v>
      </c>
      <c r="M952">
        <v>0</v>
      </c>
      <c r="N952">
        <v>113</v>
      </c>
      <c r="O952">
        <v>0</v>
      </c>
      <c r="P952">
        <v>533</v>
      </c>
      <c r="Q952" s="3">
        <v>0</v>
      </c>
      <c r="R952">
        <v>0</v>
      </c>
      <c r="S952">
        <v>0</v>
      </c>
      <c r="U952">
        <v>-46.721739130434798</v>
      </c>
      <c r="V952">
        <v>0</v>
      </c>
      <c r="W952">
        <v>-1.52173913043478</v>
      </c>
      <c r="X952">
        <v>-45.2</v>
      </c>
      <c r="Y952">
        <v>0</v>
      </c>
      <c r="Z952">
        <v>0</v>
      </c>
      <c r="AA952">
        <v>0</v>
      </c>
    </row>
    <row r="953" spans="3:27" x14ac:dyDescent="0.2">
      <c r="C953" t="s">
        <v>58</v>
      </c>
      <c r="D953" t="s">
        <v>911</v>
      </c>
      <c r="E953">
        <v>340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115</v>
      </c>
      <c r="L953">
        <v>92</v>
      </c>
      <c r="M953">
        <v>0</v>
      </c>
      <c r="N953">
        <v>90</v>
      </c>
      <c r="O953">
        <v>0</v>
      </c>
      <c r="P953">
        <v>430</v>
      </c>
      <c r="Q953" s="3">
        <v>0</v>
      </c>
      <c r="R953">
        <v>0</v>
      </c>
      <c r="S953">
        <v>0</v>
      </c>
      <c r="U953">
        <v>-37.25</v>
      </c>
      <c r="V953">
        <v>0</v>
      </c>
      <c r="W953">
        <v>-1.25</v>
      </c>
      <c r="X953">
        <v>-36</v>
      </c>
      <c r="Y953">
        <v>0</v>
      </c>
      <c r="Z953">
        <v>0</v>
      </c>
      <c r="AA953">
        <v>0</v>
      </c>
    </row>
    <row r="954" spans="3:27" x14ac:dyDescent="0.2">
      <c r="C954" t="s">
        <v>58</v>
      </c>
      <c r="D954" t="s">
        <v>912</v>
      </c>
      <c r="E954">
        <v>210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70</v>
      </c>
      <c r="L954">
        <v>58</v>
      </c>
      <c r="M954">
        <v>0</v>
      </c>
      <c r="N954">
        <v>56</v>
      </c>
      <c r="O954">
        <v>0</v>
      </c>
      <c r="P954">
        <v>266</v>
      </c>
      <c r="Q954" s="3">
        <v>0</v>
      </c>
      <c r="R954">
        <v>0</v>
      </c>
      <c r="S954">
        <v>0</v>
      </c>
      <c r="U954">
        <v>-23.1608695652174</v>
      </c>
      <c r="V954">
        <v>0</v>
      </c>
      <c r="W954">
        <v>-0.76086956521739102</v>
      </c>
      <c r="X954">
        <v>-22.4</v>
      </c>
      <c r="Y954">
        <v>0</v>
      </c>
      <c r="Z954">
        <v>0</v>
      </c>
      <c r="AA954">
        <v>0</v>
      </c>
    </row>
    <row r="955" spans="3:27" x14ac:dyDescent="0.2">
      <c r="C955" t="s">
        <v>58</v>
      </c>
      <c r="D955" t="s">
        <v>913</v>
      </c>
      <c r="E955">
        <v>110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55</v>
      </c>
      <c r="L955">
        <v>29</v>
      </c>
      <c r="M955">
        <v>0</v>
      </c>
      <c r="N955">
        <v>29</v>
      </c>
      <c r="O955">
        <v>0</v>
      </c>
      <c r="P955">
        <v>139</v>
      </c>
      <c r="Q955" s="3">
        <v>0</v>
      </c>
      <c r="R955">
        <v>0</v>
      </c>
      <c r="S955">
        <v>0</v>
      </c>
      <c r="U955">
        <v>-12.1978260869565</v>
      </c>
      <c r="V955">
        <v>0</v>
      </c>
      <c r="W955">
        <v>-0.59782608695652195</v>
      </c>
      <c r="X955">
        <v>-11.6</v>
      </c>
      <c r="Y955">
        <v>0</v>
      </c>
      <c r="Z955">
        <v>0</v>
      </c>
      <c r="AA955">
        <v>0</v>
      </c>
    </row>
    <row r="956" spans="3:27" x14ac:dyDescent="0.2">
      <c r="C956" t="s">
        <v>58</v>
      </c>
      <c r="D956" t="s">
        <v>914</v>
      </c>
      <c r="E956">
        <v>90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40</v>
      </c>
      <c r="L956">
        <v>22</v>
      </c>
      <c r="M956">
        <v>0</v>
      </c>
      <c r="N956">
        <v>22</v>
      </c>
      <c r="O956">
        <v>0</v>
      </c>
      <c r="P956">
        <v>112</v>
      </c>
      <c r="Q956" s="3">
        <v>0</v>
      </c>
      <c r="R956">
        <v>0</v>
      </c>
      <c r="S956">
        <v>0</v>
      </c>
      <c r="U956">
        <v>-9.2347826086956495</v>
      </c>
      <c r="V956">
        <v>0</v>
      </c>
      <c r="W956">
        <v>-0.434782608695652</v>
      </c>
      <c r="X956">
        <v>-8.8000000000000007</v>
      </c>
      <c r="Y956">
        <v>0</v>
      </c>
      <c r="Z956">
        <v>0</v>
      </c>
      <c r="AA956">
        <v>0</v>
      </c>
    </row>
    <row r="957" spans="3:27" x14ac:dyDescent="0.2">
      <c r="C957" t="s">
        <v>58</v>
      </c>
      <c r="D957" t="s">
        <v>915</v>
      </c>
      <c r="E957">
        <v>60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25</v>
      </c>
      <c r="L957">
        <v>14</v>
      </c>
      <c r="M957">
        <v>0</v>
      </c>
      <c r="N957">
        <v>14</v>
      </c>
      <c r="O957">
        <v>0</v>
      </c>
      <c r="P957">
        <v>74</v>
      </c>
      <c r="Q957" s="3">
        <v>0</v>
      </c>
      <c r="R957">
        <v>0</v>
      </c>
      <c r="S957">
        <v>0</v>
      </c>
      <c r="U957">
        <v>-5.8717391304347801</v>
      </c>
      <c r="V957">
        <v>0</v>
      </c>
      <c r="W957">
        <v>-0.27173913043478298</v>
      </c>
      <c r="X957">
        <v>-5.6</v>
      </c>
      <c r="Y957">
        <v>0</v>
      </c>
      <c r="Z957">
        <v>0</v>
      </c>
      <c r="AA957">
        <v>0</v>
      </c>
    </row>
    <row r="958" spans="3:27" x14ac:dyDescent="0.2">
      <c r="C958" t="s">
        <v>58</v>
      </c>
      <c r="D958" t="s">
        <v>916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3:27" x14ac:dyDescent="0.2">
      <c r="C959" t="s">
        <v>58</v>
      </c>
      <c r="D959" t="s">
        <v>917</v>
      </c>
      <c r="E959">
        <v>460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55</v>
      </c>
      <c r="L959">
        <v>117</v>
      </c>
      <c r="M959">
        <v>0</v>
      </c>
      <c r="N959">
        <v>111</v>
      </c>
      <c r="O959">
        <v>0</v>
      </c>
      <c r="P959">
        <v>571</v>
      </c>
      <c r="Q959" s="3">
        <v>0</v>
      </c>
      <c r="R959">
        <v>0</v>
      </c>
      <c r="S959">
        <v>0</v>
      </c>
      <c r="U959">
        <v>-44.997826086956501</v>
      </c>
      <c r="V959">
        <v>0</v>
      </c>
      <c r="W959">
        <v>-0.59782608695652195</v>
      </c>
      <c r="X959">
        <v>-44.4</v>
      </c>
      <c r="Y959">
        <v>0</v>
      </c>
      <c r="Z959">
        <v>0</v>
      </c>
      <c r="AA959">
        <v>0</v>
      </c>
    </row>
    <row r="960" spans="3:27" x14ac:dyDescent="0.2">
      <c r="C960" t="s">
        <v>58</v>
      </c>
      <c r="D960" t="s">
        <v>918</v>
      </c>
      <c r="E960">
        <v>380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45</v>
      </c>
      <c r="L960">
        <v>98</v>
      </c>
      <c r="M960">
        <v>0</v>
      </c>
      <c r="N960">
        <v>93</v>
      </c>
      <c r="O960">
        <v>0</v>
      </c>
      <c r="P960">
        <v>473</v>
      </c>
      <c r="Q960" s="3">
        <v>0</v>
      </c>
      <c r="R960">
        <v>0</v>
      </c>
      <c r="S960">
        <v>0</v>
      </c>
      <c r="U960">
        <v>-37.689130434782598</v>
      </c>
      <c r="V960">
        <v>0</v>
      </c>
      <c r="W960">
        <v>-0.48913043478260898</v>
      </c>
      <c r="X960">
        <v>-37.200000000000003</v>
      </c>
      <c r="Y960">
        <v>0</v>
      </c>
      <c r="Z960">
        <v>0</v>
      </c>
      <c r="AA960">
        <v>0</v>
      </c>
    </row>
    <row r="961" spans="3:27" x14ac:dyDescent="0.2">
      <c r="C961" t="s">
        <v>58</v>
      </c>
      <c r="D961" t="s">
        <v>919</v>
      </c>
      <c r="E961">
        <v>230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30</v>
      </c>
      <c r="L961">
        <v>59</v>
      </c>
      <c r="M961">
        <v>0</v>
      </c>
      <c r="N961">
        <v>56</v>
      </c>
      <c r="O961">
        <v>0</v>
      </c>
      <c r="P961">
        <v>286</v>
      </c>
      <c r="Q961" s="3">
        <v>0</v>
      </c>
      <c r="R961">
        <v>0</v>
      </c>
      <c r="S961">
        <v>0</v>
      </c>
      <c r="U961">
        <v>-22.726086956521701</v>
      </c>
      <c r="V961">
        <v>0</v>
      </c>
      <c r="W961">
        <v>-0.32608695652173902</v>
      </c>
      <c r="X961">
        <v>-22.4</v>
      </c>
      <c r="Y961">
        <v>0</v>
      </c>
      <c r="Z961">
        <v>0</v>
      </c>
      <c r="AA961">
        <v>0</v>
      </c>
    </row>
    <row r="962" spans="3:27" x14ac:dyDescent="0.2">
      <c r="C962" t="s">
        <v>58</v>
      </c>
      <c r="D962" t="s">
        <v>920</v>
      </c>
      <c r="E962">
        <v>15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10</v>
      </c>
      <c r="L962">
        <v>2</v>
      </c>
      <c r="M962">
        <v>0</v>
      </c>
      <c r="N962">
        <v>0</v>
      </c>
      <c r="O962">
        <v>0</v>
      </c>
      <c r="P962">
        <v>15</v>
      </c>
      <c r="Q962" s="3">
        <v>0</v>
      </c>
      <c r="R962">
        <v>0</v>
      </c>
      <c r="S962">
        <v>0</v>
      </c>
      <c r="U962">
        <v>-0.108695652173913</v>
      </c>
      <c r="V962">
        <v>0</v>
      </c>
      <c r="W962">
        <v>-0.108695652173913</v>
      </c>
      <c r="X962">
        <v>0</v>
      </c>
      <c r="Y962">
        <v>0</v>
      </c>
      <c r="Z962">
        <v>0</v>
      </c>
      <c r="AA962">
        <v>0</v>
      </c>
    </row>
    <row r="963" spans="3:27" x14ac:dyDescent="0.2">
      <c r="C963" t="s">
        <v>58</v>
      </c>
      <c r="D963" t="s">
        <v>921</v>
      </c>
      <c r="E963">
        <v>10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10</v>
      </c>
      <c r="L963">
        <v>1</v>
      </c>
      <c r="M963">
        <v>0</v>
      </c>
      <c r="N963">
        <v>0</v>
      </c>
      <c r="O963">
        <v>0</v>
      </c>
      <c r="P963">
        <v>10</v>
      </c>
      <c r="Q963" s="3">
        <v>0</v>
      </c>
      <c r="R963">
        <v>0</v>
      </c>
      <c r="S963">
        <v>0</v>
      </c>
      <c r="U963">
        <v>-0.108695652173913</v>
      </c>
      <c r="V963">
        <v>0</v>
      </c>
      <c r="W963">
        <v>-0.108695652173913</v>
      </c>
      <c r="X963">
        <v>0</v>
      </c>
      <c r="Y963">
        <v>0</v>
      </c>
      <c r="Z963">
        <v>0</v>
      </c>
      <c r="AA963">
        <v>0</v>
      </c>
    </row>
    <row r="964" spans="3:27" x14ac:dyDescent="0.2">
      <c r="C964" t="s">
        <v>58</v>
      </c>
      <c r="D964" t="s">
        <v>922</v>
      </c>
      <c r="E964">
        <v>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5</v>
      </c>
      <c r="L964">
        <v>1</v>
      </c>
      <c r="M964">
        <v>0</v>
      </c>
      <c r="N964">
        <v>0</v>
      </c>
      <c r="O964">
        <v>0</v>
      </c>
      <c r="P964">
        <v>5</v>
      </c>
      <c r="Q964" s="3">
        <v>0</v>
      </c>
      <c r="R964">
        <v>0</v>
      </c>
      <c r="S964">
        <v>0</v>
      </c>
      <c r="U964">
        <v>-5.4347826086956499E-2</v>
      </c>
      <c r="V964">
        <v>0</v>
      </c>
      <c r="W964">
        <v>-5.4347826086956499E-2</v>
      </c>
      <c r="X964">
        <v>0</v>
      </c>
      <c r="Y964">
        <v>0</v>
      </c>
      <c r="Z964">
        <v>0</v>
      </c>
      <c r="AA964">
        <v>0</v>
      </c>
    </row>
    <row r="965" spans="3:27" x14ac:dyDescent="0.2">
      <c r="C965" t="s">
        <v>58</v>
      </c>
      <c r="D965" t="s">
        <v>923</v>
      </c>
      <c r="E965">
        <v>320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60</v>
      </c>
      <c r="L965">
        <v>82</v>
      </c>
      <c r="M965">
        <v>0</v>
      </c>
      <c r="N965">
        <v>76</v>
      </c>
      <c r="O965">
        <v>0</v>
      </c>
      <c r="P965">
        <v>396</v>
      </c>
      <c r="Q965" s="3">
        <v>0</v>
      </c>
      <c r="R965">
        <v>0</v>
      </c>
      <c r="S965">
        <v>0</v>
      </c>
      <c r="U965">
        <v>-31.0521739130435</v>
      </c>
      <c r="V965">
        <v>0</v>
      </c>
      <c r="W965">
        <v>-0.65217391304347805</v>
      </c>
      <c r="X965">
        <v>-30.4</v>
      </c>
      <c r="Y965">
        <v>0</v>
      </c>
      <c r="Z965">
        <v>0</v>
      </c>
      <c r="AA965">
        <v>0</v>
      </c>
    </row>
    <row r="966" spans="3:27" x14ac:dyDescent="0.2">
      <c r="C966" t="s">
        <v>58</v>
      </c>
      <c r="D966" t="s">
        <v>924</v>
      </c>
      <c r="E966">
        <v>300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50</v>
      </c>
      <c r="L966">
        <v>76</v>
      </c>
      <c r="M966">
        <v>0</v>
      </c>
      <c r="N966">
        <v>70</v>
      </c>
      <c r="O966">
        <v>0</v>
      </c>
      <c r="P966">
        <v>370</v>
      </c>
      <c r="Q966" s="3">
        <v>0</v>
      </c>
      <c r="R966">
        <v>0</v>
      </c>
      <c r="S966">
        <v>0</v>
      </c>
      <c r="U966">
        <v>-28.543478260869598</v>
      </c>
      <c r="V966">
        <v>0</v>
      </c>
      <c r="W966">
        <v>-0.54347826086956497</v>
      </c>
      <c r="X966">
        <v>-28</v>
      </c>
      <c r="Y966">
        <v>0</v>
      </c>
      <c r="Z966">
        <v>0</v>
      </c>
      <c r="AA966">
        <v>0</v>
      </c>
    </row>
    <row r="967" spans="3:27" x14ac:dyDescent="0.2">
      <c r="C967" t="s">
        <v>58</v>
      </c>
      <c r="D967" t="s">
        <v>925</v>
      </c>
      <c r="E967">
        <v>170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30</v>
      </c>
      <c r="L967">
        <v>44</v>
      </c>
      <c r="M967">
        <v>0</v>
      </c>
      <c r="N967">
        <v>40</v>
      </c>
      <c r="O967">
        <v>0</v>
      </c>
      <c r="P967">
        <v>210</v>
      </c>
      <c r="Q967" s="3">
        <v>0</v>
      </c>
      <c r="R967">
        <v>0</v>
      </c>
      <c r="S967">
        <v>0</v>
      </c>
      <c r="U967">
        <v>-16.326086956521699</v>
      </c>
      <c r="V967">
        <v>0</v>
      </c>
      <c r="W967">
        <v>-0.32608695652173902</v>
      </c>
      <c r="X967">
        <v>-16</v>
      </c>
      <c r="Y967">
        <v>0</v>
      </c>
      <c r="Z967">
        <v>0</v>
      </c>
      <c r="AA967">
        <v>0</v>
      </c>
    </row>
    <row r="968" spans="3:27" x14ac:dyDescent="0.2">
      <c r="C968" t="s">
        <v>58</v>
      </c>
      <c r="D968" t="s">
        <v>926</v>
      </c>
      <c r="E968">
        <v>200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90</v>
      </c>
      <c r="L968">
        <v>53</v>
      </c>
      <c r="M968">
        <v>0</v>
      </c>
      <c r="N968">
        <v>53</v>
      </c>
      <c r="O968">
        <v>0</v>
      </c>
      <c r="P968">
        <v>253</v>
      </c>
      <c r="Q968" s="3">
        <v>0</v>
      </c>
      <c r="R968">
        <v>0</v>
      </c>
      <c r="S968">
        <v>0</v>
      </c>
      <c r="U968">
        <v>-22.1782608695652</v>
      </c>
      <c r="V968">
        <v>0</v>
      </c>
      <c r="W968">
        <v>-0.97826086956521796</v>
      </c>
      <c r="X968">
        <v>-21.2</v>
      </c>
      <c r="Y968">
        <v>0</v>
      </c>
      <c r="Z968">
        <v>0</v>
      </c>
      <c r="AA968">
        <v>0</v>
      </c>
    </row>
    <row r="969" spans="3:27" x14ac:dyDescent="0.2">
      <c r="C969" t="s">
        <v>58</v>
      </c>
      <c r="D969" t="s">
        <v>927</v>
      </c>
      <c r="E969">
        <v>390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180</v>
      </c>
      <c r="L969">
        <v>105</v>
      </c>
      <c r="M969">
        <v>0</v>
      </c>
      <c r="N969">
        <v>105</v>
      </c>
      <c r="O969">
        <v>0</v>
      </c>
      <c r="P969">
        <v>495</v>
      </c>
      <c r="Q969" s="3">
        <v>0</v>
      </c>
      <c r="R969">
        <v>0</v>
      </c>
      <c r="S969">
        <v>0</v>
      </c>
      <c r="U969">
        <v>-43.956521739130402</v>
      </c>
      <c r="V969">
        <v>0</v>
      </c>
      <c r="W969">
        <v>-1.9565217391304399</v>
      </c>
      <c r="X969">
        <v>-42</v>
      </c>
      <c r="Y969">
        <v>0</v>
      </c>
      <c r="Z969">
        <v>0</v>
      </c>
      <c r="AA969">
        <v>0</v>
      </c>
    </row>
    <row r="970" spans="3:27" x14ac:dyDescent="0.2">
      <c r="C970" t="s">
        <v>58</v>
      </c>
      <c r="D970" t="s">
        <v>928</v>
      </c>
      <c r="E970">
        <v>310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140</v>
      </c>
      <c r="L970">
        <v>84</v>
      </c>
      <c r="M970">
        <v>0</v>
      </c>
      <c r="N970">
        <v>84</v>
      </c>
      <c r="O970">
        <v>0</v>
      </c>
      <c r="P970">
        <v>394</v>
      </c>
      <c r="Q970" s="3">
        <v>0</v>
      </c>
      <c r="R970">
        <v>0</v>
      </c>
      <c r="S970">
        <v>0</v>
      </c>
      <c r="U970">
        <v>-35.121739130434797</v>
      </c>
      <c r="V970">
        <v>0</v>
      </c>
      <c r="W970">
        <v>-1.52173913043478</v>
      </c>
      <c r="X970">
        <v>-33.6</v>
      </c>
      <c r="Y970">
        <v>0</v>
      </c>
      <c r="Z970">
        <v>0</v>
      </c>
      <c r="AA970">
        <v>0</v>
      </c>
    </row>
    <row r="971" spans="3:27" x14ac:dyDescent="0.2">
      <c r="C971" t="s">
        <v>58</v>
      </c>
      <c r="D971" t="s">
        <v>929</v>
      </c>
      <c r="E971">
        <v>480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55</v>
      </c>
      <c r="L971">
        <v>121</v>
      </c>
      <c r="M971">
        <v>0</v>
      </c>
      <c r="N971">
        <v>114</v>
      </c>
      <c r="O971">
        <v>0</v>
      </c>
      <c r="P971">
        <v>594</v>
      </c>
      <c r="Q971" s="3">
        <v>0</v>
      </c>
      <c r="R971">
        <v>0</v>
      </c>
      <c r="S971">
        <v>0</v>
      </c>
      <c r="U971">
        <v>-46.197826086956503</v>
      </c>
      <c r="V971">
        <v>0</v>
      </c>
      <c r="W971">
        <v>-0.59782608695652195</v>
      </c>
      <c r="X971">
        <v>-45.6</v>
      </c>
      <c r="Y971">
        <v>0</v>
      </c>
      <c r="Z971">
        <v>0</v>
      </c>
      <c r="AA971">
        <v>0</v>
      </c>
    </row>
    <row r="972" spans="3:27" x14ac:dyDescent="0.2">
      <c r="C972" t="s">
        <v>58</v>
      </c>
      <c r="D972" t="s">
        <v>930</v>
      </c>
      <c r="E972">
        <v>380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45</v>
      </c>
      <c r="L972">
        <v>98</v>
      </c>
      <c r="M972">
        <v>0</v>
      </c>
      <c r="N972">
        <v>92</v>
      </c>
      <c r="O972">
        <v>0</v>
      </c>
      <c r="P972">
        <v>472</v>
      </c>
      <c r="Q972" s="3">
        <v>0</v>
      </c>
      <c r="R972">
        <v>0</v>
      </c>
      <c r="S972">
        <v>0</v>
      </c>
      <c r="U972">
        <v>-37.289130434782599</v>
      </c>
      <c r="V972">
        <v>0</v>
      </c>
      <c r="W972">
        <v>-0.48913043478260898</v>
      </c>
      <c r="X972">
        <v>-36.799999999999997</v>
      </c>
      <c r="Y972">
        <v>0</v>
      </c>
      <c r="Z972">
        <v>0</v>
      </c>
      <c r="AA972">
        <v>0</v>
      </c>
    </row>
    <row r="973" spans="3:27" x14ac:dyDescent="0.2">
      <c r="C973" t="s">
        <v>58</v>
      </c>
      <c r="D973" t="s">
        <v>931</v>
      </c>
      <c r="E973">
        <v>230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30</v>
      </c>
      <c r="L973">
        <v>58</v>
      </c>
      <c r="M973">
        <v>0</v>
      </c>
      <c r="N973">
        <v>54</v>
      </c>
      <c r="O973">
        <v>0</v>
      </c>
      <c r="P973">
        <v>284</v>
      </c>
      <c r="Q973" s="3">
        <v>0</v>
      </c>
      <c r="R973">
        <v>0</v>
      </c>
      <c r="S973">
        <v>0</v>
      </c>
      <c r="U973">
        <v>-21.926086956521701</v>
      </c>
      <c r="V973">
        <v>0</v>
      </c>
      <c r="W973">
        <v>-0.32608695652173902</v>
      </c>
      <c r="X973">
        <v>-21.6</v>
      </c>
      <c r="Y973">
        <v>0</v>
      </c>
      <c r="Z973">
        <v>0</v>
      </c>
      <c r="AA973">
        <v>0</v>
      </c>
    </row>
    <row r="974" spans="3:27" x14ac:dyDescent="0.2">
      <c r="C974" t="s">
        <v>58</v>
      </c>
      <c r="D974" t="s">
        <v>932</v>
      </c>
      <c r="E974">
        <v>270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15</v>
      </c>
      <c r="L974">
        <v>69</v>
      </c>
      <c r="M974">
        <v>0</v>
      </c>
      <c r="N974">
        <v>67</v>
      </c>
      <c r="O974">
        <v>0</v>
      </c>
      <c r="P974">
        <v>337</v>
      </c>
      <c r="Q974" s="3">
        <v>0</v>
      </c>
      <c r="R974">
        <v>0</v>
      </c>
      <c r="S974">
        <v>0</v>
      </c>
      <c r="U974">
        <v>-26.9630434782609</v>
      </c>
      <c r="V974">
        <v>0</v>
      </c>
      <c r="W974">
        <v>-0.16304347826087001</v>
      </c>
      <c r="X974">
        <v>-26.8</v>
      </c>
      <c r="Y974">
        <v>0</v>
      </c>
      <c r="Z974">
        <v>0</v>
      </c>
      <c r="AA974">
        <v>0</v>
      </c>
    </row>
    <row r="975" spans="3:27" x14ac:dyDescent="0.2">
      <c r="C975" t="s">
        <v>58</v>
      </c>
      <c r="D975" t="s">
        <v>933</v>
      </c>
      <c r="E975">
        <v>240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15</v>
      </c>
      <c r="L975">
        <v>60</v>
      </c>
      <c r="M975">
        <v>0</v>
      </c>
      <c r="N975">
        <v>59</v>
      </c>
      <c r="O975">
        <v>0</v>
      </c>
      <c r="P975">
        <v>299</v>
      </c>
      <c r="Q975" s="3">
        <v>0</v>
      </c>
      <c r="R975">
        <v>0</v>
      </c>
      <c r="S975">
        <v>0</v>
      </c>
      <c r="U975">
        <v>-23.763043478260901</v>
      </c>
      <c r="V975">
        <v>0</v>
      </c>
      <c r="W975">
        <v>-0.16304347826087001</v>
      </c>
      <c r="X975">
        <v>-23.6</v>
      </c>
      <c r="Y975">
        <v>0</v>
      </c>
      <c r="Z975">
        <v>0</v>
      </c>
      <c r="AA975">
        <v>0</v>
      </c>
    </row>
    <row r="976" spans="3:27" x14ac:dyDescent="0.2">
      <c r="C976" t="s">
        <v>58</v>
      </c>
      <c r="D976" t="s">
        <v>934</v>
      </c>
      <c r="E976">
        <v>140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10</v>
      </c>
      <c r="L976">
        <v>36</v>
      </c>
      <c r="M976">
        <v>0</v>
      </c>
      <c r="N976">
        <v>35</v>
      </c>
      <c r="O976">
        <v>0</v>
      </c>
      <c r="P976">
        <v>175</v>
      </c>
      <c r="Q976" s="3">
        <v>0</v>
      </c>
      <c r="R976">
        <v>0</v>
      </c>
      <c r="S976">
        <v>0</v>
      </c>
      <c r="U976">
        <v>-14.1086956521739</v>
      </c>
      <c r="V976">
        <v>0</v>
      </c>
      <c r="W976">
        <v>-0.108695652173913</v>
      </c>
      <c r="X976">
        <v>-14</v>
      </c>
      <c r="Y976">
        <v>0</v>
      </c>
      <c r="Z976">
        <v>0</v>
      </c>
      <c r="AA976">
        <v>0</v>
      </c>
    </row>
    <row r="977" spans="3:27" x14ac:dyDescent="0.2">
      <c r="C977" t="s">
        <v>58</v>
      </c>
      <c r="D977" t="s">
        <v>935</v>
      </c>
      <c r="E977">
        <v>90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20</v>
      </c>
      <c r="L977">
        <v>22</v>
      </c>
      <c r="M977">
        <v>0</v>
      </c>
      <c r="N977">
        <v>20</v>
      </c>
      <c r="O977">
        <v>0</v>
      </c>
      <c r="P977">
        <v>110</v>
      </c>
      <c r="Q977" s="3">
        <v>0</v>
      </c>
      <c r="R977">
        <v>0</v>
      </c>
      <c r="S977">
        <v>0</v>
      </c>
      <c r="U977">
        <v>-8.2173913043478297</v>
      </c>
      <c r="V977">
        <v>0</v>
      </c>
      <c r="W977">
        <v>-0.217391304347826</v>
      </c>
      <c r="X977">
        <v>-8</v>
      </c>
      <c r="Y977">
        <v>0</v>
      </c>
      <c r="Z977">
        <v>0</v>
      </c>
      <c r="AA977">
        <v>0</v>
      </c>
    </row>
    <row r="978" spans="3:27" x14ac:dyDescent="0.2">
      <c r="C978" t="s">
        <v>58</v>
      </c>
      <c r="D978" t="s">
        <v>936</v>
      </c>
      <c r="E978">
        <v>60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15</v>
      </c>
      <c r="L978">
        <v>16</v>
      </c>
      <c r="M978">
        <v>0</v>
      </c>
      <c r="N978">
        <v>14</v>
      </c>
      <c r="O978">
        <v>0</v>
      </c>
      <c r="P978">
        <v>74</v>
      </c>
      <c r="Q978" s="3">
        <v>0</v>
      </c>
      <c r="R978">
        <v>0</v>
      </c>
      <c r="S978">
        <v>0</v>
      </c>
      <c r="U978">
        <v>-5.7630434782608697</v>
      </c>
      <c r="V978">
        <v>0</v>
      </c>
      <c r="W978">
        <v>-0.16304347826087001</v>
      </c>
      <c r="X978">
        <v>-5.6</v>
      </c>
      <c r="Y978">
        <v>0</v>
      </c>
      <c r="Z978">
        <v>0</v>
      </c>
      <c r="AA978">
        <v>0</v>
      </c>
    </row>
    <row r="979" spans="3:27" x14ac:dyDescent="0.2">
      <c r="C979" t="s">
        <v>58</v>
      </c>
      <c r="D979" t="s">
        <v>937</v>
      </c>
      <c r="E979">
        <v>45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10</v>
      </c>
      <c r="L979">
        <v>11</v>
      </c>
      <c r="M979">
        <v>0</v>
      </c>
      <c r="N979">
        <v>10</v>
      </c>
      <c r="O979">
        <v>0</v>
      </c>
      <c r="P979">
        <v>55</v>
      </c>
      <c r="Q979" s="3">
        <v>0</v>
      </c>
      <c r="R979">
        <v>0</v>
      </c>
      <c r="S979">
        <v>0</v>
      </c>
      <c r="U979">
        <v>-4.1086956521739104</v>
      </c>
      <c r="V979">
        <v>0</v>
      </c>
      <c r="W979">
        <v>-0.108695652173913</v>
      </c>
      <c r="X979">
        <v>-4</v>
      </c>
      <c r="Y979">
        <v>0</v>
      </c>
      <c r="Z979">
        <v>0</v>
      </c>
      <c r="AA979">
        <v>0</v>
      </c>
    </row>
    <row r="980" spans="3:27" x14ac:dyDescent="0.2">
      <c r="C980" t="s">
        <v>58</v>
      </c>
      <c r="D980" t="s">
        <v>938</v>
      </c>
      <c r="E980">
        <v>300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25</v>
      </c>
      <c r="L980">
        <v>77</v>
      </c>
      <c r="M980">
        <v>0</v>
      </c>
      <c r="N980">
        <v>75</v>
      </c>
      <c r="O980">
        <v>0</v>
      </c>
      <c r="P980">
        <v>375</v>
      </c>
      <c r="Q980" s="3">
        <v>0</v>
      </c>
      <c r="R980">
        <v>0</v>
      </c>
      <c r="S980">
        <v>0</v>
      </c>
      <c r="U980">
        <v>-30.271739130434799</v>
      </c>
      <c r="V980">
        <v>0</v>
      </c>
      <c r="W980">
        <v>-0.27173913043478298</v>
      </c>
      <c r="X980">
        <v>-30</v>
      </c>
      <c r="Y980">
        <v>0</v>
      </c>
      <c r="Z980">
        <v>0</v>
      </c>
      <c r="AA980">
        <v>0</v>
      </c>
    </row>
    <row r="981" spans="3:27" x14ac:dyDescent="0.2">
      <c r="C981" t="s">
        <v>58</v>
      </c>
      <c r="D981" t="s">
        <v>939</v>
      </c>
      <c r="E981">
        <v>220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20</v>
      </c>
      <c r="L981">
        <v>58</v>
      </c>
      <c r="M981">
        <v>0</v>
      </c>
      <c r="N981">
        <v>56</v>
      </c>
      <c r="O981">
        <v>0</v>
      </c>
      <c r="P981">
        <v>276</v>
      </c>
      <c r="Q981" s="3">
        <v>0</v>
      </c>
      <c r="R981">
        <v>0</v>
      </c>
      <c r="S981">
        <v>0</v>
      </c>
      <c r="U981">
        <v>-22.617391304347802</v>
      </c>
      <c r="V981">
        <v>0</v>
      </c>
      <c r="W981">
        <v>-0.217391304347826</v>
      </c>
      <c r="X981">
        <v>-22.4</v>
      </c>
      <c r="Y981">
        <v>0</v>
      </c>
      <c r="Z981">
        <v>0</v>
      </c>
      <c r="AA981">
        <v>0</v>
      </c>
    </row>
    <row r="982" spans="3:27" x14ac:dyDescent="0.2">
      <c r="C982" t="s">
        <v>58</v>
      </c>
      <c r="D982" t="s">
        <v>940</v>
      </c>
      <c r="E982">
        <v>160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10</v>
      </c>
      <c r="L982">
        <v>41</v>
      </c>
      <c r="M982">
        <v>0</v>
      </c>
      <c r="N982">
        <v>40</v>
      </c>
      <c r="O982">
        <v>0</v>
      </c>
      <c r="P982">
        <v>200</v>
      </c>
      <c r="Q982" s="3">
        <v>0</v>
      </c>
      <c r="R982">
        <v>0</v>
      </c>
      <c r="S982">
        <v>0</v>
      </c>
      <c r="U982">
        <v>-16.1086956521739</v>
      </c>
      <c r="V982">
        <v>0</v>
      </c>
      <c r="W982">
        <v>-0.108695652173913</v>
      </c>
      <c r="X982">
        <v>-16</v>
      </c>
      <c r="Y982">
        <v>0</v>
      </c>
      <c r="Z982">
        <v>0</v>
      </c>
      <c r="AA98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1302-341F-4B18-AF3E-3FC32B9DE94E}">
  <dimension ref="B2:D11"/>
  <sheetViews>
    <sheetView showGridLines="0" topLeftCell="A31" workbookViewId="0">
      <selection activeCell="N51" sqref="N51"/>
    </sheetView>
  </sheetViews>
  <sheetFormatPr baseColWidth="10" defaultColWidth="8.83203125" defaultRowHeight="16" x14ac:dyDescent="0.2"/>
  <cols>
    <col min="2" max="2" width="3.33203125" customWidth="1"/>
    <col min="3" max="3" width="11.5" bestFit="1" customWidth="1"/>
    <col min="4" max="4" width="25.83203125" bestFit="1" customWidth="1"/>
  </cols>
  <sheetData>
    <row r="2" spans="2:4" x14ac:dyDescent="0.2">
      <c r="B2" s="10" t="s">
        <v>1138</v>
      </c>
    </row>
    <row r="4" spans="2:4" x14ac:dyDescent="0.2">
      <c r="C4" s="11" t="s">
        <v>0</v>
      </c>
      <c r="D4" t="s">
        <v>1139</v>
      </c>
    </row>
    <row r="5" spans="2:4" x14ac:dyDescent="0.2">
      <c r="C5" t="s">
        <v>159</v>
      </c>
      <c r="D5">
        <v>-4.4498787560852779</v>
      </c>
    </row>
    <row r="6" spans="2:4" x14ac:dyDescent="0.2">
      <c r="C6" t="s">
        <v>17</v>
      </c>
      <c r="D6">
        <v>-8.8046222374693048</v>
      </c>
    </row>
    <row r="7" spans="2:4" x14ac:dyDescent="0.2">
      <c r="C7" t="s">
        <v>25</v>
      </c>
      <c r="D7">
        <v>-14.255227225672893</v>
      </c>
    </row>
    <row r="8" spans="2:4" x14ac:dyDescent="0.2">
      <c r="C8" t="s">
        <v>58</v>
      </c>
      <c r="D8">
        <v>-14.260893542792616</v>
      </c>
    </row>
    <row r="9" spans="2:4" x14ac:dyDescent="0.2">
      <c r="C9" t="s">
        <v>21</v>
      </c>
      <c r="D9">
        <v>-14.59570579150579</v>
      </c>
    </row>
    <row r="10" spans="2:4" x14ac:dyDescent="0.2">
      <c r="C10" t="s">
        <v>51</v>
      </c>
      <c r="D10">
        <v>-17.286253916168604</v>
      </c>
    </row>
    <row r="11" spans="2:4" x14ac:dyDescent="0.2">
      <c r="C11" t="s">
        <v>1140</v>
      </c>
      <c r="D11">
        <v>-13.590725766215241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FastFoodNutrition notes</vt:lpstr>
      <vt:lpstr>just numbers</vt:lpstr>
      <vt:lpstr>just numbers (HaoBS)</vt:lpstr>
      <vt:lpstr>HaosBSCalculations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Shaurya Kumar</cp:lastModifiedBy>
  <cp:revision/>
  <dcterms:created xsi:type="dcterms:W3CDTF">2026-05-23T04:14:23Z</dcterms:created>
  <dcterms:modified xsi:type="dcterms:W3CDTF">2026-05-25T18:52:14Z</dcterms:modified>
  <cp:category/>
  <cp:contentStatus/>
</cp:coreProperties>
</file>